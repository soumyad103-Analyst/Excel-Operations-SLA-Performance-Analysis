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124226"/>
  <mc:AlternateContent xmlns:mc="http://schemas.openxmlformats.org/markup-compatibility/2006">
    <mc:Choice Requires="x15">
      <x15ac:absPath xmlns:x15ac="http://schemas.microsoft.com/office/spreadsheetml/2010/11/ac" url="C:\Users\soumy\OneDrive\Documents\BA\Excel\"/>
    </mc:Choice>
  </mc:AlternateContent>
  <xr:revisionPtr revIDLastSave="0" documentId="13_ncr:1_{CAFCCCBE-05AA-49E7-B8FE-7D3E4A1439E3}" xr6:coauthVersionLast="47" xr6:coauthVersionMax="47" xr10:uidLastSave="{00000000-0000-0000-0000-000000000000}"/>
  <bookViews>
    <workbookView xWindow="-110" yWindow="-110" windowWidth="19420" windowHeight="11020" activeTab="4" xr2:uid="{00000000-000D-0000-FFFF-FFFF00000000}"/>
  </bookViews>
  <sheets>
    <sheet name="Raw_Data" sheetId="1" r:id="rId1"/>
    <sheet name="Project_Blueprint" sheetId="2" r:id="rId2"/>
    <sheet name="Pivot_Calculations" sheetId="3" r:id="rId3"/>
    <sheet name="Dashboard" sheetId="5" r:id="rId4"/>
    <sheet name="Insights_Notes" sheetId="6" r:id="rId5"/>
  </sheets>
  <definedNames>
    <definedName name="_xlnm._FilterDatabase" localSheetId="0" hidden="1">Raw_Data!$L$1:$L$2001</definedName>
    <definedName name="Slicer_Delay_Issue_Type">#N/A</definedName>
    <definedName name="Slicer_Handling_Hub">#N/A</definedName>
    <definedName name="Slicer_Region">#N/A</definedName>
    <definedName name="Slicer_Shipment_Type">#N/A</definedName>
  </definedNames>
  <calcPr calcId="191029"/>
  <pivotCaches>
    <pivotCache cacheId="0" r:id="rId6"/>
    <pivotCache cacheId="1" r:id="rId7"/>
  </pivotCaches>
  <extLst>
    <ext xmlns:x14="http://schemas.microsoft.com/office/spreadsheetml/2009/9/main" uri="{BBE1A952-AA13-448e-AADC-164F8A28A991}">
      <x14:slicerCaches>
        <x14:slicerCache r:id="rId8"/>
        <x14:slicerCache r:id="rId9"/>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W3" i="1" l="1"/>
  <c r="W4" i="1"/>
  <c r="W5" i="1"/>
  <c r="W6" i="1"/>
  <c r="W7" i="1"/>
  <c r="W8" i="1"/>
  <c r="W9" i="1"/>
  <c r="W10" i="1"/>
  <c r="W11" i="1"/>
  <c r="W12" i="1"/>
  <c r="W13" i="1"/>
  <c r="W14" i="1"/>
  <c r="W15" i="1"/>
  <c r="W16" i="1"/>
  <c r="W17" i="1"/>
  <c r="W18" i="1"/>
  <c r="W19" i="1"/>
  <c r="W20" i="1"/>
  <c r="W21" i="1"/>
  <c r="W22" i="1"/>
  <c r="W23" i="1"/>
  <c r="W24" i="1"/>
  <c r="W25" i="1"/>
  <c r="W26" i="1"/>
  <c r="W27" i="1"/>
  <c r="W28" i="1"/>
  <c r="W29" i="1"/>
  <c r="W30" i="1"/>
  <c r="W31" i="1"/>
  <c r="W32" i="1"/>
  <c r="W33" i="1"/>
  <c r="W34" i="1"/>
  <c r="W35" i="1"/>
  <c r="W36" i="1"/>
  <c r="W37" i="1"/>
  <c r="W38" i="1"/>
  <c r="W39" i="1"/>
  <c r="W40" i="1"/>
  <c r="W41" i="1"/>
  <c r="W42" i="1"/>
  <c r="W43" i="1"/>
  <c r="W44" i="1"/>
  <c r="W45" i="1"/>
  <c r="W46" i="1"/>
  <c r="W47" i="1"/>
  <c r="W48" i="1"/>
  <c r="W49" i="1"/>
  <c r="W50" i="1"/>
  <c r="W51" i="1"/>
  <c r="W52" i="1"/>
  <c r="W53" i="1"/>
  <c r="W54" i="1"/>
  <c r="W55" i="1"/>
  <c r="W56" i="1"/>
  <c r="W57" i="1"/>
  <c r="W58" i="1"/>
  <c r="W59" i="1"/>
  <c r="W60" i="1"/>
  <c r="W61" i="1"/>
  <c r="W62" i="1"/>
  <c r="W63" i="1"/>
  <c r="W64" i="1"/>
  <c r="W65" i="1"/>
  <c r="W66" i="1"/>
  <c r="W67" i="1"/>
  <c r="W68" i="1"/>
  <c r="W69" i="1"/>
  <c r="W70" i="1"/>
  <c r="W71" i="1"/>
  <c r="W72" i="1"/>
  <c r="W73" i="1"/>
  <c r="W74" i="1"/>
  <c r="W75" i="1"/>
  <c r="W76" i="1"/>
  <c r="W77" i="1"/>
  <c r="W78" i="1"/>
  <c r="W79" i="1"/>
  <c r="W80" i="1"/>
  <c r="W81" i="1"/>
  <c r="W82" i="1"/>
  <c r="W83" i="1"/>
  <c r="W84" i="1"/>
  <c r="W85" i="1"/>
  <c r="W86" i="1"/>
  <c r="W87" i="1"/>
  <c r="W88" i="1"/>
  <c r="W89" i="1"/>
  <c r="W90" i="1"/>
  <c r="W91" i="1"/>
  <c r="W92" i="1"/>
  <c r="W93" i="1"/>
  <c r="W94" i="1"/>
  <c r="W95" i="1"/>
  <c r="W96" i="1"/>
  <c r="W97" i="1"/>
  <c r="W98" i="1"/>
  <c r="W99" i="1"/>
  <c r="W100" i="1"/>
  <c r="W101" i="1"/>
  <c r="W102" i="1"/>
  <c r="W103" i="1"/>
  <c r="W104" i="1"/>
  <c r="W105" i="1"/>
  <c r="W106" i="1"/>
  <c r="W107" i="1"/>
  <c r="W108" i="1"/>
  <c r="W109" i="1"/>
  <c r="W110" i="1"/>
  <c r="W111" i="1"/>
  <c r="W112" i="1"/>
  <c r="W113" i="1"/>
  <c r="W114" i="1"/>
  <c r="W115" i="1"/>
  <c r="W116" i="1"/>
  <c r="W117" i="1"/>
  <c r="W118" i="1"/>
  <c r="W119" i="1"/>
  <c r="W120" i="1"/>
  <c r="W121" i="1"/>
  <c r="W122" i="1"/>
  <c r="W123" i="1"/>
  <c r="W124" i="1"/>
  <c r="W125" i="1"/>
  <c r="W126" i="1"/>
  <c r="W127" i="1"/>
  <c r="W128" i="1"/>
  <c r="W129" i="1"/>
  <c r="W130" i="1"/>
  <c r="W131" i="1"/>
  <c r="W132" i="1"/>
  <c r="W133" i="1"/>
  <c r="W134" i="1"/>
  <c r="W135" i="1"/>
  <c r="W136" i="1"/>
  <c r="W137" i="1"/>
  <c r="W138" i="1"/>
  <c r="W139" i="1"/>
  <c r="W140" i="1"/>
  <c r="W141" i="1"/>
  <c r="W142" i="1"/>
  <c r="W143" i="1"/>
  <c r="W144" i="1"/>
  <c r="W145" i="1"/>
  <c r="W146" i="1"/>
  <c r="W147" i="1"/>
  <c r="W148" i="1"/>
  <c r="W149" i="1"/>
  <c r="W150" i="1"/>
  <c r="W151" i="1"/>
  <c r="W152" i="1"/>
  <c r="W153" i="1"/>
  <c r="W154" i="1"/>
  <c r="W155" i="1"/>
  <c r="W156" i="1"/>
  <c r="W157" i="1"/>
  <c r="W158" i="1"/>
  <c r="W159" i="1"/>
  <c r="W160" i="1"/>
  <c r="W161" i="1"/>
  <c r="W162" i="1"/>
  <c r="W163" i="1"/>
  <c r="W164" i="1"/>
  <c r="W165" i="1"/>
  <c r="W166" i="1"/>
  <c r="W167" i="1"/>
  <c r="W168" i="1"/>
  <c r="W169" i="1"/>
  <c r="W170" i="1"/>
  <c r="W171" i="1"/>
  <c r="W172" i="1"/>
  <c r="W173" i="1"/>
  <c r="W174" i="1"/>
  <c r="W175" i="1"/>
  <c r="W176" i="1"/>
  <c r="W177" i="1"/>
  <c r="W178" i="1"/>
  <c r="W179" i="1"/>
  <c r="W180" i="1"/>
  <c r="W181" i="1"/>
  <c r="W182" i="1"/>
  <c r="W183" i="1"/>
  <c r="W184" i="1"/>
  <c r="W185" i="1"/>
  <c r="W186" i="1"/>
  <c r="W187" i="1"/>
  <c r="W188" i="1"/>
  <c r="W189" i="1"/>
  <c r="W190" i="1"/>
  <c r="W191" i="1"/>
  <c r="W192" i="1"/>
  <c r="W193" i="1"/>
  <c r="W194" i="1"/>
  <c r="W195" i="1"/>
  <c r="W196" i="1"/>
  <c r="W197" i="1"/>
  <c r="W198" i="1"/>
  <c r="W199" i="1"/>
  <c r="W200" i="1"/>
  <c r="W201" i="1"/>
  <c r="W202" i="1"/>
  <c r="W203" i="1"/>
  <c r="W204" i="1"/>
  <c r="W205" i="1"/>
  <c r="W206" i="1"/>
  <c r="W207" i="1"/>
  <c r="W208" i="1"/>
  <c r="W209" i="1"/>
  <c r="W210" i="1"/>
  <c r="W211" i="1"/>
  <c r="W212" i="1"/>
  <c r="W213" i="1"/>
  <c r="W214" i="1"/>
  <c r="W215" i="1"/>
  <c r="W216" i="1"/>
  <c r="W217" i="1"/>
  <c r="W218" i="1"/>
  <c r="W219" i="1"/>
  <c r="W220" i="1"/>
  <c r="W221" i="1"/>
  <c r="W222" i="1"/>
  <c r="W223" i="1"/>
  <c r="W224" i="1"/>
  <c r="W225" i="1"/>
  <c r="W226" i="1"/>
  <c r="W227" i="1"/>
  <c r="W228" i="1"/>
  <c r="W229" i="1"/>
  <c r="W230" i="1"/>
  <c r="W231" i="1"/>
  <c r="W232" i="1"/>
  <c r="W233" i="1"/>
  <c r="W234" i="1"/>
  <c r="W235" i="1"/>
  <c r="W236" i="1"/>
  <c r="W237" i="1"/>
  <c r="W238" i="1"/>
  <c r="W239" i="1"/>
  <c r="W240" i="1"/>
  <c r="W241" i="1"/>
  <c r="W242" i="1"/>
  <c r="W243" i="1"/>
  <c r="W244" i="1"/>
  <c r="W245" i="1"/>
  <c r="W246" i="1"/>
  <c r="W247" i="1"/>
  <c r="W248" i="1"/>
  <c r="W249" i="1"/>
  <c r="W250" i="1"/>
  <c r="W251" i="1"/>
  <c r="W252" i="1"/>
  <c r="W253" i="1"/>
  <c r="W254" i="1"/>
  <c r="W255" i="1"/>
  <c r="W256" i="1"/>
  <c r="W257" i="1"/>
  <c r="W258" i="1"/>
  <c r="W259" i="1"/>
  <c r="W260" i="1"/>
  <c r="W261" i="1"/>
  <c r="W262" i="1"/>
  <c r="W263" i="1"/>
  <c r="W264" i="1"/>
  <c r="W265" i="1"/>
  <c r="W266" i="1"/>
  <c r="W267" i="1"/>
  <c r="W268" i="1"/>
  <c r="W269" i="1"/>
  <c r="W270" i="1"/>
  <c r="W271" i="1"/>
  <c r="W272" i="1"/>
  <c r="W273" i="1"/>
  <c r="W274" i="1"/>
  <c r="W275" i="1"/>
  <c r="W276" i="1"/>
  <c r="W277" i="1"/>
  <c r="W278" i="1"/>
  <c r="W279" i="1"/>
  <c r="W280" i="1"/>
  <c r="W281" i="1"/>
  <c r="W282" i="1"/>
  <c r="W283" i="1"/>
  <c r="W284" i="1"/>
  <c r="W285" i="1"/>
  <c r="W286" i="1"/>
  <c r="W287" i="1"/>
  <c r="W288" i="1"/>
  <c r="W289" i="1"/>
  <c r="W290" i="1"/>
  <c r="W291" i="1"/>
  <c r="W292" i="1"/>
  <c r="W293" i="1"/>
  <c r="W294" i="1"/>
  <c r="W295" i="1"/>
  <c r="W296" i="1"/>
  <c r="W297" i="1"/>
  <c r="W298" i="1"/>
  <c r="W299" i="1"/>
  <c r="W300" i="1"/>
  <c r="W301" i="1"/>
  <c r="W302" i="1"/>
  <c r="W303" i="1"/>
  <c r="W304" i="1"/>
  <c r="W305" i="1"/>
  <c r="W306" i="1"/>
  <c r="W307" i="1"/>
  <c r="W308" i="1"/>
  <c r="W309" i="1"/>
  <c r="W310" i="1"/>
  <c r="W311" i="1"/>
  <c r="W312" i="1"/>
  <c r="W313" i="1"/>
  <c r="W314" i="1"/>
  <c r="W315" i="1"/>
  <c r="W316" i="1"/>
  <c r="W317" i="1"/>
  <c r="W318" i="1"/>
  <c r="W319" i="1"/>
  <c r="W320" i="1"/>
  <c r="W321" i="1"/>
  <c r="W322" i="1"/>
  <c r="W323" i="1"/>
  <c r="W324" i="1"/>
  <c r="W325" i="1"/>
  <c r="W326" i="1"/>
  <c r="W327" i="1"/>
  <c r="W328" i="1"/>
  <c r="W329" i="1"/>
  <c r="W330" i="1"/>
  <c r="W331" i="1"/>
  <c r="W332" i="1"/>
  <c r="W333" i="1"/>
  <c r="W334" i="1"/>
  <c r="W335" i="1"/>
  <c r="W336" i="1"/>
  <c r="W337" i="1"/>
  <c r="W338" i="1"/>
  <c r="W339" i="1"/>
  <c r="W340" i="1"/>
  <c r="W341" i="1"/>
  <c r="W342" i="1"/>
  <c r="W343" i="1"/>
  <c r="W344" i="1"/>
  <c r="W345" i="1"/>
  <c r="W346" i="1"/>
  <c r="W347" i="1"/>
  <c r="W348" i="1"/>
  <c r="W349" i="1"/>
  <c r="W350" i="1"/>
  <c r="W351" i="1"/>
  <c r="W352" i="1"/>
  <c r="W353" i="1"/>
  <c r="W354" i="1"/>
  <c r="W355" i="1"/>
  <c r="W356" i="1"/>
  <c r="W357" i="1"/>
  <c r="W358" i="1"/>
  <c r="W359" i="1"/>
  <c r="W360" i="1"/>
  <c r="W361" i="1"/>
  <c r="W362" i="1"/>
  <c r="W363" i="1"/>
  <c r="W364" i="1"/>
  <c r="W365" i="1"/>
  <c r="W366" i="1"/>
  <c r="W367" i="1"/>
  <c r="W368" i="1"/>
  <c r="W369" i="1"/>
  <c r="W370" i="1"/>
  <c r="W371" i="1"/>
  <c r="W372" i="1"/>
  <c r="W373" i="1"/>
  <c r="W374" i="1"/>
  <c r="W375" i="1"/>
  <c r="W376" i="1"/>
  <c r="W377" i="1"/>
  <c r="W378" i="1"/>
  <c r="W379" i="1"/>
  <c r="W380" i="1"/>
  <c r="W381" i="1"/>
  <c r="W382" i="1"/>
  <c r="W383" i="1"/>
  <c r="W384" i="1"/>
  <c r="W385" i="1"/>
  <c r="W386" i="1"/>
  <c r="W387" i="1"/>
  <c r="W388" i="1"/>
  <c r="W389" i="1"/>
  <c r="W390" i="1"/>
  <c r="W391" i="1"/>
  <c r="W392" i="1"/>
  <c r="W393" i="1"/>
  <c r="W394" i="1"/>
  <c r="W395" i="1"/>
  <c r="W396" i="1"/>
  <c r="W397" i="1"/>
  <c r="W398" i="1"/>
  <c r="W399" i="1"/>
  <c r="W400" i="1"/>
  <c r="W401" i="1"/>
  <c r="W402" i="1"/>
  <c r="W403" i="1"/>
  <c r="W404" i="1"/>
  <c r="W405" i="1"/>
  <c r="W406" i="1"/>
  <c r="W407" i="1"/>
  <c r="W408" i="1"/>
  <c r="W409" i="1"/>
  <c r="W410" i="1"/>
  <c r="W411" i="1"/>
  <c r="W412" i="1"/>
  <c r="W413" i="1"/>
  <c r="W414" i="1"/>
  <c r="W415" i="1"/>
  <c r="W416" i="1"/>
  <c r="W417" i="1"/>
  <c r="W418" i="1"/>
  <c r="W419" i="1"/>
  <c r="W420" i="1"/>
  <c r="W421" i="1"/>
  <c r="W422" i="1"/>
  <c r="W423" i="1"/>
  <c r="W424" i="1"/>
  <c r="W425" i="1"/>
  <c r="W426" i="1"/>
  <c r="W427" i="1"/>
  <c r="W428" i="1"/>
  <c r="W429" i="1"/>
  <c r="W430" i="1"/>
  <c r="W431" i="1"/>
  <c r="W432" i="1"/>
  <c r="W433" i="1"/>
  <c r="W434" i="1"/>
  <c r="W435" i="1"/>
  <c r="W436" i="1"/>
  <c r="W437" i="1"/>
  <c r="W438" i="1"/>
  <c r="W439" i="1"/>
  <c r="W440" i="1"/>
  <c r="W441" i="1"/>
  <c r="W442" i="1"/>
  <c r="W443" i="1"/>
  <c r="W444" i="1"/>
  <c r="W445" i="1"/>
  <c r="W446" i="1"/>
  <c r="W447" i="1"/>
  <c r="W448" i="1"/>
  <c r="W449" i="1"/>
  <c r="W450" i="1"/>
  <c r="W451" i="1"/>
  <c r="W452" i="1"/>
  <c r="W453" i="1"/>
  <c r="W454" i="1"/>
  <c r="W455" i="1"/>
  <c r="W456" i="1"/>
  <c r="W457" i="1"/>
  <c r="W458" i="1"/>
  <c r="W459" i="1"/>
  <c r="W460" i="1"/>
  <c r="W461" i="1"/>
  <c r="W462" i="1"/>
  <c r="W463" i="1"/>
  <c r="W464" i="1"/>
  <c r="W465" i="1"/>
  <c r="W466" i="1"/>
  <c r="W467" i="1"/>
  <c r="W468" i="1"/>
  <c r="W469" i="1"/>
  <c r="W470" i="1"/>
  <c r="W471" i="1"/>
  <c r="W472" i="1"/>
  <c r="W473" i="1"/>
  <c r="W474" i="1"/>
  <c r="W475" i="1"/>
  <c r="W476" i="1"/>
  <c r="W477" i="1"/>
  <c r="W478" i="1"/>
  <c r="W479" i="1"/>
  <c r="W480" i="1"/>
  <c r="W481" i="1"/>
  <c r="W482" i="1"/>
  <c r="W483" i="1"/>
  <c r="W484" i="1"/>
  <c r="W485" i="1"/>
  <c r="W486" i="1"/>
  <c r="W487" i="1"/>
  <c r="W488" i="1"/>
  <c r="W489" i="1"/>
  <c r="W490" i="1"/>
  <c r="W491" i="1"/>
  <c r="W492" i="1"/>
  <c r="W493" i="1"/>
  <c r="W494" i="1"/>
  <c r="W495" i="1"/>
  <c r="W496" i="1"/>
  <c r="W497" i="1"/>
  <c r="W498" i="1"/>
  <c r="W499" i="1"/>
  <c r="W500" i="1"/>
  <c r="W501" i="1"/>
  <c r="W502" i="1"/>
  <c r="W503" i="1"/>
  <c r="W504" i="1"/>
  <c r="W505" i="1"/>
  <c r="W506" i="1"/>
  <c r="W507" i="1"/>
  <c r="W508" i="1"/>
  <c r="W509" i="1"/>
  <c r="W510" i="1"/>
  <c r="W511" i="1"/>
  <c r="W512" i="1"/>
  <c r="W513" i="1"/>
  <c r="W514" i="1"/>
  <c r="W515" i="1"/>
  <c r="W516" i="1"/>
  <c r="W517" i="1"/>
  <c r="W518" i="1"/>
  <c r="W519" i="1"/>
  <c r="W520" i="1"/>
  <c r="W521" i="1"/>
  <c r="W522" i="1"/>
  <c r="W523" i="1"/>
  <c r="W524" i="1"/>
  <c r="W525" i="1"/>
  <c r="W526" i="1"/>
  <c r="W527" i="1"/>
  <c r="W528" i="1"/>
  <c r="W529" i="1"/>
  <c r="W530" i="1"/>
  <c r="W531" i="1"/>
  <c r="W532" i="1"/>
  <c r="W533" i="1"/>
  <c r="W534" i="1"/>
  <c r="W535" i="1"/>
  <c r="W536" i="1"/>
  <c r="W537" i="1"/>
  <c r="W538" i="1"/>
  <c r="W539" i="1"/>
  <c r="W540" i="1"/>
  <c r="W541" i="1"/>
  <c r="W542" i="1"/>
  <c r="W543" i="1"/>
  <c r="W544" i="1"/>
  <c r="W545" i="1"/>
  <c r="W546" i="1"/>
  <c r="W547" i="1"/>
  <c r="W548" i="1"/>
  <c r="W549" i="1"/>
  <c r="W550" i="1"/>
  <c r="W551" i="1"/>
  <c r="W552" i="1"/>
  <c r="W553" i="1"/>
  <c r="W554" i="1"/>
  <c r="W555" i="1"/>
  <c r="W556" i="1"/>
  <c r="W557" i="1"/>
  <c r="W558" i="1"/>
  <c r="W559" i="1"/>
  <c r="W560" i="1"/>
  <c r="W561" i="1"/>
  <c r="W562" i="1"/>
  <c r="W563" i="1"/>
  <c r="W564" i="1"/>
  <c r="W565" i="1"/>
  <c r="W566" i="1"/>
  <c r="W567" i="1"/>
  <c r="W568" i="1"/>
  <c r="W569" i="1"/>
  <c r="W570" i="1"/>
  <c r="W571" i="1"/>
  <c r="W572" i="1"/>
  <c r="W573" i="1"/>
  <c r="W574" i="1"/>
  <c r="W575" i="1"/>
  <c r="W576" i="1"/>
  <c r="W577" i="1"/>
  <c r="W578" i="1"/>
  <c r="W579" i="1"/>
  <c r="W580" i="1"/>
  <c r="W581" i="1"/>
  <c r="W582" i="1"/>
  <c r="W583" i="1"/>
  <c r="W584" i="1"/>
  <c r="W585" i="1"/>
  <c r="W586" i="1"/>
  <c r="W587" i="1"/>
  <c r="W588" i="1"/>
  <c r="W589" i="1"/>
  <c r="W590" i="1"/>
  <c r="W591" i="1"/>
  <c r="W592" i="1"/>
  <c r="W593" i="1"/>
  <c r="W594" i="1"/>
  <c r="W595" i="1"/>
  <c r="W596" i="1"/>
  <c r="W597" i="1"/>
  <c r="W598" i="1"/>
  <c r="W599" i="1"/>
  <c r="W600" i="1"/>
  <c r="W601" i="1"/>
  <c r="W602" i="1"/>
  <c r="W603" i="1"/>
  <c r="W604" i="1"/>
  <c r="W605" i="1"/>
  <c r="W606" i="1"/>
  <c r="W607" i="1"/>
  <c r="W608" i="1"/>
  <c r="W609" i="1"/>
  <c r="W610" i="1"/>
  <c r="W611" i="1"/>
  <c r="W612" i="1"/>
  <c r="W613" i="1"/>
  <c r="W614" i="1"/>
  <c r="W615" i="1"/>
  <c r="W616" i="1"/>
  <c r="W617" i="1"/>
  <c r="W618" i="1"/>
  <c r="W619" i="1"/>
  <c r="W620" i="1"/>
  <c r="W621" i="1"/>
  <c r="W622" i="1"/>
  <c r="W623" i="1"/>
  <c r="W624" i="1"/>
  <c r="W625" i="1"/>
  <c r="W626" i="1"/>
  <c r="W627" i="1"/>
  <c r="W628" i="1"/>
  <c r="W629" i="1"/>
  <c r="W630" i="1"/>
  <c r="W631" i="1"/>
  <c r="W632" i="1"/>
  <c r="W633" i="1"/>
  <c r="W634" i="1"/>
  <c r="W635" i="1"/>
  <c r="W636" i="1"/>
  <c r="W637" i="1"/>
  <c r="W638" i="1"/>
  <c r="W639" i="1"/>
  <c r="W640" i="1"/>
  <c r="W641" i="1"/>
  <c r="W642" i="1"/>
  <c r="W643" i="1"/>
  <c r="W644" i="1"/>
  <c r="W645" i="1"/>
  <c r="W646" i="1"/>
  <c r="W647" i="1"/>
  <c r="W648" i="1"/>
  <c r="W649" i="1"/>
  <c r="W650" i="1"/>
  <c r="W651" i="1"/>
  <c r="W652" i="1"/>
  <c r="W653" i="1"/>
  <c r="W654" i="1"/>
  <c r="W655" i="1"/>
  <c r="W656" i="1"/>
  <c r="W657" i="1"/>
  <c r="W658" i="1"/>
  <c r="W659" i="1"/>
  <c r="W660" i="1"/>
  <c r="W661" i="1"/>
  <c r="W662" i="1"/>
  <c r="W663" i="1"/>
  <c r="W664" i="1"/>
  <c r="W665" i="1"/>
  <c r="W666" i="1"/>
  <c r="W667" i="1"/>
  <c r="W668" i="1"/>
  <c r="W669" i="1"/>
  <c r="W670" i="1"/>
  <c r="W671" i="1"/>
  <c r="W672" i="1"/>
  <c r="W673" i="1"/>
  <c r="W674" i="1"/>
  <c r="W675" i="1"/>
  <c r="W676" i="1"/>
  <c r="W677" i="1"/>
  <c r="W678" i="1"/>
  <c r="W679" i="1"/>
  <c r="W680" i="1"/>
  <c r="W681" i="1"/>
  <c r="W682" i="1"/>
  <c r="W683" i="1"/>
  <c r="W684" i="1"/>
  <c r="W685" i="1"/>
  <c r="W686" i="1"/>
  <c r="W687" i="1"/>
  <c r="W688" i="1"/>
  <c r="W689" i="1"/>
  <c r="W690" i="1"/>
  <c r="W691" i="1"/>
  <c r="W692" i="1"/>
  <c r="W693" i="1"/>
  <c r="W694" i="1"/>
  <c r="W695" i="1"/>
  <c r="W696" i="1"/>
  <c r="W697" i="1"/>
  <c r="W698" i="1"/>
  <c r="W699" i="1"/>
  <c r="W700" i="1"/>
  <c r="W701" i="1"/>
  <c r="W702" i="1"/>
  <c r="W703" i="1"/>
  <c r="W704" i="1"/>
  <c r="W705" i="1"/>
  <c r="W706" i="1"/>
  <c r="W707" i="1"/>
  <c r="W708" i="1"/>
  <c r="W709" i="1"/>
  <c r="W710" i="1"/>
  <c r="W711" i="1"/>
  <c r="W712" i="1"/>
  <c r="W713" i="1"/>
  <c r="W714" i="1"/>
  <c r="W715" i="1"/>
  <c r="W716" i="1"/>
  <c r="W717" i="1"/>
  <c r="W718" i="1"/>
  <c r="W719" i="1"/>
  <c r="W720" i="1"/>
  <c r="W721" i="1"/>
  <c r="W722" i="1"/>
  <c r="W723" i="1"/>
  <c r="W724" i="1"/>
  <c r="W725" i="1"/>
  <c r="W726" i="1"/>
  <c r="W727" i="1"/>
  <c r="W728" i="1"/>
  <c r="W729" i="1"/>
  <c r="W730" i="1"/>
  <c r="W731" i="1"/>
  <c r="W732" i="1"/>
  <c r="W733" i="1"/>
  <c r="W734" i="1"/>
  <c r="W735" i="1"/>
  <c r="W736" i="1"/>
  <c r="W737" i="1"/>
  <c r="W738" i="1"/>
  <c r="W739" i="1"/>
  <c r="W740" i="1"/>
  <c r="W741" i="1"/>
  <c r="W742" i="1"/>
  <c r="W743" i="1"/>
  <c r="W744" i="1"/>
  <c r="W745" i="1"/>
  <c r="W746" i="1"/>
  <c r="W747" i="1"/>
  <c r="W748" i="1"/>
  <c r="W749" i="1"/>
  <c r="W750" i="1"/>
  <c r="W751" i="1"/>
  <c r="W752" i="1"/>
  <c r="W753" i="1"/>
  <c r="W754" i="1"/>
  <c r="W755" i="1"/>
  <c r="W756" i="1"/>
  <c r="W757" i="1"/>
  <c r="W758" i="1"/>
  <c r="W759" i="1"/>
  <c r="W760" i="1"/>
  <c r="W761" i="1"/>
  <c r="W762" i="1"/>
  <c r="W763" i="1"/>
  <c r="W764" i="1"/>
  <c r="W765" i="1"/>
  <c r="W766" i="1"/>
  <c r="W767" i="1"/>
  <c r="W768" i="1"/>
  <c r="W769" i="1"/>
  <c r="W770" i="1"/>
  <c r="W771" i="1"/>
  <c r="W772" i="1"/>
  <c r="W773" i="1"/>
  <c r="W774" i="1"/>
  <c r="W775" i="1"/>
  <c r="W776" i="1"/>
  <c r="W777" i="1"/>
  <c r="W778" i="1"/>
  <c r="W779" i="1"/>
  <c r="W780" i="1"/>
  <c r="W781" i="1"/>
  <c r="W782" i="1"/>
  <c r="W783" i="1"/>
  <c r="W784" i="1"/>
  <c r="W785" i="1"/>
  <c r="W786" i="1"/>
  <c r="W787" i="1"/>
  <c r="W788" i="1"/>
  <c r="W789" i="1"/>
  <c r="W790" i="1"/>
  <c r="W791" i="1"/>
  <c r="W792" i="1"/>
  <c r="W793" i="1"/>
  <c r="W794" i="1"/>
  <c r="W795" i="1"/>
  <c r="W796" i="1"/>
  <c r="W797" i="1"/>
  <c r="W798" i="1"/>
  <c r="W799" i="1"/>
  <c r="W800" i="1"/>
  <c r="W801" i="1"/>
  <c r="W802" i="1"/>
  <c r="W803" i="1"/>
  <c r="W804" i="1"/>
  <c r="W805" i="1"/>
  <c r="W806" i="1"/>
  <c r="W807" i="1"/>
  <c r="W808" i="1"/>
  <c r="W809" i="1"/>
  <c r="W810" i="1"/>
  <c r="W811" i="1"/>
  <c r="W812" i="1"/>
  <c r="W813" i="1"/>
  <c r="W814" i="1"/>
  <c r="W815" i="1"/>
  <c r="W816" i="1"/>
  <c r="W817" i="1"/>
  <c r="W818" i="1"/>
  <c r="W819" i="1"/>
  <c r="W820" i="1"/>
  <c r="W821" i="1"/>
  <c r="W822" i="1"/>
  <c r="W823" i="1"/>
  <c r="W824" i="1"/>
  <c r="W825" i="1"/>
  <c r="W826" i="1"/>
  <c r="W827" i="1"/>
  <c r="W828" i="1"/>
  <c r="W829" i="1"/>
  <c r="W830" i="1"/>
  <c r="W831" i="1"/>
  <c r="W832" i="1"/>
  <c r="W833" i="1"/>
  <c r="W834" i="1"/>
  <c r="W835" i="1"/>
  <c r="W836" i="1"/>
  <c r="W837" i="1"/>
  <c r="W838" i="1"/>
  <c r="W839" i="1"/>
  <c r="W840" i="1"/>
  <c r="W841" i="1"/>
  <c r="W842" i="1"/>
  <c r="W843" i="1"/>
  <c r="W844" i="1"/>
  <c r="W845" i="1"/>
  <c r="W846" i="1"/>
  <c r="W847" i="1"/>
  <c r="W848" i="1"/>
  <c r="W849" i="1"/>
  <c r="W850" i="1"/>
  <c r="W851" i="1"/>
  <c r="W852" i="1"/>
  <c r="W853" i="1"/>
  <c r="W854" i="1"/>
  <c r="W855" i="1"/>
  <c r="W856" i="1"/>
  <c r="W857" i="1"/>
  <c r="W858" i="1"/>
  <c r="W859" i="1"/>
  <c r="W860" i="1"/>
  <c r="W861" i="1"/>
  <c r="W862" i="1"/>
  <c r="W863" i="1"/>
  <c r="W864" i="1"/>
  <c r="W865" i="1"/>
  <c r="W866" i="1"/>
  <c r="W867" i="1"/>
  <c r="W868" i="1"/>
  <c r="W869" i="1"/>
  <c r="W870" i="1"/>
  <c r="W871" i="1"/>
  <c r="W872" i="1"/>
  <c r="W873" i="1"/>
  <c r="W874" i="1"/>
  <c r="W875" i="1"/>
  <c r="W876" i="1"/>
  <c r="W877" i="1"/>
  <c r="W878" i="1"/>
  <c r="W879" i="1"/>
  <c r="W880" i="1"/>
  <c r="W881" i="1"/>
  <c r="W882" i="1"/>
  <c r="W883" i="1"/>
  <c r="W884" i="1"/>
  <c r="W885" i="1"/>
  <c r="W886" i="1"/>
  <c r="W887" i="1"/>
  <c r="W888" i="1"/>
  <c r="W889" i="1"/>
  <c r="W890" i="1"/>
  <c r="W891" i="1"/>
  <c r="W892" i="1"/>
  <c r="W893" i="1"/>
  <c r="W894" i="1"/>
  <c r="W895" i="1"/>
  <c r="W896" i="1"/>
  <c r="W897" i="1"/>
  <c r="W898" i="1"/>
  <c r="W899" i="1"/>
  <c r="W900" i="1"/>
  <c r="W901" i="1"/>
  <c r="W902" i="1"/>
  <c r="W903" i="1"/>
  <c r="W904" i="1"/>
  <c r="W905" i="1"/>
  <c r="W906" i="1"/>
  <c r="W907" i="1"/>
  <c r="W908" i="1"/>
  <c r="W909" i="1"/>
  <c r="W910" i="1"/>
  <c r="W911" i="1"/>
  <c r="W912" i="1"/>
  <c r="W913" i="1"/>
  <c r="W914" i="1"/>
  <c r="W915" i="1"/>
  <c r="W916" i="1"/>
  <c r="W917" i="1"/>
  <c r="W918" i="1"/>
  <c r="W919" i="1"/>
  <c r="W920" i="1"/>
  <c r="W921" i="1"/>
  <c r="W922" i="1"/>
  <c r="W923" i="1"/>
  <c r="W924" i="1"/>
  <c r="W925" i="1"/>
  <c r="W926" i="1"/>
  <c r="W927" i="1"/>
  <c r="W928" i="1"/>
  <c r="W929" i="1"/>
  <c r="W930" i="1"/>
  <c r="W931" i="1"/>
  <c r="W932" i="1"/>
  <c r="W933" i="1"/>
  <c r="W934" i="1"/>
  <c r="W935" i="1"/>
  <c r="W936" i="1"/>
  <c r="W937" i="1"/>
  <c r="W938" i="1"/>
  <c r="W939" i="1"/>
  <c r="W940" i="1"/>
  <c r="W941" i="1"/>
  <c r="W942" i="1"/>
  <c r="W943" i="1"/>
  <c r="W944" i="1"/>
  <c r="W945" i="1"/>
  <c r="W946" i="1"/>
  <c r="W947" i="1"/>
  <c r="W948" i="1"/>
  <c r="W949" i="1"/>
  <c r="W950" i="1"/>
  <c r="W951" i="1"/>
  <c r="W952" i="1"/>
  <c r="W953" i="1"/>
  <c r="W954" i="1"/>
  <c r="W955" i="1"/>
  <c r="W956" i="1"/>
  <c r="W957" i="1"/>
  <c r="W958" i="1"/>
  <c r="W959" i="1"/>
  <c r="W960" i="1"/>
  <c r="W961" i="1"/>
  <c r="W962" i="1"/>
  <c r="W963" i="1"/>
  <c r="W964" i="1"/>
  <c r="W965" i="1"/>
  <c r="W966" i="1"/>
  <c r="W967" i="1"/>
  <c r="W968" i="1"/>
  <c r="W969" i="1"/>
  <c r="W970" i="1"/>
  <c r="W971" i="1"/>
  <c r="W972" i="1"/>
  <c r="W973" i="1"/>
  <c r="W974" i="1"/>
  <c r="W975" i="1"/>
  <c r="W976" i="1"/>
  <c r="W977" i="1"/>
  <c r="W978" i="1"/>
  <c r="W979" i="1"/>
  <c r="W980" i="1"/>
  <c r="W981" i="1"/>
  <c r="W982" i="1"/>
  <c r="W983" i="1"/>
  <c r="W984" i="1"/>
  <c r="W985" i="1"/>
  <c r="W986" i="1"/>
  <c r="W987" i="1"/>
  <c r="W988" i="1"/>
  <c r="W989" i="1"/>
  <c r="W990" i="1"/>
  <c r="W991" i="1"/>
  <c r="W992" i="1"/>
  <c r="W993" i="1"/>
  <c r="W994" i="1"/>
  <c r="W995" i="1"/>
  <c r="W996" i="1"/>
  <c r="W997" i="1"/>
  <c r="W998" i="1"/>
  <c r="W999" i="1"/>
  <c r="W1000" i="1"/>
  <c r="W1001" i="1"/>
  <c r="W1002" i="1"/>
  <c r="W1003" i="1"/>
  <c r="W1004" i="1"/>
  <c r="W1005" i="1"/>
  <c r="W1006" i="1"/>
  <c r="W1007" i="1"/>
  <c r="W1008" i="1"/>
  <c r="W1009" i="1"/>
  <c r="W1010" i="1"/>
  <c r="W1011" i="1"/>
  <c r="W1012" i="1"/>
  <c r="W1013" i="1"/>
  <c r="W1014" i="1"/>
  <c r="W1015" i="1"/>
  <c r="W1016" i="1"/>
  <c r="W1017" i="1"/>
  <c r="W1018" i="1"/>
  <c r="W1019" i="1"/>
  <c r="W1020" i="1"/>
  <c r="W1021" i="1"/>
  <c r="W1022" i="1"/>
  <c r="W1023" i="1"/>
  <c r="W1024" i="1"/>
  <c r="W1025" i="1"/>
  <c r="W1026" i="1"/>
  <c r="W1027" i="1"/>
  <c r="W1028" i="1"/>
  <c r="W1029" i="1"/>
  <c r="W1030" i="1"/>
  <c r="W1031" i="1"/>
  <c r="W1032" i="1"/>
  <c r="W1033" i="1"/>
  <c r="W1034" i="1"/>
  <c r="W1035" i="1"/>
  <c r="W1036" i="1"/>
  <c r="W1037" i="1"/>
  <c r="W1038" i="1"/>
  <c r="W1039" i="1"/>
  <c r="W1040" i="1"/>
  <c r="W1041" i="1"/>
  <c r="W1042" i="1"/>
  <c r="W1043" i="1"/>
  <c r="W1044" i="1"/>
  <c r="W1045" i="1"/>
  <c r="W1046" i="1"/>
  <c r="W1047" i="1"/>
  <c r="W1048" i="1"/>
  <c r="W1049" i="1"/>
  <c r="W1050" i="1"/>
  <c r="W1051" i="1"/>
  <c r="W1052" i="1"/>
  <c r="W1053" i="1"/>
  <c r="W1054" i="1"/>
  <c r="W1055" i="1"/>
  <c r="W1056" i="1"/>
  <c r="W1057" i="1"/>
  <c r="W1058" i="1"/>
  <c r="W1059" i="1"/>
  <c r="W1060" i="1"/>
  <c r="W1061" i="1"/>
  <c r="W1062" i="1"/>
  <c r="W1063" i="1"/>
  <c r="W1064" i="1"/>
  <c r="W1065" i="1"/>
  <c r="W1066" i="1"/>
  <c r="W1067" i="1"/>
  <c r="W1068" i="1"/>
  <c r="W1069" i="1"/>
  <c r="W1070" i="1"/>
  <c r="W1071" i="1"/>
  <c r="W1072" i="1"/>
  <c r="W1073" i="1"/>
  <c r="W1074" i="1"/>
  <c r="W1075" i="1"/>
  <c r="W1076" i="1"/>
  <c r="W1077" i="1"/>
  <c r="W1078" i="1"/>
  <c r="W1079" i="1"/>
  <c r="W1080" i="1"/>
  <c r="W1081" i="1"/>
  <c r="W1082" i="1"/>
  <c r="W1083" i="1"/>
  <c r="W1084" i="1"/>
  <c r="W1085" i="1"/>
  <c r="W1086" i="1"/>
  <c r="W1087" i="1"/>
  <c r="W1088" i="1"/>
  <c r="W1089" i="1"/>
  <c r="W1090" i="1"/>
  <c r="W1091" i="1"/>
  <c r="W1092" i="1"/>
  <c r="W1093" i="1"/>
  <c r="W1094" i="1"/>
  <c r="W1095" i="1"/>
  <c r="W1096" i="1"/>
  <c r="W1097" i="1"/>
  <c r="W1098" i="1"/>
  <c r="W1099" i="1"/>
  <c r="W1100" i="1"/>
  <c r="W1101" i="1"/>
  <c r="W1102" i="1"/>
  <c r="W1103" i="1"/>
  <c r="W1104" i="1"/>
  <c r="W1105" i="1"/>
  <c r="W1106" i="1"/>
  <c r="W1107" i="1"/>
  <c r="W1108" i="1"/>
  <c r="W1109" i="1"/>
  <c r="W1110" i="1"/>
  <c r="W1111" i="1"/>
  <c r="W1112" i="1"/>
  <c r="W1113" i="1"/>
  <c r="W1114" i="1"/>
  <c r="W1115" i="1"/>
  <c r="W1116" i="1"/>
  <c r="W1117" i="1"/>
  <c r="W1118" i="1"/>
  <c r="W1119" i="1"/>
  <c r="W1120" i="1"/>
  <c r="W1121" i="1"/>
  <c r="W1122" i="1"/>
  <c r="W1123" i="1"/>
  <c r="W1124" i="1"/>
  <c r="W1125" i="1"/>
  <c r="W1126" i="1"/>
  <c r="W1127" i="1"/>
  <c r="W1128" i="1"/>
  <c r="W1129" i="1"/>
  <c r="W1130" i="1"/>
  <c r="W1131" i="1"/>
  <c r="W1132" i="1"/>
  <c r="W1133" i="1"/>
  <c r="W1134" i="1"/>
  <c r="W1135" i="1"/>
  <c r="W1136" i="1"/>
  <c r="W1137" i="1"/>
  <c r="W1138" i="1"/>
  <c r="W1139" i="1"/>
  <c r="W1140" i="1"/>
  <c r="W1141" i="1"/>
  <c r="W1142" i="1"/>
  <c r="W1143" i="1"/>
  <c r="W1144" i="1"/>
  <c r="W1145" i="1"/>
  <c r="W1146" i="1"/>
  <c r="W1147" i="1"/>
  <c r="W1148" i="1"/>
  <c r="W1149" i="1"/>
  <c r="W1150" i="1"/>
  <c r="W1151" i="1"/>
  <c r="W1152" i="1"/>
  <c r="W1153" i="1"/>
  <c r="W1154" i="1"/>
  <c r="W1155" i="1"/>
  <c r="W1156" i="1"/>
  <c r="W1157" i="1"/>
  <c r="W1158" i="1"/>
  <c r="W1159" i="1"/>
  <c r="W1160" i="1"/>
  <c r="W1161" i="1"/>
  <c r="W1162" i="1"/>
  <c r="W1163" i="1"/>
  <c r="W1164" i="1"/>
  <c r="W1165" i="1"/>
  <c r="W1166" i="1"/>
  <c r="W1167" i="1"/>
  <c r="W1168" i="1"/>
  <c r="W1169" i="1"/>
  <c r="W1170" i="1"/>
  <c r="W1171" i="1"/>
  <c r="W1172" i="1"/>
  <c r="W1173" i="1"/>
  <c r="W1174" i="1"/>
  <c r="W1175" i="1"/>
  <c r="W1176" i="1"/>
  <c r="W1177" i="1"/>
  <c r="W1178" i="1"/>
  <c r="W1179" i="1"/>
  <c r="W1180" i="1"/>
  <c r="W1181" i="1"/>
  <c r="W1182" i="1"/>
  <c r="W1183" i="1"/>
  <c r="W1184" i="1"/>
  <c r="W1185" i="1"/>
  <c r="W1186" i="1"/>
  <c r="W1187" i="1"/>
  <c r="W1188" i="1"/>
  <c r="W1189" i="1"/>
  <c r="W1190" i="1"/>
  <c r="W1191" i="1"/>
  <c r="W1192" i="1"/>
  <c r="W1193" i="1"/>
  <c r="W1194" i="1"/>
  <c r="W1195" i="1"/>
  <c r="W1196" i="1"/>
  <c r="W1197" i="1"/>
  <c r="W1198" i="1"/>
  <c r="W1199" i="1"/>
  <c r="W1200" i="1"/>
  <c r="W1201" i="1"/>
  <c r="W1202" i="1"/>
  <c r="W1203" i="1"/>
  <c r="W1204" i="1"/>
  <c r="W1205" i="1"/>
  <c r="W1206" i="1"/>
  <c r="W1207" i="1"/>
  <c r="W1208" i="1"/>
  <c r="W1209" i="1"/>
  <c r="W1210" i="1"/>
  <c r="W1211" i="1"/>
  <c r="W1212" i="1"/>
  <c r="W1213" i="1"/>
  <c r="W1214" i="1"/>
  <c r="W1215" i="1"/>
  <c r="W1216" i="1"/>
  <c r="W1217" i="1"/>
  <c r="W1218" i="1"/>
  <c r="W1219" i="1"/>
  <c r="W1220" i="1"/>
  <c r="W1221" i="1"/>
  <c r="W1222" i="1"/>
  <c r="W1223" i="1"/>
  <c r="W1224" i="1"/>
  <c r="W1225" i="1"/>
  <c r="W1226" i="1"/>
  <c r="W1227" i="1"/>
  <c r="W1228" i="1"/>
  <c r="W1229" i="1"/>
  <c r="W1230" i="1"/>
  <c r="W1231" i="1"/>
  <c r="W1232" i="1"/>
  <c r="W1233" i="1"/>
  <c r="W1234" i="1"/>
  <c r="W1235" i="1"/>
  <c r="W1236" i="1"/>
  <c r="W1237" i="1"/>
  <c r="W1238" i="1"/>
  <c r="W1239" i="1"/>
  <c r="W1240" i="1"/>
  <c r="W1241" i="1"/>
  <c r="W1242" i="1"/>
  <c r="W1243" i="1"/>
  <c r="W1244" i="1"/>
  <c r="W1245" i="1"/>
  <c r="W1246" i="1"/>
  <c r="W1247" i="1"/>
  <c r="W1248" i="1"/>
  <c r="W1249" i="1"/>
  <c r="W1250" i="1"/>
  <c r="W1251" i="1"/>
  <c r="W1252" i="1"/>
  <c r="W1253" i="1"/>
  <c r="W1254" i="1"/>
  <c r="W1255" i="1"/>
  <c r="W1256" i="1"/>
  <c r="W1257" i="1"/>
  <c r="W1258" i="1"/>
  <c r="W1259" i="1"/>
  <c r="W1260" i="1"/>
  <c r="W1261" i="1"/>
  <c r="W1262" i="1"/>
  <c r="W1263" i="1"/>
  <c r="W1264" i="1"/>
  <c r="W1265" i="1"/>
  <c r="W1266" i="1"/>
  <c r="W1267" i="1"/>
  <c r="W1268" i="1"/>
  <c r="W1269" i="1"/>
  <c r="W1270" i="1"/>
  <c r="W1271" i="1"/>
  <c r="W1272" i="1"/>
  <c r="W1273" i="1"/>
  <c r="W1274" i="1"/>
  <c r="W1275" i="1"/>
  <c r="W1276" i="1"/>
  <c r="W1277" i="1"/>
  <c r="W1278" i="1"/>
  <c r="W1279" i="1"/>
  <c r="W1280" i="1"/>
  <c r="W1281" i="1"/>
  <c r="W1282" i="1"/>
  <c r="W1283" i="1"/>
  <c r="W1284" i="1"/>
  <c r="W1285" i="1"/>
  <c r="W1286" i="1"/>
  <c r="W1287" i="1"/>
  <c r="W1288" i="1"/>
  <c r="W1289" i="1"/>
  <c r="W1290" i="1"/>
  <c r="W1291" i="1"/>
  <c r="W1292" i="1"/>
  <c r="W1293" i="1"/>
  <c r="W1294" i="1"/>
  <c r="W1295" i="1"/>
  <c r="W1296" i="1"/>
  <c r="W1297" i="1"/>
  <c r="W1298" i="1"/>
  <c r="W1299" i="1"/>
  <c r="W1300" i="1"/>
  <c r="W1301" i="1"/>
  <c r="W1302" i="1"/>
  <c r="W1303" i="1"/>
  <c r="W1304" i="1"/>
  <c r="W1305" i="1"/>
  <c r="W1306" i="1"/>
  <c r="W1307" i="1"/>
  <c r="W1308" i="1"/>
  <c r="W1309" i="1"/>
  <c r="W1310" i="1"/>
  <c r="W1311" i="1"/>
  <c r="W1312" i="1"/>
  <c r="W1313" i="1"/>
  <c r="W1314" i="1"/>
  <c r="W1315" i="1"/>
  <c r="W1316" i="1"/>
  <c r="W1317" i="1"/>
  <c r="W1318" i="1"/>
  <c r="W1319" i="1"/>
  <c r="W1320" i="1"/>
  <c r="W1321" i="1"/>
  <c r="W1322" i="1"/>
  <c r="W1323" i="1"/>
  <c r="W1324" i="1"/>
  <c r="W1325" i="1"/>
  <c r="W1326" i="1"/>
  <c r="W1327" i="1"/>
  <c r="W1328" i="1"/>
  <c r="W1329" i="1"/>
  <c r="W1330" i="1"/>
  <c r="W1331" i="1"/>
  <c r="W1332" i="1"/>
  <c r="W1333" i="1"/>
  <c r="W1334" i="1"/>
  <c r="W1335" i="1"/>
  <c r="W1336" i="1"/>
  <c r="W1337" i="1"/>
  <c r="W1338" i="1"/>
  <c r="W1339" i="1"/>
  <c r="W1340" i="1"/>
  <c r="W1341" i="1"/>
  <c r="W1342" i="1"/>
  <c r="W1343" i="1"/>
  <c r="W1344" i="1"/>
  <c r="W1345" i="1"/>
  <c r="W1346" i="1"/>
  <c r="W1347" i="1"/>
  <c r="W1348" i="1"/>
  <c r="W1349" i="1"/>
  <c r="W1350" i="1"/>
  <c r="W1351" i="1"/>
  <c r="W1352" i="1"/>
  <c r="W1353" i="1"/>
  <c r="W1354" i="1"/>
  <c r="W1355" i="1"/>
  <c r="W1356" i="1"/>
  <c r="W1357" i="1"/>
  <c r="W1358" i="1"/>
  <c r="W1359" i="1"/>
  <c r="W1360" i="1"/>
  <c r="W1361" i="1"/>
  <c r="W1362" i="1"/>
  <c r="W1363" i="1"/>
  <c r="W1364" i="1"/>
  <c r="W1365" i="1"/>
  <c r="W1366" i="1"/>
  <c r="W1367" i="1"/>
  <c r="W1368" i="1"/>
  <c r="W1369" i="1"/>
  <c r="W1370" i="1"/>
  <c r="W1371" i="1"/>
  <c r="W1372" i="1"/>
  <c r="W1373" i="1"/>
  <c r="W1374" i="1"/>
  <c r="W1375" i="1"/>
  <c r="W1376" i="1"/>
  <c r="W1377" i="1"/>
  <c r="W1378" i="1"/>
  <c r="W1379" i="1"/>
  <c r="W1380" i="1"/>
  <c r="W1381" i="1"/>
  <c r="W1382" i="1"/>
  <c r="W1383" i="1"/>
  <c r="W1384" i="1"/>
  <c r="W1385" i="1"/>
  <c r="W1386" i="1"/>
  <c r="W1387" i="1"/>
  <c r="W1388" i="1"/>
  <c r="W1389" i="1"/>
  <c r="W1390" i="1"/>
  <c r="W1391" i="1"/>
  <c r="W1392" i="1"/>
  <c r="W1393" i="1"/>
  <c r="W1394" i="1"/>
  <c r="W1395" i="1"/>
  <c r="W1396" i="1"/>
  <c r="W1397" i="1"/>
  <c r="W1398" i="1"/>
  <c r="W1399" i="1"/>
  <c r="W1400" i="1"/>
  <c r="W1401" i="1"/>
  <c r="W1402" i="1"/>
  <c r="W1403" i="1"/>
  <c r="W1404" i="1"/>
  <c r="W1405" i="1"/>
  <c r="W1406" i="1"/>
  <c r="W1407" i="1"/>
  <c r="W1408" i="1"/>
  <c r="W1409" i="1"/>
  <c r="W1410" i="1"/>
  <c r="W1411" i="1"/>
  <c r="W1412" i="1"/>
  <c r="W1413" i="1"/>
  <c r="W1414" i="1"/>
  <c r="W1415" i="1"/>
  <c r="W1416" i="1"/>
  <c r="W1417" i="1"/>
  <c r="W1418" i="1"/>
  <c r="W1419" i="1"/>
  <c r="W1420" i="1"/>
  <c r="W1421" i="1"/>
  <c r="W1422" i="1"/>
  <c r="W1423" i="1"/>
  <c r="W1424" i="1"/>
  <c r="W1425" i="1"/>
  <c r="W1426" i="1"/>
  <c r="W1427" i="1"/>
  <c r="W1428" i="1"/>
  <c r="W1429" i="1"/>
  <c r="W1430" i="1"/>
  <c r="W1431" i="1"/>
  <c r="W1432" i="1"/>
  <c r="W1433" i="1"/>
  <c r="W1434" i="1"/>
  <c r="W1435" i="1"/>
  <c r="W1436" i="1"/>
  <c r="W1437" i="1"/>
  <c r="W1438" i="1"/>
  <c r="W1439" i="1"/>
  <c r="W1440" i="1"/>
  <c r="W1441" i="1"/>
  <c r="W1442" i="1"/>
  <c r="W1443" i="1"/>
  <c r="W1444" i="1"/>
  <c r="W1445" i="1"/>
  <c r="W1446" i="1"/>
  <c r="W1447" i="1"/>
  <c r="W1448" i="1"/>
  <c r="W1449" i="1"/>
  <c r="W1450" i="1"/>
  <c r="W1451" i="1"/>
  <c r="W1452" i="1"/>
  <c r="W1453" i="1"/>
  <c r="W1454" i="1"/>
  <c r="W1455" i="1"/>
  <c r="W1456" i="1"/>
  <c r="W1457" i="1"/>
  <c r="W1458" i="1"/>
  <c r="W1459" i="1"/>
  <c r="W1460" i="1"/>
  <c r="W1461" i="1"/>
  <c r="W1462" i="1"/>
  <c r="W1463" i="1"/>
  <c r="W1464" i="1"/>
  <c r="W1465" i="1"/>
  <c r="W1466" i="1"/>
  <c r="W1467" i="1"/>
  <c r="W1468" i="1"/>
  <c r="W1469" i="1"/>
  <c r="W1470" i="1"/>
  <c r="W1471" i="1"/>
  <c r="W1472" i="1"/>
  <c r="W1473" i="1"/>
  <c r="W1474" i="1"/>
  <c r="W1475" i="1"/>
  <c r="W1476" i="1"/>
  <c r="W1477" i="1"/>
  <c r="W1478" i="1"/>
  <c r="W1479" i="1"/>
  <c r="W1480" i="1"/>
  <c r="W1481" i="1"/>
  <c r="W1482" i="1"/>
  <c r="W1483" i="1"/>
  <c r="W1484" i="1"/>
  <c r="W1485" i="1"/>
  <c r="W1486" i="1"/>
  <c r="W1487" i="1"/>
  <c r="W1488" i="1"/>
  <c r="W1489" i="1"/>
  <c r="W1490" i="1"/>
  <c r="W1491" i="1"/>
  <c r="W1492" i="1"/>
  <c r="W1493" i="1"/>
  <c r="W1494" i="1"/>
  <c r="W1495" i="1"/>
  <c r="W1496" i="1"/>
  <c r="W1497" i="1"/>
  <c r="W1498" i="1"/>
  <c r="W1499" i="1"/>
  <c r="W1500" i="1"/>
  <c r="W1501" i="1"/>
  <c r="W1502" i="1"/>
  <c r="W1503" i="1"/>
  <c r="W1504" i="1"/>
  <c r="W1505" i="1"/>
  <c r="W1506" i="1"/>
  <c r="W1507" i="1"/>
  <c r="W1508" i="1"/>
  <c r="W1509" i="1"/>
  <c r="W1510" i="1"/>
  <c r="W1511" i="1"/>
  <c r="W1512" i="1"/>
  <c r="W1513" i="1"/>
  <c r="W1514" i="1"/>
  <c r="W1515" i="1"/>
  <c r="W1516" i="1"/>
  <c r="W1517" i="1"/>
  <c r="W1518" i="1"/>
  <c r="W1519" i="1"/>
  <c r="W1520" i="1"/>
  <c r="W1521" i="1"/>
  <c r="W1522" i="1"/>
  <c r="W1523" i="1"/>
  <c r="W1524" i="1"/>
  <c r="W1525" i="1"/>
  <c r="W1526" i="1"/>
  <c r="W1527" i="1"/>
  <c r="W1528" i="1"/>
  <c r="W1529" i="1"/>
  <c r="W1530" i="1"/>
  <c r="W1531" i="1"/>
  <c r="W1532" i="1"/>
  <c r="W1533" i="1"/>
  <c r="W1534" i="1"/>
  <c r="W1535" i="1"/>
  <c r="W1536" i="1"/>
  <c r="W1537" i="1"/>
  <c r="W1538" i="1"/>
  <c r="W1539" i="1"/>
  <c r="W1540" i="1"/>
  <c r="W1541" i="1"/>
  <c r="W1542" i="1"/>
  <c r="W1543" i="1"/>
  <c r="W1544" i="1"/>
  <c r="W1545" i="1"/>
  <c r="W1546" i="1"/>
  <c r="W1547" i="1"/>
  <c r="W1548" i="1"/>
  <c r="W1549" i="1"/>
  <c r="W1550" i="1"/>
  <c r="W1551" i="1"/>
  <c r="W1552" i="1"/>
  <c r="W1553" i="1"/>
  <c r="W1554" i="1"/>
  <c r="W1555" i="1"/>
  <c r="W1556" i="1"/>
  <c r="W1557" i="1"/>
  <c r="W1558" i="1"/>
  <c r="W1559" i="1"/>
  <c r="W1560" i="1"/>
  <c r="W1561" i="1"/>
  <c r="W1562" i="1"/>
  <c r="W1563" i="1"/>
  <c r="W1564" i="1"/>
  <c r="W1565" i="1"/>
  <c r="W1566" i="1"/>
  <c r="W1567" i="1"/>
  <c r="W1568" i="1"/>
  <c r="W1569" i="1"/>
  <c r="W1570" i="1"/>
  <c r="W1571" i="1"/>
  <c r="W1572" i="1"/>
  <c r="W1573" i="1"/>
  <c r="W1574" i="1"/>
  <c r="W1575" i="1"/>
  <c r="W1576" i="1"/>
  <c r="W1577" i="1"/>
  <c r="W1578" i="1"/>
  <c r="W1579" i="1"/>
  <c r="W1580" i="1"/>
  <c r="W1581" i="1"/>
  <c r="W1582" i="1"/>
  <c r="W1583" i="1"/>
  <c r="W1584" i="1"/>
  <c r="W1585" i="1"/>
  <c r="W1586" i="1"/>
  <c r="W1587" i="1"/>
  <c r="W1588" i="1"/>
  <c r="W1589" i="1"/>
  <c r="W1590" i="1"/>
  <c r="W1591" i="1"/>
  <c r="W1592" i="1"/>
  <c r="W1593" i="1"/>
  <c r="W1594" i="1"/>
  <c r="W1595" i="1"/>
  <c r="W1596" i="1"/>
  <c r="W1597" i="1"/>
  <c r="W1598" i="1"/>
  <c r="W1599" i="1"/>
  <c r="W1600" i="1"/>
  <c r="W1601" i="1"/>
  <c r="W1602" i="1"/>
  <c r="W1603" i="1"/>
  <c r="W1604" i="1"/>
  <c r="W1605" i="1"/>
  <c r="W1606" i="1"/>
  <c r="W1607" i="1"/>
  <c r="W1608" i="1"/>
  <c r="W1609" i="1"/>
  <c r="W1610" i="1"/>
  <c r="W1611" i="1"/>
  <c r="W1612" i="1"/>
  <c r="W1613" i="1"/>
  <c r="W1614" i="1"/>
  <c r="W1615" i="1"/>
  <c r="W1616" i="1"/>
  <c r="W1617" i="1"/>
  <c r="W1618" i="1"/>
  <c r="W1619" i="1"/>
  <c r="W1620" i="1"/>
  <c r="W1621" i="1"/>
  <c r="W1622" i="1"/>
  <c r="W1623" i="1"/>
  <c r="W1624" i="1"/>
  <c r="W1625" i="1"/>
  <c r="W1626" i="1"/>
  <c r="W1627" i="1"/>
  <c r="W1628" i="1"/>
  <c r="W1629" i="1"/>
  <c r="W1630" i="1"/>
  <c r="W1631" i="1"/>
  <c r="W1632" i="1"/>
  <c r="W1633" i="1"/>
  <c r="W1634" i="1"/>
  <c r="W1635" i="1"/>
  <c r="W1636" i="1"/>
  <c r="W1637" i="1"/>
  <c r="W1638" i="1"/>
  <c r="W1639" i="1"/>
  <c r="W1640" i="1"/>
  <c r="W1641" i="1"/>
  <c r="W1642" i="1"/>
  <c r="W1643" i="1"/>
  <c r="W1644" i="1"/>
  <c r="W1645" i="1"/>
  <c r="W1646" i="1"/>
  <c r="W1647" i="1"/>
  <c r="W1648" i="1"/>
  <c r="W1649" i="1"/>
  <c r="W1650" i="1"/>
  <c r="W1651" i="1"/>
  <c r="W1652" i="1"/>
  <c r="W1653" i="1"/>
  <c r="W1654" i="1"/>
  <c r="W1655" i="1"/>
  <c r="W1656" i="1"/>
  <c r="W1657" i="1"/>
  <c r="W1658" i="1"/>
  <c r="W1659" i="1"/>
  <c r="W1660" i="1"/>
  <c r="W1661" i="1"/>
  <c r="W1662" i="1"/>
  <c r="W1663" i="1"/>
  <c r="W1664" i="1"/>
  <c r="W1665" i="1"/>
  <c r="W1666" i="1"/>
  <c r="W1667" i="1"/>
  <c r="W1668" i="1"/>
  <c r="W1669" i="1"/>
  <c r="W1670" i="1"/>
  <c r="W1671" i="1"/>
  <c r="W1672" i="1"/>
  <c r="W1673" i="1"/>
  <c r="W1674" i="1"/>
  <c r="W1675" i="1"/>
  <c r="W1676" i="1"/>
  <c r="W1677" i="1"/>
  <c r="W1678" i="1"/>
  <c r="W1679" i="1"/>
  <c r="W1680" i="1"/>
  <c r="W1681" i="1"/>
  <c r="W1682" i="1"/>
  <c r="W1683" i="1"/>
  <c r="W1684" i="1"/>
  <c r="W1685" i="1"/>
  <c r="W1686" i="1"/>
  <c r="W1687" i="1"/>
  <c r="W1688" i="1"/>
  <c r="W1689" i="1"/>
  <c r="W1690" i="1"/>
  <c r="W1691" i="1"/>
  <c r="W1692" i="1"/>
  <c r="W1693" i="1"/>
  <c r="W1694" i="1"/>
  <c r="W1695" i="1"/>
  <c r="W1696" i="1"/>
  <c r="W1697" i="1"/>
  <c r="W1698" i="1"/>
  <c r="W1699" i="1"/>
  <c r="W1700" i="1"/>
  <c r="W1701" i="1"/>
  <c r="W1702" i="1"/>
  <c r="W1703" i="1"/>
  <c r="W1704" i="1"/>
  <c r="W1705" i="1"/>
  <c r="W1706" i="1"/>
  <c r="W1707" i="1"/>
  <c r="W1708" i="1"/>
  <c r="W1709" i="1"/>
  <c r="W1710" i="1"/>
  <c r="W1711" i="1"/>
  <c r="W1712" i="1"/>
  <c r="W1713" i="1"/>
  <c r="W1714" i="1"/>
  <c r="W1715" i="1"/>
  <c r="W1716" i="1"/>
  <c r="W1717" i="1"/>
  <c r="W1718" i="1"/>
  <c r="W1719" i="1"/>
  <c r="W1720" i="1"/>
  <c r="W1721" i="1"/>
  <c r="W1722" i="1"/>
  <c r="W1723" i="1"/>
  <c r="W1724" i="1"/>
  <c r="W1725" i="1"/>
  <c r="W1726" i="1"/>
  <c r="W1727" i="1"/>
  <c r="W1728" i="1"/>
  <c r="W1729" i="1"/>
  <c r="W1730" i="1"/>
  <c r="W1731" i="1"/>
  <c r="W1732" i="1"/>
  <c r="W1733" i="1"/>
  <c r="W1734" i="1"/>
  <c r="W1735" i="1"/>
  <c r="W1736" i="1"/>
  <c r="W1737" i="1"/>
  <c r="W1738" i="1"/>
  <c r="W1739" i="1"/>
  <c r="W1740" i="1"/>
  <c r="W1741" i="1"/>
  <c r="W1742" i="1"/>
  <c r="W1743" i="1"/>
  <c r="W1744" i="1"/>
  <c r="W1745" i="1"/>
  <c r="W1746" i="1"/>
  <c r="W1747" i="1"/>
  <c r="W1748" i="1"/>
  <c r="W1749" i="1"/>
  <c r="W1750" i="1"/>
  <c r="W1751" i="1"/>
  <c r="W1752" i="1"/>
  <c r="W1753" i="1"/>
  <c r="W1754" i="1"/>
  <c r="W1755" i="1"/>
  <c r="W1756" i="1"/>
  <c r="W1757" i="1"/>
  <c r="W1758" i="1"/>
  <c r="W1759" i="1"/>
  <c r="W1760" i="1"/>
  <c r="W1761" i="1"/>
  <c r="W1762" i="1"/>
  <c r="W1763" i="1"/>
  <c r="W1764" i="1"/>
  <c r="W1765" i="1"/>
  <c r="W1766" i="1"/>
  <c r="W1767" i="1"/>
  <c r="W1768" i="1"/>
  <c r="W1769" i="1"/>
  <c r="W1770" i="1"/>
  <c r="W1771" i="1"/>
  <c r="W1772" i="1"/>
  <c r="W1773" i="1"/>
  <c r="W1774" i="1"/>
  <c r="W1775" i="1"/>
  <c r="W1776" i="1"/>
  <c r="W1777" i="1"/>
  <c r="W1778" i="1"/>
  <c r="W1779" i="1"/>
  <c r="W1780" i="1"/>
  <c r="W1781" i="1"/>
  <c r="W1782" i="1"/>
  <c r="W1783" i="1"/>
  <c r="W1784" i="1"/>
  <c r="W1785" i="1"/>
  <c r="W1786" i="1"/>
  <c r="W1787" i="1"/>
  <c r="W1788" i="1"/>
  <c r="W1789" i="1"/>
  <c r="W1790" i="1"/>
  <c r="W1791" i="1"/>
  <c r="W1792" i="1"/>
  <c r="W1793" i="1"/>
  <c r="W1794" i="1"/>
  <c r="W1795" i="1"/>
  <c r="W1796" i="1"/>
  <c r="W1797" i="1"/>
  <c r="W1798" i="1"/>
  <c r="W1799" i="1"/>
  <c r="W1800" i="1"/>
  <c r="W1801" i="1"/>
  <c r="W1802" i="1"/>
  <c r="W1803" i="1"/>
  <c r="W1804" i="1"/>
  <c r="W1805" i="1"/>
  <c r="W1806" i="1"/>
  <c r="W1807" i="1"/>
  <c r="W1808" i="1"/>
  <c r="W1809" i="1"/>
  <c r="W1810" i="1"/>
  <c r="W1811" i="1"/>
  <c r="W1812" i="1"/>
  <c r="W1813" i="1"/>
  <c r="W1814" i="1"/>
  <c r="W1815" i="1"/>
  <c r="W1816" i="1"/>
  <c r="W1817" i="1"/>
  <c r="W1818" i="1"/>
  <c r="W1819" i="1"/>
  <c r="W1820" i="1"/>
  <c r="W1821" i="1"/>
  <c r="W1822" i="1"/>
  <c r="W1823" i="1"/>
  <c r="W1824" i="1"/>
  <c r="W1825" i="1"/>
  <c r="W1826" i="1"/>
  <c r="W1827" i="1"/>
  <c r="W1828" i="1"/>
  <c r="W1829" i="1"/>
  <c r="W1830" i="1"/>
  <c r="W1831" i="1"/>
  <c r="W1832" i="1"/>
  <c r="W1833" i="1"/>
  <c r="W1834" i="1"/>
  <c r="W1835" i="1"/>
  <c r="W1836" i="1"/>
  <c r="W1837" i="1"/>
  <c r="W1838" i="1"/>
  <c r="W1839" i="1"/>
  <c r="W1840" i="1"/>
  <c r="W1841" i="1"/>
  <c r="W1842" i="1"/>
  <c r="W1843" i="1"/>
  <c r="W1844" i="1"/>
  <c r="W1845" i="1"/>
  <c r="W1846" i="1"/>
  <c r="W1847" i="1"/>
  <c r="W1848" i="1"/>
  <c r="W1849" i="1"/>
  <c r="W1850" i="1"/>
  <c r="W1851" i="1"/>
  <c r="W1852" i="1"/>
  <c r="W1853" i="1"/>
  <c r="W1854" i="1"/>
  <c r="W1855" i="1"/>
  <c r="W1856" i="1"/>
  <c r="W1857" i="1"/>
  <c r="W1858" i="1"/>
  <c r="W1859" i="1"/>
  <c r="W1860" i="1"/>
  <c r="W1861" i="1"/>
  <c r="W1862" i="1"/>
  <c r="W1863" i="1"/>
  <c r="W1864" i="1"/>
  <c r="W1865" i="1"/>
  <c r="W1866" i="1"/>
  <c r="W1867" i="1"/>
  <c r="W1868" i="1"/>
  <c r="W1869" i="1"/>
  <c r="W1870" i="1"/>
  <c r="W1871" i="1"/>
  <c r="W1872" i="1"/>
  <c r="W1873" i="1"/>
  <c r="W1874" i="1"/>
  <c r="W1875" i="1"/>
  <c r="W1876" i="1"/>
  <c r="W1877" i="1"/>
  <c r="W1878" i="1"/>
  <c r="W1879" i="1"/>
  <c r="W1880" i="1"/>
  <c r="W1881" i="1"/>
  <c r="W1882" i="1"/>
  <c r="W1883" i="1"/>
  <c r="W1884" i="1"/>
  <c r="W1885" i="1"/>
  <c r="W1886" i="1"/>
  <c r="W1887" i="1"/>
  <c r="W1888" i="1"/>
  <c r="W1889" i="1"/>
  <c r="W1890" i="1"/>
  <c r="W1891" i="1"/>
  <c r="W1892" i="1"/>
  <c r="W1893" i="1"/>
  <c r="W1894" i="1"/>
  <c r="W1895" i="1"/>
  <c r="W1896" i="1"/>
  <c r="W1897" i="1"/>
  <c r="W1898" i="1"/>
  <c r="W1899" i="1"/>
  <c r="W1900" i="1"/>
  <c r="W1901" i="1"/>
  <c r="W1902" i="1"/>
  <c r="W1903" i="1"/>
  <c r="W1904" i="1"/>
  <c r="W1905" i="1"/>
  <c r="W1906" i="1"/>
  <c r="W1907" i="1"/>
  <c r="W1908" i="1"/>
  <c r="W1909" i="1"/>
  <c r="W1910" i="1"/>
  <c r="W1911" i="1"/>
  <c r="W1912" i="1"/>
  <c r="W1913" i="1"/>
  <c r="W1914" i="1"/>
  <c r="W1915" i="1"/>
  <c r="W1916" i="1"/>
  <c r="W1917" i="1"/>
  <c r="W1918" i="1"/>
  <c r="W1919" i="1"/>
  <c r="W1920" i="1"/>
  <c r="W1921" i="1"/>
  <c r="W1922" i="1"/>
  <c r="W1923" i="1"/>
  <c r="W1924" i="1"/>
  <c r="W1925" i="1"/>
  <c r="W1926" i="1"/>
  <c r="W1927" i="1"/>
  <c r="W1928" i="1"/>
  <c r="W1929" i="1"/>
  <c r="W1930" i="1"/>
  <c r="W1931" i="1"/>
  <c r="W1932" i="1"/>
  <c r="W1933" i="1"/>
  <c r="W1934" i="1"/>
  <c r="W1935" i="1"/>
  <c r="W1936" i="1"/>
  <c r="W1937" i="1"/>
  <c r="W1938" i="1"/>
  <c r="W1939" i="1"/>
  <c r="W1940" i="1"/>
  <c r="W1941" i="1"/>
  <c r="W1942" i="1"/>
  <c r="W1943" i="1"/>
  <c r="W1944" i="1"/>
  <c r="W1945" i="1"/>
  <c r="W1946" i="1"/>
  <c r="W1947" i="1"/>
  <c r="W1948" i="1"/>
  <c r="W1949" i="1"/>
  <c r="W1950" i="1"/>
  <c r="W1951" i="1"/>
  <c r="W1952" i="1"/>
  <c r="W1953" i="1"/>
  <c r="W1954" i="1"/>
  <c r="W1955" i="1"/>
  <c r="W1956" i="1"/>
  <c r="W1957" i="1"/>
  <c r="W1958" i="1"/>
  <c r="W1959" i="1"/>
  <c r="W1960" i="1"/>
  <c r="W1961" i="1"/>
  <c r="W1962" i="1"/>
  <c r="W1963" i="1"/>
  <c r="W1964" i="1"/>
  <c r="W1965" i="1"/>
  <c r="W1966" i="1"/>
  <c r="W1967" i="1"/>
  <c r="W1968" i="1"/>
  <c r="W1969" i="1"/>
  <c r="W1970" i="1"/>
  <c r="W1971" i="1"/>
  <c r="W1972" i="1"/>
  <c r="W1973" i="1"/>
  <c r="W1974" i="1"/>
  <c r="W1975" i="1"/>
  <c r="W1976" i="1"/>
  <c r="W1977" i="1"/>
  <c r="W1978" i="1"/>
  <c r="W1979" i="1"/>
  <c r="W1980" i="1"/>
  <c r="W1981" i="1"/>
  <c r="W1982" i="1"/>
  <c r="W1983" i="1"/>
  <c r="W1984" i="1"/>
  <c r="W1985" i="1"/>
  <c r="W1986" i="1"/>
  <c r="W1987" i="1"/>
  <c r="W1988" i="1"/>
  <c r="W1989" i="1"/>
  <c r="W1990" i="1"/>
  <c r="W1991" i="1"/>
  <c r="W1992" i="1"/>
  <c r="W1993" i="1"/>
  <c r="W1994" i="1"/>
  <c r="W1995" i="1"/>
  <c r="W1996" i="1"/>
  <c r="W1997" i="1"/>
  <c r="W1998" i="1"/>
  <c r="W1999" i="1"/>
  <c r="W2000" i="1"/>
  <c r="W2001" i="1"/>
  <c r="W2" i="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 r="P413" i="1"/>
  <c r="P414" i="1"/>
  <c r="P415" i="1"/>
  <c r="P416" i="1"/>
  <c r="P417" i="1"/>
  <c r="P418" i="1"/>
  <c r="P419" i="1"/>
  <c r="P420" i="1"/>
  <c r="P421" i="1"/>
  <c r="P422" i="1"/>
  <c r="P423" i="1"/>
  <c r="P424" i="1"/>
  <c r="P425" i="1"/>
  <c r="P426" i="1"/>
  <c r="P427" i="1"/>
  <c r="P428" i="1"/>
  <c r="P429" i="1"/>
  <c r="P430" i="1"/>
  <c r="P431" i="1"/>
  <c r="P432" i="1"/>
  <c r="P433" i="1"/>
  <c r="P434" i="1"/>
  <c r="P435" i="1"/>
  <c r="P436" i="1"/>
  <c r="P437" i="1"/>
  <c r="P438" i="1"/>
  <c r="P439" i="1"/>
  <c r="P440" i="1"/>
  <c r="P441" i="1"/>
  <c r="P442" i="1"/>
  <c r="P443" i="1"/>
  <c r="P444" i="1"/>
  <c r="P445" i="1"/>
  <c r="P446" i="1"/>
  <c r="P447" i="1"/>
  <c r="P448" i="1"/>
  <c r="P449" i="1"/>
  <c r="P450" i="1"/>
  <c r="P451" i="1"/>
  <c r="P452" i="1"/>
  <c r="P453" i="1"/>
  <c r="P454" i="1"/>
  <c r="P455" i="1"/>
  <c r="P456" i="1"/>
  <c r="P457" i="1"/>
  <c r="P458" i="1"/>
  <c r="P459" i="1"/>
  <c r="P460" i="1"/>
  <c r="P461" i="1"/>
  <c r="P462" i="1"/>
  <c r="P463" i="1"/>
  <c r="P464" i="1"/>
  <c r="P465" i="1"/>
  <c r="P466" i="1"/>
  <c r="P467" i="1"/>
  <c r="P468" i="1"/>
  <c r="P469" i="1"/>
  <c r="P470" i="1"/>
  <c r="P471" i="1"/>
  <c r="P472" i="1"/>
  <c r="P473" i="1"/>
  <c r="P474" i="1"/>
  <c r="P475" i="1"/>
  <c r="P476" i="1"/>
  <c r="P477" i="1"/>
  <c r="P478" i="1"/>
  <c r="P479" i="1"/>
  <c r="P480" i="1"/>
  <c r="P481" i="1"/>
  <c r="P482" i="1"/>
  <c r="P483" i="1"/>
  <c r="P484" i="1"/>
  <c r="P485" i="1"/>
  <c r="P486" i="1"/>
  <c r="P487" i="1"/>
  <c r="P488" i="1"/>
  <c r="P489" i="1"/>
  <c r="P490" i="1"/>
  <c r="P491" i="1"/>
  <c r="P492" i="1"/>
  <c r="P493" i="1"/>
  <c r="P494" i="1"/>
  <c r="P495" i="1"/>
  <c r="P496" i="1"/>
  <c r="P497" i="1"/>
  <c r="P498" i="1"/>
  <c r="P499" i="1"/>
  <c r="P500" i="1"/>
  <c r="P501" i="1"/>
  <c r="P502" i="1"/>
  <c r="P503" i="1"/>
  <c r="P504" i="1"/>
  <c r="P505" i="1"/>
  <c r="P506" i="1"/>
  <c r="P507" i="1"/>
  <c r="P508" i="1"/>
  <c r="P509" i="1"/>
  <c r="P510" i="1"/>
  <c r="P511" i="1"/>
  <c r="P512" i="1"/>
  <c r="P513" i="1"/>
  <c r="P514" i="1"/>
  <c r="P515" i="1"/>
  <c r="P516" i="1"/>
  <c r="P517" i="1"/>
  <c r="P518" i="1"/>
  <c r="P519" i="1"/>
  <c r="P520" i="1"/>
  <c r="P521" i="1"/>
  <c r="P522" i="1"/>
  <c r="P523" i="1"/>
  <c r="P524" i="1"/>
  <c r="P525" i="1"/>
  <c r="P526" i="1"/>
  <c r="P527" i="1"/>
  <c r="P528" i="1"/>
  <c r="P529" i="1"/>
  <c r="P530" i="1"/>
  <c r="P531" i="1"/>
  <c r="P532" i="1"/>
  <c r="P533" i="1"/>
  <c r="P534" i="1"/>
  <c r="P535" i="1"/>
  <c r="P536" i="1"/>
  <c r="P537" i="1"/>
  <c r="P538" i="1"/>
  <c r="P539" i="1"/>
  <c r="P540" i="1"/>
  <c r="P541" i="1"/>
  <c r="P542" i="1"/>
  <c r="P543" i="1"/>
  <c r="P544" i="1"/>
  <c r="P545" i="1"/>
  <c r="P546" i="1"/>
  <c r="P547" i="1"/>
  <c r="P548" i="1"/>
  <c r="P549" i="1"/>
  <c r="P550" i="1"/>
  <c r="P551" i="1"/>
  <c r="P552" i="1"/>
  <c r="P553" i="1"/>
  <c r="P554" i="1"/>
  <c r="P555" i="1"/>
  <c r="P556" i="1"/>
  <c r="P557" i="1"/>
  <c r="P558" i="1"/>
  <c r="P559" i="1"/>
  <c r="P560" i="1"/>
  <c r="P561" i="1"/>
  <c r="P562" i="1"/>
  <c r="P563" i="1"/>
  <c r="P564" i="1"/>
  <c r="P565" i="1"/>
  <c r="P566" i="1"/>
  <c r="P567" i="1"/>
  <c r="P568" i="1"/>
  <c r="P569" i="1"/>
  <c r="P570" i="1"/>
  <c r="P571" i="1"/>
  <c r="P572" i="1"/>
  <c r="P573" i="1"/>
  <c r="P574" i="1"/>
  <c r="P575" i="1"/>
  <c r="P576" i="1"/>
  <c r="P577" i="1"/>
  <c r="P578" i="1"/>
  <c r="P579" i="1"/>
  <c r="P580" i="1"/>
  <c r="P581" i="1"/>
  <c r="P582" i="1"/>
  <c r="P583" i="1"/>
  <c r="P584" i="1"/>
  <c r="P585" i="1"/>
  <c r="P586" i="1"/>
  <c r="P587" i="1"/>
  <c r="P588" i="1"/>
  <c r="P589" i="1"/>
  <c r="P590" i="1"/>
  <c r="P591" i="1"/>
  <c r="P592" i="1"/>
  <c r="P593" i="1"/>
  <c r="P594" i="1"/>
  <c r="P595" i="1"/>
  <c r="P596" i="1"/>
  <c r="P597" i="1"/>
  <c r="P598" i="1"/>
  <c r="P599" i="1"/>
  <c r="P600" i="1"/>
  <c r="P601" i="1"/>
  <c r="P602" i="1"/>
  <c r="P603" i="1"/>
  <c r="P604" i="1"/>
  <c r="P605" i="1"/>
  <c r="P606" i="1"/>
  <c r="P607" i="1"/>
  <c r="P608" i="1"/>
  <c r="P609" i="1"/>
  <c r="P610" i="1"/>
  <c r="P611" i="1"/>
  <c r="P612" i="1"/>
  <c r="P613" i="1"/>
  <c r="P614" i="1"/>
  <c r="P615" i="1"/>
  <c r="P616" i="1"/>
  <c r="P617" i="1"/>
  <c r="P618" i="1"/>
  <c r="P619" i="1"/>
  <c r="P620" i="1"/>
  <c r="P621" i="1"/>
  <c r="P622" i="1"/>
  <c r="P623" i="1"/>
  <c r="P624" i="1"/>
  <c r="P625" i="1"/>
  <c r="P626" i="1"/>
  <c r="P627" i="1"/>
  <c r="P628" i="1"/>
  <c r="P629" i="1"/>
  <c r="P630" i="1"/>
  <c r="P631" i="1"/>
  <c r="P632" i="1"/>
  <c r="P633" i="1"/>
  <c r="P634" i="1"/>
  <c r="P635" i="1"/>
  <c r="P636" i="1"/>
  <c r="P637" i="1"/>
  <c r="P638" i="1"/>
  <c r="P639" i="1"/>
  <c r="P640" i="1"/>
  <c r="P641" i="1"/>
  <c r="P642" i="1"/>
  <c r="P643" i="1"/>
  <c r="P644" i="1"/>
  <c r="P645" i="1"/>
  <c r="P646" i="1"/>
  <c r="P647" i="1"/>
  <c r="P648" i="1"/>
  <c r="P649" i="1"/>
  <c r="P650" i="1"/>
  <c r="P651" i="1"/>
  <c r="P652" i="1"/>
  <c r="P653" i="1"/>
  <c r="P654" i="1"/>
  <c r="P655" i="1"/>
  <c r="P656" i="1"/>
  <c r="P657" i="1"/>
  <c r="P658" i="1"/>
  <c r="P659" i="1"/>
  <c r="P660" i="1"/>
  <c r="P661" i="1"/>
  <c r="P662" i="1"/>
  <c r="P663" i="1"/>
  <c r="P664" i="1"/>
  <c r="P665" i="1"/>
  <c r="P666" i="1"/>
  <c r="P667" i="1"/>
  <c r="P668" i="1"/>
  <c r="P669" i="1"/>
  <c r="P670" i="1"/>
  <c r="P671" i="1"/>
  <c r="P672" i="1"/>
  <c r="P673" i="1"/>
  <c r="P674" i="1"/>
  <c r="P675" i="1"/>
  <c r="P676" i="1"/>
  <c r="P677" i="1"/>
  <c r="P678" i="1"/>
  <c r="P679" i="1"/>
  <c r="P680" i="1"/>
  <c r="P681" i="1"/>
  <c r="P682" i="1"/>
  <c r="P683" i="1"/>
  <c r="P684" i="1"/>
  <c r="P685" i="1"/>
  <c r="P686" i="1"/>
  <c r="P687" i="1"/>
  <c r="P688" i="1"/>
  <c r="P689" i="1"/>
  <c r="P690" i="1"/>
  <c r="P691" i="1"/>
  <c r="P692" i="1"/>
  <c r="P693" i="1"/>
  <c r="P694" i="1"/>
  <c r="P695" i="1"/>
  <c r="P696" i="1"/>
  <c r="P697" i="1"/>
  <c r="P698" i="1"/>
  <c r="P699" i="1"/>
  <c r="P700" i="1"/>
  <c r="P701" i="1"/>
  <c r="P702" i="1"/>
  <c r="P703" i="1"/>
  <c r="P704" i="1"/>
  <c r="P705" i="1"/>
  <c r="P706" i="1"/>
  <c r="P707" i="1"/>
  <c r="P708" i="1"/>
  <c r="P709" i="1"/>
  <c r="P710" i="1"/>
  <c r="P711" i="1"/>
  <c r="P712" i="1"/>
  <c r="P713" i="1"/>
  <c r="P714" i="1"/>
  <c r="P715" i="1"/>
  <c r="P716" i="1"/>
  <c r="P717" i="1"/>
  <c r="P718" i="1"/>
  <c r="P719" i="1"/>
  <c r="P720" i="1"/>
  <c r="P721" i="1"/>
  <c r="P722" i="1"/>
  <c r="P723" i="1"/>
  <c r="P724" i="1"/>
  <c r="P725" i="1"/>
  <c r="P726" i="1"/>
  <c r="P727" i="1"/>
  <c r="P728" i="1"/>
  <c r="P729" i="1"/>
  <c r="P730" i="1"/>
  <c r="P731" i="1"/>
  <c r="P732" i="1"/>
  <c r="P733" i="1"/>
  <c r="P734" i="1"/>
  <c r="P735" i="1"/>
  <c r="P736" i="1"/>
  <c r="P737" i="1"/>
  <c r="P738" i="1"/>
  <c r="P739" i="1"/>
  <c r="P740" i="1"/>
  <c r="P741" i="1"/>
  <c r="P742" i="1"/>
  <c r="P743" i="1"/>
  <c r="P744" i="1"/>
  <c r="P745" i="1"/>
  <c r="P746" i="1"/>
  <c r="P747" i="1"/>
  <c r="P748" i="1"/>
  <c r="P749" i="1"/>
  <c r="P750" i="1"/>
  <c r="P751" i="1"/>
  <c r="P752" i="1"/>
  <c r="P753" i="1"/>
  <c r="P754" i="1"/>
  <c r="P755" i="1"/>
  <c r="P756" i="1"/>
  <c r="P757" i="1"/>
  <c r="P758" i="1"/>
  <c r="P759" i="1"/>
  <c r="P760" i="1"/>
  <c r="P761" i="1"/>
  <c r="P762" i="1"/>
  <c r="P763" i="1"/>
  <c r="P764" i="1"/>
  <c r="P765" i="1"/>
  <c r="P766" i="1"/>
  <c r="P767" i="1"/>
  <c r="P768" i="1"/>
  <c r="P769" i="1"/>
  <c r="P770" i="1"/>
  <c r="P771" i="1"/>
  <c r="P772" i="1"/>
  <c r="P773" i="1"/>
  <c r="P774" i="1"/>
  <c r="P775" i="1"/>
  <c r="P776" i="1"/>
  <c r="P777" i="1"/>
  <c r="P778" i="1"/>
  <c r="P779" i="1"/>
  <c r="P780" i="1"/>
  <c r="P781" i="1"/>
  <c r="P782" i="1"/>
  <c r="P783" i="1"/>
  <c r="P784" i="1"/>
  <c r="P785" i="1"/>
  <c r="P786" i="1"/>
  <c r="P787" i="1"/>
  <c r="P788" i="1"/>
  <c r="P789" i="1"/>
  <c r="P790" i="1"/>
  <c r="P791" i="1"/>
  <c r="P792" i="1"/>
  <c r="P793" i="1"/>
  <c r="P794" i="1"/>
  <c r="P795" i="1"/>
  <c r="P796" i="1"/>
  <c r="P797" i="1"/>
  <c r="P798" i="1"/>
  <c r="P799" i="1"/>
  <c r="P800" i="1"/>
  <c r="P801" i="1"/>
  <c r="P802" i="1"/>
  <c r="P803" i="1"/>
  <c r="P804" i="1"/>
  <c r="P805" i="1"/>
  <c r="P806" i="1"/>
  <c r="P807" i="1"/>
  <c r="P808" i="1"/>
  <c r="P809" i="1"/>
  <c r="P810" i="1"/>
  <c r="P811" i="1"/>
  <c r="P812" i="1"/>
  <c r="P813" i="1"/>
  <c r="P814" i="1"/>
  <c r="P815" i="1"/>
  <c r="P816" i="1"/>
  <c r="P817" i="1"/>
  <c r="P818" i="1"/>
  <c r="P819" i="1"/>
  <c r="P820" i="1"/>
  <c r="P821" i="1"/>
  <c r="P822" i="1"/>
  <c r="P823" i="1"/>
  <c r="P824" i="1"/>
  <c r="P825" i="1"/>
  <c r="P826" i="1"/>
  <c r="P827" i="1"/>
  <c r="P828" i="1"/>
  <c r="P829" i="1"/>
  <c r="P830" i="1"/>
  <c r="P831" i="1"/>
  <c r="P832" i="1"/>
  <c r="P833" i="1"/>
  <c r="P834" i="1"/>
  <c r="P835" i="1"/>
  <c r="P836" i="1"/>
  <c r="P837" i="1"/>
  <c r="P838" i="1"/>
  <c r="P839" i="1"/>
  <c r="P840" i="1"/>
  <c r="P841" i="1"/>
  <c r="P842" i="1"/>
  <c r="P843" i="1"/>
  <c r="P844" i="1"/>
  <c r="P845" i="1"/>
  <c r="P846" i="1"/>
  <c r="P847" i="1"/>
  <c r="P848" i="1"/>
  <c r="P849" i="1"/>
  <c r="P850" i="1"/>
  <c r="P851" i="1"/>
  <c r="P852" i="1"/>
  <c r="P853" i="1"/>
  <c r="P854" i="1"/>
  <c r="P855" i="1"/>
  <c r="P856" i="1"/>
  <c r="P857" i="1"/>
  <c r="P858" i="1"/>
  <c r="P859" i="1"/>
  <c r="P860" i="1"/>
  <c r="P861" i="1"/>
  <c r="P862" i="1"/>
  <c r="P863" i="1"/>
  <c r="P864" i="1"/>
  <c r="P865" i="1"/>
  <c r="P866" i="1"/>
  <c r="P867" i="1"/>
  <c r="P868" i="1"/>
  <c r="P869" i="1"/>
  <c r="P870" i="1"/>
  <c r="P871" i="1"/>
  <c r="P872" i="1"/>
  <c r="P873" i="1"/>
  <c r="P874" i="1"/>
  <c r="P875" i="1"/>
  <c r="P876" i="1"/>
  <c r="P877" i="1"/>
  <c r="P878" i="1"/>
  <c r="P879" i="1"/>
  <c r="P880" i="1"/>
  <c r="P881" i="1"/>
  <c r="P882" i="1"/>
  <c r="P883" i="1"/>
  <c r="P884" i="1"/>
  <c r="P885" i="1"/>
  <c r="P886" i="1"/>
  <c r="P887" i="1"/>
  <c r="P888" i="1"/>
  <c r="P889" i="1"/>
  <c r="P890" i="1"/>
  <c r="P891" i="1"/>
  <c r="P892" i="1"/>
  <c r="P893" i="1"/>
  <c r="P894" i="1"/>
  <c r="P895" i="1"/>
  <c r="P896" i="1"/>
  <c r="P897" i="1"/>
  <c r="P898" i="1"/>
  <c r="P899" i="1"/>
  <c r="P900" i="1"/>
  <c r="P901" i="1"/>
  <c r="P902" i="1"/>
  <c r="P903" i="1"/>
  <c r="P904" i="1"/>
  <c r="P905" i="1"/>
  <c r="P906" i="1"/>
  <c r="P907" i="1"/>
  <c r="P908" i="1"/>
  <c r="P909" i="1"/>
  <c r="P910" i="1"/>
  <c r="P911" i="1"/>
  <c r="P912" i="1"/>
  <c r="P913" i="1"/>
  <c r="P914" i="1"/>
  <c r="P915" i="1"/>
  <c r="P916" i="1"/>
  <c r="P917" i="1"/>
  <c r="P918" i="1"/>
  <c r="P919" i="1"/>
  <c r="P920" i="1"/>
  <c r="P921" i="1"/>
  <c r="P922" i="1"/>
  <c r="P923" i="1"/>
  <c r="P924" i="1"/>
  <c r="P925" i="1"/>
  <c r="P926" i="1"/>
  <c r="P927" i="1"/>
  <c r="P928" i="1"/>
  <c r="P929" i="1"/>
  <c r="P930" i="1"/>
  <c r="P931" i="1"/>
  <c r="P932" i="1"/>
  <c r="P933" i="1"/>
  <c r="P934" i="1"/>
  <c r="P935" i="1"/>
  <c r="P936" i="1"/>
  <c r="P937" i="1"/>
  <c r="P938" i="1"/>
  <c r="P939" i="1"/>
  <c r="P940" i="1"/>
  <c r="P941" i="1"/>
  <c r="P942" i="1"/>
  <c r="P943" i="1"/>
  <c r="P944" i="1"/>
  <c r="P945" i="1"/>
  <c r="P946" i="1"/>
  <c r="P947" i="1"/>
  <c r="P948" i="1"/>
  <c r="P949" i="1"/>
  <c r="P950" i="1"/>
  <c r="P951" i="1"/>
  <c r="P952" i="1"/>
  <c r="P953" i="1"/>
  <c r="P954" i="1"/>
  <c r="P955" i="1"/>
  <c r="P956" i="1"/>
  <c r="P957" i="1"/>
  <c r="P958" i="1"/>
  <c r="P959" i="1"/>
  <c r="P960" i="1"/>
  <c r="P961" i="1"/>
  <c r="P962" i="1"/>
  <c r="P963" i="1"/>
  <c r="P964" i="1"/>
  <c r="P965" i="1"/>
  <c r="P966" i="1"/>
  <c r="P967" i="1"/>
  <c r="P968" i="1"/>
  <c r="P969" i="1"/>
  <c r="P970" i="1"/>
  <c r="P971" i="1"/>
  <c r="P972" i="1"/>
  <c r="P973" i="1"/>
  <c r="P974" i="1"/>
  <c r="P975" i="1"/>
  <c r="P976" i="1"/>
  <c r="P977" i="1"/>
  <c r="P978" i="1"/>
  <c r="P979" i="1"/>
  <c r="P980" i="1"/>
  <c r="P981" i="1"/>
  <c r="P982" i="1"/>
  <c r="P983" i="1"/>
  <c r="P984" i="1"/>
  <c r="P985" i="1"/>
  <c r="P986" i="1"/>
  <c r="P987" i="1"/>
  <c r="P988" i="1"/>
  <c r="P989" i="1"/>
  <c r="P990" i="1"/>
  <c r="P991" i="1"/>
  <c r="P992" i="1"/>
  <c r="P993" i="1"/>
  <c r="P994" i="1"/>
  <c r="P995" i="1"/>
  <c r="P996" i="1"/>
  <c r="P997" i="1"/>
  <c r="P998" i="1"/>
  <c r="P999" i="1"/>
  <c r="P1000" i="1"/>
  <c r="P1001" i="1"/>
  <c r="P1002" i="1"/>
  <c r="P1003" i="1"/>
  <c r="P1004" i="1"/>
  <c r="P1005" i="1"/>
  <c r="P1006" i="1"/>
  <c r="P1007" i="1"/>
  <c r="P1008" i="1"/>
  <c r="P1009" i="1"/>
  <c r="P1010" i="1"/>
  <c r="P1011" i="1"/>
  <c r="P1012" i="1"/>
  <c r="P1013" i="1"/>
  <c r="P1014" i="1"/>
  <c r="P1015" i="1"/>
  <c r="P1016" i="1"/>
  <c r="P1017" i="1"/>
  <c r="P1018" i="1"/>
  <c r="P1019" i="1"/>
  <c r="P1020" i="1"/>
  <c r="P1021" i="1"/>
  <c r="P1022" i="1"/>
  <c r="P1023" i="1"/>
  <c r="P1024" i="1"/>
  <c r="P1025" i="1"/>
  <c r="P1026" i="1"/>
  <c r="P1027" i="1"/>
  <c r="P1028" i="1"/>
  <c r="P1029" i="1"/>
  <c r="P1030" i="1"/>
  <c r="P1031" i="1"/>
  <c r="P1032" i="1"/>
  <c r="P1033" i="1"/>
  <c r="P1034" i="1"/>
  <c r="P1035" i="1"/>
  <c r="P1036" i="1"/>
  <c r="P1037" i="1"/>
  <c r="P1038" i="1"/>
  <c r="P1039" i="1"/>
  <c r="P1040" i="1"/>
  <c r="P1041" i="1"/>
  <c r="P1042" i="1"/>
  <c r="P1043" i="1"/>
  <c r="P1044" i="1"/>
  <c r="P1045" i="1"/>
  <c r="P1046" i="1"/>
  <c r="P1047" i="1"/>
  <c r="P1048" i="1"/>
  <c r="P1049" i="1"/>
  <c r="P1050" i="1"/>
  <c r="P1051" i="1"/>
  <c r="P1052" i="1"/>
  <c r="P1053" i="1"/>
  <c r="P1054" i="1"/>
  <c r="P1055" i="1"/>
  <c r="P1056" i="1"/>
  <c r="P1057" i="1"/>
  <c r="P1058" i="1"/>
  <c r="P1059" i="1"/>
  <c r="P1060" i="1"/>
  <c r="P1061" i="1"/>
  <c r="P1062" i="1"/>
  <c r="P1063" i="1"/>
  <c r="P1064" i="1"/>
  <c r="P1065" i="1"/>
  <c r="P1066" i="1"/>
  <c r="P1067" i="1"/>
  <c r="P1068" i="1"/>
  <c r="P1069" i="1"/>
  <c r="P1070" i="1"/>
  <c r="P1071" i="1"/>
  <c r="P1072" i="1"/>
  <c r="P1073" i="1"/>
  <c r="P1074" i="1"/>
  <c r="P1075" i="1"/>
  <c r="P1076" i="1"/>
  <c r="P1077" i="1"/>
  <c r="P1078" i="1"/>
  <c r="P1079" i="1"/>
  <c r="P1080" i="1"/>
  <c r="P1081" i="1"/>
  <c r="P1082" i="1"/>
  <c r="P1083" i="1"/>
  <c r="P1084" i="1"/>
  <c r="P1085" i="1"/>
  <c r="P1086" i="1"/>
  <c r="P1087" i="1"/>
  <c r="P1088" i="1"/>
  <c r="P1089" i="1"/>
  <c r="P1090" i="1"/>
  <c r="P1091" i="1"/>
  <c r="P1092" i="1"/>
  <c r="P1093" i="1"/>
  <c r="P1094" i="1"/>
  <c r="P1095" i="1"/>
  <c r="P1096" i="1"/>
  <c r="P1097" i="1"/>
  <c r="P1098" i="1"/>
  <c r="P1099" i="1"/>
  <c r="P1100" i="1"/>
  <c r="P1101" i="1"/>
  <c r="P1102" i="1"/>
  <c r="P1103" i="1"/>
  <c r="P1104" i="1"/>
  <c r="P1105" i="1"/>
  <c r="P1106" i="1"/>
  <c r="P1107" i="1"/>
  <c r="P1108" i="1"/>
  <c r="P1109" i="1"/>
  <c r="P1110" i="1"/>
  <c r="P1111" i="1"/>
  <c r="P1112" i="1"/>
  <c r="P1113" i="1"/>
  <c r="P1114" i="1"/>
  <c r="P1115" i="1"/>
  <c r="P1116" i="1"/>
  <c r="P1117" i="1"/>
  <c r="P1118" i="1"/>
  <c r="P1119" i="1"/>
  <c r="P1120" i="1"/>
  <c r="P1121" i="1"/>
  <c r="P1122" i="1"/>
  <c r="P1123" i="1"/>
  <c r="P1124" i="1"/>
  <c r="P1125" i="1"/>
  <c r="P1126" i="1"/>
  <c r="P1127" i="1"/>
  <c r="P1128" i="1"/>
  <c r="P1129" i="1"/>
  <c r="P1130" i="1"/>
  <c r="P1131" i="1"/>
  <c r="P1132" i="1"/>
  <c r="P1133" i="1"/>
  <c r="P1134" i="1"/>
  <c r="P1135" i="1"/>
  <c r="P1136" i="1"/>
  <c r="P1137" i="1"/>
  <c r="P1138" i="1"/>
  <c r="P1139" i="1"/>
  <c r="P1140" i="1"/>
  <c r="P1141" i="1"/>
  <c r="P1142" i="1"/>
  <c r="P1143" i="1"/>
  <c r="P1144" i="1"/>
  <c r="P1145" i="1"/>
  <c r="P1146" i="1"/>
  <c r="P1147" i="1"/>
  <c r="P1148" i="1"/>
  <c r="P1149" i="1"/>
  <c r="P1150" i="1"/>
  <c r="P1151" i="1"/>
  <c r="P1152" i="1"/>
  <c r="P1153" i="1"/>
  <c r="P1154" i="1"/>
  <c r="P1155" i="1"/>
  <c r="P1156" i="1"/>
  <c r="P1157" i="1"/>
  <c r="P1158" i="1"/>
  <c r="P1159" i="1"/>
  <c r="P1160" i="1"/>
  <c r="P1161" i="1"/>
  <c r="P1162" i="1"/>
  <c r="P1163" i="1"/>
  <c r="P1164" i="1"/>
  <c r="P1165" i="1"/>
  <c r="P1166" i="1"/>
  <c r="P1167" i="1"/>
  <c r="P1168" i="1"/>
  <c r="P1169" i="1"/>
  <c r="P1170" i="1"/>
  <c r="P1171" i="1"/>
  <c r="P1172" i="1"/>
  <c r="P1173" i="1"/>
  <c r="P1174" i="1"/>
  <c r="P1175" i="1"/>
  <c r="P1176" i="1"/>
  <c r="P1177" i="1"/>
  <c r="P1178" i="1"/>
  <c r="P1179" i="1"/>
  <c r="P1180" i="1"/>
  <c r="P1181" i="1"/>
  <c r="P1182" i="1"/>
  <c r="P1183" i="1"/>
  <c r="P1184" i="1"/>
  <c r="P1185" i="1"/>
  <c r="P1186" i="1"/>
  <c r="P1187" i="1"/>
  <c r="P1188" i="1"/>
  <c r="P1189" i="1"/>
  <c r="P1190" i="1"/>
  <c r="P1191" i="1"/>
  <c r="P1192" i="1"/>
  <c r="P1193" i="1"/>
  <c r="P1194" i="1"/>
  <c r="P1195" i="1"/>
  <c r="P1196" i="1"/>
  <c r="P1197" i="1"/>
  <c r="P1198" i="1"/>
  <c r="P1199" i="1"/>
  <c r="P1200" i="1"/>
  <c r="P1201" i="1"/>
  <c r="P1202" i="1"/>
  <c r="P1203" i="1"/>
  <c r="P1204" i="1"/>
  <c r="P1205" i="1"/>
  <c r="P1206" i="1"/>
  <c r="P1207" i="1"/>
  <c r="P1208" i="1"/>
  <c r="P1209" i="1"/>
  <c r="P1210" i="1"/>
  <c r="P1211" i="1"/>
  <c r="P1212" i="1"/>
  <c r="P1213" i="1"/>
  <c r="P1214" i="1"/>
  <c r="P1215" i="1"/>
  <c r="P1216" i="1"/>
  <c r="P1217" i="1"/>
  <c r="P1218" i="1"/>
  <c r="P1219" i="1"/>
  <c r="P1220" i="1"/>
  <c r="P1221" i="1"/>
  <c r="P1222" i="1"/>
  <c r="P1223" i="1"/>
  <c r="P1224" i="1"/>
  <c r="P1225" i="1"/>
  <c r="P1226" i="1"/>
  <c r="P1227" i="1"/>
  <c r="P1228" i="1"/>
  <c r="P1229" i="1"/>
  <c r="P1230" i="1"/>
  <c r="P1231" i="1"/>
  <c r="P1232" i="1"/>
  <c r="P1233" i="1"/>
  <c r="P1234" i="1"/>
  <c r="P1235" i="1"/>
  <c r="P1236" i="1"/>
  <c r="P1237" i="1"/>
  <c r="P1238" i="1"/>
  <c r="P1239" i="1"/>
  <c r="P1240" i="1"/>
  <c r="P1241" i="1"/>
  <c r="P1242" i="1"/>
  <c r="P1243" i="1"/>
  <c r="P1244" i="1"/>
  <c r="P1245" i="1"/>
  <c r="P1246" i="1"/>
  <c r="P1247" i="1"/>
  <c r="P1248" i="1"/>
  <c r="P1249" i="1"/>
  <c r="P1250" i="1"/>
  <c r="P1251" i="1"/>
  <c r="P1252" i="1"/>
  <c r="P1253" i="1"/>
  <c r="P1254" i="1"/>
  <c r="P1255" i="1"/>
  <c r="P1256" i="1"/>
  <c r="P1257" i="1"/>
  <c r="P1258" i="1"/>
  <c r="P1259" i="1"/>
  <c r="P1260" i="1"/>
  <c r="P1261" i="1"/>
  <c r="P1262" i="1"/>
  <c r="P1263" i="1"/>
  <c r="P1264" i="1"/>
  <c r="P1265" i="1"/>
  <c r="P1266" i="1"/>
  <c r="P1267" i="1"/>
  <c r="P1268" i="1"/>
  <c r="P1269" i="1"/>
  <c r="P1270" i="1"/>
  <c r="P1271" i="1"/>
  <c r="P1272" i="1"/>
  <c r="P1273" i="1"/>
  <c r="P1274" i="1"/>
  <c r="P1275" i="1"/>
  <c r="P1276" i="1"/>
  <c r="P1277" i="1"/>
  <c r="P1278" i="1"/>
  <c r="P1279" i="1"/>
  <c r="P1280" i="1"/>
  <c r="P1281" i="1"/>
  <c r="P1282" i="1"/>
  <c r="P1283" i="1"/>
  <c r="P1284" i="1"/>
  <c r="P1285" i="1"/>
  <c r="P1286" i="1"/>
  <c r="P1287" i="1"/>
  <c r="P1288" i="1"/>
  <c r="P1289" i="1"/>
  <c r="P1290" i="1"/>
  <c r="P1291" i="1"/>
  <c r="P1292" i="1"/>
  <c r="P1293" i="1"/>
  <c r="P1294" i="1"/>
  <c r="P1295" i="1"/>
  <c r="P1296" i="1"/>
  <c r="P1297" i="1"/>
  <c r="P1298" i="1"/>
  <c r="P1299" i="1"/>
  <c r="P1300" i="1"/>
  <c r="P1301" i="1"/>
  <c r="P1302" i="1"/>
  <c r="P1303" i="1"/>
  <c r="P1304" i="1"/>
  <c r="P1305" i="1"/>
  <c r="P1306" i="1"/>
  <c r="P1307" i="1"/>
  <c r="P1308" i="1"/>
  <c r="P1309" i="1"/>
  <c r="P1310" i="1"/>
  <c r="P1311" i="1"/>
  <c r="P1312" i="1"/>
  <c r="P1313" i="1"/>
  <c r="P1314" i="1"/>
  <c r="P1315" i="1"/>
  <c r="P1316" i="1"/>
  <c r="P1317" i="1"/>
  <c r="P1318" i="1"/>
  <c r="P1319" i="1"/>
  <c r="P1320" i="1"/>
  <c r="P1321" i="1"/>
  <c r="P1322" i="1"/>
  <c r="P1323" i="1"/>
  <c r="P1324" i="1"/>
  <c r="P1325" i="1"/>
  <c r="P1326" i="1"/>
  <c r="P1327" i="1"/>
  <c r="P1328" i="1"/>
  <c r="P1329" i="1"/>
  <c r="P1330" i="1"/>
  <c r="P1331" i="1"/>
  <c r="P1332" i="1"/>
  <c r="P1333" i="1"/>
  <c r="P1334" i="1"/>
  <c r="P1335" i="1"/>
  <c r="P1336" i="1"/>
  <c r="P1337" i="1"/>
  <c r="P1338" i="1"/>
  <c r="P1339" i="1"/>
  <c r="P1340" i="1"/>
  <c r="P1341" i="1"/>
  <c r="P1342" i="1"/>
  <c r="P1343" i="1"/>
  <c r="P1344" i="1"/>
  <c r="P1345" i="1"/>
  <c r="P1346" i="1"/>
  <c r="P1347" i="1"/>
  <c r="P1348" i="1"/>
  <c r="P1349" i="1"/>
  <c r="P1350" i="1"/>
  <c r="P1351" i="1"/>
  <c r="P1352" i="1"/>
  <c r="P1353" i="1"/>
  <c r="P1354" i="1"/>
  <c r="P1355" i="1"/>
  <c r="P1356" i="1"/>
  <c r="P1357" i="1"/>
  <c r="P1358" i="1"/>
  <c r="P1359" i="1"/>
  <c r="P1360" i="1"/>
  <c r="P1361" i="1"/>
  <c r="P1362" i="1"/>
  <c r="P1363" i="1"/>
  <c r="P1364" i="1"/>
  <c r="P1365" i="1"/>
  <c r="P1366" i="1"/>
  <c r="P1367" i="1"/>
  <c r="P1368" i="1"/>
  <c r="P1369" i="1"/>
  <c r="P1370" i="1"/>
  <c r="P1371" i="1"/>
  <c r="P1372" i="1"/>
  <c r="P1373" i="1"/>
  <c r="P1374" i="1"/>
  <c r="P1375" i="1"/>
  <c r="P1376" i="1"/>
  <c r="P1377" i="1"/>
  <c r="P1378" i="1"/>
  <c r="P1379" i="1"/>
  <c r="P1380" i="1"/>
  <c r="P1381" i="1"/>
  <c r="P1382" i="1"/>
  <c r="P1383" i="1"/>
  <c r="P1384" i="1"/>
  <c r="P1385" i="1"/>
  <c r="P1386" i="1"/>
  <c r="P1387" i="1"/>
  <c r="P1388" i="1"/>
  <c r="P1389" i="1"/>
  <c r="P1390" i="1"/>
  <c r="P1391" i="1"/>
  <c r="P1392" i="1"/>
  <c r="P1393" i="1"/>
  <c r="P1394" i="1"/>
  <c r="P1395" i="1"/>
  <c r="P1396" i="1"/>
  <c r="P1397" i="1"/>
  <c r="P1398" i="1"/>
  <c r="P1399" i="1"/>
  <c r="P1400" i="1"/>
  <c r="P1401" i="1"/>
  <c r="P1402" i="1"/>
  <c r="P1403" i="1"/>
  <c r="P1404" i="1"/>
  <c r="P1405" i="1"/>
  <c r="P1406" i="1"/>
  <c r="P1407" i="1"/>
  <c r="P1408" i="1"/>
  <c r="P1409" i="1"/>
  <c r="P1410" i="1"/>
  <c r="P1411" i="1"/>
  <c r="P1412" i="1"/>
  <c r="P1413" i="1"/>
  <c r="P1414" i="1"/>
  <c r="P1415" i="1"/>
  <c r="P1416" i="1"/>
  <c r="P1417" i="1"/>
  <c r="P1418" i="1"/>
  <c r="P1419" i="1"/>
  <c r="P1420" i="1"/>
  <c r="P1421" i="1"/>
  <c r="P1422" i="1"/>
  <c r="P1423" i="1"/>
  <c r="P1424" i="1"/>
  <c r="P1425" i="1"/>
  <c r="P1426" i="1"/>
  <c r="P1427" i="1"/>
  <c r="P1428" i="1"/>
  <c r="P1429" i="1"/>
  <c r="P1430" i="1"/>
  <c r="P1431" i="1"/>
  <c r="P1432" i="1"/>
  <c r="P1433" i="1"/>
  <c r="P1434" i="1"/>
  <c r="P1435" i="1"/>
  <c r="P1436" i="1"/>
  <c r="P1437" i="1"/>
  <c r="P1438" i="1"/>
  <c r="P1439" i="1"/>
  <c r="P1440" i="1"/>
  <c r="P1441" i="1"/>
  <c r="P1442" i="1"/>
  <c r="P1443" i="1"/>
  <c r="P1444" i="1"/>
  <c r="P1445" i="1"/>
  <c r="P1446" i="1"/>
  <c r="P1447" i="1"/>
  <c r="P1448" i="1"/>
  <c r="P1449" i="1"/>
  <c r="P1450" i="1"/>
  <c r="P1451" i="1"/>
  <c r="P1452" i="1"/>
  <c r="P1453" i="1"/>
  <c r="P1454" i="1"/>
  <c r="P1455" i="1"/>
  <c r="P1456" i="1"/>
  <c r="P1457" i="1"/>
  <c r="P1458" i="1"/>
  <c r="P1459" i="1"/>
  <c r="P1460" i="1"/>
  <c r="P1461" i="1"/>
  <c r="P1462" i="1"/>
  <c r="P1463" i="1"/>
  <c r="P1464" i="1"/>
  <c r="P1465" i="1"/>
  <c r="P1466" i="1"/>
  <c r="P1467" i="1"/>
  <c r="P1468" i="1"/>
  <c r="P1469" i="1"/>
  <c r="P1470" i="1"/>
  <c r="P1471" i="1"/>
  <c r="P1472" i="1"/>
  <c r="P1473" i="1"/>
  <c r="P1474" i="1"/>
  <c r="P1475" i="1"/>
  <c r="P1476" i="1"/>
  <c r="P1477" i="1"/>
  <c r="P1478" i="1"/>
  <c r="P1479" i="1"/>
  <c r="P1480" i="1"/>
  <c r="P1481" i="1"/>
  <c r="P1482" i="1"/>
  <c r="P1483" i="1"/>
  <c r="P1484" i="1"/>
  <c r="P1485" i="1"/>
  <c r="P1486" i="1"/>
  <c r="P1487" i="1"/>
  <c r="P1488" i="1"/>
  <c r="P1489" i="1"/>
  <c r="P1490" i="1"/>
  <c r="P1491" i="1"/>
  <c r="P1492" i="1"/>
  <c r="P1493" i="1"/>
  <c r="P1494" i="1"/>
  <c r="P1495" i="1"/>
  <c r="P1496" i="1"/>
  <c r="P1497" i="1"/>
  <c r="P1498" i="1"/>
  <c r="P1499" i="1"/>
  <c r="P1500" i="1"/>
  <c r="P1501" i="1"/>
  <c r="P1502" i="1"/>
  <c r="P1503" i="1"/>
  <c r="P1504" i="1"/>
  <c r="P1505" i="1"/>
  <c r="P1506" i="1"/>
  <c r="P1507" i="1"/>
  <c r="P1508" i="1"/>
  <c r="P1509" i="1"/>
  <c r="P1510" i="1"/>
  <c r="P1511" i="1"/>
  <c r="P1512" i="1"/>
  <c r="P1513" i="1"/>
  <c r="P1514" i="1"/>
  <c r="P1515" i="1"/>
  <c r="P1516" i="1"/>
  <c r="P1517" i="1"/>
  <c r="P1518" i="1"/>
  <c r="P1519" i="1"/>
  <c r="P1520" i="1"/>
  <c r="P1521" i="1"/>
  <c r="P1522" i="1"/>
  <c r="P1523" i="1"/>
  <c r="P1524" i="1"/>
  <c r="P1525" i="1"/>
  <c r="P1526" i="1"/>
  <c r="P1527" i="1"/>
  <c r="P1528" i="1"/>
  <c r="P1529" i="1"/>
  <c r="P1530" i="1"/>
  <c r="P1531" i="1"/>
  <c r="P1532" i="1"/>
  <c r="P1533" i="1"/>
  <c r="P1534" i="1"/>
  <c r="P1535" i="1"/>
  <c r="P1536" i="1"/>
  <c r="P1537" i="1"/>
  <c r="P1538" i="1"/>
  <c r="P1539" i="1"/>
  <c r="P1540" i="1"/>
  <c r="P1541" i="1"/>
  <c r="P1542" i="1"/>
  <c r="P1543" i="1"/>
  <c r="P1544" i="1"/>
  <c r="P1545" i="1"/>
  <c r="P1546" i="1"/>
  <c r="P1547" i="1"/>
  <c r="P1548" i="1"/>
  <c r="P1549" i="1"/>
  <c r="P1550" i="1"/>
  <c r="P1551" i="1"/>
  <c r="P1552" i="1"/>
  <c r="P1553" i="1"/>
  <c r="P1554" i="1"/>
  <c r="P1555" i="1"/>
  <c r="P1556" i="1"/>
  <c r="P1557" i="1"/>
  <c r="P1558" i="1"/>
  <c r="P1559" i="1"/>
  <c r="P1560" i="1"/>
  <c r="P1561" i="1"/>
  <c r="P1562" i="1"/>
  <c r="P1563" i="1"/>
  <c r="P1564" i="1"/>
  <c r="P1565" i="1"/>
  <c r="P1566" i="1"/>
  <c r="P1567" i="1"/>
  <c r="P1568" i="1"/>
  <c r="P1569" i="1"/>
  <c r="P1570" i="1"/>
  <c r="P1571" i="1"/>
  <c r="P1572" i="1"/>
  <c r="P1573" i="1"/>
  <c r="P1574" i="1"/>
  <c r="P1575" i="1"/>
  <c r="P1576" i="1"/>
  <c r="P1577" i="1"/>
  <c r="P1578" i="1"/>
  <c r="P1579" i="1"/>
  <c r="P1580" i="1"/>
  <c r="P1581" i="1"/>
  <c r="P1582" i="1"/>
  <c r="P1583" i="1"/>
  <c r="P1584" i="1"/>
  <c r="P1585" i="1"/>
  <c r="P1586" i="1"/>
  <c r="P1587" i="1"/>
  <c r="P1588" i="1"/>
  <c r="P1589" i="1"/>
  <c r="P1590" i="1"/>
  <c r="P1591" i="1"/>
  <c r="P1592" i="1"/>
  <c r="P1593" i="1"/>
  <c r="P1594" i="1"/>
  <c r="P1595" i="1"/>
  <c r="P1596" i="1"/>
  <c r="P1597" i="1"/>
  <c r="P1598" i="1"/>
  <c r="P1599" i="1"/>
  <c r="P1600" i="1"/>
  <c r="P1601" i="1"/>
  <c r="P1602" i="1"/>
  <c r="P1603" i="1"/>
  <c r="P1604" i="1"/>
  <c r="P1605" i="1"/>
  <c r="P1606" i="1"/>
  <c r="P1607" i="1"/>
  <c r="P1608" i="1"/>
  <c r="P1609" i="1"/>
  <c r="P1610" i="1"/>
  <c r="P1611" i="1"/>
  <c r="P1612" i="1"/>
  <c r="P1613" i="1"/>
  <c r="P1614" i="1"/>
  <c r="P1615" i="1"/>
  <c r="P1616" i="1"/>
  <c r="P1617" i="1"/>
  <c r="P1618" i="1"/>
  <c r="P1619" i="1"/>
  <c r="P1620" i="1"/>
  <c r="P1621" i="1"/>
  <c r="P1622" i="1"/>
  <c r="P1623" i="1"/>
  <c r="P1624" i="1"/>
  <c r="P1625" i="1"/>
  <c r="P1626" i="1"/>
  <c r="P1627" i="1"/>
  <c r="P1628" i="1"/>
  <c r="P1629" i="1"/>
  <c r="P1630" i="1"/>
  <c r="P1631" i="1"/>
  <c r="P1632" i="1"/>
  <c r="P1633" i="1"/>
  <c r="P1634" i="1"/>
  <c r="P1635" i="1"/>
  <c r="P1636" i="1"/>
  <c r="P1637" i="1"/>
  <c r="P1638" i="1"/>
  <c r="P1639" i="1"/>
  <c r="P1640" i="1"/>
  <c r="P1641" i="1"/>
  <c r="P1642" i="1"/>
  <c r="P1643" i="1"/>
  <c r="P1644" i="1"/>
  <c r="P1645" i="1"/>
  <c r="P1646" i="1"/>
  <c r="P1647" i="1"/>
  <c r="P1648" i="1"/>
  <c r="P1649" i="1"/>
  <c r="P1650" i="1"/>
  <c r="P1651" i="1"/>
  <c r="P1652" i="1"/>
  <c r="P1653" i="1"/>
  <c r="P1654" i="1"/>
  <c r="P1655" i="1"/>
  <c r="P1656" i="1"/>
  <c r="P1657" i="1"/>
  <c r="P1658" i="1"/>
  <c r="P1659" i="1"/>
  <c r="P1660" i="1"/>
  <c r="P1661" i="1"/>
  <c r="P1662" i="1"/>
  <c r="P1663" i="1"/>
  <c r="P1664" i="1"/>
  <c r="P1665" i="1"/>
  <c r="P1666" i="1"/>
  <c r="P1667" i="1"/>
  <c r="P1668" i="1"/>
  <c r="P1669" i="1"/>
  <c r="P1670" i="1"/>
  <c r="P1671" i="1"/>
  <c r="P1672" i="1"/>
  <c r="P1673" i="1"/>
  <c r="P1674" i="1"/>
  <c r="P1675" i="1"/>
  <c r="P1676" i="1"/>
  <c r="P1677" i="1"/>
  <c r="P1678" i="1"/>
  <c r="P1679" i="1"/>
  <c r="P1680" i="1"/>
  <c r="P1681" i="1"/>
  <c r="P1682" i="1"/>
  <c r="P1683" i="1"/>
  <c r="P1684" i="1"/>
  <c r="P1685" i="1"/>
  <c r="P1686" i="1"/>
  <c r="P1687" i="1"/>
  <c r="P1688" i="1"/>
  <c r="P1689" i="1"/>
  <c r="P1690" i="1"/>
  <c r="P1691" i="1"/>
  <c r="P1692" i="1"/>
  <c r="P1693" i="1"/>
  <c r="P1694" i="1"/>
  <c r="P1695" i="1"/>
  <c r="P1696" i="1"/>
  <c r="P1697" i="1"/>
  <c r="P1698" i="1"/>
  <c r="P1699" i="1"/>
  <c r="P1700" i="1"/>
  <c r="P1701" i="1"/>
  <c r="P1702" i="1"/>
  <c r="P1703" i="1"/>
  <c r="P1704" i="1"/>
  <c r="P1705" i="1"/>
  <c r="P1706" i="1"/>
  <c r="P1707" i="1"/>
  <c r="P1708" i="1"/>
  <c r="P1709" i="1"/>
  <c r="P1710" i="1"/>
  <c r="P1711" i="1"/>
  <c r="P1712" i="1"/>
  <c r="P1713" i="1"/>
  <c r="P1714" i="1"/>
  <c r="P1715" i="1"/>
  <c r="P1716" i="1"/>
  <c r="P1717" i="1"/>
  <c r="P1718" i="1"/>
  <c r="P1719" i="1"/>
  <c r="P1720" i="1"/>
  <c r="P1721" i="1"/>
  <c r="P1722" i="1"/>
  <c r="P1723" i="1"/>
  <c r="P1724" i="1"/>
  <c r="P1725" i="1"/>
  <c r="P1726" i="1"/>
  <c r="P1727" i="1"/>
  <c r="P1728" i="1"/>
  <c r="P1729" i="1"/>
  <c r="P1730" i="1"/>
  <c r="P1731" i="1"/>
  <c r="P1732" i="1"/>
  <c r="P1733" i="1"/>
  <c r="P1734" i="1"/>
  <c r="P1735" i="1"/>
  <c r="P1736" i="1"/>
  <c r="P1737" i="1"/>
  <c r="P1738" i="1"/>
  <c r="P1739" i="1"/>
  <c r="P1740" i="1"/>
  <c r="P1741" i="1"/>
  <c r="P1742" i="1"/>
  <c r="P1743" i="1"/>
  <c r="P1744" i="1"/>
  <c r="P1745" i="1"/>
  <c r="P1746" i="1"/>
  <c r="P1747" i="1"/>
  <c r="P1748" i="1"/>
  <c r="P1749" i="1"/>
  <c r="P1750" i="1"/>
  <c r="P1751" i="1"/>
  <c r="P1752" i="1"/>
  <c r="P1753" i="1"/>
  <c r="P1754" i="1"/>
  <c r="P1755" i="1"/>
  <c r="P1756" i="1"/>
  <c r="P1757" i="1"/>
  <c r="P1758" i="1"/>
  <c r="P1759" i="1"/>
  <c r="P1760" i="1"/>
  <c r="P1761" i="1"/>
  <c r="P1762" i="1"/>
  <c r="P1763" i="1"/>
  <c r="P1764" i="1"/>
  <c r="P1765" i="1"/>
  <c r="P1766" i="1"/>
  <c r="P1767" i="1"/>
  <c r="P1768" i="1"/>
  <c r="P1769" i="1"/>
  <c r="P1770" i="1"/>
  <c r="P1771" i="1"/>
  <c r="P1772" i="1"/>
  <c r="P1773" i="1"/>
  <c r="P1774" i="1"/>
  <c r="P1775" i="1"/>
  <c r="P1776" i="1"/>
  <c r="P1777" i="1"/>
  <c r="P1778" i="1"/>
  <c r="P1779" i="1"/>
  <c r="P1780" i="1"/>
  <c r="P1781" i="1"/>
  <c r="P1782" i="1"/>
  <c r="P1783" i="1"/>
  <c r="P1784" i="1"/>
  <c r="P1785" i="1"/>
  <c r="P1786" i="1"/>
  <c r="P1787" i="1"/>
  <c r="P1788" i="1"/>
  <c r="P1789" i="1"/>
  <c r="P1790" i="1"/>
  <c r="P1791" i="1"/>
  <c r="P1792" i="1"/>
  <c r="P1793" i="1"/>
  <c r="P1794" i="1"/>
  <c r="P1795" i="1"/>
  <c r="P1796" i="1"/>
  <c r="P1797" i="1"/>
  <c r="P1798" i="1"/>
  <c r="P1799" i="1"/>
  <c r="P1800" i="1"/>
  <c r="P1801" i="1"/>
  <c r="P1802" i="1"/>
  <c r="P1803" i="1"/>
  <c r="P1804" i="1"/>
  <c r="P1805" i="1"/>
  <c r="P1806" i="1"/>
  <c r="P1807" i="1"/>
  <c r="P1808" i="1"/>
  <c r="P1809" i="1"/>
  <c r="P1810" i="1"/>
  <c r="P1811" i="1"/>
  <c r="P1812" i="1"/>
  <c r="P1813" i="1"/>
  <c r="P1814" i="1"/>
  <c r="P1815" i="1"/>
  <c r="P1816" i="1"/>
  <c r="P1817" i="1"/>
  <c r="P1818" i="1"/>
  <c r="P1819" i="1"/>
  <c r="P1820" i="1"/>
  <c r="P1821" i="1"/>
  <c r="P1822" i="1"/>
  <c r="P1823" i="1"/>
  <c r="P1824" i="1"/>
  <c r="P1825" i="1"/>
  <c r="P1826" i="1"/>
  <c r="P1827" i="1"/>
  <c r="P1828" i="1"/>
  <c r="P1829" i="1"/>
  <c r="P1830" i="1"/>
  <c r="P1831" i="1"/>
  <c r="P1832" i="1"/>
  <c r="P1833" i="1"/>
  <c r="P1834" i="1"/>
  <c r="P1835" i="1"/>
  <c r="P1836" i="1"/>
  <c r="P1837" i="1"/>
  <c r="P1838" i="1"/>
  <c r="P1839" i="1"/>
  <c r="P1840" i="1"/>
  <c r="P1841" i="1"/>
  <c r="P1842" i="1"/>
  <c r="P1843" i="1"/>
  <c r="P1844" i="1"/>
  <c r="P1845" i="1"/>
  <c r="P1846" i="1"/>
  <c r="P1847" i="1"/>
  <c r="P1848" i="1"/>
  <c r="P1849" i="1"/>
  <c r="P1850" i="1"/>
  <c r="P1851" i="1"/>
  <c r="P1852" i="1"/>
  <c r="P1853" i="1"/>
  <c r="P1854" i="1"/>
  <c r="P1855" i="1"/>
  <c r="P1856" i="1"/>
  <c r="P1857" i="1"/>
  <c r="P1858" i="1"/>
  <c r="P1859" i="1"/>
  <c r="P1860" i="1"/>
  <c r="P1861" i="1"/>
  <c r="P1862" i="1"/>
  <c r="P1863" i="1"/>
  <c r="P1864" i="1"/>
  <c r="P1865" i="1"/>
  <c r="P1866" i="1"/>
  <c r="P1867" i="1"/>
  <c r="P1868" i="1"/>
  <c r="P1869" i="1"/>
  <c r="P1870" i="1"/>
  <c r="P1871" i="1"/>
  <c r="P1872" i="1"/>
  <c r="P1873" i="1"/>
  <c r="P1874" i="1"/>
  <c r="P1875" i="1"/>
  <c r="P1876" i="1"/>
  <c r="P1877" i="1"/>
  <c r="P1878" i="1"/>
  <c r="P1879" i="1"/>
  <c r="P1880" i="1"/>
  <c r="P1881" i="1"/>
  <c r="P1882" i="1"/>
  <c r="P1883" i="1"/>
  <c r="P1884" i="1"/>
  <c r="P1885" i="1"/>
  <c r="P1886" i="1"/>
  <c r="P1887" i="1"/>
  <c r="P1888" i="1"/>
  <c r="P1889" i="1"/>
  <c r="P1890" i="1"/>
  <c r="P1891" i="1"/>
  <c r="P1892" i="1"/>
  <c r="P1893" i="1"/>
  <c r="P1894" i="1"/>
  <c r="P1895" i="1"/>
  <c r="P1896" i="1"/>
  <c r="P1897" i="1"/>
  <c r="P1898" i="1"/>
  <c r="P1899" i="1"/>
  <c r="P1900" i="1"/>
  <c r="P1901" i="1"/>
  <c r="P1902" i="1"/>
  <c r="P1903" i="1"/>
  <c r="P1904" i="1"/>
  <c r="P1905" i="1"/>
  <c r="P1906" i="1"/>
  <c r="P1907" i="1"/>
  <c r="P1908" i="1"/>
  <c r="P1909" i="1"/>
  <c r="P1910" i="1"/>
  <c r="P1911" i="1"/>
  <c r="P1912" i="1"/>
  <c r="P1913" i="1"/>
  <c r="P1914" i="1"/>
  <c r="P1915" i="1"/>
  <c r="P1916" i="1"/>
  <c r="P1917" i="1"/>
  <c r="P1918" i="1"/>
  <c r="P1919" i="1"/>
  <c r="P1920" i="1"/>
  <c r="P1921" i="1"/>
  <c r="P1922" i="1"/>
  <c r="P1923" i="1"/>
  <c r="P1924" i="1"/>
  <c r="P1925" i="1"/>
  <c r="P1926" i="1"/>
  <c r="P1927" i="1"/>
  <c r="P1928" i="1"/>
  <c r="P1929" i="1"/>
  <c r="P1930" i="1"/>
  <c r="P1931" i="1"/>
  <c r="P1932" i="1"/>
  <c r="P1933" i="1"/>
  <c r="P1934" i="1"/>
  <c r="P1935" i="1"/>
  <c r="P1936" i="1"/>
  <c r="P1937" i="1"/>
  <c r="P1938" i="1"/>
  <c r="P1939" i="1"/>
  <c r="P1940" i="1"/>
  <c r="P1941" i="1"/>
  <c r="P1942" i="1"/>
  <c r="P1943" i="1"/>
  <c r="P1944" i="1"/>
  <c r="P1945" i="1"/>
  <c r="P1946" i="1"/>
  <c r="P1947" i="1"/>
  <c r="P1948" i="1"/>
  <c r="P1949" i="1"/>
  <c r="P1950" i="1"/>
  <c r="P1951" i="1"/>
  <c r="P1952" i="1"/>
  <c r="P1953" i="1"/>
  <c r="P1954" i="1"/>
  <c r="P1955" i="1"/>
  <c r="P1956" i="1"/>
  <c r="P1957" i="1"/>
  <c r="P1958" i="1"/>
  <c r="P1959" i="1"/>
  <c r="P1960" i="1"/>
  <c r="P1961" i="1"/>
  <c r="P1962" i="1"/>
  <c r="P1963" i="1"/>
  <c r="P1964" i="1"/>
  <c r="P1965" i="1"/>
  <c r="P1966" i="1"/>
  <c r="P1967" i="1"/>
  <c r="P1968" i="1"/>
  <c r="P1969" i="1"/>
  <c r="P1970" i="1"/>
  <c r="P1971" i="1"/>
  <c r="P1972" i="1"/>
  <c r="P1973" i="1"/>
  <c r="P1974" i="1"/>
  <c r="P1975" i="1"/>
  <c r="P1976" i="1"/>
  <c r="P1977" i="1"/>
  <c r="P1978" i="1"/>
  <c r="P1979" i="1"/>
  <c r="P1980" i="1"/>
  <c r="P1981" i="1"/>
  <c r="P1982" i="1"/>
  <c r="P1983" i="1"/>
  <c r="P1984" i="1"/>
  <c r="P1985" i="1"/>
  <c r="P1986" i="1"/>
  <c r="P1987" i="1"/>
  <c r="P1988" i="1"/>
  <c r="P1989" i="1"/>
  <c r="P1990" i="1"/>
  <c r="P1991" i="1"/>
  <c r="P1992" i="1"/>
  <c r="P1993" i="1"/>
  <c r="P1994" i="1"/>
  <c r="P1995" i="1"/>
  <c r="P1996" i="1"/>
  <c r="P1997" i="1"/>
  <c r="P1998" i="1"/>
  <c r="P1999" i="1"/>
  <c r="P2000" i="1"/>
  <c r="P2001" i="1"/>
  <c r="P2" i="1"/>
  <c r="V3" i="1"/>
  <c r="V4" i="1"/>
  <c r="V5"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V202" i="1"/>
  <c r="V203" i="1"/>
  <c r="V204" i="1"/>
  <c r="V205" i="1"/>
  <c r="V206" i="1"/>
  <c r="V207" i="1"/>
  <c r="V208" i="1"/>
  <c r="V209" i="1"/>
  <c r="V210" i="1"/>
  <c r="V211" i="1"/>
  <c r="V212" i="1"/>
  <c r="V213" i="1"/>
  <c r="V214" i="1"/>
  <c r="V215" i="1"/>
  <c r="V216" i="1"/>
  <c r="V217" i="1"/>
  <c r="V218" i="1"/>
  <c r="V219" i="1"/>
  <c r="V220" i="1"/>
  <c r="V221" i="1"/>
  <c r="V222" i="1"/>
  <c r="V223" i="1"/>
  <c r="V224" i="1"/>
  <c r="V225" i="1"/>
  <c r="V226"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8" i="1"/>
  <c r="V279" i="1"/>
  <c r="V280" i="1"/>
  <c r="V281" i="1"/>
  <c r="V282" i="1"/>
  <c r="V283" i="1"/>
  <c r="V284" i="1"/>
  <c r="V285" i="1"/>
  <c r="V286" i="1"/>
  <c r="V287" i="1"/>
  <c r="V288" i="1"/>
  <c r="V289" i="1"/>
  <c r="V290" i="1"/>
  <c r="V291" i="1"/>
  <c r="V292" i="1"/>
  <c r="V293" i="1"/>
  <c r="V294" i="1"/>
  <c r="V295" i="1"/>
  <c r="V296" i="1"/>
  <c r="V297" i="1"/>
  <c r="V298" i="1"/>
  <c r="V299" i="1"/>
  <c r="V300" i="1"/>
  <c r="V301" i="1"/>
  <c r="V302" i="1"/>
  <c r="V303" i="1"/>
  <c r="V304" i="1"/>
  <c r="V305" i="1"/>
  <c r="V306" i="1"/>
  <c r="V307" i="1"/>
  <c r="V308" i="1"/>
  <c r="V309" i="1"/>
  <c r="V310" i="1"/>
  <c r="V311" i="1"/>
  <c r="V312" i="1"/>
  <c r="V313" i="1"/>
  <c r="V314" i="1"/>
  <c r="V315" i="1"/>
  <c r="V316" i="1"/>
  <c r="V317" i="1"/>
  <c r="V318" i="1"/>
  <c r="V319" i="1"/>
  <c r="V320" i="1"/>
  <c r="V321" i="1"/>
  <c r="V322" i="1"/>
  <c r="V323" i="1"/>
  <c r="V324" i="1"/>
  <c r="V325" i="1"/>
  <c r="V326" i="1"/>
  <c r="V327" i="1"/>
  <c r="V328" i="1"/>
  <c r="V329" i="1"/>
  <c r="V330" i="1"/>
  <c r="V331" i="1"/>
  <c r="V332" i="1"/>
  <c r="V333" i="1"/>
  <c r="V334" i="1"/>
  <c r="V335" i="1"/>
  <c r="V336" i="1"/>
  <c r="V337" i="1"/>
  <c r="V338" i="1"/>
  <c r="V339" i="1"/>
  <c r="V340" i="1"/>
  <c r="V341" i="1"/>
  <c r="V342" i="1"/>
  <c r="V343" i="1"/>
  <c r="V344" i="1"/>
  <c r="V345" i="1"/>
  <c r="V346" i="1"/>
  <c r="V347" i="1"/>
  <c r="V348" i="1"/>
  <c r="V349" i="1"/>
  <c r="V350" i="1"/>
  <c r="V351" i="1"/>
  <c r="V352" i="1"/>
  <c r="V353" i="1"/>
  <c r="V354" i="1"/>
  <c r="V355" i="1"/>
  <c r="V356" i="1"/>
  <c r="V357" i="1"/>
  <c r="V358" i="1"/>
  <c r="V359" i="1"/>
  <c r="V360" i="1"/>
  <c r="V361" i="1"/>
  <c r="V362" i="1"/>
  <c r="V363" i="1"/>
  <c r="V364" i="1"/>
  <c r="V365" i="1"/>
  <c r="V366" i="1"/>
  <c r="V367" i="1"/>
  <c r="V368" i="1"/>
  <c r="V369" i="1"/>
  <c r="V370" i="1"/>
  <c r="V371" i="1"/>
  <c r="V372" i="1"/>
  <c r="V373" i="1"/>
  <c r="V374" i="1"/>
  <c r="V375" i="1"/>
  <c r="V376" i="1"/>
  <c r="V377" i="1"/>
  <c r="V378" i="1"/>
  <c r="V379" i="1"/>
  <c r="V380" i="1"/>
  <c r="V381" i="1"/>
  <c r="V382" i="1"/>
  <c r="V383" i="1"/>
  <c r="V384" i="1"/>
  <c r="V385" i="1"/>
  <c r="V386" i="1"/>
  <c r="V387" i="1"/>
  <c r="V388" i="1"/>
  <c r="V389" i="1"/>
  <c r="V390" i="1"/>
  <c r="V391" i="1"/>
  <c r="V392" i="1"/>
  <c r="V393" i="1"/>
  <c r="V394" i="1"/>
  <c r="V395" i="1"/>
  <c r="V396" i="1"/>
  <c r="V397" i="1"/>
  <c r="V398" i="1"/>
  <c r="V399" i="1"/>
  <c r="V400" i="1"/>
  <c r="V401" i="1"/>
  <c r="V402" i="1"/>
  <c r="V403" i="1"/>
  <c r="V404" i="1"/>
  <c r="V405" i="1"/>
  <c r="V406" i="1"/>
  <c r="V407" i="1"/>
  <c r="V408" i="1"/>
  <c r="V409" i="1"/>
  <c r="V410" i="1"/>
  <c r="V411" i="1"/>
  <c r="V412" i="1"/>
  <c r="V413" i="1"/>
  <c r="V414" i="1"/>
  <c r="V415" i="1"/>
  <c r="V416" i="1"/>
  <c r="V417" i="1"/>
  <c r="V418" i="1"/>
  <c r="V419" i="1"/>
  <c r="V420" i="1"/>
  <c r="V421" i="1"/>
  <c r="V422" i="1"/>
  <c r="V423" i="1"/>
  <c r="V424" i="1"/>
  <c r="V425" i="1"/>
  <c r="V426" i="1"/>
  <c r="V427" i="1"/>
  <c r="V428" i="1"/>
  <c r="V429" i="1"/>
  <c r="V430" i="1"/>
  <c r="V431" i="1"/>
  <c r="V432" i="1"/>
  <c r="V433" i="1"/>
  <c r="V434" i="1"/>
  <c r="V435" i="1"/>
  <c r="V436" i="1"/>
  <c r="V437" i="1"/>
  <c r="V438" i="1"/>
  <c r="V439" i="1"/>
  <c r="V440" i="1"/>
  <c r="V441" i="1"/>
  <c r="V442" i="1"/>
  <c r="V443" i="1"/>
  <c r="V444" i="1"/>
  <c r="V445" i="1"/>
  <c r="V446" i="1"/>
  <c r="V447" i="1"/>
  <c r="V448" i="1"/>
  <c r="V449" i="1"/>
  <c r="V450" i="1"/>
  <c r="V451" i="1"/>
  <c r="V452" i="1"/>
  <c r="V453" i="1"/>
  <c r="V454" i="1"/>
  <c r="V455" i="1"/>
  <c r="V456" i="1"/>
  <c r="V457" i="1"/>
  <c r="V458" i="1"/>
  <c r="V459" i="1"/>
  <c r="V460" i="1"/>
  <c r="V461" i="1"/>
  <c r="V462" i="1"/>
  <c r="V463" i="1"/>
  <c r="V464" i="1"/>
  <c r="V465" i="1"/>
  <c r="V466" i="1"/>
  <c r="V467" i="1"/>
  <c r="V468" i="1"/>
  <c r="V469" i="1"/>
  <c r="V470" i="1"/>
  <c r="V471" i="1"/>
  <c r="V472" i="1"/>
  <c r="V473" i="1"/>
  <c r="V474" i="1"/>
  <c r="V475" i="1"/>
  <c r="V476" i="1"/>
  <c r="V477" i="1"/>
  <c r="V478" i="1"/>
  <c r="V479" i="1"/>
  <c r="V480" i="1"/>
  <c r="V481" i="1"/>
  <c r="V482" i="1"/>
  <c r="V483" i="1"/>
  <c r="V484" i="1"/>
  <c r="V485" i="1"/>
  <c r="V486" i="1"/>
  <c r="V487" i="1"/>
  <c r="V488" i="1"/>
  <c r="V489" i="1"/>
  <c r="V490" i="1"/>
  <c r="V491" i="1"/>
  <c r="V492" i="1"/>
  <c r="V493" i="1"/>
  <c r="V494" i="1"/>
  <c r="V495" i="1"/>
  <c r="V496" i="1"/>
  <c r="V497" i="1"/>
  <c r="V498" i="1"/>
  <c r="V499" i="1"/>
  <c r="V500" i="1"/>
  <c r="V501" i="1"/>
  <c r="V502" i="1"/>
  <c r="V503" i="1"/>
  <c r="V504" i="1"/>
  <c r="V505" i="1"/>
  <c r="V506" i="1"/>
  <c r="V507" i="1"/>
  <c r="V508" i="1"/>
  <c r="V509" i="1"/>
  <c r="V510" i="1"/>
  <c r="V511" i="1"/>
  <c r="V512" i="1"/>
  <c r="V513" i="1"/>
  <c r="V514" i="1"/>
  <c r="V515" i="1"/>
  <c r="V516" i="1"/>
  <c r="V517" i="1"/>
  <c r="V518" i="1"/>
  <c r="V519" i="1"/>
  <c r="V520" i="1"/>
  <c r="V521" i="1"/>
  <c r="V522" i="1"/>
  <c r="V523" i="1"/>
  <c r="V524" i="1"/>
  <c r="V525" i="1"/>
  <c r="V526" i="1"/>
  <c r="V527" i="1"/>
  <c r="V528" i="1"/>
  <c r="V529" i="1"/>
  <c r="V530" i="1"/>
  <c r="V531" i="1"/>
  <c r="V532" i="1"/>
  <c r="V533" i="1"/>
  <c r="V534" i="1"/>
  <c r="V535" i="1"/>
  <c r="V536" i="1"/>
  <c r="V537" i="1"/>
  <c r="V538" i="1"/>
  <c r="V539" i="1"/>
  <c r="V540" i="1"/>
  <c r="V541" i="1"/>
  <c r="V542" i="1"/>
  <c r="V543" i="1"/>
  <c r="V544" i="1"/>
  <c r="V545" i="1"/>
  <c r="V546" i="1"/>
  <c r="V547" i="1"/>
  <c r="V548" i="1"/>
  <c r="V549" i="1"/>
  <c r="V550" i="1"/>
  <c r="V551" i="1"/>
  <c r="V552" i="1"/>
  <c r="V553" i="1"/>
  <c r="V554" i="1"/>
  <c r="V555" i="1"/>
  <c r="V556" i="1"/>
  <c r="V557" i="1"/>
  <c r="V558" i="1"/>
  <c r="V559" i="1"/>
  <c r="V560" i="1"/>
  <c r="V561" i="1"/>
  <c r="V562" i="1"/>
  <c r="V563" i="1"/>
  <c r="V564" i="1"/>
  <c r="V565" i="1"/>
  <c r="V566" i="1"/>
  <c r="V567" i="1"/>
  <c r="V568" i="1"/>
  <c r="V569" i="1"/>
  <c r="V570" i="1"/>
  <c r="V571" i="1"/>
  <c r="V572" i="1"/>
  <c r="V573" i="1"/>
  <c r="V574" i="1"/>
  <c r="V575" i="1"/>
  <c r="V576" i="1"/>
  <c r="V577" i="1"/>
  <c r="V578" i="1"/>
  <c r="V579" i="1"/>
  <c r="V580" i="1"/>
  <c r="V581" i="1"/>
  <c r="V582" i="1"/>
  <c r="V583" i="1"/>
  <c r="V584" i="1"/>
  <c r="V585" i="1"/>
  <c r="V586" i="1"/>
  <c r="V587" i="1"/>
  <c r="V588" i="1"/>
  <c r="V589" i="1"/>
  <c r="V590" i="1"/>
  <c r="V591" i="1"/>
  <c r="V592" i="1"/>
  <c r="V593" i="1"/>
  <c r="V594" i="1"/>
  <c r="V595" i="1"/>
  <c r="V596" i="1"/>
  <c r="V597" i="1"/>
  <c r="V598" i="1"/>
  <c r="V599" i="1"/>
  <c r="V600" i="1"/>
  <c r="V601" i="1"/>
  <c r="V602" i="1"/>
  <c r="V603" i="1"/>
  <c r="V604" i="1"/>
  <c r="V605" i="1"/>
  <c r="V606" i="1"/>
  <c r="V607" i="1"/>
  <c r="V608" i="1"/>
  <c r="V609" i="1"/>
  <c r="V610" i="1"/>
  <c r="V611" i="1"/>
  <c r="V612" i="1"/>
  <c r="V613" i="1"/>
  <c r="V614" i="1"/>
  <c r="V615" i="1"/>
  <c r="V616" i="1"/>
  <c r="V617" i="1"/>
  <c r="V618" i="1"/>
  <c r="V619" i="1"/>
  <c r="V620" i="1"/>
  <c r="V621" i="1"/>
  <c r="V622" i="1"/>
  <c r="V623" i="1"/>
  <c r="V624" i="1"/>
  <c r="V625" i="1"/>
  <c r="V626" i="1"/>
  <c r="V627" i="1"/>
  <c r="V628" i="1"/>
  <c r="V629" i="1"/>
  <c r="V630" i="1"/>
  <c r="V631" i="1"/>
  <c r="V632" i="1"/>
  <c r="V633" i="1"/>
  <c r="V634" i="1"/>
  <c r="V635" i="1"/>
  <c r="V636" i="1"/>
  <c r="V637" i="1"/>
  <c r="V638" i="1"/>
  <c r="V639" i="1"/>
  <c r="V640" i="1"/>
  <c r="V641" i="1"/>
  <c r="V642" i="1"/>
  <c r="V643" i="1"/>
  <c r="V644" i="1"/>
  <c r="V645" i="1"/>
  <c r="V646" i="1"/>
  <c r="V647" i="1"/>
  <c r="V648" i="1"/>
  <c r="V649" i="1"/>
  <c r="V650" i="1"/>
  <c r="V651" i="1"/>
  <c r="V652" i="1"/>
  <c r="V653" i="1"/>
  <c r="V654" i="1"/>
  <c r="V655" i="1"/>
  <c r="V656" i="1"/>
  <c r="V657" i="1"/>
  <c r="V658" i="1"/>
  <c r="V659" i="1"/>
  <c r="V660" i="1"/>
  <c r="V661" i="1"/>
  <c r="V662" i="1"/>
  <c r="V663" i="1"/>
  <c r="V664" i="1"/>
  <c r="V665" i="1"/>
  <c r="V666" i="1"/>
  <c r="V667" i="1"/>
  <c r="V668" i="1"/>
  <c r="V669" i="1"/>
  <c r="V670" i="1"/>
  <c r="V671" i="1"/>
  <c r="V672" i="1"/>
  <c r="V673" i="1"/>
  <c r="V674" i="1"/>
  <c r="V675" i="1"/>
  <c r="V676" i="1"/>
  <c r="V677" i="1"/>
  <c r="V678" i="1"/>
  <c r="V679" i="1"/>
  <c r="V680" i="1"/>
  <c r="V681" i="1"/>
  <c r="V682" i="1"/>
  <c r="V683" i="1"/>
  <c r="V684" i="1"/>
  <c r="V685" i="1"/>
  <c r="V686" i="1"/>
  <c r="V687" i="1"/>
  <c r="V688" i="1"/>
  <c r="V689" i="1"/>
  <c r="V690" i="1"/>
  <c r="V691" i="1"/>
  <c r="V692" i="1"/>
  <c r="V693" i="1"/>
  <c r="V694" i="1"/>
  <c r="V695" i="1"/>
  <c r="V696" i="1"/>
  <c r="V697" i="1"/>
  <c r="V698" i="1"/>
  <c r="V699" i="1"/>
  <c r="V700" i="1"/>
  <c r="V701" i="1"/>
  <c r="V702" i="1"/>
  <c r="V703" i="1"/>
  <c r="V704" i="1"/>
  <c r="V705" i="1"/>
  <c r="V706" i="1"/>
  <c r="V707" i="1"/>
  <c r="V708" i="1"/>
  <c r="V709" i="1"/>
  <c r="V710" i="1"/>
  <c r="V711" i="1"/>
  <c r="V712" i="1"/>
  <c r="V713" i="1"/>
  <c r="V714" i="1"/>
  <c r="V715" i="1"/>
  <c r="V716" i="1"/>
  <c r="V717" i="1"/>
  <c r="V718" i="1"/>
  <c r="V719" i="1"/>
  <c r="V720" i="1"/>
  <c r="V721" i="1"/>
  <c r="V722" i="1"/>
  <c r="V723" i="1"/>
  <c r="V724" i="1"/>
  <c r="V725" i="1"/>
  <c r="V726" i="1"/>
  <c r="V727" i="1"/>
  <c r="V728" i="1"/>
  <c r="V729" i="1"/>
  <c r="V730" i="1"/>
  <c r="V731" i="1"/>
  <c r="V732" i="1"/>
  <c r="V733" i="1"/>
  <c r="V734" i="1"/>
  <c r="V735" i="1"/>
  <c r="V736" i="1"/>
  <c r="V737" i="1"/>
  <c r="V738" i="1"/>
  <c r="V739" i="1"/>
  <c r="V740" i="1"/>
  <c r="V741" i="1"/>
  <c r="V742" i="1"/>
  <c r="V743" i="1"/>
  <c r="V744" i="1"/>
  <c r="V745" i="1"/>
  <c r="V746" i="1"/>
  <c r="V747" i="1"/>
  <c r="V748" i="1"/>
  <c r="V749" i="1"/>
  <c r="V750" i="1"/>
  <c r="V751" i="1"/>
  <c r="V752" i="1"/>
  <c r="V753" i="1"/>
  <c r="V754" i="1"/>
  <c r="V755" i="1"/>
  <c r="V756" i="1"/>
  <c r="V757" i="1"/>
  <c r="V758" i="1"/>
  <c r="V759" i="1"/>
  <c r="V760" i="1"/>
  <c r="V761" i="1"/>
  <c r="V762" i="1"/>
  <c r="V763" i="1"/>
  <c r="V764" i="1"/>
  <c r="V765" i="1"/>
  <c r="V766" i="1"/>
  <c r="V767" i="1"/>
  <c r="V768" i="1"/>
  <c r="V769" i="1"/>
  <c r="V770" i="1"/>
  <c r="V771" i="1"/>
  <c r="V772" i="1"/>
  <c r="V773" i="1"/>
  <c r="V774" i="1"/>
  <c r="V775" i="1"/>
  <c r="V776" i="1"/>
  <c r="V777" i="1"/>
  <c r="V778" i="1"/>
  <c r="V779" i="1"/>
  <c r="V780" i="1"/>
  <c r="V781" i="1"/>
  <c r="V782" i="1"/>
  <c r="V783" i="1"/>
  <c r="V784" i="1"/>
  <c r="V785" i="1"/>
  <c r="V786" i="1"/>
  <c r="V787" i="1"/>
  <c r="V788" i="1"/>
  <c r="V789" i="1"/>
  <c r="V790" i="1"/>
  <c r="V791" i="1"/>
  <c r="V792" i="1"/>
  <c r="V793" i="1"/>
  <c r="V794" i="1"/>
  <c r="V795" i="1"/>
  <c r="V796" i="1"/>
  <c r="V797" i="1"/>
  <c r="V798" i="1"/>
  <c r="V799" i="1"/>
  <c r="V800" i="1"/>
  <c r="V801" i="1"/>
  <c r="V802" i="1"/>
  <c r="V803" i="1"/>
  <c r="V804" i="1"/>
  <c r="V805" i="1"/>
  <c r="V806" i="1"/>
  <c r="V807" i="1"/>
  <c r="V808" i="1"/>
  <c r="V809" i="1"/>
  <c r="V810" i="1"/>
  <c r="V811" i="1"/>
  <c r="V812" i="1"/>
  <c r="V813" i="1"/>
  <c r="V814" i="1"/>
  <c r="V815" i="1"/>
  <c r="V816" i="1"/>
  <c r="V817" i="1"/>
  <c r="V818" i="1"/>
  <c r="V819" i="1"/>
  <c r="V820" i="1"/>
  <c r="V821" i="1"/>
  <c r="V822" i="1"/>
  <c r="V823" i="1"/>
  <c r="V824" i="1"/>
  <c r="V825" i="1"/>
  <c r="V826" i="1"/>
  <c r="V827" i="1"/>
  <c r="V828" i="1"/>
  <c r="V829" i="1"/>
  <c r="V830" i="1"/>
  <c r="V831" i="1"/>
  <c r="V832" i="1"/>
  <c r="V833" i="1"/>
  <c r="V834" i="1"/>
  <c r="V835" i="1"/>
  <c r="V836" i="1"/>
  <c r="V837" i="1"/>
  <c r="V838" i="1"/>
  <c r="V839" i="1"/>
  <c r="V840" i="1"/>
  <c r="V841" i="1"/>
  <c r="V842" i="1"/>
  <c r="V843" i="1"/>
  <c r="V844" i="1"/>
  <c r="V845" i="1"/>
  <c r="V846" i="1"/>
  <c r="V847" i="1"/>
  <c r="V848" i="1"/>
  <c r="V849" i="1"/>
  <c r="V850" i="1"/>
  <c r="V851" i="1"/>
  <c r="V852" i="1"/>
  <c r="V853" i="1"/>
  <c r="V854" i="1"/>
  <c r="V855" i="1"/>
  <c r="V856" i="1"/>
  <c r="V857" i="1"/>
  <c r="V858" i="1"/>
  <c r="V859" i="1"/>
  <c r="V860" i="1"/>
  <c r="V861" i="1"/>
  <c r="V862" i="1"/>
  <c r="V863" i="1"/>
  <c r="V864" i="1"/>
  <c r="V865" i="1"/>
  <c r="V866" i="1"/>
  <c r="V867" i="1"/>
  <c r="V868" i="1"/>
  <c r="V869" i="1"/>
  <c r="V870" i="1"/>
  <c r="V871" i="1"/>
  <c r="V872" i="1"/>
  <c r="V873" i="1"/>
  <c r="V874" i="1"/>
  <c r="V875" i="1"/>
  <c r="V876" i="1"/>
  <c r="V877" i="1"/>
  <c r="V878" i="1"/>
  <c r="V879" i="1"/>
  <c r="V880" i="1"/>
  <c r="V881" i="1"/>
  <c r="V882" i="1"/>
  <c r="V883" i="1"/>
  <c r="V884" i="1"/>
  <c r="V885" i="1"/>
  <c r="V886" i="1"/>
  <c r="V887" i="1"/>
  <c r="V888" i="1"/>
  <c r="V889" i="1"/>
  <c r="V890" i="1"/>
  <c r="V891" i="1"/>
  <c r="V892" i="1"/>
  <c r="V893" i="1"/>
  <c r="V894" i="1"/>
  <c r="V895" i="1"/>
  <c r="V896" i="1"/>
  <c r="V897" i="1"/>
  <c r="V898" i="1"/>
  <c r="V899" i="1"/>
  <c r="V900" i="1"/>
  <c r="V901" i="1"/>
  <c r="V902" i="1"/>
  <c r="V903" i="1"/>
  <c r="V904" i="1"/>
  <c r="V905" i="1"/>
  <c r="V906" i="1"/>
  <c r="V907" i="1"/>
  <c r="V908" i="1"/>
  <c r="V909" i="1"/>
  <c r="V910" i="1"/>
  <c r="V911" i="1"/>
  <c r="V912" i="1"/>
  <c r="V913" i="1"/>
  <c r="V914" i="1"/>
  <c r="V915" i="1"/>
  <c r="V916" i="1"/>
  <c r="V917" i="1"/>
  <c r="V918" i="1"/>
  <c r="V919" i="1"/>
  <c r="V920" i="1"/>
  <c r="V921" i="1"/>
  <c r="V922" i="1"/>
  <c r="V923" i="1"/>
  <c r="V924" i="1"/>
  <c r="V925" i="1"/>
  <c r="V926" i="1"/>
  <c r="V927" i="1"/>
  <c r="V928" i="1"/>
  <c r="V929" i="1"/>
  <c r="V930" i="1"/>
  <c r="V931" i="1"/>
  <c r="V932" i="1"/>
  <c r="V933" i="1"/>
  <c r="V934" i="1"/>
  <c r="V935" i="1"/>
  <c r="V936" i="1"/>
  <c r="V937" i="1"/>
  <c r="V938" i="1"/>
  <c r="V939" i="1"/>
  <c r="V940" i="1"/>
  <c r="V941" i="1"/>
  <c r="V942" i="1"/>
  <c r="V943" i="1"/>
  <c r="V944" i="1"/>
  <c r="V945" i="1"/>
  <c r="V946" i="1"/>
  <c r="V947" i="1"/>
  <c r="V948" i="1"/>
  <c r="V949" i="1"/>
  <c r="V950" i="1"/>
  <c r="V951" i="1"/>
  <c r="V952" i="1"/>
  <c r="V953" i="1"/>
  <c r="V954" i="1"/>
  <c r="V955" i="1"/>
  <c r="V956" i="1"/>
  <c r="V957" i="1"/>
  <c r="V958" i="1"/>
  <c r="V959" i="1"/>
  <c r="V960" i="1"/>
  <c r="V961" i="1"/>
  <c r="V962" i="1"/>
  <c r="V963" i="1"/>
  <c r="V964" i="1"/>
  <c r="V965" i="1"/>
  <c r="V966" i="1"/>
  <c r="V967" i="1"/>
  <c r="V968" i="1"/>
  <c r="V969" i="1"/>
  <c r="V970" i="1"/>
  <c r="V971" i="1"/>
  <c r="V972" i="1"/>
  <c r="V973" i="1"/>
  <c r="V974" i="1"/>
  <c r="V975" i="1"/>
  <c r="V976" i="1"/>
  <c r="V977" i="1"/>
  <c r="V978" i="1"/>
  <c r="V979" i="1"/>
  <c r="V980" i="1"/>
  <c r="V981" i="1"/>
  <c r="V982" i="1"/>
  <c r="V983" i="1"/>
  <c r="V984" i="1"/>
  <c r="V985" i="1"/>
  <c r="V986" i="1"/>
  <c r="V987" i="1"/>
  <c r="V988" i="1"/>
  <c r="V989" i="1"/>
  <c r="V990" i="1"/>
  <c r="V991" i="1"/>
  <c r="V992" i="1"/>
  <c r="V993" i="1"/>
  <c r="V994" i="1"/>
  <c r="V995" i="1"/>
  <c r="V996" i="1"/>
  <c r="V997" i="1"/>
  <c r="V998" i="1"/>
  <c r="V999" i="1"/>
  <c r="V1000" i="1"/>
  <c r="V1001" i="1"/>
  <c r="V1002" i="1"/>
  <c r="V1003" i="1"/>
  <c r="V1004" i="1"/>
  <c r="V1005" i="1"/>
  <c r="V1006" i="1"/>
  <c r="V1007" i="1"/>
  <c r="V1008" i="1"/>
  <c r="V1009" i="1"/>
  <c r="V1010" i="1"/>
  <c r="V1011" i="1"/>
  <c r="V1012" i="1"/>
  <c r="V1013" i="1"/>
  <c r="V1014" i="1"/>
  <c r="V1015" i="1"/>
  <c r="V1016" i="1"/>
  <c r="V1017" i="1"/>
  <c r="V1018" i="1"/>
  <c r="V1019" i="1"/>
  <c r="V1020" i="1"/>
  <c r="V1021" i="1"/>
  <c r="V1022" i="1"/>
  <c r="V1023" i="1"/>
  <c r="V1024" i="1"/>
  <c r="V1025" i="1"/>
  <c r="V1026" i="1"/>
  <c r="V1027" i="1"/>
  <c r="V1028" i="1"/>
  <c r="V1029" i="1"/>
  <c r="V1030" i="1"/>
  <c r="V1031" i="1"/>
  <c r="V1032" i="1"/>
  <c r="V1033" i="1"/>
  <c r="V1034" i="1"/>
  <c r="V1035" i="1"/>
  <c r="V1036" i="1"/>
  <c r="V1037" i="1"/>
  <c r="V1038" i="1"/>
  <c r="V1039" i="1"/>
  <c r="V1040" i="1"/>
  <c r="V1041" i="1"/>
  <c r="V1042" i="1"/>
  <c r="V1043" i="1"/>
  <c r="V1044" i="1"/>
  <c r="V1045" i="1"/>
  <c r="V1046" i="1"/>
  <c r="V1047" i="1"/>
  <c r="V1048" i="1"/>
  <c r="V1049" i="1"/>
  <c r="V1050" i="1"/>
  <c r="V1051" i="1"/>
  <c r="V1052" i="1"/>
  <c r="V1053" i="1"/>
  <c r="V1054" i="1"/>
  <c r="V1055" i="1"/>
  <c r="V1056" i="1"/>
  <c r="V1057" i="1"/>
  <c r="V1058" i="1"/>
  <c r="V1059" i="1"/>
  <c r="V1060" i="1"/>
  <c r="V1061" i="1"/>
  <c r="V1062" i="1"/>
  <c r="V1063" i="1"/>
  <c r="V1064" i="1"/>
  <c r="V1065" i="1"/>
  <c r="V1066" i="1"/>
  <c r="V1067" i="1"/>
  <c r="V1068" i="1"/>
  <c r="V1069" i="1"/>
  <c r="V1070" i="1"/>
  <c r="V1071" i="1"/>
  <c r="V1072" i="1"/>
  <c r="V1073" i="1"/>
  <c r="V1074" i="1"/>
  <c r="V1075" i="1"/>
  <c r="V1076" i="1"/>
  <c r="V1077" i="1"/>
  <c r="V1078" i="1"/>
  <c r="V1079" i="1"/>
  <c r="V1080" i="1"/>
  <c r="V1081" i="1"/>
  <c r="V1082" i="1"/>
  <c r="V1083" i="1"/>
  <c r="V1084" i="1"/>
  <c r="V1085" i="1"/>
  <c r="V1086" i="1"/>
  <c r="V1087" i="1"/>
  <c r="V1088" i="1"/>
  <c r="V1089" i="1"/>
  <c r="V1090" i="1"/>
  <c r="V1091" i="1"/>
  <c r="V1092" i="1"/>
  <c r="V1093" i="1"/>
  <c r="V1094" i="1"/>
  <c r="V1095" i="1"/>
  <c r="V1096" i="1"/>
  <c r="V1097" i="1"/>
  <c r="V1098" i="1"/>
  <c r="V1099" i="1"/>
  <c r="V1100" i="1"/>
  <c r="V1101" i="1"/>
  <c r="V1102" i="1"/>
  <c r="V1103" i="1"/>
  <c r="V1104" i="1"/>
  <c r="V1105" i="1"/>
  <c r="V1106" i="1"/>
  <c r="V1107" i="1"/>
  <c r="V1108" i="1"/>
  <c r="V1109" i="1"/>
  <c r="V1110" i="1"/>
  <c r="V1111" i="1"/>
  <c r="V1112" i="1"/>
  <c r="V1113" i="1"/>
  <c r="V1114" i="1"/>
  <c r="V1115" i="1"/>
  <c r="V1116" i="1"/>
  <c r="V1117" i="1"/>
  <c r="V1118" i="1"/>
  <c r="V1119" i="1"/>
  <c r="V1120" i="1"/>
  <c r="V1121" i="1"/>
  <c r="V1122" i="1"/>
  <c r="V1123" i="1"/>
  <c r="V1124" i="1"/>
  <c r="V1125" i="1"/>
  <c r="V1126" i="1"/>
  <c r="V1127" i="1"/>
  <c r="V1128" i="1"/>
  <c r="V1129" i="1"/>
  <c r="V1130" i="1"/>
  <c r="V1131" i="1"/>
  <c r="V1132" i="1"/>
  <c r="V1133" i="1"/>
  <c r="V1134" i="1"/>
  <c r="V1135" i="1"/>
  <c r="V1136" i="1"/>
  <c r="V1137" i="1"/>
  <c r="V1138" i="1"/>
  <c r="V1139" i="1"/>
  <c r="V1140" i="1"/>
  <c r="V1141" i="1"/>
  <c r="V1142" i="1"/>
  <c r="V1143" i="1"/>
  <c r="V1144" i="1"/>
  <c r="V1145" i="1"/>
  <c r="V1146" i="1"/>
  <c r="V1147" i="1"/>
  <c r="V1148" i="1"/>
  <c r="V1149" i="1"/>
  <c r="V1150" i="1"/>
  <c r="V1151" i="1"/>
  <c r="V1152" i="1"/>
  <c r="V1153" i="1"/>
  <c r="V1154" i="1"/>
  <c r="V1155" i="1"/>
  <c r="V1156" i="1"/>
  <c r="V1157" i="1"/>
  <c r="V1158" i="1"/>
  <c r="V1159" i="1"/>
  <c r="V1160" i="1"/>
  <c r="V1161" i="1"/>
  <c r="V1162" i="1"/>
  <c r="V1163" i="1"/>
  <c r="V1164" i="1"/>
  <c r="V1165" i="1"/>
  <c r="V1166" i="1"/>
  <c r="V1167" i="1"/>
  <c r="V1168" i="1"/>
  <c r="V1169" i="1"/>
  <c r="V1170" i="1"/>
  <c r="V1171" i="1"/>
  <c r="V1172" i="1"/>
  <c r="V1173" i="1"/>
  <c r="V1174" i="1"/>
  <c r="V1175" i="1"/>
  <c r="V1176" i="1"/>
  <c r="V1177" i="1"/>
  <c r="V1178" i="1"/>
  <c r="V1179" i="1"/>
  <c r="V1180" i="1"/>
  <c r="V1181" i="1"/>
  <c r="V1182" i="1"/>
  <c r="V1183" i="1"/>
  <c r="V1184" i="1"/>
  <c r="V1185" i="1"/>
  <c r="V1186" i="1"/>
  <c r="V1187" i="1"/>
  <c r="V1188" i="1"/>
  <c r="V1189" i="1"/>
  <c r="V1190" i="1"/>
  <c r="V1191" i="1"/>
  <c r="V1192" i="1"/>
  <c r="V1193" i="1"/>
  <c r="V1194" i="1"/>
  <c r="V1195" i="1"/>
  <c r="V1196" i="1"/>
  <c r="V1197" i="1"/>
  <c r="V1198" i="1"/>
  <c r="V1199" i="1"/>
  <c r="V1200" i="1"/>
  <c r="V1201" i="1"/>
  <c r="V1202" i="1"/>
  <c r="V1203" i="1"/>
  <c r="V1204" i="1"/>
  <c r="V1205" i="1"/>
  <c r="V1206" i="1"/>
  <c r="V1207" i="1"/>
  <c r="V1208" i="1"/>
  <c r="V1209" i="1"/>
  <c r="V1210" i="1"/>
  <c r="V1211" i="1"/>
  <c r="V1212" i="1"/>
  <c r="V1213" i="1"/>
  <c r="V1214" i="1"/>
  <c r="V1215" i="1"/>
  <c r="V1216" i="1"/>
  <c r="V1217" i="1"/>
  <c r="V1218" i="1"/>
  <c r="V1219" i="1"/>
  <c r="V1220" i="1"/>
  <c r="V1221" i="1"/>
  <c r="V1222" i="1"/>
  <c r="V1223" i="1"/>
  <c r="V1224" i="1"/>
  <c r="V1225" i="1"/>
  <c r="V1226" i="1"/>
  <c r="V1227" i="1"/>
  <c r="V1228" i="1"/>
  <c r="V1229" i="1"/>
  <c r="V1230" i="1"/>
  <c r="V1231" i="1"/>
  <c r="V1232" i="1"/>
  <c r="V1233" i="1"/>
  <c r="V1234" i="1"/>
  <c r="V1235" i="1"/>
  <c r="V1236" i="1"/>
  <c r="V1237" i="1"/>
  <c r="V1238" i="1"/>
  <c r="V1239" i="1"/>
  <c r="V1240" i="1"/>
  <c r="V1241" i="1"/>
  <c r="V1242" i="1"/>
  <c r="V1243" i="1"/>
  <c r="V1244" i="1"/>
  <c r="V1245" i="1"/>
  <c r="V1246" i="1"/>
  <c r="V1247" i="1"/>
  <c r="V1248" i="1"/>
  <c r="V1249" i="1"/>
  <c r="V1250" i="1"/>
  <c r="V1251" i="1"/>
  <c r="V1252" i="1"/>
  <c r="V1253" i="1"/>
  <c r="V1254" i="1"/>
  <c r="V1255" i="1"/>
  <c r="V1256" i="1"/>
  <c r="V1257" i="1"/>
  <c r="V1258" i="1"/>
  <c r="V1259" i="1"/>
  <c r="V1260" i="1"/>
  <c r="V1261" i="1"/>
  <c r="V1262" i="1"/>
  <c r="V1263" i="1"/>
  <c r="V1264" i="1"/>
  <c r="V1265" i="1"/>
  <c r="V1266" i="1"/>
  <c r="V1267" i="1"/>
  <c r="V1268" i="1"/>
  <c r="V1269" i="1"/>
  <c r="V1270" i="1"/>
  <c r="V1271" i="1"/>
  <c r="V1272" i="1"/>
  <c r="V1273" i="1"/>
  <c r="V1274" i="1"/>
  <c r="V1275" i="1"/>
  <c r="V1276" i="1"/>
  <c r="V1277" i="1"/>
  <c r="V1278" i="1"/>
  <c r="V1279" i="1"/>
  <c r="V1280" i="1"/>
  <c r="V1281" i="1"/>
  <c r="V1282" i="1"/>
  <c r="V1283" i="1"/>
  <c r="V1284" i="1"/>
  <c r="V1285" i="1"/>
  <c r="V1286" i="1"/>
  <c r="V1287" i="1"/>
  <c r="V1288" i="1"/>
  <c r="V1289" i="1"/>
  <c r="V1290" i="1"/>
  <c r="V1291" i="1"/>
  <c r="V1292" i="1"/>
  <c r="V1293" i="1"/>
  <c r="V1294" i="1"/>
  <c r="V1295" i="1"/>
  <c r="V1296" i="1"/>
  <c r="V1297" i="1"/>
  <c r="V1298" i="1"/>
  <c r="V1299" i="1"/>
  <c r="V1300" i="1"/>
  <c r="V1301" i="1"/>
  <c r="V1302" i="1"/>
  <c r="V1303" i="1"/>
  <c r="V1304" i="1"/>
  <c r="V1305" i="1"/>
  <c r="V1306" i="1"/>
  <c r="V1307" i="1"/>
  <c r="V1308" i="1"/>
  <c r="V1309" i="1"/>
  <c r="V1310" i="1"/>
  <c r="V1311" i="1"/>
  <c r="V1312" i="1"/>
  <c r="V1313" i="1"/>
  <c r="V1314" i="1"/>
  <c r="V1315" i="1"/>
  <c r="V1316" i="1"/>
  <c r="V1317" i="1"/>
  <c r="V1318" i="1"/>
  <c r="V1319" i="1"/>
  <c r="V1320" i="1"/>
  <c r="V1321" i="1"/>
  <c r="V1322" i="1"/>
  <c r="V1323" i="1"/>
  <c r="V1324" i="1"/>
  <c r="V1325" i="1"/>
  <c r="V1326" i="1"/>
  <c r="V1327" i="1"/>
  <c r="V1328" i="1"/>
  <c r="V1329" i="1"/>
  <c r="V1330" i="1"/>
  <c r="V1331" i="1"/>
  <c r="V1332" i="1"/>
  <c r="V1333" i="1"/>
  <c r="V1334" i="1"/>
  <c r="V1335" i="1"/>
  <c r="V1336" i="1"/>
  <c r="V1337" i="1"/>
  <c r="V1338" i="1"/>
  <c r="V1339" i="1"/>
  <c r="V1340" i="1"/>
  <c r="V1341" i="1"/>
  <c r="V1342" i="1"/>
  <c r="V1343" i="1"/>
  <c r="V1344" i="1"/>
  <c r="V1345" i="1"/>
  <c r="V1346" i="1"/>
  <c r="V1347" i="1"/>
  <c r="V1348" i="1"/>
  <c r="V1349" i="1"/>
  <c r="V1350" i="1"/>
  <c r="V1351" i="1"/>
  <c r="V1352" i="1"/>
  <c r="V1353" i="1"/>
  <c r="V1354" i="1"/>
  <c r="V1355" i="1"/>
  <c r="V1356" i="1"/>
  <c r="V1357" i="1"/>
  <c r="V1358" i="1"/>
  <c r="V1359" i="1"/>
  <c r="V1360" i="1"/>
  <c r="V1361" i="1"/>
  <c r="V1362" i="1"/>
  <c r="V1363" i="1"/>
  <c r="V1364" i="1"/>
  <c r="V1365" i="1"/>
  <c r="V1366" i="1"/>
  <c r="V1367" i="1"/>
  <c r="V1368" i="1"/>
  <c r="V1369" i="1"/>
  <c r="V1370" i="1"/>
  <c r="V1371" i="1"/>
  <c r="V1372" i="1"/>
  <c r="V1373" i="1"/>
  <c r="V1374" i="1"/>
  <c r="V1375" i="1"/>
  <c r="V1376" i="1"/>
  <c r="V1377" i="1"/>
  <c r="V1378" i="1"/>
  <c r="V1379" i="1"/>
  <c r="V1380" i="1"/>
  <c r="V1381" i="1"/>
  <c r="V1382" i="1"/>
  <c r="V1383" i="1"/>
  <c r="V1384" i="1"/>
  <c r="V1385" i="1"/>
  <c r="V1386" i="1"/>
  <c r="V1387" i="1"/>
  <c r="V1388" i="1"/>
  <c r="V1389" i="1"/>
  <c r="V1390" i="1"/>
  <c r="V1391" i="1"/>
  <c r="V1392" i="1"/>
  <c r="V1393" i="1"/>
  <c r="V1394" i="1"/>
  <c r="V1395" i="1"/>
  <c r="V1396" i="1"/>
  <c r="V1397" i="1"/>
  <c r="V1398" i="1"/>
  <c r="V1399" i="1"/>
  <c r="V1400" i="1"/>
  <c r="V1401" i="1"/>
  <c r="V1402" i="1"/>
  <c r="V1403" i="1"/>
  <c r="V1404" i="1"/>
  <c r="V1405" i="1"/>
  <c r="V1406" i="1"/>
  <c r="V1407" i="1"/>
  <c r="V1408" i="1"/>
  <c r="V1409" i="1"/>
  <c r="V1410" i="1"/>
  <c r="V1411" i="1"/>
  <c r="V1412" i="1"/>
  <c r="V1413" i="1"/>
  <c r="V1414" i="1"/>
  <c r="V1415" i="1"/>
  <c r="V1416" i="1"/>
  <c r="V1417" i="1"/>
  <c r="V1418" i="1"/>
  <c r="V1419" i="1"/>
  <c r="V1420" i="1"/>
  <c r="V1421" i="1"/>
  <c r="V1422" i="1"/>
  <c r="V1423" i="1"/>
  <c r="V1424" i="1"/>
  <c r="V1425" i="1"/>
  <c r="V1426" i="1"/>
  <c r="V1427" i="1"/>
  <c r="V1428" i="1"/>
  <c r="V1429" i="1"/>
  <c r="V1430" i="1"/>
  <c r="V1431" i="1"/>
  <c r="V1432" i="1"/>
  <c r="V1433" i="1"/>
  <c r="V1434" i="1"/>
  <c r="V1435" i="1"/>
  <c r="V1436" i="1"/>
  <c r="V1437" i="1"/>
  <c r="V1438" i="1"/>
  <c r="V1439" i="1"/>
  <c r="V1440" i="1"/>
  <c r="V1441" i="1"/>
  <c r="V1442" i="1"/>
  <c r="V1443" i="1"/>
  <c r="V1444" i="1"/>
  <c r="V1445" i="1"/>
  <c r="V1446" i="1"/>
  <c r="V1447" i="1"/>
  <c r="V1448" i="1"/>
  <c r="V1449" i="1"/>
  <c r="V1450" i="1"/>
  <c r="V1451" i="1"/>
  <c r="V1452" i="1"/>
  <c r="V1453" i="1"/>
  <c r="V1454" i="1"/>
  <c r="V1455" i="1"/>
  <c r="V1456" i="1"/>
  <c r="V1457" i="1"/>
  <c r="V1458" i="1"/>
  <c r="V1459" i="1"/>
  <c r="V1460" i="1"/>
  <c r="V1461" i="1"/>
  <c r="V1462" i="1"/>
  <c r="V1463" i="1"/>
  <c r="V1464" i="1"/>
  <c r="V1465" i="1"/>
  <c r="V1466" i="1"/>
  <c r="V1467" i="1"/>
  <c r="V1468" i="1"/>
  <c r="V1469" i="1"/>
  <c r="V1470" i="1"/>
  <c r="V1471" i="1"/>
  <c r="V1472" i="1"/>
  <c r="V1473" i="1"/>
  <c r="V1474" i="1"/>
  <c r="V1475" i="1"/>
  <c r="V1476" i="1"/>
  <c r="V1477" i="1"/>
  <c r="V1478" i="1"/>
  <c r="V1479" i="1"/>
  <c r="V1480" i="1"/>
  <c r="V1481" i="1"/>
  <c r="V1482" i="1"/>
  <c r="V1483" i="1"/>
  <c r="V1484" i="1"/>
  <c r="V1485" i="1"/>
  <c r="V1486" i="1"/>
  <c r="V1487" i="1"/>
  <c r="V1488" i="1"/>
  <c r="V1489" i="1"/>
  <c r="V1490" i="1"/>
  <c r="V1491" i="1"/>
  <c r="V1492" i="1"/>
  <c r="V1493" i="1"/>
  <c r="V1494" i="1"/>
  <c r="V1495" i="1"/>
  <c r="V1496" i="1"/>
  <c r="V1497" i="1"/>
  <c r="V1498" i="1"/>
  <c r="V1499" i="1"/>
  <c r="V1500" i="1"/>
  <c r="V1501" i="1"/>
  <c r="V1502" i="1"/>
  <c r="V1503" i="1"/>
  <c r="V1504" i="1"/>
  <c r="V1505" i="1"/>
  <c r="V1506" i="1"/>
  <c r="V1507" i="1"/>
  <c r="V1508" i="1"/>
  <c r="V1509" i="1"/>
  <c r="V1510" i="1"/>
  <c r="V1511" i="1"/>
  <c r="V1512" i="1"/>
  <c r="V1513" i="1"/>
  <c r="V1514" i="1"/>
  <c r="V1515" i="1"/>
  <c r="V1516" i="1"/>
  <c r="V1517" i="1"/>
  <c r="V1518" i="1"/>
  <c r="V1519" i="1"/>
  <c r="V1520" i="1"/>
  <c r="V1521" i="1"/>
  <c r="V1522" i="1"/>
  <c r="V1523" i="1"/>
  <c r="V1524" i="1"/>
  <c r="V1525" i="1"/>
  <c r="V1526" i="1"/>
  <c r="V1527" i="1"/>
  <c r="V1528" i="1"/>
  <c r="V1529" i="1"/>
  <c r="V1530" i="1"/>
  <c r="V1531" i="1"/>
  <c r="V1532" i="1"/>
  <c r="V1533" i="1"/>
  <c r="V1534" i="1"/>
  <c r="V1535" i="1"/>
  <c r="V1536" i="1"/>
  <c r="V1537" i="1"/>
  <c r="V1538" i="1"/>
  <c r="V1539" i="1"/>
  <c r="V1540" i="1"/>
  <c r="V1541" i="1"/>
  <c r="V1542" i="1"/>
  <c r="V1543" i="1"/>
  <c r="V1544" i="1"/>
  <c r="V1545" i="1"/>
  <c r="V1546" i="1"/>
  <c r="V1547" i="1"/>
  <c r="V1548" i="1"/>
  <c r="V1549" i="1"/>
  <c r="V1550" i="1"/>
  <c r="V1551" i="1"/>
  <c r="V1552" i="1"/>
  <c r="V1553" i="1"/>
  <c r="V1554" i="1"/>
  <c r="V1555" i="1"/>
  <c r="V1556" i="1"/>
  <c r="V1557" i="1"/>
  <c r="V1558" i="1"/>
  <c r="V1559" i="1"/>
  <c r="V1560" i="1"/>
  <c r="V1561" i="1"/>
  <c r="V1562" i="1"/>
  <c r="V1563" i="1"/>
  <c r="V1564" i="1"/>
  <c r="V1565" i="1"/>
  <c r="V1566" i="1"/>
  <c r="V1567" i="1"/>
  <c r="V1568" i="1"/>
  <c r="V1569" i="1"/>
  <c r="V1570" i="1"/>
  <c r="V1571" i="1"/>
  <c r="V1572" i="1"/>
  <c r="V1573" i="1"/>
  <c r="V1574" i="1"/>
  <c r="V1575" i="1"/>
  <c r="V1576" i="1"/>
  <c r="V1577" i="1"/>
  <c r="V1578" i="1"/>
  <c r="V1579" i="1"/>
  <c r="V1580" i="1"/>
  <c r="V1581" i="1"/>
  <c r="V1582" i="1"/>
  <c r="V1583" i="1"/>
  <c r="V1584" i="1"/>
  <c r="V1585" i="1"/>
  <c r="V1586" i="1"/>
  <c r="V1587" i="1"/>
  <c r="V1588" i="1"/>
  <c r="V1589" i="1"/>
  <c r="V1590" i="1"/>
  <c r="V1591" i="1"/>
  <c r="V1592" i="1"/>
  <c r="V1593" i="1"/>
  <c r="V1594" i="1"/>
  <c r="V1595" i="1"/>
  <c r="V1596" i="1"/>
  <c r="V1597" i="1"/>
  <c r="V1598" i="1"/>
  <c r="V1599" i="1"/>
  <c r="V1600" i="1"/>
  <c r="V1601" i="1"/>
  <c r="V1602" i="1"/>
  <c r="V1603" i="1"/>
  <c r="V1604" i="1"/>
  <c r="V1605" i="1"/>
  <c r="V1606" i="1"/>
  <c r="V1607" i="1"/>
  <c r="V1608" i="1"/>
  <c r="V1609" i="1"/>
  <c r="V1610" i="1"/>
  <c r="V1611" i="1"/>
  <c r="V1612" i="1"/>
  <c r="V1613" i="1"/>
  <c r="V1614" i="1"/>
  <c r="V1615" i="1"/>
  <c r="V1616" i="1"/>
  <c r="V1617" i="1"/>
  <c r="V1618" i="1"/>
  <c r="V1619" i="1"/>
  <c r="V1620" i="1"/>
  <c r="V1621" i="1"/>
  <c r="V1622" i="1"/>
  <c r="V1623" i="1"/>
  <c r="V1624" i="1"/>
  <c r="V1625" i="1"/>
  <c r="V1626" i="1"/>
  <c r="V1627" i="1"/>
  <c r="V1628" i="1"/>
  <c r="V1629" i="1"/>
  <c r="V1630" i="1"/>
  <c r="V1631" i="1"/>
  <c r="V1632" i="1"/>
  <c r="V1633" i="1"/>
  <c r="V1634" i="1"/>
  <c r="V1635" i="1"/>
  <c r="V1636" i="1"/>
  <c r="V1637" i="1"/>
  <c r="V1638" i="1"/>
  <c r="V1639" i="1"/>
  <c r="V1640" i="1"/>
  <c r="V1641" i="1"/>
  <c r="V1642" i="1"/>
  <c r="V1643" i="1"/>
  <c r="V1644" i="1"/>
  <c r="V1645" i="1"/>
  <c r="V1646" i="1"/>
  <c r="V1647" i="1"/>
  <c r="V1648" i="1"/>
  <c r="V1649" i="1"/>
  <c r="V1650" i="1"/>
  <c r="V1651" i="1"/>
  <c r="V1652" i="1"/>
  <c r="V1653" i="1"/>
  <c r="V1654" i="1"/>
  <c r="V1655" i="1"/>
  <c r="V1656" i="1"/>
  <c r="V1657" i="1"/>
  <c r="V1658" i="1"/>
  <c r="V1659" i="1"/>
  <c r="V1660" i="1"/>
  <c r="V1661" i="1"/>
  <c r="V1662" i="1"/>
  <c r="V1663" i="1"/>
  <c r="V1664" i="1"/>
  <c r="V1665" i="1"/>
  <c r="V1666" i="1"/>
  <c r="V1667" i="1"/>
  <c r="V1668" i="1"/>
  <c r="V1669" i="1"/>
  <c r="V1670" i="1"/>
  <c r="V1671" i="1"/>
  <c r="V1672" i="1"/>
  <c r="V1673" i="1"/>
  <c r="V1674" i="1"/>
  <c r="V1675" i="1"/>
  <c r="V1676" i="1"/>
  <c r="V1677" i="1"/>
  <c r="V1678" i="1"/>
  <c r="V1679" i="1"/>
  <c r="V1680" i="1"/>
  <c r="V1681" i="1"/>
  <c r="V1682" i="1"/>
  <c r="V1683" i="1"/>
  <c r="V1684" i="1"/>
  <c r="V1685" i="1"/>
  <c r="V1686" i="1"/>
  <c r="V1687" i="1"/>
  <c r="V1688" i="1"/>
  <c r="V1689" i="1"/>
  <c r="V1690" i="1"/>
  <c r="V1691" i="1"/>
  <c r="V1692" i="1"/>
  <c r="V1693" i="1"/>
  <c r="V1694" i="1"/>
  <c r="V1695" i="1"/>
  <c r="V1696" i="1"/>
  <c r="V1697" i="1"/>
  <c r="V1698" i="1"/>
  <c r="V1699" i="1"/>
  <c r="V1700" i="1"/>
  <c r="V1701" i="1"/>
  <c r="V1702" i="1"/>
  <c r="V1703" i="1"/>
  <c r="V1704" i="1"/>
  <c r="V1705" i="1"/>
  <c r="V1706" i="1"/>
  <c r="V1707" i="1"/>
  <c r="V1708" i="1"/>
  <c r="V1709" i="1"/>
  <c r="V1710" i="1"/>
  <c r="V1711" i="1"/>
  <c r="V1712" i="1"/>
  <c r="V1713" i="1"/>
  <c r="V1714" i="1"/>
  <c r="V1715" i="1"/>
  <c r="V1716" i="1"/>
  <c r="V1717" i="1"/>
  <c r="V1718" i="1"/>
  <c r="V1719" i="1"/>
  <c r="V1720" i="1"/>
  <c r="V1721" i="1"/>
  <c r="V1722" i="1"/>
  <c r="V1723" i="1"/>
  <c r="V1724" i="1"/>
  <c r="V1725" i="1"/>
  <c r="V1726" i="1"/>
  <c r="V1727" i="1"/>
  <c r="V1728" i="1"/>
  <c r="V1729" i="1"/>
  <c r="V1730" i="1"/>
  <c r="V1731" i="1"/>
  <c r="V1732" i="1"/>
  <c r="V1733" i="1"/>
  <c r="V1734" i="1"/>
  <c r="V1735" i="1"/>
  <c r="V1736" i="1"/>
  <c r="V1737" i="1"/>
  <c r="V1738" i="1"/>
  <c r="V1739" i="1"/>
  <c r="V1740" i="1"/>
  <c r="V1741" i="1"/>
  <c r="V1742" i="1"/>
  <c r="V1743" i="1"/>
  <c r="V1744" i="1"/>
  <c r="V1745" i="1"/>
  <c r="V1746" i="1"/>
  <c r="V1747" i="1"/>
  <c r="V1748" i="1"/>
  <c r="V1749" i="1"/>
  <c r="V1750" i="1"/>
  <c r="V1751" i="1"/>
  <c r="V1752" i="1"/>
  <c r="V1753" i="1"/>
  <c r="V1754" i="1"/>
  <c r="V1755" i="1"/>
  <c r="V1756" i="1"/>
  <c r="V1757" i="1"/>
  <c r="V1758" i="1"/>
  <c r="V1759" i="1"/>
  <c r="V1760" i="1"/>
  <c r="V1761" i="1"/>
  <c r="V1762" i="1"/>
  <c r="V1763" i="1"/>
  <c r="V1764" i="1"/>
  <c r="V1765" i="1"/>
  <c r="V1766" i="1"/>
  <c r="V1767" i="1"/>
  <c r="V1768" i="1"/>
  <c r="V1769" i="1"/>
  <c r="V1770" i="1"/>
  <c r="V1771" i="1"/>
  <c r="V1772" i="1"/>
  <c r="V1773" i="1"/>
  <c r="V1774" i="1"/>
  <c r="V1775" i="1"/>
  <c r="V1776" i="1"/>
  <c r="V1777" i="1"/>
  <c r="V1778" i="1"/>
  <c r="V1779" i="1"/>
  <c r="V1780" i="1"/>
  <c r="V1781" i="1"/>
  <c r="V1782" i="1"/>
  <c r="V1783" i="1"/>
  <c r="V1784" i="1"/>
  <c r="V1785" i="1"/>
  <c r="V1786" i="1"/>
  <c r="V1787" i="1"/>
  <c r="V1788" i="1"/>
  <c r="V1789" i="1"/>
  <c r="V1790" i="1"/>
  <c r="V1791" i="1"/>
  <c r="V1792" i="1"/>
  <c r="V1793" i="1"/>
  <c r="V1794" i="1"/>
  <c r="V1795" i="1"/>
  <c r="V1796" i="1"/>
  <c r="V1797" i="1"/>
  <c r="V1798" i="1"/>
  <c r="V1799" i="1"/>
  <c r="V1800" i="1"/>
  <c r="V1801" i="1"/>
  <c r="V1802" i="1"/>
  <c r="V1803" i="1"/>
  <c r="V1804" i="1"/>
  <c r="V1805" i="1"/>
  <c r="V1806" i="1"/>
  <c r="V1807" i="1"/>
  <c r="V1808" i="1"/>
  <c r="V1809" i="1"/>
  <c r="V1810" i="1"/>
  <c r="V1811" i="1"/>
  <c r="V1812" i="1"/>
  <c r="V1813" i="1"/>
  <c r="V1814" i="1"/>
  <c r="V1815" i="1"/>
  <c r="V1816" i="1"/>
  <c r="V1817" i="1"/>
  <c r="V1818" i="1"/>
  <c r="V1819" i="1"/>
  <c r="V1820" i="1"/>
  <c r="V1821" i="1"/>
  <c r="V1822" i="1"/>
  <c r="V1823" i="1"/>
  <c r="V1824" i="1"/>
  <c r="V1825" i="1"/>
  <c r="V1826" i="1"/>
  <c r="V1827" i="1"/>
  <c r="V1828" i="1"/>
  <c r="V1829" i="1"/>
  <c r="V1830" i="1"/>
  <c r="V1831" i="1"/>
  <c r="V1832" i="1"/>
  <c r="V1833" i="1"/>
  <c r="V1834" i="1"/>
  <c r="V1835" i="1"/>
  <c r="V1836" i="1"/>
  <c r="V1837" i="1"/>
  <c r="V1838" i="1"/>
  <c r="V1839" i="1"/>
  <c r="V1840" i="1"/>
  <c r="V1841" i="1"/>
  <c r="V1842" i="1"/>
  <c r="V1843" i="1"/>
  <c r="V1844" i="1"/>
  <c r="V1845" i="1"/>
  <c r="V1846" i="1"/>
  <c r="V1847" i="1"/>
  <c r="V1848" i="1"/>
  <c r="V1849" i="1"/>
  <c r="V1850" i="1"/>
  <c r="V1851" i="1"/>
  <c r="V1852" i="1"/>
  <c r="V1853" i="1"/>
  <c r="V1854" i="1"/>
  <c r="V1855" i="1"/>
  <c r="V1856" i="1"/>
  <c r="V1857" i="1"/>
  <c r="V1858" i="1"/>
  <c r="V1859" i="1"/>
  <c r="V1860" i="1"/>
  <c r="V1861" i="1"/>
  <c r="V1862" i="1"/>
  <c r="V1863" i="1"/>
  <c r="V1864" i="1"/>
  <c r="V1865" i="1"/>
  <c r="V1866" i="1"/>
  <c r="V1867" i="1"/>
  <c r="V1868" i="1"/>
  <c r="V1869" i="1"/>
  <c r="V1870" i="1"/>
  <c r="V1871" i="1"/>
  <c r="V1872" i="1"/>
  <c r="V1873" i="1"/>
  <c r="V1874" i="1"/>
  <c r="V1875" i="1"/>
  <c r="V1876" i="1"/>
  <c r="V1877" i="1"/>
  <c r="V1878" i="1"/>
  <c r="V1879" i="1"/>
  <c r="V1880" i="1"/>
  <c r="V1881" i="1"/>
  <c r="V1882" i="1"/>
  <c r="V1883" i="1"/>
  <c r="V1884" i="1"/>
  <c r="V1885" i="1"/>
  <c r="V1886" i="1"/>
  <c r="V1887" i="1"/>
  <c r="V1888" i="1"/>
  <c r="V1889" i="1"/>
  <c r="V1890" i="1"/>
  <c r="V1891" i="1"/>
  <c r="V1892" i="1"/>
  <c r="V1893" i="1"/>
  <c r="V1894" i="1"/>
  <c r="V1895" i="1"/>
  <c r="V1896" i="1"/>
  <c r="V1897" i="1"/>
  <c r="V1898" i="1"/>
  <c r="V1899" i="1"/>
  <c r="V1900" i="1"/>
  <c r="V1901" i="1"/>
  <c r="V1902" i="1"/>
  <c r="V1903" i="1"/>
  <c r="V1904" i="1"/>
  <c r="V1905" i="1"/>
  <c r="V1906" i="1"/>
  <c r="V1907" i="1"/>
  <c r="V1908" i="1"/>
  <c r="V1909" i="1"/>
  <c r="V1910" i="1"/>
  <c r="V1911" i="1"/>
  <c r="V1912" i="1"/>
  <c r="V1913" i="1"/>
  <c r="V1914" i="1"/>
  <c r="V1915" i="1"/>
  <c r="V1916" i="1"/>
  <c r="V1917" i="1"/>
  <c r="V1918" i="1"/>
  <c r="V1919" i="1"/>
  <c r="V1920" i="1"/>
  <c r="V1921" i="1"/>
  <c r="V1922" i="1"/>
  <c r="V1923" i="1"/>
  <c r="V1924" i="1"/>
  <c r="V1925" i="1"/>
  <c r="V1926" i="1"/>
  <c r="V1927" i="1"/>
  <c r="V1928" i="1"/>
  <c r="V1929" i="1"/>
  <c r="V1930" i="1"/>
  <c r="V1931" i="1"/>
  <c r="V1932" i="1"/>
  <c r="V1933" i="1"/>
  <c r="V1934" i="1"/>
  <c r="V1935" i="1"/>
  <c r="V1936" i="1"/>
  <c r="V1937" i="1"/>
  <c r="V1938" i="1"/>
  <c r="V1939" i="1"/>
  <c r="V1940" i="1"/>
  <c r="V1941" i="1"/>
  <c r="V1942" i="1"/>
  <c r="V1943" i="1"/>
  <c r="V1944" i="1"/>
  <c r="V1945" i="1"/>
  <c r="V1946" i="1"/>
  <c r="V1947" i="1"/>
  <c r="V1948" i="1"/>
  <c r="V1949" i="1"/>
  <c r="V1950" i="1"/>
  <c r="V1951" i="1"/>
  <c r="V1952" i="1"/>
  <c r="V1953" i="1"/>
  <c r="V1954" i="1"/>
  <c r="V1955" i="1"/>
  <c r="V1956" i="1"/>
  <c r="V1957" i="1"/>
  <c r="V1958" i="1"/>
  <c r="V1959" i="1"/>
  <c r="V1960" i="1"/>
  <c r="V1961" i="1"/>
  <c r="V1962" i="1"/>
  <c r="V1963" i="1"/>
  <c r="V1964" i="1"/>
  <c r="V1965" i="1"/>
  <c r="V1966" i="1"/>
  <c r="V1967" i="1"/>
  <c r="V1968" i="1"/>
  <c r="V1969" i="1"/>
  <c r="V1970" i="1"/>
  <c r="V1971" i="1"/>
  <c r="V1972" i="1"/>
  <c r="V1973" i="1"/>
  <c r="V1974" i="1"/>
  <c r="V1975" i="1"/>
  <c r="V1976" i="1"/>
  <c r="V1977" i="1"/>
  <c r="V1978" i="1"/>
  <c r="V1979" i="1"/>
  <c r="V1980" i="1"/>
  <c r="V1981" i="1"/>
  <c r="V1982" i="1"/>
  <c r="V1983" i="1"/>
  <c r="V1984" i="1"/>
  <c r="V1985" i="1"/>
  <c r="V1986" i="1"/>
  <c r="V1987" i="1"/>
  <c r="V1988" i="1"/>
  <c r="V1989" i="1"/>
  <c r="V1990" i="1"/>
  <c r="V1991" i="1"/>
  <c r="V1992" i="1"/>
  <c r="V1993" i="1"/>
  <c r="V1994" i="1"/>
  <c r="V1995" i="1"/>
  <c r="V1996" i="1"/>
  <c r="V1997" i="1"/>
  <c r="V1998" i="1"/>
  <c r="V1999" i="1"/>
  <c r="V2000" i="1"/>
  <c r="V2001" i="1"/>
  <c r="U3" i="1"/>
  <c r="U4" i="1"/>
  <c r="U5" i="1"/>
  <c r="U6" i="1"/>
  <c r="U7" i="1"/>
  <c r="U8" i="1"/>
  <c r="U9" i="1"/>
  <c r="U10" i="1"/>
  <c r="U11" i="1"/>
  <c r="U12" i="1"/>
  <c r="U13" i="1"/>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U59" i="1"/>
  <c r="U60" i="1"/>
  <c r="U61" i="1"/>
  <c r="U62" i="1"/>
  <c r="U63" i="1"/>
  <c r="U64" i="1"/>
  <c r="U65" i="1"/>
  <c r="U66" i="1"/>
  <c r="U67" i="1"/>
  <c r="U68" i="1"/>
  <c r="U69" i="1"/>
  <c r="U70" i="1"/>
  <c r="U71" i="1"/>
  <c r="U72" i="1"/>
  <c r="U73" i="1"/>
  <c r="U74" i="1"/>
  <c r="U75" i="1"/>
  <c r="U76" i="1"/>
  <c r="U77" i="1"/>
  <c r="U78" i="1"/>
  <c r="U79" i="1"/>
  <c r="U80" i="1"/>
  <c r="U81" i="1"/>
  <c r="U82" i="1"/>
  <c r="U83" i="1"/>
  <c r="U84" i="1"/>
  <c r="U85" i="1"/>
  <c r="U86" i="1"/>
  <c r="U87" i="1"/>
  <c r="U88" i="1"/>
  <c r="U89" i="1"/>
  <c r="U90" i="1"/>
  <c r="U91" i="1"/>
  <c r="U92" i="1"/>
  <c r="U93" i="1"/>
  <c r="U94" i="1"/>
  <c r="U95" i="1"/>
  <c r="U96" i="1"/>
  <c r="U97" i="1"/>
  <c r="U98" i="1"/>
  <c r="U99" i="1"/>
  <c r="U100" i="1"/>
  <c r="U101" i="1"/>
  <c r="U102" i="1"/>
  <c r="U103" i="1"/>
  <c r="U104" i="1"/>
  <c r="U105" i="1"/>
  <c r="U106" i="1"/>
  <c r="U107" i="1"/>
  <c r="U108" i="1"/>
  <c r="U109" i="1"/>
  <c r="U110" i="1"/>
  <c r="U111" i="1"/>
  <c r="U112" i="1"/>
  <c r="U113" i="1"/>
  <c r="U114" i="1"/>
  <c r="U115" i="1"/>
  <c r="U116" i="1"/>
  <c r="U117" i="1"/>
  <c r="U118" i="1"/>
  <c r="U119" i="1"/>
  <c r="U120" i="1"/>
  <c r="U121" i="1"/>
  <c r="U122" i="1"/>
  <c r="U123" i="1"/>
  <c r="U124" i="1"/>
  <c r="U125" i="1"/>
  <c r="U126" i="1"/>
  <c r="U127" i="1"/>
  <c r="U128" i="1"/>
  <c r="U129" i="1"/>
  <c r="U130" i="1"/>
  <c r="U131" i="1"/>
  <c r="U132" i="1"/>
  <c r="U133" i="1"/>
  <c r="U134" i="1"/>
  <c r="U135" i="1"/>
  <c r="U136" i="1"/>
  <c r="U137" i="1"/>
  <c r="U138" i="1"/>
  <c r="U139" i="1"/>
  <c r="U140" i="1"/>
  <c r="U141" i="1"/>
  <c r="U142" i="1"/>
  <c r="U143" i="1"/>
  <c r="U144" i="1"/>
  <c r="U145" i="1"/>
  <c r="U146" i="1"/>
  <c r="U147" i="1"/>
  <c r="U148" i="1"/>
  <c r="U149" i="1"/>
  <c r="U150" i="1"/>
  <c r="U151" i="1"/>
  <c r="U152" i="1"/>
  <c r="U153" i="1"/>
  <c r="U154" i="1"/>
  <c r="U155" i="1"/>
  <c r="U156" i="1"/>
  <c r="U157" i="1"/>
  <c r="U158" i="1"/>
  <c r="U159" i="1"/>
  <c r="U160" i="1"/>
  <c r="U161" i="1"/>
  <c r="U162" i="1"/>
  <c r="U163" i="1"/>
  <c r="U164" i="1"/>
  <c r="U165" i="1"/>
  <c r="U166" i="1"/>
  <c r="U167" i="1"/>
  <c r="U168" i="1"/>
  <c r="U169" i="1"/>
  <c r="U170" i="1"/>
  <c r="U171" i="1"/>
  <c r="U172" i="1"/>
  <c r="U173" i="1"/>
  <c r="U174" i="1"/>
  <c r="U175" i="1"/>
  <c r="U176" i="1"/>
  <c r="U177" i="1"/>
  <c r="U178" i="1"/>
  <c r="U179" i="1"/>
  <c r="U180" i="1"/>
  <c r="U181" i="1"/>
  <c r="U182" i="1"/>
  <c r="U183" i="1"/>
  <c r="U184" i="1"/>
  <c r="U185" i="1"/>
  <c r="U186" i="1"/>
  <c r="U187" i="1"/>
  <c r="U188" i="1"/>
  <c r="U189" i="1"/>
  <c r="U190" i="1"/>
  <c r="U191" i="1"/>
  <c r="U192" i="1"/>
  <c r="U193" i="1"/>
  <c r="U194" i="1"/>
  <c r="U195" i="1"/>
  <c r="U196" i="1"/>
  <c r="U197" i="1"/>
  <c r="U198" i="1"/>
  <c r="U199" i="1"/>
  <c r="U200" i="1"/>
  <c r="U201" i="1"/>
  <c r="U202" i="1"/>
  <c r="U203" i="1"/>
  <c r="U204" i="1"/>
  <c r="U205" i="1"/>
  <c r="U206" i="1"/>
  <c r="U207" i="1"/>
  <c r="U208" i="1"/>
  <c r="U209" i="1"/>
  <c r="U210" i="1"/>
  <c r="U211" i="1"/>
  <c r="U212" i="1"/>
  <c r="U213" i="1"/>
  <c r="U214" i="1"/>
  <c r="U215" i="1"/>
  <c r="U216" i="1"/>
  <c r="U217" i="1"/>
  <c r="U218" i="1"/>
  <c r="U219" i="1"/>
  <c r="U220" i="1"/>
  <c r="U221" i="1"/>
  <c r="U222" i="1"/>
  <c r="U223" i="1"/>
  <c r="U224" i="1"/>
  <c r="U225" i="1"/>
  <c r="U226" i="1"/>
  <c r="U227" i="1"/>
  <c r="U228" i="1"/>
  <c r="U229" i="1"/>
  <c r="U230" i="1"/>
  <c r="U231" i="1"/>
  <c r="U232" i="1"/>
  <c r="U233" i="1"/>
  <c r="U234" i="1"/>
  <c r="U235" i="1"/>
  <c r="U236" i="1"/>
  <c r="U237" i="1"/>
  <c r="U238" i="1"/>
  <c r="U239" i="1"/>
  <c r="U240" i="1"/>
  <c r="U241" i="1"/>
  <c r="U242" i="1"/>
  <c r="U243" i="1"/>
  <c r="U244" i="1"/>
  <c r="U245" i="1"/>
  <c r="U246" i="1"/>
  <c r="U247" i="1"/>
  <c r="U248" i="1"/>
  <c r="U249" i="1"/>
  <c r="U250" i="1"/>
  <c r="U251" i="1"/>
  <c r="U252" i="1"/>
  <c r="U253" i="1"/>
  <c r="U254" i="1"/>
  <c r="U255" i="1"/>
  <c r="U256" i="1"/>
  <c r="U257" i="1"/>
  <c r="U258" i="1"/>
  <c r="U259" i="1"/>
  <c r="U260" i="1"/>
  <c r="U261" i="1"/>
  <c r="U262" i="1"/>
  <c r="U263" i="1"/>
  <c r="U264" i="1"/>
  <c r="U265" i="1"/>
  <c r="U266" i="1"/>
  <c r="U267" i="1"/>
  <c r="U268" i="1"/>
  <c r="U269" i="1"/>
  <c r="U270" i="1"/>
  <c r="U271" i="1"/>
  <c r="U272" i="1"/>
  <c r="U273" i="1"/>
  <c r="U274" i="1"/>
  <c r="U275" i="1"/>
  <c r="U276" i="1"/>
  <c r="U277" i="1"/>
  <c r="U278" i="1"/>
  <c r="U279" i="1"/>
  <c r="U280" i="1"/>
  <c r="U281" i="1"/>
  <c r="U282" i="1"/>
  <c r="U283" i="1"/>
  <c r="U284" i="1"/>
  <c r="U285" i="1"/>
  <c r="U286" i="1"/>
  <c r="U287" i="1"/>
  <c r="U288" i="1"/>
  <c r="U289" i="1"/>
  <c r="U290" i="1"/>
  <c r="U291" i="1"/>
  <c r="U292" i="1"/>
  <c r="U293" i="1"/>
  <c r="U294" i="1"/>
  <c r="U295" i="1"/>
  <c r="U296" i="1"/>
  <c r="U297" i="1"/>
  <c r="U298" i="1"/>
  <c r="U299" i="1"/>
  <c r="U300" i="1"/>
  <c r="U301" i="1"/>
  <c r="U302" i="1"/>
  <c r="U303" i="1"/>
  <c r="U304" i="1"/>
  <c r="U305" i="1"/>
  <c r="U306" i="1"/>
  <c r="U307" i="1"/>
  <c r="U308" i="1"/>
  <c r="U309" i="1"/>
  <c r="U310" i="1"/>
  <c r="U311" i="1"/>
  <c r="U312" i="1"/>
  <c r="U313" i="1"/>
  <c r="U314" i="1"/>
  <c r="U315" i="1"/>
  <c r="U316" i="1"/>
  <c r="U317" i="1"/>
  <c r="U318" i="1"/>
  <c r="U319" i="1"/>
  <c r="U320" i="1"/>
  <c r="U321" i="1"/>
  <c r="U322" i="1"/>
  <c r="U323" i="1"/>
  <c r="U324" i="1"/>
  <c r="U325" i="1"/>
  <c r="U326" i="1"/>
  <c r="U327" i="1"/>
  <c r="U328" i="1"/>
  <c r="U329" i="1"/>
  <c r="U330" i="1"/>
  <c r="U331" i="1"/>
  <c r="U332" i="1"/>
  <c r="U333" i="1"/>
  <c r="U334" i="1"/>
  <c r="U335" i="1"/>
  <c r="U336" i="1"/>
  <c r="U337" i="1"/>
  <c r="U338" i="1"/>
  <c r="U339" i="1"/>
  <c r="U340" i="1"/>
  <c r="U341" i="1"/>
  <c r="U342" i="1"/>
  <c r="U343" i="1"/>
  <c r="U344" i="1"/>
  <c r="U345" i="1"/>
  <c r="U346" i="1"/>
  <c r="U347" i="1"/>
  <c r="U348" i="1"/>
  <c r="U349" i="1"/>
  <c r="U350" i="1"/>
  <c r="U351" i="1"/>
  <c r="U352" i="1"/>
  <c r="U353" i="1"/>
  <c r="U354" i="1"/>
  <c r="U355" i="1"/>
  <c r="U356" i="1"/>
  <c r="U357" i="1"/>
  <c r="U358" i="1"/>
  <c r="U359" i="1"/>
  <c r="U360" i="1"/>
  <c r="U361" i="1"/>
  <c r="U362" i="1"/>
  <c r="U363" i="1"/>
  <c r="U364" i="1"/>
  <c r="U365" i="1"/>
  <c r="U366" i="1"/>
  <c r="U367" i="1"/>
  <c r="U368" i="1"/>
  <c r="U369" i="1"/>
  <c r="U370" i="1"/>
  <c r="U371" i="1"/>
  <c r="U372" i="1"/>
  <c r="U373" i="1"/>
  <c r="U374" i="1"/>
  <c r="U375" i="1"/>
  <c r="U376" i="1"/>
  <c r="U377" i="1"/>
  <c r="U378" i="1"/>
  <c r="U379" i="1"/>
  <c r="U380" i="1"/>
  <c r="U381" i="1"/>
  <c r="U382" i="1"/>
  <c r="U383" i="1"/>
  <c r="U384" i="1"/>
  <c r="U385" i="1"/>
  <c r="U386" i="1"/>
  <c r="U387" i="1"/>
  <c r="U388" i="1"/>
  <c r="U389" i="1"/>
  <c r="U390" i="1"/>
  <c r="U391" i="1"/>
  <c r="U392" i="1"/>
  <c r="U393" i="1"/>
  <c r="U394" i="1"/>
  <c r="U395" i="1"/>
  <c r="U396" i="1"/>
  <c r="U397" i="1"/>
  <c r="U398" i="1"/>
  <c r="U399" i="1"/>
  <c r="U400" i="1"/>
  <c r="U401" i="1"/>
  <c r="U402" i="1"/>
  <c r="U403" i="1"/>
  <c r="U404" i="1"/>
  <c r="U405" i="1"/>
  <c r="U406" i="1"/>
  <c r="U407" i="1"/>
  <c r="U408" i="1"/>
  <c r="U409" i="1"/>
  <c r="U410" i="1"/>
  <c r="U411" i="1"/>
  <c r="U412" i="1"/>
  <c r="U413" i="1"/>
  <c r="U414" i="1"/>
  <c r="U415" i="1"/>
  <c r="U416" i="1"/>
  <c r="U417" i="1"/>
  <c r="U418" i="1"/>
  <c r="U419" i="1"/>
  <c r="U420" i="1"/>
  <c r="U421" i="1"/>
  <c r="U422" i="1"/>
  <c r="U423" i="1"/>
  <c r="U424" i="1"/>
  <c r="U425" i="1"/>
  <c r="U426" i="1"/>
  <c r="U427" i="1"/>
  <c r="U428" i="1"/>
  <c r="U429" i="1"/>
  <c r="U430" i="1"/>
  <c r="U431" i="1"/>
  <c r="U432" i="1"/>
  <c r="U433" i="1"/>
  <c r="U434" i="1"/>
  <c r="U435" i="1"/>
  <c r="U436" i="1"/>
  <c r="U437" i="1"/>
  <c r="U438" i="1"/>
  <c r="U439" i="1"/>
  <c r="U440" i="1"/>
  <c r="U441" i="1"/>
  <c r="U442" i="1"/>
  <c r="U443" i="1"/>
  <c r="U444" i="1"/>
  <c r="U445" i="1"/>
  <c r="U446" i="1"/>
  <c r="U447" i="1"/>
  <c r="U448" i="1"/>
  <c r="U449" i="1"/>
  <c r="U450" i="1"/>
  <c r="U451" i="1"/>
  <c r="U452" i="1"/>
  <c r="U453" i="1"/>
  <c r="U454" i="1"/>
  <c r="U455" i="1"/>
  <c r="U456" i="1"/>
  <c r="U457" i="1"/>
  <c r="U458" i="1"/>
  <c r="U459" i="1"/>
  <c r="U460" i="1"/>
  <c r="U461" i="1"/>
  <c r="U462" i="1"/>
  <c r="U463" i="1"/>
  <c r="U464" i="1"/>
  <c r="U465" i="1"/>
  <c r="U466" i="1"/>
  <c r="U467" i="1"/>
  <c r="U468" i="1"/>
  <c r="U469" i="1"/>
  <c r="U470" i="1"/>
  <c r="U471" i="1"/>
  <c r="U472" i="1"/>
  <c r="U473" i="1"/>
  <c r="U474" i="1"/>
  <c r="U475" i="1"/>
  <c r="U476" i="1"/>
  <c r="U477" i="1"/>
  <c r="U478" i="1"/>
  <c r="U479" i="1"/>
  <c r="U480" i="1"/>
  <c r="U481" i="1"/>
  <c r="U482" i="1"/>
  <c r="U483" i="1"/>
  <c r="U484" i="1"/>
  <c r="U485" i="1"/>
  <c r="U486" i="1"/>
  <c r="U487" i="1"/>
  <c r="U488" i="1"/>
  <c r="U489" i="1"/>
  <c r="U490" i="1"/>
  <c r="U491" i="1"/>
  <c r="U492" i="1"/>
  <c r="U493" i="1"/>
  <c r="U494" i="1"/>
  <c r="U495" i="1"/>
  <c r="U496" i="1"/>
  <c r="U497" i="1"/>
  <c r="U498" i="1"/>
  <c r="U499" i="1"/>
  <c r="U500" i="1"/>
  <c r="U501" i="1"/>
  <c r="U502" i="1"/>
  <c r="U503" i="1"/>
  <c r="U504" i="1"/>
  <c r="U505" i="1"/>
  <c r="U506" i="1"/>
  <c r="U507" i="1"/>
  <c r="U508" i="1"/>
  <c r="U509" i="1"/>
  <c r="U510" i="1"/>
  <c r="U511" i="1"/>
  <c r="U512" i="1"/>
  <c r="U513" i="1"/>
  <c r="U514" i="1"/>
  <c r="U515" i="1"/>
  <c r="U516" i="1"/>
  <c r="U517" i="1"/>
  <c r="U518" i="1"/>
  <c r="U519" i="1"/>
  <c r="U520" i="1"/>
  <c r="U521" i="1"/>
  <c r="U522" i="1"/>
  <c r="U523" i="1"/>
  <c r="U524" i="1"/>
  <c r="U525" i="1"/>
  <c r="U526" i="1"/>
  <c r="U527" i="1"/>
  <c r="U528" i="1"/>
  <c r="U529" i="1"/>
  <c r="U530" i="1"/>
  <c r="U531" i="1"/>
  <c r="U532" i="1"/>
  <c r="U533" i="1"/>
  <c r="U534" i="1"/>
  <c r="U535" i="1"/>
  <c r="U536" i="1"/>
  <c r="U537" i="1"/>
  <c r="U538" i="1"/>
  <c r="U539" i="1"/>
  <c r="U540" i="1"/>
  <c r="U541" i="1"/>
  <c r="U542" i="1"/>
  <c r="U543" i="1"/>
  <c r="U544" i="1"/>
  <c r="U545" i="1"/>
  <c r="U546" i="1"/>
  <c r="U547" i="1"/>
  <c r="U548" i="1"/>
  <c r="U549" i="1"/>
  <c r="U550" i="1"/>
  <c r="U551" i="1"/>
  <c r="U552" i="1"/>
  <c r="U553" i="1"/>
  <c r="U554" i="1"/>
  <c r="U555" i="1"/>
  <c r="U556" i="1"/>
  <c r="U557" i="1"/>
  <c r="U558" i="1"/>
  <c r="U559" i="1"/>
  <c r="U560" i="1"/>
  <c r="U561" i="1"/>
  <c r="U562" i="1"/>
  <c r="U563" i="1"/>
  <c r="U564" i="1"/>
  <c r="U565" i="1"/>
  <c r="U566" i="1"/>
  <c r="U567" i="1"/>
  <c r="U568" i="1"/>
  <c r="U569" i="1"/>
  <c r="U570" i="1"/>
  <c r="U571" i="1"/>
  <c r="U572" i="1"/>
  <c r="U573" i="1"/>
  <c r="U574" i="1"/>
  <c r="U575" i="1"/>
  <c r="U576" i="1"/>
  <c r="U577" i="1"/>
  <c r="U578" i="1"/>
  <c r="U579" i="1"/>
  <c r="U580" i="1"/>
  <c r="U581" i="1"/>
  <c r="U582" i="1"/>
  <c r="U583" i="1"/>
  <c r="U584" i="1"/>
  <c r="U585" i="1"/>
  <c r="U586" i="1"/>
  <c r="U587" i="1"/>
  <c r="U588" i="1"/>
  <c r="U589" i="1"/>
  <c r="U590" i="1"/>
  <c r="U591" i="1"/>
  <c r="U592" i="1"/>
  <c r="U593" i="1"/>
  <c r="U594" i="1"/>
  <c r="U595" i="1"/>
  <c r="U596" i="1"/>
  <c r="U597" i="1"/>
  <c r="U598" i="1"/>
  <c r="U599" i="1"/>
  <c r="U600" i="1"/>
  <c r="U601" i="1"/>
  <c r="U602" i="1"/>
  <c r="U603" i="1"/>
  <c r="U604" i="1"/>
  <c r="U605" i="1"/>
  <c r="U606" i="1"/>
  <c r="U607" i="1"/>
  <c r="U608" i="1"/>
  <c r="U609" i="1"/>
  <c r="U610" i="1"/>
  <c r="U611" i="1"/>
  <c r="U612" i="1"/>
  <c r="U613" i="1"/>
  <c r="U614" i="1"/>
  <c r="U615" i="1"/>
  <c r="U616" i="1"/>
  <c r="U617" i="1"/>
  <c r="U618" i="1"/>
  <c r="U619" i="1"/>
  <c r="U620" i="1"/>
  <c r="U621" i="1"/>
  <c r="U622" i="1"/>
  <c r="U623" i="1"/>
  <c r="U624" i="1"/>
  <c r="U625" i="1"/>
  <c r="U626" i="1"/>
  <c r="U627" i="1"/>
  <c r="U628" i="1"/>
  <c r="U629" i="1"/>
  <c r="U630" i="1"/>
  <c r="U631" i="1"/>
  <c r="U632" i="1"/>
  <c r="U633" i="1"/>
  <c r="U634" i="1"/>
  <c r="U635" i="1"/>
  <c r="U636" i="1"/>
  <c r="U637" i="1"/>
  <c r="U638" i="1"/>
  <c r="U639" i="1"/>
  <c r="U640" i="1"/>
  <c r="U641" i="1"/>
  <c r="U642" i="1"/>
  <c r="U643" i="1"/>
  <c r="U644" i="1"/>
  <c r="U645" i="1"/>
  <c r="U646" i="1"/>
  <c r="U647" i="1"/>
  <c r="U648" i="1"/>
  <c r="U649" i="1"/>
  <c r="U650" i="1"/>
  <c r="U651" i="1"/>
  <c r="U652" i="1"/>
  <c r="U653" i="1"/>
  <c r="U654" i="1"/>
  <c r="U655" i="1"/>
  <c r="U656" i="1"/>
  <c r="U657" i="1"/>
  <c r="U658" i="1"/>
  <c r="U659" i="1"/>
  <c r="U660" i="1"/>
  <c r="U661" i="1"/>
  <c r="U662" i="1"/>
  <c r="U663" i="1"/>
  <c r="U664" i="1"/>
  <c r="U665" i="1"/>
  <c r="U666" i="1"/>
  <c r="U667" i="1"/>
  <c r="U668" i="1"/>
  <c r="U669" i="1"/>
  <c r="U670" i="1"/>
  <c r="U671" i="1"/>
  <c r="U672" i="1"/>
  <c r="U673" i="1"/>
  <c r="U674" i="1"/>
  <c r="U675" i="1"/>
  <c r="U676" i="1"/>
  <c r="U677" i="1"/>
  <c r="U678" i="1"/>
  <c r="U679" i="1"/>
  <c r="U680" i="1"/>
  <c r="U681" i="1"/>
  <c r="U682" i="1"/>
  <c r="U683" i="1"/>
  <c r="U684" i="1"/>
  <c r="U685" i="1"/>
  <c r="U686" i="1"/>
  <c r="U687" i="1"/>
  <c r="U688" i="1"/>
  <c r="U689" i="1"/>
  <c r="U690" i="1"/>
  <c r="U691" i="1"/>
  <c r="U692" i="1"/>
  <c r="U693" i="1"/>
  <c r="U694" i="1"/>
  <c r="U695" i="1"/>
  <c r="U696" i="1"/>
  <c r="U697" i="1"/>
  <c r="U698" i="1"/>
  <c r="U699" i="1"/>
  <c r="U700" i="1"/>
  <c r="U701" i="1"/>
  <c r="U702" i="1"/>
  <c r="U703" i="1"/>
  <c r="U704" i="1"/>
  <c r="U705" i="1"/>
  <c r="U706" i="1"/>
  <c r="U707" i="1"/>
  <c r="U708" i="1"/>
  <c r="U709" i="1"/>
  <c r="U710" i="1"/>
  <c r="U711" i="1"/>
  <c r="U712" i="1"/>
  <c r="U713" i="1"/>
  <c r="U714" i="1"/>
  <c r="U715" i="1"/>
  <c r="U716" i="1"/>
  <c r="U717" i="1"/>
  <c r="U718" i="1"/>
  <c r="U719" i="1"/>
  <c r="U720" i="1"/>
  <c r="U721" i="1"/>
  <c r="U722" i="1"/>
  <c r="U723" i="1"/>
  <c r="U724" i="1"/>
  <c r="U725" i="1"/>
  <c r="U726" i="1"/>
  <c r="U727" i="1"/>
  <c r="U728" i="1"/>
  <c r="U729" i="1"/>
  <c r="U730" i="1"/>
  <c r="U731" i="1"/>
  <c r="U732" i="1"/>
  <c r="U733" i="1"/>
  <c r="U734" i="1"/>
  <c r="U735" i="1"/>
  <c r="U736" i="1"/>
  <c r="U737" i="1"/>
  <c r="U738" i="1"/>
  <c r="U739" i="1"/>
  <c r="U740" i="1"/>
  <c r="U741" i="1"/>
  <c r="U742" i="1"/>
  <c r="U743" i="1"/>
  <c r="U744" i="1"/>
  <c r="U745" i="1"/>
  <c r="U746" i="1"/>
  <c r="U747" i="1"/>
  <c r="U748" i="1"/>
  <c r="U749" i="1"/>
  <c r="U750" i="1"/>
  <c r="U751" i="1"/>
  <c r="U752" i="1"/>
  <c r="U753" i="1"/>
  <c r="U754" i="1"/>
  <c r="U755" i="1"/>
  <c r="U756" i="1"/>
  <c r="U757" i="1"/>
  <c r="U758" i="1"/>
  <c r="U759" i="1"/>
  <c r="U760" i="1"/>
  <c r="U761" i="1"/>
  <c r="U762" i="1"/>
  <c r="U763" i="1"/>
  <c r="U764" i="1"/>
  <c r="U765" i="1"/>
  <c r="U766" i="1"/>
  <c r="U767" i="1"/>
  <c r="U768" i="1"/>
  <c r="U769" i="1"/>
  <c r="U770" i="1"/>
  <c r="U771" i="1"/>
  <c r="U772" i="1"/>
  <c r="U773" i="1"/>
  <c r="U774" i="1"/>
  <c r="U775" i="1"/>
  <c r="U776" i="1"/>
  <c r="U777" i="1"/>
  <c r="U778" i="1"/>
  <c r="U779" i="1"/>
  <c r="U780" i="1"/>
  <c r="U781" i="1"/>
  <c r="U782" i="1"/>
  <c r="U783" i="1"/>
  <c r="U784" i="1"/>
  <c r="U785" i="1"/>
  <c r="U786" i="1"/>
  <c r="U787" i="1"/>
  <c r="U788" i="1"/>
  <c r="U789" i="1"/>
  <c r="U790" i="1"/>
  <c r="U791" i="1"/>
  <c r="U792" i="1"/>
  <c r="U793" i="1"/>
  <c r="U794" i="1"/>
  <c r="U795" i="1"/>
  <c r="U796" i="1"/>
  <c r="U797" i="1"/>
  <c r="U798" i="1"/>
  <c r="U799" i="1"/>
  <c r="U800" i="1"/>
  <c r="U801" i="1"/>
  <c r="U802" i="1"/>
  <c r="U803" i="1"/>
  <c r="U804" i="1"/>
  <c r="U805" i="1"/>
  <c r="U806" i="1"/>
  <c r="U807" i="1"/>
  <c r="U808" i="1"/>
  <c r="U809" i="1"/>
  <c r="U810" i="1"/>
  <c r="U811" i="1"/>
  <c r="U812" i="1"/>
  <c r="U813" i="1"/>
  <c r="U814" i="1"/>
  <c r="U815" i="1"/>
  <c r="U816" i="1"/>
  <c r="U817" i="1"/>
  <c r="U818" i="1"/>
  <c r="U819" i="1"/>
  <c r="U820" i="1"/>
  <c r="U821" i="1"/>
  <c r="U822" i="1"/>
  <c r="U823" i="1"/>
  <c r="U824" i="1"/>
  <c r="U825" i="1"/>
  <c r="U826" i="1"/>
  <c r="U827" i="1"/>
  <c r="U828" i="1"/>
  <c r="U829" i="1"/>
  <c r="U830" i="1"/>
  <c r="U831" i="1"/>
  <c r="U832" i="1"/>
  <c r="U833" i="1"/>
  <c r="U834" i="1"/>
  <c r="U835" i="1"/>
  <c r="U836" i="1"/>
  <c r="U837" i="1"/>
  <c r="U838" i="1"/>
  <c r="U839" i="1"/>
  <c r="U840" i="1"/>
  <c r="U841" i="1"/>
  <c r="U842" i="1"/>
  <c r="U843" i="1"/>
  <c r="U844" i="1"/>
  <c r="U845" i="1"/>
  <c r="U846" i="1"/>
  <c r="U847" i="1"/>
  <c r="U848" i="1"/>
  <c r="U849" i="1"/>
  <c r="U850" i="1"/>
  <c r="U851" i="1"/>
  <c r="U852" i="1"/>
  <c r="U853" i="1"/>
  <c r="U854" i="1"/>
  <c r="U855" i="1"/>
  <c r="U856" i="1"/>
  <c r="U857" i="1"/>
  <c r="U858" i="1"/>
  <c r="U859" i="1"/>
  <c r="U860" i="1"/>
  <c r="U861" i="1"/>
  <c r="U862" i="1"/>
  <c r="U863" i="1"/>
  <c r="U864" i="1"/>
  <c r="U865" i="1"/>
  <c r="U866" i="1"/>
  <c r="U867" i="1"/>
  <c r="U868" i="1"/>
  <c r="U869" i="1"/>
  <c r="U870" i="1"/>
  <c r="U871" i="1"/>
  <c r="U872" i="1"/>
  <c r="U873" i="1"/>
  <c r="U874" i="1"/>
  <c r="U875" i="1"/>
  <c r="U876" i="1"/>
  <c r="U877" i="1"/>
  <c r="U878" i="1"/>
  <c r="U879" i="1"/>
  <c r="U880" i="1"/>
  <c r="U881" i="1"/>
  <c r="U882" i="1"/>
  <c r="U883" i="1"/>
  <c r="U884" i="1"/>
  <c r="U885" i="1"/>
  <c r="U886" i="1"/>
  <c r="U887" i="1"/>
  <c r="U888" i="1"/>
  <c r="U889" i="1"/>
  <c r="U890" i="1"/>
  <c r="U891" i="1"/>
  <c r="U892" i="1"/>
  <c r="U893" i="1"/>
  <c r="U894" i="1"/>
  <c r="U895" i="1"/>
  <c r="U896" i="1"/>
  <c r="U897" i="1"/>
  <c r="U898" i="1"/>
  <c r="U899" i="1"/>
  <c r="U900" i="1"/>
  <c r="U901" i="1"/>
  <c r="U902" i="1"/>
  <c r="U903" i="1"/>
  <c r="U904" i="1"/>
  <c r="U905" i="1"/>
  <c r="U906" i="1"/>
  <c r="U907" i="1"/>
  <c r="U908" i="1"/>
  <c r="U909" i="1"/>
  <c r="U910" i="1"/>
  <c r="U911" i="1"/>
  <c r="U912" i="1"/>
  <c r="U913" i="1"/>
  <c r="U914" i="1"/>
  <c r="U915" i="1"/>
  <c r="U916" i="1"/>
  <c r="U917" i="1"/>
  <c r="U918" i="1"/>
  <c r="U919" i="1"/>
  <c r="U920" i="1"/>
  <c r="U921" i="1"/>
  <c r="U922" i="1"/>
  <c r="U923" i="1"/>
  <c r="U924" i="1"/>
  <c r="U925" i="1"/>
  <c r="U926" i="1"/>
  <c r="U927" i="1"/>
  <c r="U928" i="1"/>
  <c r="U929" i="1"/>
  <c r="U930" i="1"/>
  <c r="U931" i="1"/>
  <c r="U932" i="1"/>
  <c r="U933" i="1"/>
  <c r="U934" i="1"/>
  <c r="U935" i="1"/>
  <c r="U936" i="1"/>
  <c r="U937" i="1"/>
  <c r="U938" i="1"/>
  <c r="U939" i="1"/>
  <c r="U940" i="1"/>
  <c r="U941" i="1"/>
  <c r="U942" i="1"/>
  <c r="U943" i="1"/>
  <c r="U944" i="1"/>
  <c r="U945" i="1"/>
  <c r="U946" i="1"/>
  <c r="U947" i="1"/>
  <c r="U948" i="1"/>
  <c r="U949" i="1"/>
  <c r="U950" i="1"/>
  <c r="U951" i="1"/>
  <c r="U952" i="1"/>
  <c r="U953" i="1"/>
  <c r="U954" i="1"/>
  <c r="U955" i="1"/>
  <c r="U956" i="1"/>
  <c r="U957" i="1"/>
  <c r="U958" i="1"/>
  <c r="U959" i="1"/>
  <c r="U960" i="1"/>
  <c r="U961" i="1"/>
  <c r="U962" i="1"/>
  <c r="U963" i="1"/>
  <c r="U964" i="1"/>
  <c r="U965" i="1"/>
  <c r="U966" i="1"/>
  <c r="U967" i="1"/>
  <c r="U968" i="1"/>
  <c r="U969" i="1"/>
  <c r="U970" i="1"/>
  <c r="U971" i="1"/>
  <c r="U972" i="1"/>
  <c r="U973" i="1"/>
  <c r="U974" i="1"/>
  <c r="U975" i="1"/>
  <c r="U976" i="1"/>
  <c r="U977" i="1"/>
  <c r="U978" i="1"/>
  <c r="U979" i="1"/>
  <c r="U980" i="1"/>
  <c r="U981" i="1"/>
  <c r="U982" i="1"/>
  <c r="U983" i="1"/>
  <c r="U984" i="1"/>
  <c r="U985" i="1"/>
  <c r="U986" i="1"/>
  <c r="U987" i="1"/>
  <c r="U988" i="1"/>
  <c r="U989" i="1"/>
  <c r="U990" i="1"/>
  <c r="U991" i="1"/>
  <c r="U992" i="1"/>
  <c r="U993" i="1"/>
  <c r="U994" i="1"/>
  <c r="U995" i="1"/>
  <c r="U996" i="1"/>
  <c r="U997" i="1"/>
  <c r="U998" i="1"/>
  <c r="U999" i="1"/>
  <c r="U1000" i="1"/>
  <c r="U1001" i="1"/>
  <c r="U1002" i="1"/>
  <c r="U1003" i="1"/>
  <c r="U1004" i="1"/>
  <c r="U1005" i="1"/>
  <c r="U1006" i="1"/>
  <c r="U1007" i="1"/>
  <c r="U1008" i="1"/>
  <c r="U1009" i="1"/>
  <c r="U1010" i="1"/>
  <c r="U1011" i="1"/>
  <c r="U1012" i="1"/>
  <c r="U1013" i="1"/>
  <c r="U1014" i="1"/>
  <c r="U1015" i="1"/>
  <c r="U1016" i="1"/>
  <c r="U1017" i="1"/>
  <c r="U1018" i="1"/>
  <c r="U1019" i="1"/>
  <c r="U1020" i="1"/>
  <c r="U1021" i="1"/>
  <c r="U1022" i="1"/>
  <c r="U1023" i="1"/>
  <c r="U1024" i="1"/>
  <c r="U1025" i="1"/>
  <c r="U1026" i="1"/>
  <c r="U1027" i="1"/>
  <c r="U1028" i="1"/>
  <c r="U1029" i="1"/>
  <c r="U1030" i="1"/>
  <c r="U1031" i="1"/>
  <c r="U1032" i="1"/>
  <c r="U1033" i="1"/>
  <c r="U1034" i="1"/>
  <c r="U1035" i="1"/>
  <c r="U1036" i="1"/>
  <c r="U1037" i="1"/>
  <c r="U1038" i="1"/>
  <c r="U1039" i="1"/>
  <c r="U1040" i="1"/>
  <c r="U1041" i="1"/>
  <c r="U1042" i="1"/>
  <c r="U1043" i="1"/>
  <c r="U1044" i="1"/>
  <c r="U1045" i="1"/>
  <c r="U1046" i="1"/>
  <c r="U1047" i="1"/>
  <c r="U1048" i="1"/>
  <c r="U1049" i="1"/>
  <c r="U1050" i="1"/>
  <c r="U1051" i="1"/>
  <c r="U1052" i="1"/>
  <c r="U1053" i="1"/>
  <c r="U1054" i="1"/>
  <c r="U1055" i="1"/>
  <c r="U1056" i="1"/>
  <c r="U1057" i="1"/>
  <c r="U1058" i="1"/>
  <c r="U1059" i="1"/>
  <c r="U1060" i="1"/>
  <c r="U1061" i="1"/>
  <c r="U1062" i="1"/>
  <c r="U1063" i="1"/>
  <c r="U1064" i="1"/>
  <c r="U1065" i="1"/>
  <c r="U1066" i="1"/>
  <c r="U1067" i="1"/>
  <c r="U1068" i="1"/>
  <c r="U1069" i="1"/>
  <c r="U1070" i="1"/>
  <c r="U1071" i="1"/>
  <c r="U1072" i="1"/>
  <c r="U1073" i="1"/>
  <c r="U1074" i="1"/>
  <c r="U1075" i="1"/>
  <c r="U1076" i="1"/>
  <c r="U1077" i="1"/>
  <c r="U1078" i="1"/>
  <c r="U1079" i="1"/>
  <c r="U1080" i="1"/>
  <c r="U1081" i="1"/>
  <c r="U1082" i="1"/>
  <c r="U1083" i="1"/>
  <c r="U1084" i="1"/>
  <c r="U1085" i="1"/>
  <c r="U1086" i="1"/>
  <c r="U1087" i="1"/>
  <c r="U1088" i="1"/>
  <c r="U1089" i="1"/>
  <c r="U1090" i="1"/>
  <c r="U1091" i="1"/>
  <c r="U1092" i="1"/>
  <c r="U1093" i="1"/>
  <c r="U1094" i="1"/>
  <c r="U1095" i="1"/>
  <c r="U1096" i="1"/>
  <c r="U1097" i="1"/>
  <c r="U1098" i="1"/>
  <c r="U1099" i="1"/>
  <c r="U1100" i="1"/>
  <c r="U1101" i="1"/>
  <c r="U1102" i="1"/>
  <c r="U1103" i="1"/>
  <c r="U1104" i="1"/>
  <c r="U1105" i="1"/>
  <c r="U1106" i="1"/>
  <c r="U1107" i="1"/>
  <c r="U1108" i="1"/>
  <c r="U1109" i="1"/>
  <c r="U1110" i="1"/>
  <c r="U1111" i="1"/>
  <c r="U1112" i="1"/>
  <c r="U1113" i="1"/>
  <c r="U1114" i="1"/>
  <c r="U1115" i="1"/>
  <c r="U1116" i="1"/>
  <c r="U1117" i="1"/>
  <c r="U1118" i="1"/>
  <c r="U1119" i="1"/>
  <c r="U1120" i="1"/>
  <c r="U1121" i="1"/>
  <c r="U1122" i="1"/>
  <c r="U1123" i="1"/>
  <c r="U1124" i="1"/>
  <c r="U1125" i="1"/>
  <c r="U1126" i="1"/>
  <c r="U1127" i="1"/>
  <c r="U1128" i="1"/>
  <c r="U1129" i="1"/>
  <c r="U1130" i="1"/>
  <c r="U1131" i="1"/>
  <c r="U1132" i="1"/>
  <c r="U1133" i="1"/>
  <c r="U1134" i="1"/>
  <c r="U1135" i="1"/>
  <c r="U1136" i="1"/>
  <c r="U1137" i="1"/>
  <c r="U1138" i="1"/>
  <c r="U1139" i="1"/>
  <c r="U1140" i="1"/>
  <c r="U1141" i="1"/>
  <c r="U1142" i="1"/>
  <c r="U1143" i="1"/>
  <c r="U1144" i="1"/>
  <c r="U1145" i="1"/>
  <c r="U1146" i="1"/>
  <c r="U1147" i="1"/>
  <c r="U1148" i="1"/>
  <c r="U1149" i="1"/>
  <c r="U1150" i="1"/>
  <c r="U1151" i="1"/>
  <c r="U1152" i="1"/>
  <c r="U1153" i="1"/>
  <c r="U1154" i="1"/>
  <c r="U1155" i="1"/>
  <c r="U1156" i="1"/>
  <c r="U1157" i="1"/>
  <c r="U1158" i="1"/>
  <c r="U1159" i="1"/>
  <c r="U1160" i="1"/>
  <c r="U1161" i="1"/>
  <c r="U1162" i="1"/>
  <c r="U1163" i="1"/>
  <c r="U1164" i="1"/>
  <c r="U1165" i="1"/>
  <c r="U1166" i="1"/>
  <c r="U1167" i="1"/>
  <c r="U1168" i="1"/>
  <c r="U1169" i="1"/>
  <c r="U1170" i="1"/>
  <c r="U1171" i="1"/>
  <c r="U1172" i="1"/>
  <c r="U1173" i="1"/>
  <c r="U1174" i="1"/>
  <c r="U1175" i="1"/>
  <c r="U1176" i="1"/>
  <c r="U1177" i="1"/>
  <c r="U1178" i="1"/>
  <c r="U1179" i="1"/>
  <c r="U1180" i="1"/>
  <c r="U1181" i="1"/>
  <c r="U1182" i="1"/>
  <c r="U1183" i="1"/>
  <c r="U1184" i="1"/>
  <c r="U1185" i="1"/>
  <c r="U1186" i="1"/>
  <c r="U1187" i="1"/>
  <c r="U1188" i="1"/>
  <c r="U1189" i="1"/>
  <c r="U1190" i="1"/>
  <c r="U1191" i="1"/>
  <c r="U1192" i="1"/>
  <c r="U1193" i="1"/>
  <c r="U1194" i="1"/>
  <c r="U1195" i="1"/>
  <c r="U1196" i="1"/>
  <c r="U1197" i="1"/>
  <c r="U1198" i="1"/>
  <c r="U1199" i="1"/>
  <c r="U1200" i="1"/>
  <c r="U1201" i="1"/>
  <c r="U1202" i="1"/>
  <c r="U1203" i="1"/>
  <c r="U1204" i="1"/>
  <c r="U1205" i="1"/>
  <c r="U1206" i="1"/>
  <c r="U1207" i="1"/>
  <c r="U1208" i="1"/>
  <c r="U1209" i="1"/>
  <c r="U1210" i="1"/>
  <c r="U1211" i="1"/>
  <c r="U1212" i="1"/>
  <c r="U1213" i="1"/>
  <c r="U1214" i="1"/>
  <c r="U1215" i="1"/>
  <c r="U1216" i="1"/>
  <c r="U1217" i="1"/>
  <c r="U1218" i="1"/>
  <c r="U1219" i="1"/>
  <c r="U1220" i="1"/>
  <c r="U1221" i="1"/>
  <c r="U1222" i="1"/>
  <c r="U1223" i="1"/>
  <c r="U1224" i="1"/>
  <c r="U1225" i="1"/>
  <c r="U1226" i="1"/>
  <c r="U1227" i="1"/>
  <c r="U1228" i="1"/>
  <c r="U1229" i="1"/>
  <c r="U1230" i="1"/>
  <c r="U1231" i="1"/>
  <c r="U1232" i="1"/>
  <c r="U1233" i="1"/>
  <c r="U1234" i="1"/>
  <c r="U1235" i="1"/>
  <c r="U1236" i="1"/>
  <c r="U1237" i="1"/>
  <c r="U1238" i="1"/>
  <c r="U1239" i="1"/>
  <c r="U1240" i="1"/>
  <c r="U1241" i="1"/>
  <c r="U1242" i="1"/>
  <c r="U1243" i="1"/>
  <c r="U1244" i="1"/>
  <c r="U1245" i="1"/>
  <c r="U1246" i="1"/>
  <c r="U1247" i="1"/>
  <c r="U1248" i="1"/>
  <c r="U1249" i="1"/>
  <c r="U1250" i="1"/>
  <c r="U1251" i="1"/>
  <c r="U1252" i="1"/>
  <c r="U1253" i="1"/>
  <c r="U1254" i="1"/>
  <c r="U1255" i="1"/>
  <c r="U1256" i="1"/>
  <c r="U1257" i="1"/>
  <c r="U1258" i="1"/>
  <c r="U1259" i="1"/>
  <c r="U1260" i="1"/>
  <c r="U1261" i="1"/>
  <c r="U1262" i="1"/>
  <c r="U1263" i="1"/>
  <c r="U1264" i="1"/>
  <c r="U1265" i="1"/>
  <c r="U1266" i="1"/>
  <c r="U1267" i="1"/>
  <c r="U1268" i="1"/>
  <c r="U1269" i="1"/>
  <c r="U1270" i="1"/>
  <c r="U1271" i="1"/>
  <c r="U1272" i="1"/>
  <c r="U1273" i="1"/>
  <c r="U1274" i="1"/>
  <c r="U1275" i="1"/>
  <c r="U1276" i="1"/>
  <c r="U1277" i="1"/>
  <c r="U1278" i="1"/>
  <c r="U1279" i="1"/>
  <c r="U1280" i="1"/>
  <c r="U1281" i="1"/>
  <c r="U1282" i="1"/>
  <c r="U1283" i="1"/>
  <c r="U1284" i="1"/>
  <c r="U1285" i="1"/>
  <c r="U1286" i="1"/>
  <c r="U1287" i="1"/>
  <c r="U1288" i="1"/>
  <c r="U1289" i="1"/>
  <c r="U1290" i="1"/>
  <c r="U1291" i="1"/>
  <c r="U1292" i="1"/>
  <c r="U1293" i="1"/>
  <c r="U1294" i="1"/>
  <c r="U1295" i="1"/>
  <c r="U1296" i="1"/>
  <c r="U1297" i="1"/>
  <c r="U1298" i="1"/>
  <c r="U1299" i="1"/>
  <c r="U1300" i="1"/>
  <c r="U1301" i="1"/>
  <c r="U1302" i="1"/>
  <c r="U1303" i="1"/>
  <c r="U1304" i="1"/>
  <c r="U1305" i="1"/>
  <c r="U1306" i="1"/>
  <c r="U1307" i="1"/>
  <c r="U1308" i="1"/>
  <c r="U1309" i="1"/>
  <c r="U1310" i="1"/>
  <c r="U1311" i="1"/>
  <c r="U1312" i="1"/>
  <c r="U1313" i="1"/>
  <c r="U1314" i="1"/>
  <c r="U1315" i="1"/>
  <c r="U1316" i="1"/>
  <c r="U1317" i="1"/>
  <c r="U1318" i="1"/>
  <c r="U1319" i="1"/>
  <c r="U1320" i="1"/>
  <c r="U1321" i="1"/>
  <c r="U1322" i="1"/>
  <c r="U1323" i="1"/>
  <c r="U1324" i="1"/>
  <c r="U1325" i="1"/>
  <c r="U1326" i="1"/>
  <c r="U1327" i="1"/>
  <c r="U1328" i="1"/>
  <c r="U1329" i="1"/>
  <c r="U1330" i="1"/>
  <c r="U1331" i="1"/>
  <c r="U1332" i="1"/>
  <c r="U1333" i="1"/>
  <c r="U1334" i="1"/>
  <c r="U1335" i="1"/>
  <c r="U1336" i="1"/>
  <c r="U1337" i="1"/>
  <c r="U1338" i="1"/>
  <c r="U1339" i="1"/>
  <c r="U1340" i="1"/>
  <c r="U1341" i="1"/>
  <c r="U1342" i="1"/>
  <c r="U1343" i="1"/>
  <c r="U1344" i="1"/>
  <c r="U1345" i="1"/>
  <c r="U1346" i="1"/>
  <c r="U1347" i="1"/>
  <c r="U1348" i="1"/>
  <c r="U1349" i="1"/>
  <c r="U1350" i="1"/>
  <c r="U1351" i="1"/>
  <c r="U1352" i="1"/>
  <c r="U1353" i="1"/>
  <c r="U1354" i="1"/>
  <c r="U1355" i="1"/>
  <c r="U1356" i="1"/>
  <c r="U1357" i="1"/>
  <c r="U1358" i="1"/>
  <c r="U1359" i="1"/>
  <c r="U1360" i="1"/>
  <c r="U1361" i="1"/>
  <c r="U1362" i="1"/>
  <c r="U1363" i="1"/>
  <c r="U1364" i="1"/>
  <c r="U1365" i="1"/>
  <c r="U1366" i="1"/>
  <c r="U1367" i="1"/>
  <c r="U1368" i="1"/>
  <c r="U1369" i="1"/>
  <c r="U1370" i="1"/>
  <c r="U1371" i="1"/>
  <c r="U1372" i="1"/>
  <c r="U1373" i="1"/>
  <c r="U1374" i="1"/>
  <c r="U1375" i="1"/>
  <c r="U1376" i="1"/>
  <c r="U1377" i="1"/>
  <c r="U1378" i="1"/>
  <c r="U1379" i="1"/>
  <c r="U1380" i="1"/>
  <c r="U1381" i="1"/>
  <c r="U1382" i="1"/>
  <c r="U1383" i="1"/>
  <c r="U1384" i="1"/>
  <c r="U1385" i="1"/>
  <c r="U1386" i="1"/>
  <c r="U1387" i="1"/>
  <c r="U1388" i="1"/>
  <c r="U1389" i="1"/>
  <c r="U1390" i="1"/>
  <c r="U1391" i="1"/>
  <c r="U1392" i="1"/>
  <c r="U1393" i="1"/>
  <c r="U1394" i="1"/>
  <c r="U1395" i="1"/>
  <c r="U1396" i="1"/>
  <c r="U1397" i="1"/>
  <c r="U1398" i="1"/>
  <c r="U1399" i="1"/>
  <c r="U1400" i="1"/>
  <c r="U1401" i="1"/>
  <c r="U1402" i="1"/>
  <c r="U1403" i="1"/>
  <c r="U1404" i="1"/>
  <c r="U1405" i="1"/>
  <c r="U1406" i="1"/>
  <c r="U1407" i="1"/>
  <c r="U1408" i="1"/>
  <c r="U1409" i="1"/>
  <c r="U1410" i="1"/>
  <c r="U1411" i="1"/>
  <c r="U1412" i="1"/>
  <c r="U1413" i="1"/>
  <c r="U1414" i="1"/>
  <c r="U1415" i="1"/>
  <c r="U1416" i="1"/>
  <c r="U1417" i="1"/>
  <c r="U1418" i="1"/>
  <c r="U1419" i="1"/>
  <c r="U1420" i="1"/>
  <c r="U1421" i="1"/>
  <c r="U1422" i="1"/>
  <c r="U1423" i="1"/>
  <c r="U1424" i="1"/>
  <c r="U1425" i="1"/>
  <c r="U1426" i="1"/>
  <c r="U1427" i="1"/>
  <c r="U1428" i="1"/>
  <c r="U1429" i="1"/>
  <c r="U1430" i="1"/>
  <c r="U1431" i="1"/>
  <c r="U1432" i="1"/>
  <c r="U1433" i="1"/>
  <c r="U1434" i="1"/>
  <c r="U1435" i="1"/>
  <c r="U1436" i="1"/>
  <c r="U1437" i="1"/>
  <c r="U1438" i="1"/>
  <c r="U1439" i="1"/>
  <c r="U1440" i="1"/>
  <c r="U1441" i="1"/>
  <c r="U1442" i="1"/>
  <c r="U1443" i="1"/>
  <c r="U1444" i="1"/>
  <c r="U1445" i="1"/>
  <c r="U1446" i="1"/>
  <c r="U1447" i="1"/>
  <c r="U1448" i="1"/>
  <c r="U1449" i="1"/>
  <c r="U1450" i="1"/>
  <c r="U1451" i="1"/>
  <c r="U1452" i="1"/>
  <c r="U1453" i="1"/>
  <c r="U1454" i="1"/>
  <c r="U1455" i="1"/>
  <c r="U1456" i="1"/>
  <c r="U1457" i="1"/>
  <c r="U1458" i="1"/>
  <c r="U1459" i="1"/>
  <c r="U1460" i="1"/>
  <c r="U1461" i="1"/>
  <c r="U1462" i="1"/>
  <c r="U1463" i="1"/>
  <c r="U1464" i="1"/>
  <c r="U1465" i="1"/>
  <c r="U1466" i="1"/>
  <c r="U1467" i="1"/>
  <c r="U1468" i="1"/>
  <c r="U1469" i="1"/>
  <c r="U1470" i="1"/>
  <c r="U1471" i="1"/>
  <c r="U1472" i="1"/>
  <c r="U1473" i="1"/>
  <c r="U1474" i="1"/>
  <c r="U1475" i="1"/>
  <c r="U1476" i="1"/>
  <c r="U1477" i="1"/>
  <c r="U1478" i="1"/>
  <c r="U1479" i="1"/>
  <c r="U1480" i="1"/>
  <c r="U1481" i="1"/>
  <c r="U1482" i="1"/>
  <c r="U1483" i="1"/>
  <c r="U1484" i="1"/>
  <c r="U1485" i="1"/>
  <c r="U1486" i="1"/>
  <c r="U1487" i="1"/>
  <c r="U1488" i="1"/>
  <c r="U1489" i="1"/>
  <c r="U1490" i="1"/>
  <c r="U1491" i="1"/>
  <c r="U1492" i="1"/>
  <c r="U1493" i="1"/>
  <c r="U1494" i="1"/>
  <c r="U1495" i="1"/>
  <c r="U1496" i="1"/>
  <c r="U1497" i="1"/>
  <c r="U1498" i="1"/>
  <c r="U1499" i="1"/>
  <c r="U1500" i="1"/>
  <c r="U1501" i="1"/>
  <c r="U1502" i="1"/>
  <c r="U1503" i="1"/>
  <c r="U1504" i="1"/>
  <c r="U1505" i="1"/>
  <c r="U1506" i="1"/>
  <c r="U1507" i="1"/>
  <c r="U1508" i="1"/>
  <c r="U1509" i="1"/>
  <c r="U1510" i="1"/>
  <c r="U1511" i="1"/>
  <c r="U1512" i="1"/>
  <c r="U1513" i="1"/>
  <c r="U1514" i="1"/>
  <c r="U1515" i="1"/>
  <c r="U1516" i="1"/>
  <c r="U1517" i="1"/>
  <c r="U1518" i="1"/>
  <c r="U1519" i="1"/>
  <c r="U1520" i="1"/>
  <c r="U1521" i="1"/>
  <c r="U1522" i="1"/>
  <c r="U1523" i="1"/>
  <c r="U1524" i="1"/>
  <c r="U1525" i="1"/>
  <c r="U1526" i="1"/>
  <c r="U1527" i="1"/>
  <c r="U1528" i="1"/>
  <c r="U1529" i="1"/>
  <c r="U1530" i="1"/>
  <c r="U1531" i="1"/>
  <c r="U1532" i="1"/>
  <c r="U1533" i="1"/>
  <c r="U1534" i="1"/>
  <c r="U1535" i="1"/>
  <c r="U1536" i="1"/>
  <c r="U1537" i="1"/>
  <c r="U1538" i="1"/>
  <c r="U1539" i="1"/>
  <c r="U1540" i="1"/>
  <c r="U1541" i="1"/>
  <c r="U1542" i="1"/>
  <c r="U1543" i="1"/>
  <c r="U1544" i="1"/>
  <c r="U1545" i="1"/>
  <c r="U1546" i="1"/>
  <c r="U1547" i="1"/>
  <c r="U1548" i="1"/>
  <c r="U1549" i="1"/>
  <c r="U1550" i="1"/>
  <c r="U1551" i="1"/>
  <c r="U1552" i="1"/>
  <c r="U1553" i="1"/>
  <c r="U1554" i="1"/>
  <c r="U1555" i="1"/>
  <c r="U1556" i="1"/>
  <c r="U1557" i="1"/>
  <c r="U1558" i="1"/>
  <c r="U1559" i="1"/>
  <c r="U1560" i="1"/>
  <c r="U1561" i="1"/>
  <c r="U1562" i="1"/>
  <c r="U1563" i="1"/>
  <c r="U1564" i="1"/>
  <c r="U1565" i="1"/>
  <c r="U1566" i="1"/>
  <c r="U1567" i="1"/>
  <c r="U1568" i="1"/>
  <c r="U1569" i="1"/>
  <c r="U1570" i="1"/>
  <c r="U1571" i="1"/>
  <c r="U1572" i="1"/>
  <c r="U1573" i="1"/>
  <c r="U1574" i="1"/>
  <c r="U1575" i="1"/>
  <c r="U1576" i="1"/>
  <c r="U1577" i="1"/>
  <c r="U1578" i="1"/>
  <c r="U1579" i="1"/>
  <c r="U1580" i="1"/>
  <c r="U1581" i="1"/>
  <c r="U1582" i="1"/>
  <c r="U1583" i="1"/>
  <c r="U1584" i="1"/>
  <c r="U1585" i="1"/>
  <c r="U1586" i="1"/>
  <c r="U1587" i="1"/>
  <c r="U1588" i="1"/>
  <c r="U1589" i="1"/>
  <c r="U1590" i="1"/>
  <c r="U1591" i="1"/>
  <c r="U1592" i="1"/>
  <c r="U1593" i="1"/>
  <c r="U1594" i="1"/>
  <c r="U1595" i="1"/>
  <c r="U1596" i="1"/>
  <c r="U1597" i="1"/>
  <c r="U1598" i="1"/>
  <c r="U1599" i="1"/>
  <c r="U1600" i="1"/>
  <c r="U1601" i="1"/>
  <c r="U1602" i="1"/>
  <c r="U1603" i="1"/>
  <c r="U1604" i="1"/>
  <c r="U1605" i="1"/>
  <c r="U1606" i="1"/>
  <c r="U1607" i="1"/>
  <c r="U1608" i="1"/>
  <c r="U1609" i="1"/>
  <c r="U1610" i="1"/>
  <c r="U1611" i="1"/>
  <c r="U1612" i="1"/>
  <c r="U1613" i="1"/>
  <c r="U1614" i="1"/>
  <c r="U1615" i="1"/>
  <c r="U1616" i="1"/>
  <c r="U1617" i="1"/>
  <c r="U1618" i="1"/>
  <c r="U1619" i="1"/>
  <c r="U1620" i="1"/>
  <c r="U1621" i="1"/>
  <c r="U1622" i="1"/>
  <c r="U1623" i="1"/>
  <c r="U1624" i="1"/>
  <c r="U1625" i="1"/>
  <c r="U1626" i="1"/>
  <c r="U1627" i="1"/>
  <c r="U1628" i="1"/>
  <c r="U1629" i="1"/>
  <c r="U1630" i="1"/>
  <c r="U1631" i="1"/>
  <c r="U1632" i="1"/>
  <c r="U1633" i="1"/>
  <c r="U1634" i="1"/>
  <c r="U1635" i="1"/>
  <c r="U1636" i="1"/>
  <c r="U1637" i="1"/>
  <c r="U1638" i="1"/>
  <c r="U1639" i="1"/>
  <c r="U1640" i="1"/>
  <c r="U1641" i="1"/>
  <c r="U1642" i="1"/>
  <c r="U1643" i="1"/>
  <c r="U1644" i="1"/>
  <c r="U1645" i="1"/>
  <c r="U1646" i="1"/>
  <c r="U1647" i="1"/>
  <c r="U1648" i="1"/>
  <c r="U1649" i="1"/>
  <c r="U1650" i="1"/>
  <c r="U1651" i="1"/>
  <c r="U1652" i="1"/>
  <c r="U1653" i="1"/>
  <c r="U1654" i="1"/>
  <c r="U1655" i="1"/>
  <c r="U1656" i="1"/>
  <c r="U1657" i="1"/>
  <c r="U1658" i="1"/>
  <c r="U1659" i="1"/>
  <c r="U1660" i="1"/>
  <c r="U1661" i="1"/>
  <c r="U1662" i="1"/>
  <c r="U1663" i="1"/>
  <c r="U1664" i="1"/>
  <c r="U1665" i="1"/>
  <c r="U1666" i="1"/>
  <c r="U1667" i="1"/>
  <c r="U1668" i="1"/>
  <c r="U1669" i="1"/>
  <c r="U1670" i="1"/>
  <c r="U1671" i="1"/>
  <c r="U1672" i="1"/>
  <c r="U1673" i="1"/>
  <c r="U1674" i="1"/>
  <c r="U1675" i="1"/>
  <c r="U1676" i="1"/>
  <c r="U1677" i="1"/>
  <c r="U1678" i="1"/>
  <c r="U1679" i="1"/>
  <c r="U1680" i="1"/>
  <c r="U1681" i="1"/>
  <c r="U1682" i="1"/>
  <c r="U1683" i="1"/>
  <c r="U1684" i="1"/>
  <c r="U1685" i="1"/>
  <c r="U1686" i="1"/>
  <c r="U1687" i="1"/>
  <c r="U1688" i="1"/>
  <c r="U1689" i="1"/>
  <c r="U1690" i="1"/>
  <c r="U1691" i="1"/>
  <c r="U1692" i="1"/>
  <c r="U1693" i="1"/>
  <c r="U1694" i="1"/>
  <c r="U1695" i="1"/>
  <c r="U1696" i="1"/>
  <c r="U1697" i="1"/>
  <c r="U1698" i="1"/>
  <c r="U1699" i="1"/>
  <c r="U1700" i="1"/>
  <c r="U1701" i="1"/>
  <c r="U1702" i="1"/>
  <c r="U1703" i="1"/>
  <c r="U1704" i="1"/>
  <c r="U1705" i="1"/>
  <c r="U1706" i="1"/>
  <c r="U1707" i="1"/>
  <c r="U1708" i="1"/>
  <c r="U1709" i="1"/>
  <c r="U1710" i="1"/>
  <c r="U1711" i="1"/>
  <c r="U1712" i="1"/>
  <c r="U1713" i="1"/>
  <c r="U1714" i="1"/>
  <c r="U1715" i="1"/>
  <c r="U1716" i="1"/>
  <c r="U1717" i="1"/>
  <c r="U1718" i="1"/>
  <c r="U1719" i="1"/>
  <c r="U1720" i="1"/>
  <c r="U1721" i="1"/>
  <c r="U1722" i="1"/>
  <c r="U1723" i="1"/>
  <c r="U1724" i="1"/>
  <c r="U1725" i="1"/>
  <c r="U1726" i="1"/>
  <c r="U1727" i="1"/>
  <c r="U1728" i="1"/>
  <c r="U1729" i="1"/>
  <c r="U1730" i="1"/>
  <c r="U1731" i="1"/>
  <c r="U1732" i="1"/>
  <c r="U1733" i="1"/>
  <c r="U1734" i="1"/>
  <c r="U1735" i="1"/>
  <c r="U1736" i="1"/>
  <c r="U1737" i="1"/>
  <c r="U1738" i="1"/>
  <c r="U1739" i="1"/>
  <c r="U1740" i="1"/>
  <c r="U1741" i="1"/>
  <c r="U1742" i="1"/>
  <c r="U1743" i="1"/>
  <c r="U1744" i="1"/>
  <c r="U1745" i="1"/>
  <c r="U1746" i="1"/>
  <c r="U1747" i="1"/>
  <c r="U1748" i="1"/>
  <c r="U1749" i="1"/>
  <c r="U1750" i="1"/>
  <c r="U1751" i="1"/>
  <c r="U1752" i="1"/>
  <c r="U1753" i="1"/>
  <c r="U1754" i="1"/>
  <c r="U1755" i="1"/>
  <c r="U1756" i="1"/>
  <c r="U1757" i="1"/>
  <c r="U1758" i="1"/>
  <c r="U1759" i="1"/>
  <c r="U1760" i="1"/>
  <c r="U1761" i="1"/>
  <c r="U1762" i="1"/>
  <c r="U1763" i="1"/>
  <c r="U1764" i="1"/>
  <c r="U1765" i="1"/>
  <c r="U1766" i="1"/>
  <c r="U1767" i="1"/>
  <c r="U1768" i="1"/>
  <c r="U1769" i="1"/>
  <c r="U1770" i="1"/>
  <c r="U1771" i="1"/>
  <c r="U1772" i="1"/>
  <c r="U1773" i="1"/>
  <c r="U1774" i="1"/>
  <c r="U1775" i="1"/>
  <c r="U1776" i="1"/>
  <c r="U1777" i="1"/>
  <c r="U1778" i="1"/>
  <c r="U1779" i="1"/>
  <c r="U1780" i="1"/>
  <c r="U1781" i="1"/>
  <c r="U1782" i="1"/>
  <c r="U1783" i="1"/>
  <c r="U1784" i="1"/>
  <c r="U1785" i="1"/>
  <c r="U1786" i="1"/>
  <c r="U1787" i="1"/>
  <c r="U1788" i="1"/>
  <c r="U1789" i="1"/>
  <c r="U1790" i="1"/>
  <c r="U1791" i="1"/>
  <c r="U1792" i="1"/>
  <c r="U1793" i="1"/>
  <c r="U1794" i="1"/>
  <c r="U1795" i="1"/>
  <c r="U1796" i="1"/>
  <c r="U1797" i="1"/>
  <c r="U1798" i="1"/>
  <c r="U1799" i="1"/>
  <c r="U1800" i="1"/>
  <c r="U1801" i="1"/>
  <c r="U1802" i="1"/>
  <c r="U1803" i="1"/>
  <c r="U1804" i="1"/>
  <c r="U1805" i="1"/>
  <c r="U1806" i="1"/>
  <c r="U1807" i="1"/>
  <c r="U1808" i="1"/>
  <c r="U1809" i="1"/>
  <c r="U1810" i="1"/>
  <c r="U1811" i="1"/>
  <c r="U1812" i="1"/>
  <c r="U1813" i="1"/>
  <c r="U1814" i="1"/>
  <c r="U1815" i="1"/>
  <c r="U1816" i="1"/>
  <c r="U1817" i="1"/>
  <c r="U1818" i="1"/>
  <c r="U1819" i="1"/>
  <c r="U1820" i="1"/>
  <c r="U1821" i="1"/>
  <c r="U1822" i="1"/>
  <c r="U1823" i="1"/>
  <c r="U1824" i="1"/>
  <c r="U1825" i="1"/>
  <c r="U1826" i="1"/>
  <c r="U1827" i="1"/>
  <c r="U1828" i="1"/>
  <c r="U1829" i="1"/>
  <c r="U1830" i="1"/>
  <c r="U1831" i="1"/>
  <c r="U1832" i="1"/>
  <c r="U1833" i="1"/>
  <c r="U1834" i="1"/>
  <c r="U1835" i="1"/>
  <c r="U1836" i="1"/>
  <c r="U1837" i="1"/>
  <c r="U1838" i="1"/>
  <c r="U1839" i="1"/>
  <c r="U1840" i="1"/>
  <c r="U1841" i="1"/>
  <c r="U1842" i="1"/>
  <c r="U1843" i="1"/>
  <c r="U1844" i="1"/>
  <c r="U1845" i="1"/>
  <c r="U1846" i="1"/>
  <c r="U1847" i="1"/>
  <c r="U1848" i="1"/>
  <c r="U1849" i="1"/>
  <c r="U1850" i="1"/>
  <c r="U1851" i="1"/>
  <c r="U1852" i="1"/>
  <c r="U1853" i="1"/>
  <c r="U1854" i="1"/>
  <c r="U1855" i="1"/>
  <c r="U1856" i="1"/>
  <c r="U1857" i="1"/>
  <c r="U1858" i="1"/>
  <c r="U1859" i="1"/>
  <c r="U1860" i="1"/>
  <c r="U1861" i="1"/>
  <c r="U1862" i="1"/>
  <c r="U1863" i="1"/>
  <c r="U1864" i="1"/>
  <c r="U1865" i="1"/>
  <c r="U1866" i="1"/>
  <c r="U1867" i="1"/>
  <c r="U1868" i="1"/>
  <c r="U1869" i="1"/>
  <c r="U1870" i="1"/>
  <c r="U1871" i="1"/>
  <c r="U1872" i="1"/>
  <c r="U1873" i="1"/>
  <c r="U1874" i="1"/>
  <c r="U1875" i="1"/>
  <c r="U1876" i="1"/>
  <c r="U1877" i="1"/>
  <c r="U1878" i="1"/>
  <c r="U1879" i="1"/>
  <c r="U1880" i="1"/>
  <c r="U1881" i="1"/>
  <c r="U1882" i="1"/>
  <c r="U1883" i="1"/>
  <c r="U1884" i="1"/>
  <c r="U1885" i="1"/>
  <c r="U1886" i="1"/>
  <c r="U1887" i="1"/>
  <c r="U1888" i="1"/>
  <c r="U1889" i="1"/>
  <c r="U1890" i="1"/>
  <c r="U1891" i="1"/>
  <c r="U1892" i="1"/>
  <c r="U1893" i="1"/>
  <c r="U1894" i="1"/>
  <c r="U1895" i="1"/>
  <c r="U1896" i="1"/>
  <c r="U1897" i="1"/>
  <c r="U1898" i="1"/>
  <c r="U1899" i="1"/>
  <c r="U1900" i="1"/>
  <c r="U1901" i="1"/>
  <c r="U1902" i="1"/>
  <c r="U1903" i="1"/>
  <c r="U1904" i="1"/>
  <c r="U1905" i="1"/>
  <c r="U1906" i="1"/>
  <c r="U1907" i="1"/>
  <c r="U1908" i="1"/>
  <c r="U1909" i="1"/>
  <c r="U1910" i="1"/>
  <c r="U1911" i="1"/>
  <c r="U1912" i="1"/>
  <c r="U1913" i="1"/>
  <c r="U1914" i="1"/>
  <c r="U1915" i="1"/>
  <c r="U1916" i="1"/>
  <c r="U1917" i="1"/>
  <c r="U1918" i="1"/>
  <c r="U1919" i="1"/>
  <c r="U1920" i="1"/>
  <c r="U1921" i="1"/>
  <c r="U1922" i="1"/>
  <c r="U1923" i="1"/>
  <c r="U1924" i="1"/>
  <c r="U1925" i="1"/>
  <c r="U1926" i="1"/>
  <c r="U1927" i="1"/>
  <c r="U1928" i="1"/>
  <c r="U1929" i="1"/>
  <c r="U1930" i="1"/>
  <c r="U1931" i="1"/>
  <c r="U1932" i="1"/>
  <c r="U1933" i="1"/>
  <c r="U1934" i="1"/>
  <c r="U1935" i="1"/>
  <c r="U1936" i="1"/>
  <c r="U1937" i="1"/>
  <c r="U1938" i="1"/>
  <c r="U1939" i="1"/>
  <c r="U1940" i="1"/>
  <c r="U1941" i="1"/>
  <c r="U1942" i="1"/>
  <c r="U1943" i="1"/>
  <c r="U1944" i="1"/>
  <c r="U1945" i="1"/>
  <c r="U1946" i="1"/>
  <c r="U1947" i="1"/>
  <c r="U1948" i="1"/>
  <c r="U1949" i="1"/>
  <c r="U1950" i="1"/>
  <c r="U1951" i="1"/>
  <c r="U1952" i="1"/>
  <c r="U1953" i="1"/>
  <c r="U1954" i="1"/>
  <c r="U1955" i="1"/>
  <c r="U1956" i="1"/>
  <c r="U1957" i="1"/>
  <c r="U1958" i="1"/>
  <c r="U1959" i="1"/>
  <c r="U1960" i="1"/>
  <c r="U1961" i="1"/>
  <c r="U1962" i="1"/>
  <c r="U1963" i="1"/>
  <c r="U1964" i="1"/>
  <c r="U1965" i="1"/>
  <c r="U1966" i="1"/>
  <c r="U1967" i="1"/>
  <c r="U1968" i="1"/>
  <c r="U1969" i="1"/>
  <c r="U1970" i="1"/>
  <c r="U1971" i="1"/>
  <c r="U1972" i="1"/>
  <c r="U1973" i="1"/>
  <c r="U1974" i="1"/>
  <c r="U1975" i="1"/>
  <c r="U1976" i="1"/>
  <c r="U1977" i="1"/>
  <c r="U1978" i="1"/>
  <c r="U1979" i="1"/>
  <c r="U1980" i="1"/>
  <c r="U1981" i="1"/>
  <c r="U1982" i="1"/>
  <c r="U1983" i="1"/>
  <c r="U1984" i="1"/>
  <c r="U1985" i="1"/>
  <c r="U1986" i="1"/>
  <c r="U1987" i="1"/>
  <c r="U1988" i="1"/>
  <c r="U1989" i="1"/>
  <c r="U1990" i="1"/>
  <c r="U1991" i="1"/>
  <c r="U1992" i="1"/>
  <c r="U1993" i="1"/>
  <c r="U1994" i="1"/>
  <c r="U1995" i="1"/>
  <c r="U1996" i="1"/>
  <c r="U1997" i="1"/>
  <c r="U1998" i="1"/>
  <c r="U1999" i="1"/>
  <c r="U2000" i="1"/>
  <c r="U2001" i="1"/>
  <c r="T3" i="1"/>
  <c r="T4" i="1"/>
  <c r="T5" i="1"/>
  <c r="T6" i="1"/>
  <c r="T7" i="1"/>
  <c r="T8" i="1"/>
  <c r="T9" i="1"/>
  <c r="T10" i="1"/>
  <c r="T11" i="1"/>
  <c r="T12" i="1"/>
  <c r="T13" i="1"/>
  <c r="T14" i="1"/>
  <c r="T15" i="1"/>
  <c r="T16" i="1"/>
  <c r="T17" i="1"/>
  <c r="T18" i="1"/>
  <c r="T19" i="1"/>
  <c r="T20" i="1"/>
  <c r="T21" i="1"/>
  <c r="T22" i="1"/>
  <c r="T23" i="1"/>
  <c r="T24" i="1"/>
  <c r="T25" i="1"/>
  <c r="T26" i="1"/>
  <c r="T27" i="1"/>
  <c r="T28" i="1"/>
  <c r="T29" i="1"/>
  <c r="T30" i="1"/>
  <c r="T31" i="1"/>
  <c r="T32" i="1"/>
  <c r="T33" i="1"/>
  <c r="T34" i="1"/>
  <c r="T35" i="1"/>
  <c r="T36" i="1"/>
  <c r="T37" i="1"/>
  <c r="T38" i="1"/>
  <c r="T39" i="1"/>
  <c r="T40" i="1"/>
  <c r="T41" i="1"/>
  <c r="T42" i="1"/>
  <c r="T43" i="1"/>
  <c r="T44" i="1"/>
  <c r="T45" i="1"/>
  <c r="T46" i="1"/>
  <c r="T47" i="1"/>
  <c r="T48" i="1"/>
  <c r="T49" i="1"/>
  <c r="T50" i="1"/>
  <c r="T51" i="1"/>
  <c r="T52" i="1"/>
  <c r="T53" i="1"/>
  <c r="T54" i="1"/>
  <c r="T55" i="1"/>
  <c r="T56" i="1"/>
  <c r="T57" i="1"/>
  <c r="T58" i="1"/>
  <c r="T59" i="1"/>
  <c r="T60" i="1"/>
  <c r="T61" i="1"/>
  <c r="T62" i="1"/>
  <c r="T63" i="1"/>
  <c r="T64" i="1"/>
  <c r="T65" i="1"/>
  <c r="T66" i="1"/>
  <c r="T67" i="1"/>
  <c r="T68" i="1"/>
  <c r="T69" i="1"/>
  <c r="T70" i="1"/>
  <c r="T71" i="1"/>
  <c r="T72" i="1"/>
  <c r="T73" i="1"/>
  <c r="T74" i="1"/>
  <c r="T75" i="1"/>
  <c r="T76" i="1"/>
  <c r="T77" i="1"/>
  <c r="T78" i="1"/>
  <c r="T79" i="1"/>
  <c r="T80" i="1"/>
  <c r="T81" i="1"/>
  <c r="T82" i="1"/>
  <c r="T83" i="1"/>
  <c r="T84" i="1"/>
  <c r="T85" i="1"/>
  <c r="T86" i="1"/>
  <c r="T87" i="1"/>
  <c r="T88" i="1"/>
  <c r="T89" i="1"/>
  <c r="T90" i="1"/>
  <c r="T91" i="1"/>
  <c r="T92" i="1"/>
  <c r="T93" i="1"/>
  <c r="T94" i="1"/>
  <c r="T95" i="1"/>
  <c r="T96" i="1"/>
  <c r="T97" i="1"/>
  <c r="T98" i="1"/>
  <c r="T99" i="1"/>
  <c r="T100" i="1"/>
  <c r="T101" i="1"/>
  <c r="T102" i="1"/>
  <c r="T103" i="1"/>
  <c r="T104" i="1"/>
  <c r="T105" i="1"/>
  <c r="T106" i="1"/>
  <c r="T107" i="1"/>
  <c r="T108" i="1"/>
  <c r="T109" i="1"/>
  <c r="T110" i="1"/>
  <c r="T111" i="1"/>
  <c r="T112" i="1"/>
  <c r="T113" i="1"/>
  <c r="T114" i="1"/>
  <c r="T115" i="1"/>
  <c r="T116" i="1"/>
  <c r="T117" i="1"/>
  <c r="T118" i="1"/>
  <c r="T119" i="1"/>
  <c r="T120" i="1"/>
  <c r="T121" i="1"/>
  <c r="T122" i="1"/>
  <c r="T123" i="1"/>
  <c r="T124" i="1"/>
  <c r="T125" i="1"/>
  <c r="T126" i="1"/>
  <c r="T127" i="1"/>
  <c r="T128" i="1"/>
  <c r="T129" i="1"/>
  <c r="T130" i="1"/>
  <c r="T131" i="1"/>
  <c r="T132" i="1"/>
  <c r="T133" i="1"/>
  <c r="T134" i="1"/>
  <c r="T135" i="1"/>
  <c r="T136" i="1"/>
  <c r="T137" i="1"/>
  <c r="T138" i="1"/>
  <c r="T139" i="1"/>
  <c r="T140" i="1"/>
  <c r="T141" i="1"/>
  <c r="T142" i="1"/>
  <c r="T143" i="1"/>
  <c r="T144" i="1"/>
  <c r="T145" i="1"/>
  <c r="T146" i="1"/>
  <c r="T147" i="1"/>
  <c r="T148" i="1"/>
  <c r="T149" i="1"/>
  <c r="T150" i="1"/>
  <c r="T151" i="1"/>
  <c r="T152" i="1"/>
  <c r="T153" i="1"/>
  <c r="T154" i="1"/>
  <c r="T155" i="1"/>
  <c r="T156" i="1"/>
  <c r="T157" i="1"/>
  <c r="T158" i="1"/>
  <c r="T159" i="1"/>
  <c r="T160" i="1"/>
  <c r="T161" i="1"/>
  <c r="T162" i="1"/>
  <c r="T163" i="1"/>
  <c r="T164" i="1"/>
  <c r="T165" i="1"/>
  <c r="T166" i="1"/>
  <c r="T167" i="1"/>
  <c r="T168" i="1"/>
  <c r="T169" i="1"/>
  <c r="T170" i="1"/>
  <c r="T171" i="1"/>
  <c r="T172" i="1"/>
  <c r="T173" i="1"/>
  <c r="T174" i="1"/>
  <c r="T175" i="1"/>
  <c r="T176" i="1"/>
  <c r="T177" i="1"/>
  <c r="T178" i="1"/>
  <c r="T179" i="1"/>
  <c r="T180" i="1"/>
  <c r="T181" i="1"/>
  <c r="T182" i="1"/>
  <c r="T183" i="1"/>
  <c r="T184" i="1"/>
  <c r="T185" i="1"/>
  <c r="T186" i="1"/>
  <c r="T187" i="1"/>
  <c r="T188" i="1"/>
  <c r="T189" i="1"/>
  <c r="T190" i="1"/>
  <c r="T191" i="1"/>
  <c r="T192" i="1"/>
  <c r="T193" i="1"/>
  <c r="T194" i="1"/>
  <c r="T195" i="1"/>
  <c r="T196" i="1"/>
  <c r="T197" i="1"/>
  <c r="T198" i="1"/>
  <c r="T199" i="1"/>
  <c r="T200" i="1"/>
  <c r="T201" i="1"/>
  <c r="T202" i="1"/>
  <c r="T203" i="1"/>
  <c r="T204" i="1"/>
  <c r="T205" i="1"/>
  <c r="T206" i="1"/>
  <c r="T207" i="1"/>
  <c r="T208" i="1"/>
  <c r="T209" i="1"/>
  <c r="T210" i="1"/>
  <c r="T211" i="1"/>
  <c r="T212" i="1"/>
  <c r="T213" i="1"/>
  <c r="T214" i="1"/>
  <c r="T215" i="1"/>
  <c r="T216" i="1"/>
  <c r="T217" i="1"/>
  <c r="T218" i="1"/>
  <c r="T219" i="1"/>
  <c r="T220" i="1"/>
  <c r="T221" i="1"/>
  <c r="T222" i="1"/>
  <c r="T223" i="1"/>
  <c r="T224" i="1"/>
  <c r="T225" i="1"/>
  <c r="T226" i="1"/>
  <c r="T227" i="1"/>
  <c r="T228" i="1"/>
  <c r="T229" i="1"/>
  <c r="T230" i="1"/>
  <c r="T231" i="1"/>
  <c r="T232" i="1"/>
  <c r="T233" i="1"/>
  <c r="T234" i="1"/>
  <c r="T235" i="1"/>
  <c r="T236" i="1"/>
  <c r="T237" i="1"/>
  <c r="T238" i="1"/>
  <c r="T239" i="1"/>
  <c r="T240" i="1"/>
  <c r="T241" i="1"/>
  <c r="T242" i="1"/>
  <c r="T243" i="1"/>
  <c r="T244" i="1"/>
  <c r="T245" i="1"/>
  <c r="T246" i="1"/>
  <c r="T247" i="1"/>
  <c r="T248" i="1"/>
  <c r="T249" i="1"/>
  <c r="T250" i="1"/>
  <c r="T251" i="1"/>
  <c r="T252" i="1"/>
  <c r="T253" i="1"/>
  <c r="T254" i="1"/>
  <c r="T255" i="1"/>
  <c r="T256" i="1"/>
  <c r="T257" i="1"/>
  <c r="T258" i="1"/>
  <c r="T259" i="1"/>
  <c r="T260" i="1"/>
  <c r="T261" i="1"/>
  <c r="T262" i="1"/>
  <c r="T263" i="1"/>
  <c r="T264" i="1"/>
  <c r="T265" i="1"/>
  <c r="T266" i="1"/>
  <c r="T267" i="1"/>
  <c r="T268" i="1"/>
  <c r="T269" i="1"/>
  <c r="T270" i="1"/>
  <c r="T271" i="1"/>
  <c r="T272" i="1"/>
  <c r="T273" i="1"/>
  <c r="T274" i="1"/>
  <c r="T275" i="1"/>
  <c r="T276" i="1"/>
  <c r="T277" i="1"/>
  <c r="T278" i="1"/>
  <c r="T279" i="1"/>
  <c r="T280" i="1"/>
  <c r="T281" i="1"/>
  <c r="T282" i="1"/>
  <c r="T283" i="1"/>
  <c r="T284" i="1"/>
  <c r="T285" i="1"/>
  <c r="T286" i="1"/>
  <c r="T287" i="1"/>
  <c r="T288" i="1"/>
  <c r="T289" i="1"/>
  <c r="T290" i="1"/>
  <c r="T291" i="1"/>
  <c r="T292" i="1"/>
  <c r="T293" i="1"/>
  <c r="T294" i="1"/>
  <c r="T295" i="1"/>
  <c r="T296" i="1"/>
  <c r="T297" i="1"/>
  <c r="T298" i="1"/>
  <c r="T299" i="1"/>
  <c r="T300" i="1"/>
  <c r="T301" i="1"/>
  <c r="T302" i="1"/>
  <c r="T303" i="1"/>
  <c r="T304" i="1"/>
  <c r="T305" i="1"/>
  <c r="T306" i="1"/>
  <c r="T307" i="1"/>
  <c r="T308" i="1"/>
  <c r="T309" i="1"/>
  <c r="T310" i="1"/>
  <c r="T311" i="1"/>
  <c r="T312" i="1"/>
  <c r="T313" i="1"/>
  <c r="T314" i="1"/>
  <c r="T315" i="1"/>
  <c r="T316" i="1"/>
  <c r="T317" i="1"/>
  <c r="T318" i="1"/>
  <c r="T319" i="1"/>
  <c r="T320" i="1"/>
  <c r="T321" i="1"/>
  <c r="T322" i="1"/>
  <c r="T323" i="1"/>
  <c r="T324" i="1"/>
  <c r="T325" i="1"/>
  <c r="T326" i="1"/>
  <c r="T327" i="1"/>
  <c r="T328" i="1"/>
  <c r="T329" i="1"/>
  <c r="T330" i="1"/>
  <c r="T331" i="1"/>
  <c r="T332" i="1"/>
  <c r="T333" i="1"/>
  <c r="T334" i="1"/>
  <c r="T335" i="1"/>
  <c r="T336" i="1"/>
  <c r="T337" i="1"/>
  <c r="T338" i="1"/>
  <c r="T339" i="1"/>
  <c r="T340" i="1"/>
  <c r="T341" i="1"/>
  <c r="T342" i="1"/>
  <c r="T343" i="1"/>
  <c r="T344" i="1"/>
  <c r="T345" i="1"/>
  <c r="T346" i="1"/>
  <c r="T347" i="1"/>
  <c r="T348" i="1"/>
  <c r="T349" i="1"/>
  <c r="T350" i="1"/>
  <c r="T351" i="1"/>
  <c r="T352" i="1"/>
  <c r="T353" i="1"/>
  <c r="T354" i="1"/>
  <c r="T355" i="1"/>
  <c r="T356" i="1"/>
  <c r="T357" i="1"/>
  <c r="T358" i="1"/>
  <c r="T359" i="1"/>
  <c r="T360" i="1"/>
  <c r="T361" i="1"/>
  <c r="T362" i="1"/>
  <c r="T363" i="1"/>
  <c r="T364" i="1"/>
  <c r="T365" i="1"/>
  <c r="T366" i="1"/>
  <c r="T367" i="1"/>
  <c r="T368" i="1"/>
  <c r="T369" i="1"/>
  <c r="T370" i="1"/>
  <c r="T371" i="1"/>
  <c r="T372" i="1"/>
  <c r="T373" i="1"/>
  <c r="T374" i="1"/>
  <c r="T375" i="1"/>
  <c r="T376" i="1"/>
  <c r="T377" i="1"/>
  <c r="T378" i="1"/>
  <c r="T379" i="1"/>
  <c r="T380" i="1"/>
  <c r="T381" i="1"/>
  <c r="T382" i="1"/>
  <c r="T383" i="1"/>
  <c r="T384" i="1"/>
  <c r="T385" i="1"/>
  <c r="T386" i="1"/>
  <c r="T387" i="1"/>
  <c r="T388" i="1"/>
  <c r="T389" i="1"/>
  <c r="T390" i="1"/>
  <c r="T391" i="1"/>
  <c r="T392" i="1"/>
  <c r="T393" i="1"/>
  <c r="T394" i="1"/>
  <c r="T395" i="1"/>
  <c r="T396" i="1"/>
  <c r="T397" i="1"/>
  <c r="T398" i="1"/>
  <c r="T399" i="1"/>
  <c r="T400" i="1"/>
  <c r="T401" i="1"/>
  <c r="T402" i="1"/>
  <c r="T403" i="1"/>
  <c r="T404" i="1"/>
  <c r="T405" i="1"/>
  <c r="T406" i="1"/>
  <c r="T407" i="1"/>
  <c r="T408" i="1"/>
  <c r="T409" i="1"/>
  <c r="T410" i="1"/>
  <c r="T411" i="1"/>
  <c r="T412" i="1"/>
  <c r="T413" i="1"/>
  <c r="T414" i="1"/>
  <c r="T415" i="1"/>
  <c r="T416" i="1"/>
  <c r="T417" i="1"/>
  <c r="T418" i="1"/>
  <c r="T419" i="1"/>
  <c r="T420" i="1"/>
  <c r="T421" i="1"/>
  <c r="T422" i="1"/>
  <c r="T423" i="1"/>
  <c r="T424" i="1"/>
  <c r="T425" i="1"/>
  <c r="T426" i="1"/>
  <c r="T427" i="1"/>
  <c r="T428" i="1"/>
  <c r="T429" i="1"/>
  <c r="T430" i="1"/>
  <c r="T431" i="1"/>
  <c r="T432" i="1"/>
  <c r="T433" i="1"/>
  <c r="T434" i="1"/>
  <c r="T435" i="1"/>
  <c r="T436" i="1"/>
  <c r="T437" i="1"/>
  <c r="T438" i="1"/>
  <c r="T439" i="1"/>
  <c r="T440" i="1"/>
  <c r="T441" i="1"/>
  <c r="T442" i="1"/>
  <c r="T443" i="1"/>
  <c r="T444" i="1"/>
  <c r="T445" i="1"/>
  <c r="T446" i="1"/>
  <c r="T447" i="1"/>
  <c r="T448" i="1"/>
  <c r="T449" i="1"/>
  <c r="T450" i="1"/>
  <c r="T451" i="1"/>
  <c r="T452" i="1"/>
  <c r="T453" i="1"/>
  <c r="T454" i="1"/>
  <c r="T455" i="1"/>
  <c r="T456" i="1"/>
  <c r="T457" i="1"/>
  <c r="T458" i="1"/>
  <c r="T459" i="1"/>
  <c r="T460" i="1"/>
  <c r="T461" i="1"/>
  <c r="T462" i="1"/>
  <c r="T463" i="1"/>
  <c r="T464" i="1"/>
  <c r="T465" i="1"/>
  <c r="T466" i="1"/>
  <c r="T467" i="1"/>
  <c r="T468" i="1"/>
  <c r="T469" i="1"/>
  <c r="T470" i="1"/>
  <c r="T471" i="1"/>
  <c r="T472" i="1"/>
  <c r="T473" i="1"/>
  <c r="T474" i="1"/>
  <c r="T475" i="1"/>
  <c r="T476" i="1"/>
  <c r="T477" i="1"/>
  <c r="T478" i="1"/>
  <c r="T479" i="1"/>
  <c r="T480" i="1"/>
  <c r="T481" i="1"/>
  <c r="T482" i="1"/>
  <c r="T483" i="1"/>
  <c r="T484" i="1"/>
  <c r="T485" i="1"/>
  <c r="T486" i="1"/>
  <c r="T487" i="1"/>
  <c r="T488" i="1"/>
  <c r="T489" i="1"/>
  <c r="T490" i="1"/>
  <c r="T491" i="1"/>
  <c r="T492" i="1"/>
  <c r="T493" i="1"/>
  <c r="T494" i="1"/>
  <c r="T495" i="1"/>
  <c r="T496" i="1"/>
  <c r="T497" i="1"/>
  <c r="T498" i="1"/>
  <c r="T499" i="1"/>
  <c r="T500" i="1"/>
  <c r="T501" i="1"/>
  <c r="T502" i="1"/>
  <c r="T503" i="1"/>
  <c r="T504" i="1"/>
  <c r="T505" i="1"/>
  <c r="T506" i="1"/>
  <c r="T507" i="1"/>
  <c r="T508" i="1"/>
  <c r="T509" i="1"/>
  <c r="T510" i="1"/>
  <c r="T511" i="1"/>
  <c r="T512" i="1"/>
  <c r="T513" i="1"/>
  <c r="T514" i="1"/>
  <c r="T515" i="1"/>
  <c r="T516" i="1"/>
  <c r="T517" i="1"/>
  <c r="T518" i="1"/>
  <c r="T519" i="1"/>
  <c r="T520" i="1"/>
  <c r="T521" i="1"/>
  <c r="T522" i="1"/>
  <c r="T523" i="1"/>
  <c r="T524" i="1"/>
  <c r="T525" i="1"/>
  <c r="T526" i="1"/>
  <c r="T527" i="1"/>
  <c r="T528" i="1"/>
  <c r="T529" i="1"/>
  <c r="T530" i="1"/>
  <c r="T531" i="1"/>
  <c r="T532" i="1"/>
  <c r="T533" i="1"/>
  <c r="T534" i="1"/>
  <c r="T535" i="1"/>
  <c r="T536" i="1"/>
  <c r="T537" i="1"/>
  <c r="T538" i="1"/>
  <c r="T539" i="1"/>
  <c r="T540" i="1"/>
  <c r="T541" i="1"/>
  <c r="T542" i="1"/>
  <c r="T543" i="1"/>
  <c r="T544" i="1"/>
  <c r="T545" i="1"/>
  <c r="T546" i="1"/>
  <c r="T547" i="1"/>
  <c r="T548" i="1"/>
  <c r="T549" i="1"/>
  <c r="T550" i="1"/>
  <c r="T551" i="1"/>
  <c r="T552" i="1"/>
  <c r="T553" i="1"/>
  <c r="T554" i="1"/>
  <c r="T555" i="1"/>
  <c r="T556" i="1"/>
  <c r="T557" i="1"/>
  <c r="T558" i="1"/>
  <c r="T559" i="1"/>
  <c r="T560" i="1"/>
  <c r="T561" i="1"/>
  <c r="T562" i="1"/>
  <c r="T563" i="1"/>
  <c r="T564" i="1"/>
  <c r="T565" i="1"/>
  <c r="T566" i="1"/>
  <c r="T567" i="1"/>
  <c r="T568" i="1"/>
  <c r="T569" i="1"/>
  <c r="T570" i="1"/>
  <c r="T571" i="1"/>
  <c r="T572" i="1"/>
  <c r="T573" i="1"/>
  <c r="T574" i="1"/>
  <c r="T575" i="1"/>
  <c r="T576" i="1"/>
  <c r="T577" i="1"/>
  <c r="T578" i="1"/>
  <c r="T579" i="1"/>
  <c r="T580" i="1"/>
  <c r="T581" i="1"/>
  <c r="T582" i="1"/>
  <c r="T583" i="1"/>
  <c r="T584" i="1"/>
  <c r="T585" i="1"/>
  <c r="T586" i="1"/>
  <c r="T587" i="1"/>
  <c r="T588" i="1"/>
  <c r="T589" i="1"/>
  <c r="T590" i="1"/>
  <c r="T591" i="1"/>
  <c r="T592" i="1"/>
  <c r="T593" i="1"/>
  <c r="T594" i="1"/>
  <c r="T595" i="1"/>
  <c r="T596" i="1"/>
  <c r="T597" i="1"/>
  <c r="T598" i="1"/>
  <c r="T599" i="1"/>
  <c r="T600" i="1"/>
  <c r="T601" i="1"/>
  <c r="T602" i="1"/>
  <c r="T603" i="1"/>
  <c r="T604" i="1"/>
  <c r="T605" i="1"/>
  <c r="T606" i="1"/>
  <c r="T607" i="1"/>
  <c r="T608" i="1"/>
  <c r="T609" i="1"/>
  <c r="T610" i="1"/>
  <c r="T611" i="1"/>
  <c r="T612" i="1"/>
  <c r="T613" i="1"/>
  <c r="T614" i="1"/>
  <c r="T615" i="1"/>
  <c r="T616" i="1"/>
  <c r="T617" i="1"/>
  <c r="T618" i="1"/>
  <c r="T619" i="1"/>
  <c r="T620" i="1"/>
  <c r="T621" i="1"/>
  <c r="T622" i="1"/>
  <c r="T623" i="1"/>
  <c r="T624" i="1"/>
  <c r="T625" i="1"/>
  <c r="T626" i="1"/>
  <c r="T627" i="1"/>
  <c r="T628" i="1"/>
  <c r="T629" i="1"/>
  <c r="T630" i="1"/>
  <c r="T631" i="1"/>
  <c r="T632" i="1"/>
  <c r="T633" i="1"/>
  <c r="T634" i="1"/>
  <c r="T635" i="1"/>
  <c r="T636" i="1"/>
  <c r="T637" i="1"/>
  <c r="T638" i="1"/>
  <c r="T639" i="1"/>
  <c r="T640" i="1"/>
  <c r="T641" i="1"/>
  <c r="T642" i="1"/>
  <c r="T643" i="1"/>
  <c r="T644" i="1"/>
  <c r="T645" i="1"/>
  <c r="T646" i="1"/>
  <c r="T647" i="1"/>
  <c r="T648" i="1"/>
  <c r="T649" i="1"/>
  <c r="T650" i="1"/>
  <c r="T651" i="1"/>
  <c r="T652" i="1"/>
  <c r="T653" i="1"/>
  <c r="T654" i="1"/>
  <c r="T655" i="1"/>
  <c r="T656" i="1"/>
  <c r="T657" i="1"/>
  <c r="T658" i="1"/>
  <c r="T659" i="1"/>
  <c r="T660" i="1"/>
  <c r="T661" i="1"/>
  <c r="T662" i="1"/>
  <c r="T663" i="1"/>
  <c r="T664" i="1"/>
  <c r="T665" i="1"/>
  <c r="T666" i="1"/>
  <c r="T667" i="1"/>
  <c r="T668" i="1"/>
  <c r="T669" i="1"/>
  <c r="T670" i="1"/>
  <c r="T671" i="1"/>
  <c r="T672" i="1"/>
  <c r="T673" i="1"/>
  <c r="T674" i="1"/>
  <c r="T675" i="1"/>
  <c r="T676" i="1"/>
  <c r="T677" i="1"/>
  <c r="T678" i="1"/>
  <c r="T679" i="1"/>
  <c r="T680" i="1"/>
  <c r="T681" i="1"/>
  <c r="T682" i="1"/>
  <c r="T683" i="1"/>
  <c r="T684" i="1"/>
  <c r="T685" i="1"/>
  <c r="T686" i="1"/>
  <c r="T687" i="1"/>
  <c r="T688" i="1"/>
  <c r="T689" i="1"/>
  <c r="T690" i="1"/>
  <c r="T691" i="1"/>
  <c r="T692" i="1"/>
  <c r="T693" i="1"/>
  <c r="T694" i="1"/>
  <c r="T695" i="1"/>
  <c r="T696" i="1"/>
  <c r="T697" i="1"/>
  <c r="T698" i="1"/>
  <c r="T699" i="1"/>
  <c r="T700" i="1"/>
  <c r="T701" i="1"/>
  <c r="T702" i="1"/>
  <c r="T703" i="1"/>
  <c r="T704" i="1"/>
  <c r="T705" i="1"/>
  <c r="T706" i="1"/>
  <c r="T707" i="1"/>
  <c r="T708" i="1"/>
  <c r="T709" i="1"/>
  <c r="T710" i="1"/>
  <c r="T711" i="1"/>
  <c r="T712" i="1"/>
  <c r="T713" i="1"/>
  <c r="T714" i="1"/>
  <c r="T715" i="1"/>
  <c r="T716" i="1"/>
  <c r="T717" i="1"/>
  <c r="T718" i="1"/>
  <c r="T719" i="1"/>
  <c r="T720" i="1"/>
  <c r="T721" i="1"/>
  <c r="T722" i="1"/>
  <c r="T723" i="1"/>
  <c r="T724" i="1"/>
  <c r="T725" i="1"/>
  <c r="T726" i="1"/>
  <c r="T727" i="1"/>
  <c r="T728" i="1"/>
  <c r="T729" i="1"/>
  <c r="T730" i="1"/>
  <c r="T731" i="1"/>
  <c r="T732" i="1"/>
  <c r="T733" i="1"/>
  <c r="T734" i="1"/>
  <c r="T735" i="1"/>
  <c r="T736" i="1"/>
  <c r="T737" i="1"/>
  <c r="T738" i="1"/>
  <c r="T739" i="1"/>
  <c r="T740" i="1"/>
  <c r="T741" i="1"/>
  <c r="T742" i="1"/>
  <c r="T743" i="1"/>
  <c r="T744" i="1"/>
  <c r="T745" i="1"/>
  <c r="T746" i="1"/>
  <c r="T747" i="1"/>
  <c r="T748" i="1"/>
  <c r="T749" i="1"/>
  <c r="T750" i="1"/>
  <c r="T751" i="1"/>
  <c r="T752" i="1"/>
  <c r="T753" i="1"/>
  <c r="T754" i="1"/>
  <c r="T755" i="1"/>
  <c r="T756" i="1"/>
  <c r="T757" i="1"/>
  <c r="T758" i="1"/>
  <c r="T759" i="1"/>
  <c r="T760" i="1"/>
  <c r="T761" i="1"/>
  <c r="T762" i="1"/>
  <c r="T763" i="1"/>
  <c r="T764" i="1"/>
  <c r="T765" i="1"/>
  <c r="T766" i="1"/>
  <c r="T767" i="1"/>
  <c r="T768" i="1"/>
  <c r="T769" i="1"/>
  <c r="T770" i="1"/>
  <c r="T771" i="1"/>
  <c r="T772" i="1"/>
  <c r="T773" i="1"/>
  <c r="T774" i="1"/>
  <c r="T775" i="1"/>
  <c r="T776" i="1"/>
  <c r="T777" i="1"/>
  <c r="T778" i="1"/>
  <c r="T779" i="1"/>
  <c r="T780" i="1"/>
  <c r="T781" i="1"/>
  <c r="T782" i="1"/>
  <c r="T783" i="1"/>
  <c r="T784" i="1"/>
  <c r="T785" i="1"/>
  <c r="T786" i="1"/>
  <c r="T787" i="1"/>
  <c r="T788" i="1"/>
  <c r="T789" i="1"/>
  <c r="T790" i="1"/>
  <c r="T791" i="1"/>
  <c r="T792" i="1"/>
  <c r="T793" i="1"/>
  <c r="T794" i="1"/>
  <c r="T795" i="1"/>
  <c r="T796" i="1"/>
  <c r="T797" i="1"/>
  <c r="T798" i="1"/>
  <c r="T799" i="1"/>
  <c r="T800" i="1"/>
  <c r="T801" i="1"/>
  <c r="T802" i="1"/>
  <c r="T803" i="1"/>
  <c r="T804" i="1"/>
  <c r="T805" i="1"/>
  <c r="T806" i="1"/>
  <c r="T807" i="1"/>
  <c r="T808" i="1"/>
  <c r="T809" i="1"/>
  <c r="T810" i="1"/>
  <c r="T811" i="1"/>
  <c r="T812" i="1"/>
  <c r="T813" i="1"/>
  <c r="T814" i="1"/>
  <c r="T815" i="1"/>
  <c r="T816" i="1"/>
  <c r="T817" i="1"/>
  <c r="T818" i="1"/>
  <c r="T819" i="1"/>
  <c r="T820" i="1"/>
  <c r="T821" i="1"/>
  <c r="T822" i="1"/>
  <c r="T823" i="1"/>
  <c r="T824" i="1"/>
  <c r="T825" i="1"/>
  <c r="T826" i="1"/>
  <c r="T827" i="1"/>
  <c r="T828" i="1"/>
  <c r="T829" i="1"/>
  <c r="T830" i="1"/>
  <c r="T831" i="1"/>
  <c r="T832" i="1"/>
  <c r="T833" i="1"/>
  <c r="T834" i="1"/>
  <c r="T835" i="1"/>
  <c r="T836" i="1"/>
  <c r="T837" i="1"/>
  <c r="T838" i="1"/>
  <c r="T839" i="1"/>
  <c r="T840" i="1"/>
  <c r="T841" i="1"/>
  <c r="T842" i="1"/>
  <c r="T843" i="1"/>
  <c r="T844" i="1"/>
  <c r="T845" i="1"/>
  <c r="T846" i="1"/>
  <c r="T847" i="1"/>
  <c r="T848" i="1"/>
  <c r="T849" i="1"/>
  <c r="T850" i="1"/>
  <c r="T851" i="1"/>
  <c r="T852" i="1"/>
  <c r="T853" i="1"/>
  <c r="T854" i="1"/>
  <c r="T855" i="1"/>
  <c r="T856" i="1"/>
  <c r="T857" i="1"/>
  <c r="T858" i="1"/>
  <c r="T859" i="1"/>
  <c r="T860" i="1"/>
  <c r="T861" i="1"/>
  <c r="T862" i="1"/>
  <c r="T863" i="1"/>
  <c r="T864" i="1"/>
  <c r="T865" i="1"/>
  <c r="T866" i="1"/>
  <c r="T867" i="1"/>
  <c r="T868" i="1"/>
  <c r="T869" i="1"/>
  <c r="T870" i="1"/>
  <c r="T871" i="1"/>
  <c r="T872" i="1"/>
  <c r="T873" i="1"/>
  <c r="T874" i="1"/>
  <c r="T875" i="1"/>
  <c r="T876" i="1"/>
  <c r="T877" i="1"/>
  <c r="T878" i="1"/>
  <c r="T879" i="1"/>
  <c r="T880" i="1"/>
  <c r="T881" i="1"/>
  <c r="T882" i="1"/>
  <c r="T883" i="1"/>
  <c r="T884" i="1"/>
  <c r="T885" i="1"/>
  <c r="T886" i="1"/>
  <c r="T887" i="1"/>
  <c r="T888" i="1"/>
  <c r="T889" i="1"/>
  <c r="T890" i="1"/>
  <c r="T891" i="1"/>
  <c r="T892" i="1"/>
  <c r="T893" i="1"/>
  <c r="T894" i="1"/>
  <c r="T895" i="1"/>
  <c r="T896" i="1"/>
  <c r="T897" i="1"/>
  <c r="T898" i="1"/>
  <c r="T899" i="1"/>
  <c r="T900" i="1"/>
  <c r="T901" i="1"/>
  <c r="T902" i="1"/>
  <c r="T903" i="1"/>
  <c r="T904" i="1"/>
  <c r="T905" i="1"/>
  <c r="T906" i="1"/>
  <c r="T907" i="1"/>
  <c r="T908" i="1"/>
  <c r="T909" i="1"/>
  <c r="T910" i="1"/>
  <c r="T911" i="1"/>
  <c r="T912" i="1"/>
  <c r="T913" i="1"/>
  <c r="T914" i="1"/>
  <c r="T915" i="1"/>
  <c r="T916" i="1"/>
  <c r="T917" i="1"/>
  <c r="T918" i="1"/>
  <c r="T919" i="1"/>
  <c r="T920" i="1"/>
  <c r="T921" i="1"/>
  <c r="T922" i="1"/>
  <c r="T923" i="1"/>
  <c r="T924" i="1"/>
  <c r="T925" i="1"/>
  <c r="T926" i="1"/>
  <c r="T927" i="1"/>
  <c r="T928" i="1"/>
  <c r="T929" i="1"/>
  <c r="T930" i="1"/>
  <c r="T931" i="1"/>
  <c r="T932" i="1"/>
  <c r="T933" i="1"/>
  <c r="T934" i="1"/>
  <c r="T935" i="1"/>
  <c r="T936" i="1"/>
  <c r="T937" i="1"/>
  <c r="T938" i="1"/>
  <c r="T939" i="1"/>
  <c r="T940" i="1"/>
  <c r="T941" i="1"/>
  <c r="T942" i="1"/>
  <c r="T943" i="1"/>
  <c r="T944" i="1"/>
  <c r="T945" i="1"/>
  <c r="T946" i="1"/>
  <c r="T947" i="1"/>
  <c r="T948" i="1"/>
  <c r="T949" i="1"/>
  <c r="T950" i="1"/>
  <c r="T951" i="1"/>
  <c r="T952" i="1"/>
  <c r="T953" i="1"/>
  <c r="T954" i="1"/>
  <c r="T955" i="1"/>
  <c r="T956" i="1"/>
  <c r="T957" i="1"/>
  <c r="T958" i="1"/>
  <c r="T959" i="1"/>
  <c r="T960" i="1"/>
  <c r="T961" i="1"/>
  <c r="T962" i="1"/>
  <c r="T963" i="1"/>
  <c r="T964" i="1"/>
  <c r="T965" i="1"/>
  <c r="T966" i="1"/>
  <c r="T967" i="1"/>
  <c r="T968" i="1"/>
  <c r="T969" i="1"/>
  <c r="T970" i="1"/>
  <c r="T971" i="1"/>
  <c r="T972" i="1"/>
  <c r="T973" i="1"/>
  <c r="T974" i="1"/>
  <c r="T975" i="1"/>
  <c r="T976" i="1"/>
  <c r="T977" i="1"/>
  <c r="T978" i="1"/>
  <c r="T979" i="1"/>
  <c r="T980" i="1"/>
  <c r="T981" i="1"/>
  <c r="T982" i="1"/>
  <c r="T983" i="1"/>
  <c r="T984" i="1"/>
  <c r="T985" i="1"/>
  <c r="T986" i="1"/>
  <c r="T987" i="1"/>
  <c r="T988" i="1"/>
  <c r="T989" i="1"/>
  <c r="T990" i="1"/>
  <c r="T991" i="1"/>
  <c r="T992" i="1"/>
  <c r="T993" i="1"/>
  <c r="T994" i="1"/>
  <c r="T995" i="1"/>
  <c r="T996" i="1"/>
  <c r="T997" i="1"/>
  <c r="T998" i="1"/>
  <c r="T999" i="1"/>
  <c r="T1000" i="1"/>
  <c r="T1001" i="1"/>
  <c r="T1002" i="1"/>
  <c r="T1003" i="1"/>
  <c r="T1004" i="1"/>
  <c r="T1005" i="1"/>
  <c r="T1006" i="1"/>
  <c r="T1007" i="1"/>
  <c r="T1008" i="1"/>
  <c r="T1009" i="1"/>
  <c r="T1010" i="1"/>
  <c r="T1011" i="1"/>
  <c r="T1012" i="1"/>
  <c r="T1013" i="1"/>
  <c r="T1014" i="1"/>
  <c r="T1015" i="1"/>
  <c r="T1016" i="1"/>
  <c r="T1017" i="1"/>
  <c r="T1018" i="1"/>
  <c r="T1019" i="1"/>
  <c r="T1020" i="1"/>
  <c r="T1021" i="1"/>
  <c r="T1022" i="1"/>
  <c r="T1023" i="1"/>
  <c r="T1024" i="1"/>
  <c r="T1025" i="1"/>
  <c r="T1026" i="1"/>
  <c r="T1027" i="1"/>
  <c r="T1028" i="1"/>
  <c r="T1029" i="1"/>
  <c r="T1030" i="1"/>
  <c r="T1031" i="1"/>
  <c r="T1032" i="1"/>
  <c r="T1033" i="1"/>
  <c r="T1034" i="1"/>
  <c r="T1035" i="1"/>
  <c r="T1036" i="1"/>
  <c r="T1037" i="1"/>
  <c r="T1038" i="1"/>
  <c r="T1039" i="1"/>
  <c r="T1040" i="1"/>
  <c r="T1041" i="1"/>
  <c r="T1042" i="1"/>
  <c r="T1043" i="1"/>
  <c r="T1044" i="1"/>
  <c r="T1045" i="1"/>
  <c r="T1046" i="1"/>
  <c r="T1047" i="1"/>
  <c r="T1048" i="1"/>
  <c r="T1049" i="1"/>
  <c r="T1050" i="1"/>
  <c r="T1051" i="1"/>
  <c r="T1052" i="1"/>
  <c r="T1053" i="1"/>
  <c r="T1054" i="1"/>
  <c r="T1055" i="1"/>
  <c r="T1056" i="1"/>
  <c r="T1057" i="1"/>
  <c r="T1058" i="1"/>
  <c r="T1059" i="1"/>
  <c r="T1060" i="1"/>
  <c r="T1061" i="1"/>
  <c r="T1062" i="1"/>
  <c r="T1063" i="1"/>
  <c r="T1064" i="1"/>
  <c r="T1065" i="1"/>
  <c r="T1066" i="1"/>
  <c r="T1067" i="1"/>
  <c r="T1068" i="1"/>
  <c r="T1069" i="1"/>
  <c r="T1070" i="1"/>
  <c r="T1071" i="1"/>
  <c r="T1072" i="1"/>
  <c r="T1073" i="1"/>
  <c r="T1074" i="1"/>
  <c r="T1075" i="1"/>
  <c r="T1076" i="1"/>
  <c r="T1077" i="1"/>
  <c r="T1078" i="1"/>
  <c r="T1079" i="1"/>
  <c r="T1080" i="1"/>
  <c r="T1081" i="1"/>
  <c r="T1082" i="1"/>
  <c r="T1083" i="1"/>
  <c r="T1084" i="1"/>
  <c r="T1085" i="1"/>
  <c r="T1086" i="1"/>
  <c r="T1087" i="1"/>
  <c r="T1088" i="1"/>
  <c r="T1089" i="1"/>
  <c r="T1090" i="1"/>
  <c r="T1091" i="1"/>
  <c r="T1092" i="1"/>
  <c r="T1093" i="1"/>
  <c r="T1094" i="1"/>
  <c r="T1095" i="1"/>
  <c r="T1096" i="1"/>
  <c r="T1097" i="1"/>
  <c r="T1098" i="1"/>
  <c r="T1099" i="1"/>
  <c r="T1100" i="1"/>
  <c r="T1101" i="1"/>
  <c r="T1102" i="1"/>
  <c r="T1103" i="1"/>
  <c r="T1104" i="1"/>
  <c r="T1105" i="1"/>
  <c r="T1106" i="1"/>
  <c r="T1107" i="1"/>
  <c r="T1108" i="1"/>
  <c r="T1109" i="1"/>
  <c r="T1110" i="1"/>
  <c r="T1111" i="1"/>
  <c r="T1112" i="1"/>
  <c r="T1113" i="1"/>
  <c r="T1114" i="1"/>
  <c r="T1115" i="1"/>
  <c r="T1116" i="1"/>
  <c r="T1117" i="1"/>
  <c r="T1118" i="1"/>
  <c r="T1119" i="1"/>
  <c r="T1120" i="1"/>
  <c r="T1121" i="1"/>
  <c r="T1122" i="1"/>
  <c r="T1123" i="1"/>
  <c r="T1124" i="1"/>
  <c r="T1125" i="1"/>
  <c r="T1126" i="1"/>
  <c r="T1127" i="1"/>
  <c r="T1128" i="1"/>
  <c r="T1129" i="1"/>
  <c r="T1130" i="1"/>
  <c r="T1131" i="1"/>
  <c r="T1132" i="1"/>
  <c r="T1133" i="1"/>
  <c r="T1134" i="1"/>
  <c r="T1135" i="1"/>
  <c r="T1136" i="1"/>
  <c r="T1137" i="1"/>
  <c r="T1138" i="1"/>
  <c r="T1139" i="1"/>
  <c r="T1140" i="1"/>
  <c r="T1141" i="1"/>
  <c r="T1142" i="1"/>
  <c r="T1143" i="1"/>
  <c r="T1144" i="1"/>
  <c r="T1145" i="1"/>
  <c r="T1146" i="1"/>
  <c r="T1147" i="1"/>
  <c r="T1148" i="1"/>
  <c r="T1149" i="1"/>
  <c r="T1150" i="1"/>
  <c r="T1151" i="1"/>
  <c r="T1152" i="1"/>
  <c r="T1153" i="1"/>
  <c r="T1154" i="1"/>
  <c r="T1155" i="1"/>
  <c r="T1156" i="1"/>
  <c r="T1157" i="1"/>
  <c r="T1158" i="1"/>
  <c r="T1159" i="1"/>
  <c r="T1160" i="1"/>
  <c r="T1161" i="1"/>
  <c r="T1162" i="1"/>
  <c r="T1163" i="1"/>
  <c r="T1164" i="1"/>
  <c r="T1165" i="1"/>
  <c r="T1166" i="1"/>
  <c r="T1167" i="1"/>
  <c r="T1168" i="1"/>
  <c r="T1169" i="1"/>
  <c r="T1170" i="1"/>
  <c r="T1171" i="1"/>
  <c r="T1172" i="1"/>
  <c r="T1173" i="1"/>
  <c r="T1174" i="1"/>
  <c r="T1175" i="1"/>
  <c r="T1176" i="1"/>
  <c r="T1177" i="1"/>
  <c r="T1178" i="1"/>
  <c r="T1179" i="1"/>
  <c r="T1180" i="1"/>
  <c r="T1181" i="1"/>
  <c r="T1182" i="1"/>
  <c r="T1183" i="1"/>
  <c r="T1184" i="1"/>
  <c r="T1185" i="1"/>
  <c r="T1186" i="1"/>
  <c r="T1187" i="1"/>
  <c r="T1188" i="1"/>
  <c r="T1189" i="1"/>
  <c r="T1190" i="1"/>
  <c r="T1191" i="1"/>
  <c r="T1192" i="1"/>
  <c r="T1193" i="1"/>
  <c r="T1194" i="1"/>
  <c r="T1195" i="1"/>
  <c r="T1196" i="1"/>
  <c r="T1197" i="1"/>
  <c r="T1198" i="1"/>
  <c r="T1199" i="1"/>
  <c r="T1200" i="1"/>
  <c r="T1201" i="1"/>
  <c r="T1202" i="1"/>
  <c r="T1203" i="1"/>
  <c r="T1204" i="1"/>
  <c r="T1205" i="1"/>
  <c r="T1206" i="1"/>
  <c r="T1207" i="1"/>
  <c r="T1208" i="1"/>
  <c r="T1209" i="1"/>
  <c r="T1210" i="1"/>
  <c r="T1211" i="1"/>
  <c r="T1212" i="1"/>
  <c r="T1213" i="1"/>
  <c r="T1214" i="1"/>
  <c r="T1215" i="1"/>
  <c r="T1216" i="1"/>
  <c r="T1217" i="1"/>
  <c r="T1218" i="1"/>
  <c r="T1219" i="1"/>
  <c r="T1220" i="1"/>
  <c r="T1221" i="1"/>
  <c r="T1222" i="1"/>
  <c r="T1223" i="1"/>
  <c r="T1224" i="1"/>
  <c r="T1225" i="1"/>
  <c r="T1226" i="1"/>
  <c r="T1227" i="1"/>
  <c r="T1228" i="1"/>
  <c r="T1229" i="1"/>
  <c r="T1230" i="1"/>
  <c r="T1231" i="1"/>
  <c r="T1232" i="1"/>
  <c r="T1233" i="1"/>
  <c r="T1234" i="1"/>
  <c r="T1235" i="1"/>
  <c r="T1236" i="1"/>
  <c r="T1237" i="1"/>
  <c r="T1238" i="1"/>
  <c r="T1239" i="1"/>
  <c r="T1240" i="1"/>
  <c r="T1241" i="1"/>
  <c r="T1242" i="1"/>
  <c r="T1243" i="1"/>
  <c r="T1244" i="1"/>
  <c r="T1245" i="1"/>
  <c r="T1246" i="1"/>
  <c r="T1247" i="1"/>
  <c r="T1248" i="1"/>
  <c r="T1249" i="1"/>
  <c r="T1250" i="1"/>
  <c r="T1251" i="1"/>
  <c r="T1252" i="1"/>
  <c r="T1253" i="1"/>
  <c r="T1254" i="1"/>
  <c r="T1255" i="1"/>
  <c r="T1256" i="1"/>
  <c r="T1257" i="1"/>
  <c r="T1258" i="1"/>
  <c r="T1259" i="1"/>
  <c r="T1260" i="1"/>
  <c r="T1261" i="1"/>
  <c r="T1262" i="1"/>
  <c r="T1263" i="1"/>
  <c r="T1264" i="1"/>
  <c r="T1265" i="1"/>
  <c r="T1266" i="1"/>
  <c r="T1267" i="1"/>
  <c r="T1268" i="1"/>
  <c r="T1269" i="1"/>
  <c r="T1270" i="1"/>
  <c r="T1271" i="1"/>
  <c r="T1272" i="1"/>
  <c r="T1273" i="1"/>
  <c r="T1274" i="1"/>
  <c r="T1275" i="1"/>
  <c r="T1276" i="1"/>
  <c r="T1277" i="1"/>
  <c r="T1278" i="1"/>
  <c r="T1279" i="1"/>
  <c r="T1280" i="1"/>
  <c r="T1281" i="1"/>
  <c r="T1282" i="1"/>
  <c r="T1283" i="1"/>
  <c r="T1284" i="1"/>
  <c r="T1285" i="1"/>
  <c r="T1286" i="1"/>
  <c r="T1287" i="1"/>
  <c r="T1288" i="1"/>
  <c r="T1289" i="1"/>
  <c r="T1290" i="1"/>
  <c r="T1291" i="1"/>
  <c r="T1292" i="1"/>
  <c r="T1293" i="1"/>
  <c r="T1294" i="1"/>
  <c r="T1295" i="1"/>
  <c r="T1296" i="1"/>
  <c r="T1297" i="1"/>
  <c r="T1298" i="1"/>
  <c r="T1299" i="1"/>
  <c r="T1300" i="1"/>
  <c r="T1301" i="1"/>
  <c r="T1302" i="1"/>
  <c r="T1303" i="1"/>
  <c r="T1304" i="1"/>
  <c r="T1305" i="1"/>
  <c r="T1306" i="1"/>
  <c r="T1307" i="1"/>
  <c r="T1308" i="1"/>
  <c r="T1309" i="1"/>
  <c r="T1310" i="1"/>
  <c r="T1311" i="1"/>
  <c r="T1312" i="1"/>
  <c r="T1313" i="1"/>
  <c r="T1314" i="1"/>
  <c r="T1315" i="1"/>
  <c r="T1316" i="1"/>
  <c r="T1317" i="1"/>
  <c r="T1318" i="1"/>
  <c r="T1319" i="1"/>
  <c r="T1320" i="1"/>
  <c r="T1321" i="1"/>
  <c r="T1322" i="1"/>
  <c r="T1323" i="1"/>
  <c r="T1324" i="1"/>
  <c r="T1325" i="1"/>
  <c r="T1326" i="1"/>
  <c r="T1327" i="1"/>
  <c r="T1328" i="1"/>
  <c r="T1329" i="1"/>
  <c r="T1330" i="1"/>
  <c r="T1331" i="1"/>
  <c r="T1332" i="1"/>
  <c r="T1333" i="1"/>
  <c r="T1334" i="1"/>
  <c r="T1335" i="1"/>
  <c r="T1336" i="1"/>
  <c r="T1337" i="1"/>
  <c r="T1338" i="1"/>
  <c r="T1339" i="1"/>
  <c r="T1340" i="1"/>
  <c r="T1341" i="1"/>
  <c r="T1342" i="1"/>
  <c r="T1343" i="1"/>
  <c r="T1344" i="1"/>
  <c r="T1345" i="1"/>
  <c r="T1346" i="1"/>
  <c r="T1347" i="1"/>
  <c r="T1348" i="1"/>
  <c r="T1349" i="1"/>
  <c r="T1350" i="1"/>
  <c r="T1351" i="1"/>
  <c r="T1352" i="1"/>
  <c r="T1353" i="1"/>
  <c r="T1354" i="1"/>
  <c r="T1355" i="1"/>
  <c r="T1356" i="1"/>
  <c r="T1357" i="1"/>
  <c r="T1358" i="1"/>
  <c r="T1359" i="1"/>
  <c r="T1360" i="1"/>
  <c r="T1361" i="1"/>
  <c r="T1362" i="1"/>
  <c r="T1363" i="1"/>
  <c r="T1364" i="1"/>
  <c r="T1365" i="1"/>
  <c r="T1366" i="1"/>
  <c r="T1367" i="1"/>
  <c r="T1368" i="1"/>
  <c r="T1369" i="1"/>
  <c r="T1370" i="1"/>
  <c r="T1371" i="1"/>
  <c r="T1372" i="1"/>
  <c r="T1373" i="1"/>
  <c r="T1374" i="1"/>
  <c r="T1375" i="1"/>
  <c r="T1376" i="1"/>
  <c r="T1377" i="1"/>
  <c r="T1378" i="1"/>
  <c r="T1379" i="1"/>
  <c r="T1380" i="1"/>
  <c r="T1381" i="1"/>
  <c r="T1382" i="1"/>
  <c r="T1383" i="1"/>
  <c r="T1384" i="1"/>
  <c r="T1385" i="1"/>
  <c r="T1386" i="1"/>
  <c r="T1387" i="1"/>
  <c r="T1388" i="1"/>
  <c r="T1389" i="1"/>
  <c r="T1390" i="1"/>
  <c r="T1391" i="1"/>
  <c r="T1392" i="1"/>
  <c r="T1393" i="1"/>
  <c r="T1394" i="1"/>
  <c r="T1395" i="1"/>
  <c r="T1396" i="1"/>
  <c r="T1397" i="1"/>
  <c r="T1398" i="1"/>
  <c r="T1399" i="1"/>
  <c r="T1400" i="1"/>
  <c r="T1401" i="1"/>
  <c r="T1402" i="1"/>
  <c r="T1403" i="1"/>
  <c r="T1404" i="1"/>
  <c r="T1405" i="1"/>
  <c r="T1406" i="1"/>
  <c r="T1407" i="1"/>
  <c r="T1408" i="1"/>
  <c r="T1409" i="1"/>
  <c r="T1410" i="1"/>
  <c r="T1411" i="1"/>
  <c r="T1412" i="1"/>
  <c r="T1413" i="1"/>
  <c r="T1414" i="1"/>
  <c r="T1415" i="1"/>
  <c r="T1416" i="1"/>
  <c r="T1417" i="1"/>
  <c r="T1418" i="1"/>
  <c r="T1419" i="1"/>
  <c r="T1420" i="1"/>
  <c r="T1421" i="1"/>
  <c r="T1422" i="1"/>
  <c r="T1423" i="1"/>
  <c r="T1424" i="1"/>
  <c r="T1425" i="1"/>
  <c r="T1426" i="1"/>
  <c r="T1427" i="1"/>
  <c r="T1428" i="1"/>
  <c r="T1429" i="1"/>
  <c r="T1430" i="1"/>
  <c r="T1431" i="1"/>
  <c r="T1432" i="1"/>
  <c r="T1433" i="1"/>
  <c r="T1434" i="1"/>
  <c r="T1435" i="1"/>
  <c r="T1436" i="1"/>
  <c r="T1437" i="1"/>
  <c r="T1438" i="1"/>
  <c r="T1439" i="1"/>
  <c r="T1440" i="1"/>
  <c r="T1441" i="1"/>
  <c r="T1442" i="1"/>
  <c r="T1443" i="1"/>
  <c r="T1444" i="1"/>
  <c r="T1445" i="1"/>
  <c r="T1446" i="1"/>
  <c r="T1447" i="1"/>
  <c r="T1448" i="1"/>
  <c r="T1449" i="1"/>
  <c r="T1450" i="1"/>
  <c r="T1451" i="1"/>
  <c r="T1452" i="1"/>
  <c r="T1453" i="1"/>
  <c r="T1454" i="1"/>
  <c r="T1455" i="1"/>
  <c r="T1456" i="1"/>
  <c r="T1457" i="1"/>
  <c r="T1458" i="1"/>
  <c r="T1459" i="1"/>
  <c r="T1460" i="1"/>
  <c r="T1461" i="1"/>
  <c r="T1462" i="1"/>
  <c r="T1463" i="1"/>
  <c r="T1464" i="1"/>
  <c r="T1465" i="1"/>
  <c r="T1466" i="1"/>
  <c r="T1467" i="1"/>
  <c r="T1468" i="1"/>
  <c r="T1469" i="1"/>
  <c r="T1470" i="1"/>
  <c r="T1471" i="1"/>
  <c r="T1472" i="1"/>
  <c r="T1473" i="1"/>
  <c r="T1474" i="1"/>
  <c r="T1475" i="1"/>
  <c r="T1476" i="1"/>
  <c r="T1477" i="1"/>
  <c r="T1478" i="1"/>
  <c r="T1479" i="1"/>
  <c r="T1480" i="1"/>
  <c r="T1481" i="1"/>
  <c r="T1482" i="1"/>
  <c r="T1483" i="1"/>
  <c r="T1484" i="1"/>
  <c r="T1485" i="1"/>
  <c r="T1486" i="1"/>
  <c r="T1487" i="1"/>
  <c r="T1488" i="1"/>
  <c r="T1489" i="1"/>
  <c r="T1490" i="1"/>
  <c r="T1491" i="1"/>
  <c r="T1492" i="1"/>
  <c r="T1493" i="1"/>
  <c r="T1494" i="1"/>
  <c r="T1495" i="1"/>
  <c r="T1496" i="1"/>
  <c r="T1497" i="1"/>
  <c r="T1498" i="1"/>
  <c r="T1499" i="1"/>
  <c r="T1500" i="1"/>
  <c r="T1501" i="1"/>
  <c r="T1502" i="1"/>
  <c r="T1503" i="1"/>
  <c r="T1504" i="1"/>
  <c r="T1505" i="1"/>
  <c r="T1506" i="1"/>
  <c r="T1507" i="1"/>
  <c r="T1508" i="1"/>
  <c r="T1509" i="1"/>
  <c r="T1510" i="1"/>
  <c r="T1511" i="1"/>
  <c r="T1512" i="1"/>
  <c r="T1513" i="1"/>
  <c r="T1514" i="1"/>
  <c r="T1515" i="1"/>
  <c r="T1516" i="1"/>
  <c r="T1517" i="1"/>
  <c r="T1518" i="1"/>
  <c r="T1519" i="1"/>
  <c r="T1520" i="1"/>
  <c r="T1521" i="1"/>
  <c r="T1522" i="1"/>
  <c r="T1523" i="1"/>
  <c r="T1524" i="1"/>
  <c r="T1525" i="1"/>
  <c r="T1526" i="1"/>
  <c r="T1527" i="1"/>
  <c r="T1528" i="1"/>
  <c r="T1529" i="1"/>
  <c r="T1530" i="1"/>
  <c r="T1531" i="1"/>
  <c r="T1532" i="1"/>
  <c r="T1533" i="1"/>
  <c r="T1534" i="1"/>
  <c r="T1535" i="1"/>
  <c r="T1536" i="1"/>
  <c r="T1537" i="1"/>
  <c r="T1538" i="1"/>
  <c r="T1539" i="1"/>
  <c r="T1540" i="1"/>
  <c r="T1541" i="1"/>
  <c r="T1542" i="1"/>
  <c r="T1543" i="1"/>
  <c r="T1544" i="1"/>
  <c r="T1545" i="1"/>
  <c r="T1546" i="1"/>
  <c r="T1547" i="1"/>
  <c r="T1548" i="1"/>
  <c r="T1549" i="1"/>
  <c r="T1550" i="1"/>
  <c r="T1551" i="1"/>
  <c r="T1552" i="1"/>
  <c r="T1553" i="1"/>
  <c r="T1554" i="1"/>
  <c r="T1555" i="1"/>
  <c r="T1556" i="1"/>
  <c r="T1557" i="1"/>
  <c r="T1558" i="1"/>
  <c r="T1559" i="1"/>
  <c r="T1560" i="1"/>
  <c r="T1561" i="1"/>
  <c r="T1562" i="1"/>
  <c r="T1563" i="1"/>
  <c r="T1564" i="1"/>
  <c r="T1565" i="1"/>
  <c r="T1566" i="1"/>
  <c r="T1567" i="1"/>
  <c r="T1568" i="1"/>
  <c r="T1569" i="1"/>
  <c r="T1570" i="1"/>
  <c r="T1571" i="1"/>
  <c r="T1572" i="1"/>
  <c r="T1573" i="1"/>
  <c r="T1574" i="1"/>
  <c r="T1575" i="1"/>
  <c r="T1576" i="1"/>
  <c r="T1577" i="1"/>
  <c r="T1578" i="1"/>
  <c r="T1579" i="1"/>
  <c r="T1580" i="1"/>
  <c r="T1581" i="1"/>
  <c r="T1582" i="1"/>
  <c r="T1583" i="1"/>
  <c r="T1584" i="1"/>
  <c r="T1585" i="1"/>
  <c r="T1586" i="1"/>
  <c r="T1587" i="1"/>
  <c r="T1588" i="1"/>
  <c r="T1589" i="1"/>
  <c r="T1590" i="1"/>
  <c r="T1591" i="1"/>
  <c r="T1592" i="1"/>
  <c r="T1593" i="1"/>
  <c r="T1594" i="1"/>
  <c r="T1595" i="1"/>
  <c r="T1596" i="1"/>
  <c r="T1597" i="1"/>
  <c r="T1598" i="1"/>
  <c r="T1599" i="1"/>
  <c r="T1600" i="1"/>
  <c r="T1601" i="1"/>
  <c r="T1602" i="1"/>
  <c r="T1603" i="1"/>
  <c r="T1604" i="1"/>
  <c r="T1605" i="1"/>
  <c r="T1606" i="1"/>
  <c r="T1607" i="1"/>
  <c r="T1608" i="1"/>
  <c r="T1609" i="1"/>
  <c r="T1610" i="1"/>
  <c r="T1611" i="1"/>
  <c r="T1612" i="1"/>
  <c r="T1613" i="1"/>
  <c r="T1614" i="1"/>
  <c r="T1615" i="1"/>
  <c r="T1616" i="1"/>
  <c r="T1617" i="1"/>
  <c r="T1618" i="1"/>
  <c r="T1619" i="1"/>
  <c r="T1620" i="1"/>
  <c r="T1621" i="1"/>
  <c r="T1622" i="1"/>
  <c r="T1623" i="1"/>
  <c r="T1624" i="1"/>
  <c r="T1625" i="1"/>
  <c r="T1626" i="1"/>
  <c r="T1627" i="1"/>
  <c r="T1628" i="1"/>
  <c r="T1629" i="1"/>
  <c r="T1630" i="1"/>
  <c r="T1631" i="1"/>
  <c r="T1632" i="1"/>
  <c r="T1633" i="1"/>
  <c r="T1634" i="1"/>
  <c r="T1635" i="1"/>
  <c r="T1636" i="1"/>
  <c r="T1637" i="1"/>
  <c r="T1638" i="1"/>
  <c r="T1639" i="1"/>
  <c r="T1640" i="1"/>
  <c r="T1641" i="1"/>
  <c r="T1642" i="1"/>
  <c r="T1643" i="1"/>
  <c r="T1644" i="1"/>
  <c r="T1645" i="1"/>
  <c r="T1646" i="1"/>
  <c r="T1647" i="1"/>
  <c r="T1648" i="1"/>
  <c r="T1649" i="1"/>
  <c r="T1650" i="1"/>
  <c r="T1651" i="1"/>
  <c r="T1652" i="1"/>
  <c r="T1653" i="1"/>
  <c r="T1654" i="1"/>
  <c r="T1655" i="1"/>
  <c r="T1656" i="1"/>
  <c r="T1657" i="1"/>
  <c r="T1658" i="1"/>
  <c r="T1659" i="1"/>
  <c r="T1660" i="1"/>
  <c r="T1661" i="1"/>
  <c r="T1662" i="1"/>
  <c r="T1663" i="1"/>
  <c r="T1664" i="1"/>
  <c r="T1665" i="1"/>
  <c r="T1666" i="1"/>
  <c r="T1667" i="1"/>
  <c r="T1668" i="1"/>
  <c r="T1669" i="1"/>
  <c r="T1670" i="1"/>
  <c r="T1671" i="1"/>
  <c r="T1672" i="1"/>
  <c r="T1673" i="1"/>
  <c r="T1674" i="1"/>
  <c r="T1675" i="1"/>
  <c r="T1676" i="1"/>
  <c r="T1677" i="1"/>
  <c r="T1678" i="1"/>
  <c r="T1679" i="1"/>
  <c r="T1680" i="1"/>
  <c r="T1681" i="1"/>
  <c r="T1682" i="1"/>
  <c r="T1683" i="1"/>
  <c r="T1684" i="1"/>
  <c r="T1685" i="1"/>
  <c r="T1686" i="1"/>
  <c r="T1687" i="1"/>
  <c r="T1688" i="1"/>
  <c r="T1689" i="1"/>
  <c r="T1690" i="1"/>
  <c r="T1691" i="1"/>
  <c r="T1692" i="1"/>
  <c r="T1693" i="1"/>
  <c r="T1694" i="1"/>
  <c r="T1695" i="1"/>
  <c r="T1696" i="1"/>
  <c r="T1697" i="1"/>
  <c r="T1698" i="1"/>
  <c r="T1699" i="1"/>
  <c r="T1700" i="1"/>
  <c r="T1701" i="1"/>
  <c r="T1702" i="1"/>
  <c r="T1703" i="1"/>
  <c r="T1704" i="1"/>
  <c r="T1705" i="1"/>
  <c r="T1706" i="1"/>
  <c r="T1707" i="1"/>
  <c r="T1708" i="1"/>
  <c r="T1709" i="1"/>
  <c r="T1710" i="1"/>
  <c r="T1711" i="1"/>
  <c r="T1712" i="1"/>
  <c r="T1713" i="1"/>
  <c r="T1714" i="1"/>
  <c r="T1715" i="1"/>
  <c r="T1716" i="1"/>
  <c r="T1717" i="1"/>
  <c r="T1718" i="1"/>
  <c r="T1719" i="1"/>
  <c r="T1720" i="1"/>
  <c r="T1721" i="1"/>
  <c r="T1722" i="1"/>
  <c r="T1723" i="1"/>
  <c r="T1724" i="1"/>
  <c r="T1725" i="1"/>
  <c r="T1726" i="1"/>
  <c r="T1727" i="1"/>
  <c r="T1728" i="1"/>
  <c r="T1729" i="1"/>
  <c r="T1730" i="1"/>
  <c r="T1731" i="1"/>
  <c r="T1732" i="1"/>
  <c r="T1733" i="1"/>
  <c r="T1734" i="1"/>
  <c r="T1735" i="1"/>
  <c r="T1736" i="1"/>
  <c r="T1737" i="1"/>
  <c r="T1738" i="1"/>
  <c r="T1739" i="1"/>
  <c r="T1740" i="1"/>
  <c r="T1741" i="1"/>
  <c r="T1742" i="1"/>
  <c r="T1743" i="1"/>
  <c r="T1744" i="1"/>
  <c r="T1745" i="1"/>
  <c r="T1746" i="1"/>
  <c r="T1747" i="1"/>
  <c r="T1748" i="1"/>
  <c r="T1749" i="1"/>
  <c r="T1750" i="1"/>
  <c r="T1751" i="1"/>
  <c r="T1752" i="1"/>
  <c r="T1753" i="1"/>
  <c r="T1754" i="1"/>
  <c r="T1755" i="1"/>
  <c r="T1756" i="1"/>
  <c r="T1757" i="1"/>
  <c r="T1758" i="1"/>
  <c r="T1759" i="1"/>
  <c r="T1760" i="1"/>
  <c r="T1761" i="1"/>
  <c r="T1762" i="1"/>
  <c r="T1763" i="1"/>
  <c r="T1764" i="1"/>
  <c r="T1765" i="1"/>
  <c r="T1766" i="1"/>
  <c r="T1767" i="1"/>
  <c r="T1768" i="1"/>
  <c r="T1769" i="1"/>
  <c r="T1770" i="1"/>
  <c r="T1771" i="1"/>
  <c r="T1772" i="1"/>
  <c r="T1773" i="1"/>
  <c r="T1774" i="1"/>
  <c r="T1775" i="1"/>
  <c r="T1776" i="1"/>
  <c r="T1777" i="1"/>
  <c r="T1778" i="1"/>
  <c r="T1779" i="1"/>
  <c r="T1780" i="1"/>
  <c r="T1781" i="1"/>
  <c r="T1782" i="1"/>
  <c r="T1783" i="1"/>
  <c r="T1784" i="1"/>
  <c r="T1785" i="1"/>
  <c r="T1786" i="1"/>
  <c r="T1787" i="1"/>
  <c r="T1788" i="1"/>
  <c r="T1789" i="1"/>
  <c r="T1790" i="1"/>
  <c r="T1791" i="1"/>
  <c r="T1792" i="1"/>
  <c r="T1793" i="1"/>
  <c r="T1794" i="1"/>
  <c r="T1795" i="1"/>
  <c r="T1796" i="1"/>
  <c r="T1797" i="1"/>
  <c r="T1798" i="1"/>
  <c r="T1799" i="1"/>
  <c r="T1800" i="1"/>
  <c r="T1801" i="1"/>
  <c r="T1802" i="1"/>
  <c r="T1803" i="1"/>
  <c r="T1804" i="1"/>
  <c r="T1805" i="1"/>
  <c r="T1806" i="1"/>
  <c r="T1807" i="1"/>
  <c r="T1808" i="1"/>
  <c r="T1809" i="1"/>
  <c r="T1810" i="1"/>
  <c r="T1811" i="1"/>
  <c r="T1812" i="1"/>
  <c r="T1813" i="1"/>
  <c r="T1814" i="1"/>
  <c r="T1815" i="1"/>
  <c r="T1816" i="1"/>
  <c r="T1817" i="1"/>
  <c r="T1818" i="1"/>
  <c r="T1819" i="1"/>
  <c r="T1820" i="1"/>
  <c r="T1821" i="1"/>
  <c r="T1822" i="1"/>
  <c r="T1823" i="1"/>
  <c r="T1824" i="1"/>
  <c r="T1825" i="1"/>
  <c r="T1826" i="1"/>
  <c r="T1827" i="1"/>
  <c r="T1828" i="1"/>
  <c r="T1829" i="1"/>
  <c r="T1830" i="1"/>
  <c r="T1831" i="1"/>
  <c r="T1832" i="1"/>
  <c r="T1833" i="1"/>
  <c r="T1834" i="1"/>
  <c r="T1835" i="1"/>
  <c r="T1836" i="1"/>
  <c r="T1837" i="1"/>
  <c r="T1838" i="1"/>
  <c r="T1839" i="1"/>
  <c r="T1840" i="1"/>
  <c r="T1841" i="1"/>
  <c r="T1842" i="1"/>
  <c r="T1843" i="1"/>
  <c r="T1844" i="1"/>
  <c r="T1845" i="1"/>
  <c r="T1846" i="1"/>
  <c r="T1847" i="1"/>
  <c r="T1848" i="1"/>
  <c r="T1849" i="1"/>
  <c r="T1850" i="1"/>
  <c r="T1851" i="1"/>
  <c r="T1852" i="1"/>
  <c r="T1853" i="1"/>
  <c r="T1854" i="1"/>
  <c r="T1855" i="1"/>
  <c r="T1856" i="1"/>
  <c r="T1857" i="1"/>
  <c r="T1858" i="1"/>
  <c r="T1859" i="1"/>
  <c r="T1860" i="1"/>
  <c r="T1861" i="1"/>
  <c r="T1862" i="1"/>
  <c r="T1863" i="1"/>
  <c r="T1864" i="1"/>
  <c r="T1865" i="1"/>
  <c r="T1866" i="1"/>
  <c r="T1867" i="1"/>
  <c r="T1868" i="1"/>
  <c r="T1869" i="1"/>
  <c r="T1870" i="1"/>
  <c r="T1871" i="1"/>
  <c r="T1872" i="1"/>
  <c r="T1873" i="1"/>
  <c r="T1874" i="1"/>
  <c r="T1875" i="1"/>
  <c r="T1876" i="1"/>
  <c r="T1877" i="1"/>
  <c r="T1878" i="1"/>
  <c r="T1879" i="1"/>
  <c r="T1880" i="1"/>
  <c r="T1881" i="1"/>
  <c r="T1882" i="1"/>
  <c r="T1883" i="1"/>
  <c r="T1884" i="1"/>
  <c r="T1885" i="1"/>
  <c r="T1886" i="1"/>
  <c r="T1887" i="1"/>
  <c r="T1888" i="1"/>
  <c r="T1889" i="1"/>
  <c r="T1890" i="1"/>
  <c r="T1891" i="1"/>
  <c r="T1892" i="1"/>
  <c r="T1893" i="1"/>
  <c r="T1894" i="1"/>
  <c r="T1895" i="1"/>
  <c r="T1896" i="1"/>
  <c r="T1897" i="1"/>
  <c r="T1898" i="1"/>
  <c r="T1899" i="1"/>
  <c r="T1900" i="1"/>
  <c r="T1901" i="1"/>
  <c r="T1902" i="1"/>
  <c r="T1903" i="1"/>
  <c r="T1904" i="1"/>
  <c r="T1905" i="1"/>
  <c r="T1906" i="1"/>
  <c r="T1907" i="1"/>
  <c r="T1908" i="1"/>
  <c r="T1909" i="1"/>
  <c r="T1910" i="1"/>
  <c r="T1911" i="1"/>
  <c r="T1912" i="1"/>
  <c r="T1913" i="1"/>
  <c r="T1914" i="1"/>
  <c r="T1915" i="1"/>
  <c r="T1916" i="1"/>
  <c r="T1917" i="1"/>
  <c r="T1918" i="1"/>
  <c r="T1919" i="1"/>
  <c r="T1920" i="1"/>
  <c r="T1921" i="1"/>
  <c r="T1922" i="1"/>
  <c r="T1923" i="1"/>
  <c r="T1924" i="1"/>
  <c r="T1925" i="1"/>
  <c r="T1926" i="1"/>
  <c r="T1927" i="1"/>
  <c r="T1928" i="1"/>
  <c r="T1929" i="1"/>
  <c r="T1930" i="1"/>
  <c r="T1931" i="1"/>
  <c r="T1932" i="1"/>
  <c r="T1933" i="1"/>
  <c r="T1934" i="1"/>
  <c r="T1935" i="1"/>
  <c r="T1936" i="1"/>
  <c r="T1937" i="1"/>
  <c r="T1938" i="1"/>
  <c r="T1939" i="1"/>
  <c r="T1940" i="1"/>
  <c r="T1941" i="1"/>
  <c r="T1942" i="1"/>
  <c r="T1943" i="1"/>
  <c r="T1944" i="1"/>
  <c r="T1945" i="1"/>
  <c r="T1946" i="1"/>
  <c r="T1947" i="1"/>
  <c r="T1948" i="1"/>
  <c r="T1949" i="1"/>
  <c r="T1950" i="1"/>
  <c r="T1951" i="1"/>
  <c r="T1952" i="1"/>
  <c r="T1953" i="1"/>
  <c r="T1954" i="1"/>
  <c r="T1955" i="1"/>
  <c r="T1956" i="1"/>
  <c r="T1957" i="1"/>
  <c r="T1958" i="1"/>
  <c r="T1959" i="1"/>
  <c r="T1960" i="1"/>
  <c r="T1961" i="1"/>
  <c r="T1962" i="1"/>
  <c r="T1963" i="1"/>
  <c r="T1964" i="1"/>
  <c r="T1965" i="1"/>
  <c r="T1966" i="1"/>
  <c r="T1967" i="1"/>
  <c r="T1968" i="1"/>
  <c r="T1969" i="1"/>
  <c r="T1970" i="1"/>
  <c r="T1971" i="1"/>
  <c r="T1972" i="1"/>
  <c r="T1973" i="1"/>
  <c r="T1974" i="1"/>
  <c r="T1975" i="1"/>
  <c r="T1976" i="1"/>
  <c r="T1977" i="1"/>
  <c r="T1978" i="1"/>
  <c r="T1979" i="1"/>
  <c r="T1980" i="1"/>
  <c r="T1981" i="1"/>
  <c r="T1982" i="1"/>
  <c r="T1983" i="1"/>
  <c r="T1984" i="1"/>
  <c r="T1985" i="1"/>
  <c r="T1986" i="1"/>
  <c r="T1987" i="1"/>
  <c r="T1988" i="1"/>
  <c r="T1989" i="1"/>
  <c r="T1990" i="1"/>
  <c r="T1991" i="1"/>
  <c r="T1992" i="1"/>
  <c r="T1993" i="1"/>
  <c r="T1994" i="1"/>
  <c r="T1995" i="1"/>
  <c r="T1996" i="1"/>
  <c r="T1997" i="1"/>
  <c r="T1998" i="1"/>
  <c r="T1999" i="1"/>
  <c r="T2000" i="1"/>
  <c r="T2001" i="1"/>
  <c r="S3" i="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126" i="1"/>
  <c r="S127" i="1"/>
  <c r="S128" i="1"/>
  <c r="S129" i="1"/>
  <c r="S130" i="1"/>
  <c r="S131" i="1"/>
  <c r="S132" i="1"/>
  <c r="S133" i="1"/>
  <c r="S134" i="1"/>
  <c r="S135" i="1"/>
  <c r="S136" i="1"/>
  <c r="S137" i="1"/>
  <c r="S138" i="1"/>
  <c r="S139" i="1"/>
  <c r="S140" i="1"/>
  <c r="S141" i="1"/>
  <c r="S142" i="1"/>
  <c r="S143" i="1"/>
  <c r="S144" i="1"/>
  <c r="S145" i="1"/>
  <c r="S146" i="1"/>
  <c r="S147" i="1"/>
  <c r="S148" i="1"/>
  <c r="S149" i="1"/>
  <c r="S150" i="1"/>
  <c r="S151" i="1"/>
  <c r="S152" i="1"/>
  <c r="S153" i="1"/>
  <c r="S154" i="1"/>
  <c r="S155" i="1"/>
  <c r="S156" i="1"/>
  <c r="S157" i="1"/>
  <c r="S158" i="1"/>
  <c r="S159" i="1"/>
  <c r="S160" i="1"/>
  <c r="S161" i="1"/>
  <c r="S162" i="1"/>
  <c r="S163" i="1"/>
  <c r="S164" i="1"/>
  <c r="S165" i="1"/>
  <c r="S166" i="1"/>
  <c r="S167" i="1"/>
  <c r="S168" i="1"/>
  <c r="S169" i="1"/>
  <c r="S170" i="1"/>
  <c r="S171" i="1"/>
  <c r="S172" i="1"/>
  <c r="S173" i="1"/>
  <c r="S174" i="1"/>
  <c r="S175" i="1"/>
  <c r="S176" i="1"/>
  <c r="S177" i="1"/>
  <c r="S178" i="1"/>
  <c r="S179" i="1"/>
  <c r="S180" i="1"/>
  <c r="S181" i="1"/>
  <c r="S182" i="1"/>
  <c r="S183" i="1"/>
  <c r="S184" i="1"/>
  <c r="S185" i="1"/>
  <c r="S186" i="1"/>
  <c r="S187" i="1"/>
  <c r="S188" i="1"/>
  <c r="S189" i="1"/>
  <c r="S190" i="1"/>
  <c r="S191" i="1"/>
  <c r="S192" i="1"/>
  <c r="S193" i="1"/>
  <c r="S194" i="1"/>
  <c r="S195" i="1"/>
  <c r="S196" i="1"/>
  <c r="S197" i="1"/>
  <c r="S198" i="1"/>
  <c r="S199" i="1"/>
  <c r="S200" i="1"/>
  <c r="S201" i="1"/>
  <c r="S202" i="1"/>
  <c r="S203" i="1"/>
  <c r="S204" i="1"/>
  <c r="S205" i="1"/>
  <c r="S206" i="1"/>
  <c r="S207" i="1"/>
  <c r="S208" i="1"/>
  <c r="S209" i="1"/>
  <c r="S210" i="1"/>
  <c r="S211" i="1"/>
  <c r="S212" i="1"/>
  <c r="S213" i="1"/>
  <c r="S214" i="1"/>
  <c r="S215" i="1"/>
  <c r="S216" i="1"/>
  <c r="S217" i="1"/>
  <c r="S218" i="1"/>
  <c r="S219" i="1"/>
  <c r="S220" i="1"/>
  <c r="S221" i="1"/>
  <c r="S222" i="1"/>
  <c r="S223" i="1"/>
  <c r="S224" i="1"/>
  <c r="S225" i="1"/>
  <c r="S226" i="1"/>
  <c r="S227" i="1"/>
  <c r="S228" i="1"/>
  <c r="S229" i="1"/>
  <c r="S230" i="1"/>
  <c r="S231" i="1"/>
  <c r="S232" i="1"/>
  <c r="S233" i="1"/>
  <c r="S234" i="1"/>
  <c r="S235" i="1"/>
  <c r="S236" i="1"/>
  <c r="S237" i="1"/>
  <c r="S238" i="1"/>
  <c r="S239" i="1"/>
  <c r="S240" i="1"/>
  <c r="S241" i="1"/>
  <c r="S242" i="1"/>
  <c r="S243" i="1"/>
  <c r="S244" i="1"/>
  <c r="S245" i="1"/>
  <c r="S246" i="1"/>
  <c r="S247" i="1"/>
  <c r="S248" i="1"/>
  <c r="S249" i="1"/>
  <c r="S250" i="1"/>
  <c r="S251" i="1"/>
  <c r="S252" i="1"/>
  <c r="S253" i="1"/>
  <c r="S254" i="1"/>
  <c r="S255" i="1"/>
  <c r="S256" i="1"/>
  <c r="S257" i="1"/>
  <c r="S258" i="1"/>
  <c r="S259" i="1"/>
  <c r="S260" i="1"/>
  <c r="S261" i="1"/>
  <c r="S262" i="1"/>
  <c r="S263" i="1"/>
  <c r="S264" i="1"/>
  <c r="S265" i="1"/>
  <c r="S266" i="1"/>
  <c r="S267" i="1"/>
  <c r="S268" i="1"/>
  <c r="S269" i="1"/>
  <c r="S270" i="1"/>
  <c r="S271" i="1"/>
  <c r="S272" i="1"/>
  <c r="S273" i="1"/>
  <c r="S274" i="1"/>
  <c r="S275" i="1"/>
  <c r="S276" i="1"/>
  <c r="S277" i="1"/>
  <c r="S278" i="1"/>
  <c r="S279" i="1"/>
  <c r="S280" i="1"/>
  <c r="S281" i="1"/>
  <c r="S282" i="1"/>
  <c r="S283" i="1"/>
  <c r="S284" i="1"/>
  <c r="S285" i="1"/>
  <c r="S286" i="1"/>
  <c r="S287" i="1"/>
  <c r="S288" i="1"/>
  <c r="S289" i="1"/>
  <c r="S290" i="1"/>
  <c r="S291" i="1"/>
  <c r="S292" i="1"/>
  <c r="S293" i="1"/>
  <c r="S294" i="1"/>
  <c r="S295" i="1"/>
  <c r="S296" i="1"/>
  <c r="S297" i="1"/>
  <c r="S298" i="1"/>
  <c r="S299" i="1"/>
  <c r="S300" i="1"/>
  <c r="S301" i="1"/>
  <c r="S302" i="1"/>
  <c r="S303" i="1"/>
  <c r="S304" i="1"/>
  <c r="S305" i="1"/>
  <c r="S306" i="1"/>
  <c r="S307" i="1"/>
  <c r="S308" i="1"/>
  <c r="S309" i="1"/>
  <c r="S310" i="1"/>
  <c r="S311" i="1"/>
  <c r="S312" i="1"/>
  <c r="S313" i="1"/>
  <c r="S314" i="1"/>
  <c r="S315" i="1"/>
  <c r="S316" i="1"/>
  <c r="S317" i="1"/>
  <c r="S318" i="1"/>
  <c r="S319" i="1"/>
  <c r="S320" i="1"/>
  <c r="S321" i="1"/>
  <c r="S322" i="1"/>
  <c r="S323" i="1"/>
  <c r="S324" i="1"/>
  <c r="S325" i="1"/>
  <c r="S326" i="1"/>
  <c r="S327" i="1"/>
  <c r="S328" i="1"/>
  <c r="S329" i="1"/>
  <c r="S330" i="1"/>
  <c r="S331" i="1"/>
  <c r="S332" i="1"/>
  <c r="S333" i="1"/>
  <c r="S334" i="1"/>
  <c r="S335" i="1"/>
  <c r="S336" i="1"/>
  <c r="S337" i="1"/>
  <c r="S338" i="1"/>
  <c r="S339" i="1"/>
  <c r="S340" i="1"/>
  <c r="S341" i="1"/>
  <c r="S342" i="1"/>
  <c r="S343" i="1"/>
  <c r="S344" i="1"/>
  <c r="S345" i="1"/>
  <c r="S346" i="1"/>
  <c r="S347" i="1"/>
  <c r="S348" i="1"/>
  <c r="S349" i="1"/>
  <c r="S350" i="1"/>
  <c r="S351" i="1"/>
  <c r="S352" i="1"/>
  <c r="S353" i="1"/>
  <c r="S354" i="1"/>
  <c r="S355" i="1"/>
  <c r="S356" i="1"/>
  <c r="S357" i="1"/>
  <c r="S358" i="1"/>
  <c r="S359" i="1"/>
  <c r="S360" i="1"/>
  <c r="S361" i="1"/>
  <c r="S362" i="1"/>
  <c r="S363" i="1"/>
  <c r="S364" i="1"/>
  <c r="S365" i="1"/>
  <c r="S366" i="1"/>
  <c r="S367" i="1"/>
  <c r="S368" i="1"/>
  <c r="S369" i="1"/>
  <c r="S370" i="1"/>
  <c r="S371" i="1"/>
  <c r="S372" i="1"/>
  <c r="S373" i="1"/>
  <c r="S374" i="1"/>
  <c r="S375" i="1"/>
  <c r="S376" i="1"/>
  <c r="S377" i="1"/>
  <c r="S378" i="1"/>
  <c r="S379" i="1"/>
  <c r="S380" i="1"/>
  <c r="S381" i="1"/>
  <c r="S382" i="1"/>
  <c r="S383" i="1"/>
  <c r="S384" i="1"/>
  <c r="S385" i="1"/>
  <c r="S386" i="1"/>
  <c r="S387" i="1"/>
  <c r="S388" i="1"/>
  <c r="S389" i="1"/>
  <c r="S390" i="1"/>
  <c r="S391" i="1"/>
  <c r="S392" i="1"/>
  <c r="S393" i="1"/>
  <c r="S394" i="1"/>
  <c r="S395" i="1"/>
  <c r="S396" i="1"/>
  <c r="S397" i="1"/>
  <c r="S398" i="1"/>
  <c r="S399" i="1"/>
  <c r="S400" i="1"/>
  <c r="S401" i="1"/>
  <c r="S402" i="1"/>
  <c r="S403" i="1"/>
  <c r="S404" i="1"/>
  <c r="S405" i="1"/>
  <c r="S406" i="1"/>
  <c r="S407" i="1"/>
  <c r="S408" i="1"/>
  <c r="S409" i="1"/>
  <c r="S410" i="1"/>
  <c r="S411" i="1"/>
  <c r="S412" i="1"/>
  <c r="S413" i="1"/>
  <c r="S414" i="1"/>
  <c r="S415" i="1"/>
  <c r="S416" i="1"/>
  <c r="S417" i="1"/>
  <c r="S418" i="1"/>
  <c r="S419" i="1"/>
  <c r="S420" i="1"/>
  <c r="S421" i="1"/>
  <c r="S422" i="1"/>
  <c r="S423" i="1"/>
  <c r="S424" i="1"/>
  <c r="S425" i="1"/>
  <c r="S426" i="1"/>
  <c r="S427" i="1"/>
  <c r="S428" i="1"/>
  <c r="S429" i="1"/>
  <c r="S430" i="1"/>
  <c r="S431" i="1"/>
  <c r="S432" i="1"/>
  <c r="S433" i="1"/>
  <c r="S434" i="1"/>
  <c r="S435" i="1"/>
  <c r="S436" i="1"/>
  <c r="S437" i="1"/>
  <c r="S438" i="1"/>
  <c r="S439" i="1"/>
  <c r="S440" i="1"/>
  <c r="S441" i="1"/>
  <c r="S442" i="1"/>
  <c r="S443" i="1"/>
  <c r="S444" i="1"/>
  <c r="S445" i="1"/>
  <c r="S446" i="1"/>
  <c r="S447" i="1"/>
  <c r="S448" i="1"/>
  <c r="S449" i="1"/>
  <c r="S450" i="1"/>
  <c r="S451" i="1"/>
  <c r="S452" i="1"/>
  <c r="S453" i="1"/>
  <c r="S454" i="1"/>
  <c r="S455" i="1"/>
  <c r="S456" i="1"/>
  <c r="S457" i="1"/>
  <c r="S458" i="1"/>
  <c r="S459" i="1"/>
  <c r="S460" i="1"/>
  <c r="S461" i="1"/>
  <c r="S462" i="1"/>
  <c r="S463" i="1"/>
  <c r="S464" i="1"/>
  <c r="S465" i="1"/>
  <c r="S466" i="1"/>
  <c r="S467" i="1"/>
  <c r="S468" i="1"/>
  <c r="S469" i="1"/>
  <c r="S470" i="1"/>
  <c r="S471" i="1"/>
  <c r="S472" i="1"/>
  <c r="S473" i="1"/>
  <c r="S474" i="1"/>
  <c r="S475" i="1"/>
  <c r="S476" i="1"/>
  <c r="S477" i="1"/>
  <c r="S478" i="1"/>
  <c r="S479" i="1"/>
  <c r="S480" i="1"/>
  <c r="S481" i="1"/>
  <c r="S482" i="1"/>
  <c r="S483" i="1"/>
  <c r="S484" i="1"/>
  <c r="S485" i="1"/>
  <c r="S486" i="1"/>
  <c r="S487" i="1"/>
  <c r="S488" i="1"/>
  <c r="S489" i="1"/>
  <c r="S490" i="1"/>
  <c r="S491" i="1"/>
  <c r="S492" i="1"/>
  <c r="S493" i="1"/>
  <c r="S494" i="1"/>
  <c r="S495" i="1"/>
  <c r="S496" i="1"/>
  <c r="S497" i="1"/>
  <c r="S498" i="1"/>
  <c r="S499" i="1"/>
  <c r="S500" i="1"/>
  <c r="S501" i="1"/>
  <c r="S502" i="1"/>
  <c r="S503" i="1"/>
  <c r="S504" i="1"/>
  <c r="S505" i="1"/>
  <c r="S506" i="1"/>
  <c r="S507" i="1"/>
  <c r="S508" i="1"/>
  <c r="S509" i="1"/>
  <c r="S510" i="1"/>
  <c r="S511" i="1"/>
  <c r="S512" i="1"/>
  <c r="S513" i="1"/>
  <c r="S514" i="1"/>
  <c r="S515" i="1"/>
  <c r="S516" i="1"/>
  <c r="S517" i="1"/>
  <c r="S518" i="1"/>
  <c r="S519" i="1"/>
  <c r="S520" i="1"/>
  <c r="S521" i="1"/>
  <c r="S522" i="1"/>
  <c r="S523" i="1"/>
  <c r="S524" i="1"/>
  <c r="S525" i="1"/>
  <c r="S526" i="1"/>
  <c r="S527" i="1"/>
  <c r="S528" i="1"/>
  <c r="S529" i="1"/>
  <c r="S530" i="1"/>
  <c r="S531" i="1"/>
  <c r="S532" i="1"/>
  <c r="S533" i="1"/>
  <c r="S534" i="1"/>
  <c r="S535" i="1"/>
  <c r="S536" i="1"/>
  <c r="S537" i="1"/>
  <c r="S538" i="1"/>
  <c r="S539" i="1"/>
  <c r="S540" i="1"/>
  <c r="S541" i="1"/>
  <c r="S542" i="1"/>
  <c r="S543" i="1"/>
  <c r="S544" i="1"/>
  <c r="S545" i="1"/>
  <c r="S546" i="1"/>
  <c r="S547" i="1"/>
  <c r="S548" i="1"/>
  <c r="S549" i="1"/>
  <c r="S550" i="1"/>
  <c r="S551" i="1"/>
  <c r="S552" i="1"/>
  <c r="S553" i="1"/>
  <c r="S554" i="1"/>
  <c r="S555" i="1"/>
  <c r="S556" i="1"/>
  <c r="S557" i="1"/>
  <c r="S558" i="1"/>
  <c r="S559" i="1"/>
  <c r="S560" i="1"/>
  <c r="S561" i="1"/>
  <c r="S562" i="1"/>
  <c r="S563" i="1"/>
  <c r="S564" i="1"/>
  <c r="S565" i="1"/>
  <c r="S566" i="1"/>
  <c r="S567" i="1"/>
  <c r="S568" i="1"/>
  <c r="S569" i="1"/>
  <c r="S570" i="1"/>
  <c r="S571" i="1"/>
  <c r="S572" i="1"/>
  <c r="S573" i="1"/>
  <c r="S574" i="1"/>
  <c r="S575" i="1"/>
  <c r="S576" i="1"/>
  <c r="S577" i="1"/>
  <c r="S578" i="1"/>
  <c r="S579" i="1"/>
  <c r="S580" i="1"/>
  <c r="S581" i="1"/>
  <c r="S582" i="1"/>
  <c r="S583" i="1"/>
  <c r="S584" i="1"/>
  <c r="S585" i="1"/>
  <c r="S586" i="1"/>
  <c r="S587" i="1"/>
  <c r="S588" i="1"/>
  <c r="S589" i="1"/>
  <c r="S590" i="1"/>
  <c r="S591" i="1"/>
  <c r="S592" i="1"/>
  <c r="S593" i="1"/>
  <c r="S594" i="1"/>
  <c r="S595" i="1"/>
  <c r="S596" i="1"/>
  <c r="S597" i="1"/>
  <c r="S598" i="1"/>
  <c r="S599" i="1"/>
  <c r="S600" i="1"/>
  <c r="S601" i="1"/>
  <c r="S602" i="1"/>
  <c r="S603" i="1"/>
  <c r="S604" i="1"/>
  <c r="S605" i="1"/>
  <c r="S606" i="1"/>
  <c r="S607" i="1"/>
  <c r="S608" i="1"/>
  <c r="S609" i="1"/>
  <c r="S610" i="1"/>
  <c r="S611" i="1"/>
  <c r="S612" i="1"/>
  <c r="S613" i="1"/>
  <c r="S614" i="1"/>
  <c r="S615" i="1"/>
  <c r="S616" i="1"/>
  <c r="S617" i="1"/>
  <c r="S618" i="1"/>
  <c r="S619" i="1"/>
  <c r="S620" i="1"/>
  <c r="S621" i="1"/>
  <c r="S622" i="1"/>
  <c r="S623" i="1"/>
  <c r="S624" i="1"/>
  <c r="S625" i="1"/>
  <c r="S626" i="1"/>
  <c r="S627" i="1"/>
  <c r="S628" i="1"/>
  <c r="S629" i="1"/>
  <c r="S630" i="1"/>
  <c r="S631" i="1"/>
  <c r="S632" i="1"/>
  <c r="S633" i="1"/>
  <c r="S634" i="1"/>
  <c r="S635" i="1"/>
  <c r="S636" i="1"/>
  <c r="S637" i="1"/>
  <c r="S638" i="1"/>
  <c r="S639" i="1"/>
  <c r="S640" i="1"/>
  <c r="S641" i="1"/>
  <c r="S642" i="1"/>
  <c r="S643" i="1"/>
  <c r="S644" i="1"/>
  <c r="S645" i="1"/>
  <c r="S646" i="1"/>
  <c r="S647" i="1"/>
  <c r="S648" i="1"/>
  <c r="S649" i="1"/>
  <c r="S650" i="1"/>
  <c r="S651" i="1"/>
  <c r="S652" i="1"/>
  <c r="S653" i="1"/>
  <c r="S654" i="1"/>
  <c r="S655" i="1"/>
  <c r="S656" i="1"/>
  <c r="S657" i="1"/>
  <c r="S658" i="1"/>
  <c r="S659" i="1"/>
  <c r="S660" i="1"/>
  <c r="S661" i="1"/>
  <c r="S662" i="1"/>
  <c r="S663" i="1"/>
  <c r="S664" i="1"/>
  <c r="S665" i="1"/>
  <c r="S666" i="1"/>
  <c r="S667" i="1"/>
  <c r="S668" i="1"/>
  <c r="S669" i="1"/>
  <c r="S670" i="1"/>
  <c r="S671" i="1"/>
  <c r="S672" i="1"/>
  <c r="S673" i="1"/>
  <c r="S674" i="1"/>
  <c r="S675" i="1"/>
  <c r="S676" i="1"/>
  <c r="S677" i="1"/>
  <c r="S678" i="1"/>
  <c r="S679" i="1"/>
  <c r="S680" i="1"/>
  <c r="S681" i="1"/>
  <c r="S682" i="1"/>
  <c r="S683" i="1"/>
  <c r="S684" i="1"/>
  <c r="S685" i="1"/>
  <c r="S686" i="1"/>
  <c r="S687" i="1"/>
  <c r="S688" i="1"/>
  <c r="S689" i="1"/>
  <c r="S690" i="1"/>
  <c r="S691" i="1"/>
  <c r="S692" i="1"/>
  <c r="S693" i="1"/>
  <c r="S694" i="1"/>
  <c r="S695" i="1"/>
  <c r="S696" i="1"/>
  <c r="S697" i="1"/>
  <c r="S698" i="1"/>
  <c r="S699" i="1"/>
  <c r="S700" i="1"/>
  <c r="S701" i="1"/>
  <c r="S702" i="1"/>
  <c r="S703" i="1"/>
  <c r="S704" i="1"/>
  <c r="S705" i="1"/>
  <c r="S706" i="1"/>
  <c r="S707" i="1"/>
  <c r="S708" i="1"/>
  <c r="S709" i="1"/>
  <c r="S710" i="1"/>
  <c r="S711" i="1"/>
  <c r="S712" i="1"/>
  <c r="S713" i="1"/>
  <c r="S714" i="1"/>
  <c r="S715" i="1"/>
  <c r="S716" i="1"/>
  <c r="S717" i="1"/>
  <c r="S718" i="1"/>
  <c r="S719" i="1"/>
  <c r="S720" i="1"/>
  <c r="S721" i="1"/>
  <c r="S722" i="1"/>
  <c r="S723" i="1"/>
  <c r="S724" i="1"/>
  <c r="S725" i="1"/>
  <c r="S726" i="1"/>
  <c r="S727" i="1"/>
  <c r="S728" i="1"/>
  <c r="S729" i="1"/>
  <c r="S730" i="1"/>
  <c r="S731" i="1"/>
  <c r="S732" i="1"/>
  <c r="S733" i="1"/>
  <c r="S734" i="1"/>
  <c r="S735" i="1"/>
  <c r="S736" i="1"/>
  <c r="S737" i="1"/>
  <c r="S738" i="1"/>
  <c r="S739" i="1"/>
  <c r="S740" i="1"/>
  <c r="S741" i="1"/>
  <c r="S742" i="1"/>
  <c r="S743" i="1"/>
  <c r="S744" i="1"/>
  <c r="S745" i="1"/>
  <c r="S746" i="1"/>
  <c r="S747" i="1"/>
  <c r="S748" i="1"/>
  <c r="S749" i="1"/>
  <c r="S750" i="1"/>
  <c r="S751" i="1"/>
  <c r="S752" i="1"/>
  <c r="S753" i="1"/>
  <c r="S754" i="1"/>
  <c r="S755" i="1"/>
  <c r="S756" i="1"/>
  <c r="S757" i="1"/>
  <c r="S758" i="1"/>
  <c r="S759" i="1"/>
  <c r="S760" i="1"/>
  <c r="S761" i="1"/>
  <c r="S762" i="1"/>
  <c r="S763" i="1"/>
  <c r="S764" i="1"/>
  <c r="S765" i="1"/>
  <c r="S766" i="1"/>
  <c r="S767" i="1"/>
  <c r="S768" i="1"/>
  <c r="S769" i="1"/>
  <c r="S770" i="1"/>
  <c r="S771" i="1"/>
  <c r="S772" i="1"/>
  <c r="S773" i="1"/>
  <c r="S774" i="1"/>
  <c r="S775" i="1"/>
  <c r="S776" i="1"/>
  <c r="S777" i="1"/>
  <c r="S778" i="1"/>
  <c r="S779" i="1"/>
  <c r="S780" i="1"/>
  <c r="S781" i="1"/>
  <c r="S782" i="1"/>
  <c r="S783" i="1"/>
  <c r="S784" i="1"/>
  <c r="S785" i="1"/>
  <c r="S786" i="1"/>
  <c r="S787" i="1"/>
  <c r="S788" i="1"/>
  <c r="S789" i="1"/>
  <c r="S790" i="1"/>
  <c r="S791" i="1"/>
  <c r="S792" i="1"/>
  <c r="S793" i="1"/>
  <c r="S794" i="1"/>
  <c r="S795" i="1"/>
  <c r="S796" i="1"/>
  <c r="S797" i="1"/>
  <c r="S798" i="1"/>
  <c r="S799" i="1"/>
  <c r="S800" i="1"/>
  <c r="S801" i="1"/>
  <c r="S802" i="1"/>
  <c r="S803" i="1"/>
  <c r="S804" i="1"/>
  <c r="S805" i="1"/>
  <c r="S806" i="1"/>
  <c r="S807" i="1"/>
  <c r="S808" i="1"/>
  <c r="S809" i="1"/>
  <c r="S810" i="1"/>
  <c r="S811" i="1"/>
  <c r="S812" i="1"/>
  <c r="S813" i="1"/>
  <c r="S814" i="1"/>
  <c r="S815" i="1"/>
  <c r="S816" i="1"/>
  <c r="S817" i="1"/>
  <c r="S818" i="1"/>
  <c r="S819" i="1"/>
  <c r="S820" i="1"/>
  <c r="S821" i="1"/>
  <c r="S822" i="1"/>
  <c r="S823" i="1"/>
  <c r="S824" i="1"/>
  <c r="S825" i="1"/>
  <c r="S826" i="1"/>
  <c r="S827" i="1"/>
  <c r="S828" i="1"/>
  <c r="S829" i="1"/>
  <c r="S830" i="1"/>
  <c r="S831" i="1"/>
  <c r="S832" i="1"/>
  <c r="S833" i="1"/>
  <c r="S834" i="1"/>
  <c r="S835" i="1"/>
  <c r="S836" i="1"/>
  <c r="S837" i="1"/>
  <c r="S838" i="1"/>
  <c r="S839" i="1"/>
  <c r="S840" i="1"/>
  <c r="S841" i="1"/>
  <c r="S842" i="1"/>
  <c r="S843" i="1"/>
  <c r="S844" i="1"/>
  <c r="S845" i="1"/>
  <c r="S846" i="1"/>
  <c r="S847" i="1"/>
  <c r="S848" i="1"/>
  <c r="S849" i="1"/>
  <c r="S850" i="1"/>
  <c r="S851" i="1"/>
  <c r="S852" i="1"/>
  <c r="S853" i="1"/>
  <c r="S854" i="1"/>
  <c r="S855" i="1"/>
  <c r="S856" i="1"/>
  <c r="S857" i="1"/>
  <c r="S858" i="1"/>
  <c r="S859" i="1"/>
  <c r="S860" i="1"/>
  <c r="S861" i="1"/>
  <c r="S862" i="1"/>
  <c r="S863" i="1"/>
  <c r="S864" i="1"/>
  <c r="S865" i="1"/>
  <c r="S866" i="1"/>
  <c r="S867" i="1"/>
  <c r="S868" i="1"/>
  <c r="S869" i="1"/>
  <c r="S870" i="1"/>
  <c r="S871" i="1"/>
  <c r="S872" i="1"/>
  <c r="S873" i="1"/>
  <c r="S874" i="1"/>
  <c r="S875" i="1"/>
  <c r="S876" i="1"/>
  <c r="S877" i="1"/>
  <c r="S878" i="1"/>
  <c r="S879" i="1"/>
  <c r="S880" i="1"/>
  <c r="S881" i="1"/>
  <c r="S882" i="1"/>
  <c r="S883" i="1"/>
  <c r="S884" i="1"/>
  <c r="S885" i="1"/>
  <c r="S886" i="1"/>
  <c r="S887" i="1"/>
  <c r="S888" i="1"/>
  <c r="S889" i="1"/>
  <c r="S890" i="1"/>
  <c r="S891" i="1"/>
  <c r="S892" i="1"/>
  <c r="S893" i="1"/>
  <c r="S894" i="1"/>
  <c r="S895" i="1"/>
  <c r="S896" i="1"/>
  <c r="S897" i="1"/>
  <c r="S898" i="1"/>
  <c r="S899" i="1"/>
  <c r="S900" i="1"/>
  <c r="S901" i="1"/>
  <c r="S902" i="1"/>
  <c r="S903" i="1"/>
  <c r="S904" i="1"/>
  <c r="S905" i="1"/>
  <c r="S906" i="1"/>
  <c r="S907" i="1"/>
  <c r="S908" i="1"/>
  <c r="S909" i="1"/>
  <c r="S910" i="1"/>
  <c r="S911" i="1"/>
  <c r="S912" i="1"/>
  <c r="S913" i="1"/>
  <c r="S914" i="1"/>
  <c r="S915" i="1"/>
  <c r="S916" i="1"/>
  <c r="S917" i="1"/>
  <c r="S918" i="1"/>
  <c r="S919" i="1"/>
  <c r="S920" i="1"/>
  <c r="S921" i="1"/>
  <c r="S922" i="1"/>
  <c r="S923" i="1"/>
  <c r="S924" i="1"/>
  <c r="S925" i="1"/>
  <c r="S926" i="1"/>
  <c r="S927" i="1"/>
  <c r="S928" i="1"/>
  <c r="S929" i="1"/>
  <c r="S930" i="1"/>
  <c r="S931" i="1"/>
  <c r="S932" i="1"/>
  <c r="S933" i="1"/>
  <c r="S934" i="1"/>
  <c r="S935" i="1"/>
  <c r="S936" i="1"/>
  <c r="S937" i="1"/>
  <c r="S938" i="1"/>
  <c r="S939" i="1"/>
  <c r="S940" i="1"/>
  <c r="S941" i="1"/>
  <c r="S942" i="1"/>
  <c r="S943" i="1"/>
  <c r="S944" i="1"/>
  <c r="S945" i="1"/>
  <c r="S946" i="1"/>
  <c r="S947" i="1"/>
  <c r="S948" i="1"/>
  <c r="S949" i="1"/>
  <c r="S950" i="1"/>
  <c r="S951" i="1"/>
  <c r="S952" i="1"/>
  <c r="S953" i="1"/>
  <c r="S954" i="1"/>
  <c r="S955" i="1"/>
  <c r="S956" i="1"/>
  <c r="S957" i="1"/>
  <c r="S958" i="1"/>
  <c r="S959" i="1"/>
  <c r="S960" i="1"/>
  <c r="S961" i="1"/>
  <c r="S962" i="1"/>
  <c r="S963" i="1"/>
  <c r="S964" i="1"/>
  <c r="S965" i="1"/>
  <c r="S966" i="1"/>
  <c r="S967" i="1"/>
  <c r="S968" i="1"/>
  <c r="S969" i="1"/>
  <c r="S970" i="1"/>
  <c r="S971" i="1"/>
  <c r="S972" i="1"/>
  <c r="S973" i="1"/>
  <c r="S974" i="1"/>
  <c r="S975" i="1"/>
  <c r="S976" i="1"/>
  <c r="S977" i="1"/>
  <c r="S978" i="1"/>
  <c r="S979" i="1"/>
  <c r="S980" i="1"/>
  <c r="S981" i="1"/>
  <c r="S982" i="1"/>
  <c r="S983" i="1"/>
  <c r="S984" i="1"/>
  <c r="S985" i="1"/>
  <c r="S986" i="1"/>
  <c r="S987" i="1"/>
  <c r="S988" i="1"/>
  <c r="S989" i="1"/>
  <c r="S990" i="1"/>
  <c r="S991" i="1"/>
  <c r="S992" i="1"/>
  <c r="S993" i="1"/>
  <c r="S994" i="1"/>
  <c r="S995" i="1"/>
  <c r="S996" i="1"/>
  <c r="S997" i="1"/>
  <c r="S998" i="1"/>
  <c r="S999" i="1"/>
  <c r="S1000" i="1"/>
  <c r="S1001" i="1"/>
  <c r="S1002" i="1"/>
  <c r="S1003" i="1"/>
  <c r="S1004" i="1"/>
  <c r="S1005" i="1"/>
  <c r="S1006" i="1"/>
  <c r="S1007" i="1"/>
  <c r="S1008" i="1"/>
  <c r="S1009" i="1"/>
  <c r="S1010" i="1"/>
  <c r="S1011" i="1"/>
  <c r="S1012" i="1"/>
  <c r="S1013" i="1"/>
  <c r="S1014" i="1"/>
  <c r="S1015" i="1"/>
  <c r="S1016" i="1"/>
  <c r="S1017" i="1"/>
  <c r="S1018" i="1"/>
  <c r="S1019" i="1"/>
  <c r="S1020" i="1"/>
  <c r="S1021" i="1"/>
  <c r="S1022" i="1"/>
  <c r="S1023" i="1"/>
  <c r="S1024" i="1"/>
  <c r="S1025" i="1"/>
  <c r="S1026" i="1"/>
  <c r="S1027" i="1"/>
  <c r="S1028" i="1"/>
  <c r="S1029" i="1"/>
  <c r="S1030" i="1"/>
  <c r="S1031" i="1"/>
  <c r="S1032" i="1"/>
  <c r="S1033" i="1"/>
  <c r="S1034" i="1"/>
  <c r="S1035" i="1"/>
  <c r="S1036" i="1"/>
  <c r="S1037" i="1"/>
  <c r="S1038" i="1"/>
  <c r="S1039" i="1"/>
  <c r="S1040" i="1"/>
  <c r="S1041" i="1"/>
  <c r="S1042" i="1"/>
  <c r="S1043" i="1"/>
  <c r="S1044" i="1"/>
  <c r="S1045" i="1"/>
  <c r="S1046" i="1"/>
  <c r="S1047" i="1"/>
  <c r="S1048" i="1"/>
  <c r="S1049" i="1"/>
  <c r="S1050" i="1"/>
  <c r="S1051" i="1"/>
  <c r="S1052" i="1"/>
  <c r="S1053" i="1"/>
  <c r="S1054" i="1"/>
  <c r="S1055" i="1"/>
  <c r="S1056" i="1"/>
  <c r="S1057" i="1"/>
  <c r="S1058" i="1"/>
  <c r="S1059" i="1"/>
  <c r="S1060" i="1"/>
  <c r="S1061" i="1"/>
  <c r="S1062" i="1"/>
  <c r="S1063" i="1"/>
  <c r="S1064" i="1"/>
  <c r="S1065" i="1"/>
  <c r="S1066" i="1"/>
  <c r="S1067" i="1"/>
  <c r="S1068" i="1"/>
  <c r="S1069" i="1"/>
  <c r="S1070" i="1"/>
  <c r="S1071" i="1"/>
  <c r="S1072" i="1"/>
  <c r="S1073" i="1"/>
  <c r="S1074" i="1"/>
  <c r="S1075" i="1"/>
  <c r="S1076" i="1"/>
  <c r="S1077" i="1"/>
  <c r="S1078" i="1"/>
  <c r="S1079" i="1"/>
  <c r="S1080" i="1"/>
  <c r="S1081" i="1"/>
  <c r="S1082" i="1"/>
  <c r="S1083" i="1"/>
  <c r="S1084" i="1"/>
  <c r="S1085" i="1"/>
  <c r="S1086" i="1"/>
  <c r="S1087" i="1"/>
  <c r="S1088" i="1"/>
  <c r="S1089" i="1"/>
  <c r="S1090" i="1"/>
  <c r="S1091" i="1"/>
  <c r="S1092" i="1"/>
  <c r="S1093" i="1"/>
  <c r="S1094" i="1"/>
  <c r="S1095" i="1"/>
  <c r="S1096" i="1"/>
  <c r="S1097" i="1"/>
  <c r="S1098" i="1"/>
  <c r="S1099" i="1"/>
  <c r="S1100" i="1"/>
  <c r="S1101" i="1"/>
  <c r="S1102" i="1"/>
  <c r="S1103" i="1"/>
  <c r="S1104" i="1"/>
  <c r="S1105" i="1"/>
  <c r="S1106" i="1"/>
  <c r="S1107" i="1"/>
  <c r="S1108" i="1"/>
  <c r="S1109" i="1"/>
  <c r="S1110" i="1"/>
  <c r="S1111" i="1"/>
  <c r="S1112" i="1"/>
  <c r="S1113" i="1"/>
  <c r="S1114" i="1"/>
  <c r="S1115" i="1"/>
  <c r="S1116" i="1"/>
  <c r="S1117" i="1"/>
  <c r="S1118" i="1"/>
  <c r="S1119" i="1"/>
  <c r="S1120" i="1"/>
  <c r="S1121" i="1"/>
  <c r="S1122" i="1"/>
  <c r="S1123" i="1"/>
  <c r="S1124" i="1"/>
  <c r="S1125" i="1"/>
  <c r="S1126" i="1"/>
  <c r="S1127" i="1"/>
  <c r="S1128" i="1"/>
  <c r="S1129" i="1"/>
  <c r="S1130" i="1"/>
  <c r="S1131" i="1"/>
  <c r="S1132" i="1"/>
  <c r="S1133" i="1"/>
  <c r="S1134" i="1"/>
  <c r="S1135" i="1"/>
  <c r="S1136" i="1"/>
  <c r="S1137" i="1"/>
  <c r="S1138" i="1"/>
  <c r="S1139" i="1"/>
  <c r="S1140" i="1"/>
  <c r="S1141" i="1"/>
  <c r="S1142" i="1"/>
  <c r="S1143" i="1"/>
  <c r="S1144" i="1"/>
  <c r="S1145" i="1"/>
  <c r="S1146" i="1"/>
  <c r="S1147" i="1"/>
  <c r="S1148" i="1"/>
  <c r="S1149" i="1"/>
  <c r="S1150" i="1"/>
  <c r="S1151" i="1"/>
  <c r="S1152" i="1"/>
  <c r="S1153" i="1"/>
  <c r="S1154" i="1"/>
  <c r="S1155" i="1"/>
  <c r="S1156" i="1"/>
  <c r="S1157" i="1"/>
  <c r="S1158" i="1"/>
  <c r="S1159" i="1"/>
  <c r="S1160" i="1"/>
  <c r="S1161" i="1"/>
  <c r="S1162" i="1"/>
  <c r="S1163" i="1"/>
  <c r="S1164" i="1"/>
  <c r="S1165" i="1"/>
  <c r="S1166" i="1"/>
  <c r="S1167" i="1"/>
  <c r="S1168" i="1"/>
  <c r="S1169" i="1"/>
  <c r="S1170" i="1"/>
  <c r="S1171" i="1"/>
  <c r="S1172" i="1"/>
  <c r="S1173" i="1"/>
  <c r="S1174" i="1"/>
  <c r="S1175" i="1"/>
  <c r="S1176" i="1"/>
  <c r="S1177" i="1"/>
  <c r="S1178" i="1"/>
  <c r="S1179" i="1"/>
  <c r="S1180" i="1"/>
  <c r="S1181" i="1"/>
  <c r="S1182" i="1"/>
  <c r="S1183" i="1"/>
  <c r="S1184" i="1"/>
  <c r="S1185" i="1"/>
  <c r="S1186" i="1"/>
  <c r="S1187" i="1"/>
  <c r="S1188" i="1"/>
  <c r="S1189" i="1"/>
  <c r="S1190" i="1"/>
  <c r="S1191" i="1"/>
  <c r="S1192" i="1"/>
  <c r="S1193" i="1"/>
  <c r="S1194" i="1"/>
  <c r="S1195" i="1"/>
  <c r="S1196" i="1"/>
  <c r="S1197" i="1"/>
  <c r="S1198" i="1"/>
  <c r="S1199" i="1"/>
  <c r="S1200" i="1"/>
  <c r="S1201" i="1"/>
  <c r="S1202" i="1"/>
  <c r="S1203" i="1"/>
  <c r="S1204" i="1"/>
  <c r="S1205" i="1"/>
  <c r="S1206" i="1"/>
  <c r="S1207" i="1"/>
  <c r="S1208" i="1"/>
  <c r="S1209" i="1"/>
  <c r="S1210" i="1"/>
  <c r="S1211" i="1"/>
  <c r="S1212" i="1"/>
  <c r="S1213" i="1"/>
  <c r="S1214" i="1"/>
  <c r="S1215" i="1"/>
  <c r="S1216" i="1"/>
  <c r="S1217" i="1"/>
  <c r="S1218" i="1"/>
  <c r="S1219" i="1"/>
  <c r="S1220" i="1"/>
  <c r="S1221" i="1"/>
  <c r="S1222" i="1"/>
  <c r="S1223" i="1"/>
  <c r="S1224" i="1"/>
  <c r="S1225" i="1"/>
  <c r="S1226" i="1"/>
  <c r="S1227" i="1"/>
  <c r="S1228" i="1"/>
  <c r="S1229" i="1"/>
  <c r="S1230" i="1"/>
  <c r="S1231" i="1"/>
  <c r="S1232" i="1"/>
  <c r="S1233" i="1"/>
  <c r="S1234" i="1"/>
  <c r="S1235" i="1"/>
  <c r="S1236" i="1"/>
  <c r="S1237" i="1"/>
  <c r="S1238" i="1"/>
  <c r="S1239" i="1"/>
  <c r="S1240" i="1"/>
  <c r="S1241" i="1"/>
  <c r="S1242" i="1"/>
  <c r="S1243" i="1"/>
  <c r="S1244" i="1"/>
  <c r="S1245" i="1"/>
  <c r="S1246" i="1"/>
  <c r="S1247" i="1"/>
  <c r="S1248" i="1"/>
  <c r="S1249" i="1"/>
  <c r="S1250" i="1"/>
  <c r="S1251" i="1"/>
  <c r="S1252" i="1"/>
  <c r="S1253" i="1"/>
  <c r="S1254" i="1"/>
  <c r="S1255" i="1"/>
  <c r="S1256" i="1"/>
  <c r="S1257" i="1"/>
  <c r="S1258" i="1"/>
  <c r="S1259" i="1"/>
  <c r="S1260" i="1"/>
  <c r="S1261" i="1"/>
  <c r="S1262" i="1"/>
  <c r="S1263" i="1"/>
  <c r="S1264" i="1"/>
  <c r="S1265" i="1"/>
  <c r="S1266" i="1"/>
  <c r="S1267" i="1"/>
  <c r="S1268" i="1"/>
  <c r="S1269" i="1"/>
  <c r="S1270" i="1"/>
  <c r="S1271" i="1"/>
  <c r="S1272" i="1"/>
  <c r="S1273" i="1"/>
  <c r="S1274" i="1"/>
  <c r="S1275" i="1"/>
  <c r="S1276" i="1"/>
  <c r="S1277" i="1"/>
  <c r="S1278" i="1"/>
  <c r="S1279" i="1"/>
  <c r="S1280" i="1"/>
  <c r="S1281" i="1"/>
  <c r="S1282" i="1"/>
  <c r="S1283" i="1"/>
  <c r="S1284" i="1"/>
  <c r="S1285" i="1"/>
  <c r="S1286" i="1"/>
  <c r="S1287" i="1"/>
  <c r="S1288" i="1"/>
  <c r="S1289" i="1"/>
  <c r="S1290" i="1"/>
  <c r="S1291" i="1"/>
  <c r="S1292" i="1"/>
  <c r="S1293" i="1"/>
  <c r="S1294" i="1"/>
  <c r="S1295" i="1"/>
  <c r="S1296" i="1"/>
  <c r="S1297" i="1"/>
  <c r="S1298" i="1"/>
  <c r="S1299" i="1"/>
  <c r="S1300" i="1"/>
  <c r="S1301" i="1"/>
  <c r="S1302" i="1"/>
  <c r="S1303" i="1"/>
  <c r="S1304" i="1"/>
  <c r="S1305" i="1"/>
  <c r="S1306" i="1"/>
  <c r="S1307" i="1"/>
  <c r="S1308" i="1"/>
  <c r="S1309" i="1"/>
  <c r="S1310" i="1"/>
  <c r="S1311" i="1"/>
  <c r="S1312" i="1"/>
  <c r="S1313" i="1"/>
  <c r="S1314" i="1"/>
  <c r="S1315" i="1"/>
  <c r="S1316" i="1"/>
  <c r="S1317" i="1"/>
  <c r="S1318" i="1"/>
  <c r="S1319" i="1"/>
  <c r="S1320" i="1"/>
  <c r="S1321" i="1"/>
  <c r="S1322" i="1"/>
  <c r="S1323" i="1"/>
  <c r="S1324" i="1"/>
  <c r="S1325" i="1"/>
  <c r="S1326" i="1"/>
  <c r="S1327" i="1"/>
  <c r="S1328" i="1"/>
  <c r="S1329" i="1"/>
  <c r="S1330" i="1"/>
  <c r="S1331" i="1"/>
  <c r="S1332" i="1"/>
  <c r="S1333" i="1"/>
  <c r="S1334" i="1"/>
  <c r="S1335" i="1"/>
  <c r="S1336" i="1"/>
  <c r="S1337" i="1"/>
  <c r="S1338" i="1"/>
  <c r="S1339" i="1"/>
  <c r="S1340" i="1"/>
  <c r="S1341" i="1"/>
  <c r="S1342" i="1"/>
  <c r="S1343" i="1"/>
  <c r="S1344" i="1"/>
  <c r="S1345" i="1"/>
  <c r="S1346" i="1"/>
  <c r="S1347" i="1"/>
  <c r="S1348" i="1"/>
  <c r="S1349" i="1"/>
  <c r="S1350" i="1"/>
  <c r="S1351" i="1"/>
  <c r="S1352" i="1"/>
  <c r="S1353" i="1"/>
  <c r="S1354" i="1"/>
  <c r="S1355" i="1"/>
  <c r="S1356" i="1"/>
  <c r="S1357" i="1"/>
  <c r="S1358" i="1"/>
  <c r="S1359" i="1"/>
  <c r="S1360" i="1"/>
  <c r="S1361" i="1"/>
  <c r="S1362" i="1"/>
  <c r="S1363" i="1"/>
  <c r="S1364" i="1"/>
  <c r="S1365" i="1"/>
  <c r="S1366" i="1"/>
  <c r="S1367" i="1"/>
  <c r="S1368" i="1"/>
  <c r="S1369" i="1"/>
  <c r="S1370" i="1"/>
  <c r="S1371" i="1"/>
  <c r="S1372" i="1"/>
  <c r="S1373" i="1"/>
  <c r="S1374" i="1"/>
  <c r="S1375" i="1"/>
  <c r="S1376" i="1"/>
  <c r="S1377" i="1"/>
  <c r="S1378" i="1"/>
  <c r="S1379" i="1"/>
  <c r="S1380" i="1"/>
  <c r="S1381" i="1"/>
  <c r="S1382" i="1"/>
  <c r="S1383" i="1"/>
  <c r="S1384" i="1"/>
  <c r="S1385" i="1"/>
  <c r="S1386" i="1"/>
  <c r="S1387" i="1"/>
  <c r="S1388" i="1"/>
  <c r="S1389" i="1"/>
  <c r="S1390" i="1"/>
  <c r="S1391" i="1"/>
  <c r="S1392" i="1"/>
  <c r="S1393" i="1"/>
  <c r="S1394" i="1"/>
  <c r="S1395" i="1"/>
  <c r="S1396" i="1"/>
  <c r="S1397" i="1"/>
  <c r="S1398" i="1"/>
  <c r="S1399" i="1"/>
  <c r="S1400" i="1"/>
  <c r="S1401" i="1"/>
  <c r="S1402" i="1"/>
  <c r="S1403" i="1"/>
  <c r="S1404" i="1"/>
  <c r="S1405" i="1"/>
  <c r="S1406" i="1"/>
  <c r="S1407" i="1"/>
  <c r="S1408" i="1"/>
  <c r="S1409" i="1"/>
  <c r="S1410" i="1"/>
  <c r="S1411" i="1"/>
  <c r="S1412" i="1"/>
  <c r="S1413" i="1"/>
  <c r="S1414" i="1"/>
  <c r="S1415" i="1"/>
  <c r="S1416" i="1"/>
  <c r="S1417" i="1"/>
  <c r="S1418" i="1"/>
  <c r="S1419" i="1"/>
  <c r="S1420" i="1"/>
  <c r="S1421" i="1"/>
  <c r="S1422" i="1"/>
  <c r="S1423" i="1"/>
  <c r="S1424" i="1"/>
  <c r="S1425" i="1"/>
  <c r="S1426" i="1"/>
  <c r="S1427" i="1"/>
  <c r="S1428" i="1"/>
  <c r="S1429" i="1"/>
  <c r="S1430" i="1"/>
  <c r="S1431" i="1"/>
  <c r="S1432" i="1"/>
  <c r="S1433" i="1"/>
  <c r="S1434" i="1"/>
  <c r="S1435" i="1"/>
  <c r="S1436" i="1"/>
  <c r="S1437" i="1"/>
  <c r="S1438" i="1"/>
  <c r="S1439" i="1"/>
  <c r="S1440" i="1"/>
  <c r="S1441" i="1"/>
  <c r="S1442" i="1"/>
  <c r="S1443" i="1"/>
  <c r="S1444" i="1"/>
  <c r="S1445" i="1"/>
  <c r="S1446" i="1"/>
  <c r="S1447" i="1"/>
  <c r="S1448" i="1"/>
  <c r="S1449" i="1"/>
  <c r="S1450" i="1"/>
  <c r="S1451" i="1"/>
  <c r="S1452" i="1"/>
  <c r="S1453" i="1"/>
  <c r="S1454" i="1"/>
  <c r="S1455" i="1"/>
  <c r="S1456" i="1"/>
  <c r="S1457" i="1"/>
  <c r="S1458" i="1"/>
  <c r="S1459" i="1"/>
  <c r="S1460" i="1"/>
  <c r="S1461" i="1"/>
  <c r="S1462" i="1"/>
  <c r="S1463" i="1"/>
  <c r="S1464" i="1"/>
  <c r="S1465" i="1"/>
  <c r="S1466" i="1"/>
  <c r="S1467" i="1"/>
  <c r="S1468" i="1"/>
  <c r="S1469" i="1"/>
  <c r="S1470" i="1"/>
  <c r="S1471" i="1"/>
  <c r="S1472" i="1"/>
  <c r="S1473" i="1"/>
  <c r="S1474" i="1"/>
  <c r="S1475" i="1"/>
  <c r="S1476" i="1"/>
  <c r="S1477" i="1"/>
  <c r="S1478" i="1"/>
  <c r="S1479" i="1"/>
  <c r="S1480" i="1"/>
  <c r="S1481" i="1"/>
  <c r="S1482" i="1"/>
  <c r="S1483" i="1"/>
  <c r="S1484" i="1"/>
  <c r="S1485" i="1"/>
  <c r="S1486" i="1"/>
  <c r="S1487" i="1"/>
  <c r="S1488" i="1"/>
  <c r="S1489" i="1"/>
  <c r="S1490" i="1"/>
  <c r="S1491" i="1"/>
  <c r="S1492" i="1"/>
  <c r="S1493" i="1"/>
  <c r="S1494" i="1"/>
  <c r="S1495" i="1"/>
  <c r="S1496" i="1"/>
  <c r="S1497" i="1"/>
  <c r="S1498" i="1"/>
  <c r="S1499" i="1"/>
  <c r="S1500" i="1"/>
  <c r="S1501" i="1"/>
  <c r="S1502" i="1"/>
  <c r="S1503" i="1"/>
  <c r="S1504" i="1"/>
  <c r="S1505" i="1"/>
  <c r="S1506" i="1"/>
  <c r="S1507" i="1"/>
  <c r="S1508" i="1"/>
  <c r="S1509" i="1"/>
  <c r="S1510" i="1"/>
  <c r="S1511" i="1"/>
  <c r="S1512" i="1"/>
  <c r="S1513" i="1"/>
  <c r="S1514" i="1"/>
  <c r="S1515" i="1"/>
  <c r="S1516" i="1"/>
  <c r="S1517" i="1"/>
  <c r="S1518" i="1"/>
  <c r="S1519" i="1"/>
  <c r="S1520" i="1"/>
  <c r="S1521" i="1"/>
  <c r="S1522" i="1"/>
  <c r="S1523" i="1"/>
  <c r="S1524" i="1"/>
  <c r="S1525" i="1"/>
  <c r="S1526" i="1"/>
  <c r="S1527" i="1"/>
  <c r="S1528" i="1"/>
  <c r="S1529" i="1"/>
  <c r="S1530" i="1"/>
  <c r="S1531" i="1"/>
  <c r="S1532" i="1"/>
  <c r="S1533" i="1"/>
  <c r="S1534" i="1"/>
  <c r="S1535" i="1"/>
  <c r="S1536" i="1"/>
  <c r="S1537" i="1"/>
  <c r="S1538" i="1"/>
  <c r="S1539" i="1"/>
  <c r="S1540" i="1"/>
  <c r="S1541" i="1"/>
  <c r="S1542" i="1"/>
  <c r="S1543" i="1"/>
  <c r="S1544" i="1"/>
  <c r="S1545" i="1"/>
  <c r="S1546" i="1"/>
  <c r="S1547" i="1"/>
  <c r="S1548" i="1"/>
  <c r="S1549" i="1"/>
  <c r="S1550" i="1"/>
  <c r="S1551" i="1"/>
  <c r="S1552" i="1"/>
  <c r="S1553" i="1"/>
  <c r="S1554" i="1"/>
  <c r="S1555" i="1"/>
  <c r="S1556" i="1"/>
  <c r="S1557" i="1"/>
  <c r="S1558" i="1"/>
  <c r="S1559" i="1"/>
  <c r="S1560" i="1"/>
  <c r="S1561" i="1"/>
  <c r="S1562" i="1"/>
  <c r="S1563" i="1"/>
  <c r="S1564" i="1"/>
  <c r="S1565" i="1"/>
  <c r="S1566" i="1"/>
  <c r="S1567" i="1"/>
  <c r="S1568" i="1"/>
  <c r="S1569" i="1"/>
  <c r="S1570" i="1"/>
  <c r="S1571" i="1"/>
  <c r="S1572" i="1"/>
  <c r="S1573" i="1"/>
  <c r="S1574" i="1"/>
  <c r="S1575" i="1"/>
  <c r="S1576" i="1"/>
  <c r="S1577" i="1"/>
  <c r="S1578" i="1"/>
  <c r="S1579" i="1"/>
  <c r="S1580" i="1"/>
  <c r="S1581" i="1"/>
  <c r="S1582" i="1"/>
  <c r="S1583" i="1"/>
  <c r="S1584" i="1"/>
  <c r="S1585" i="1"/>
  <c r="S1586" i="1"/>
  <c r="S1587" i="1"/>
  <c r="S1588" i="1"/>
  <c r="S1589" i="1"/>
  <c r="S1590" i="1"/>
  <c r="S1591" i="1"/>
  <c r="S1592" i="1"/>
  <c r="S1593" i="1"/>
  <c r="S1594" i="1"/>
  <c r="S1595" i="1"/>
  <c r="S1596" i="1"/>
  <c r="S1597" i="1"/>
  <c r="S1598" i="1"/>
  <c r="S1599" i="1"/>
  <c r="S1600" i="1"/>
  <c r="S1601" i="1"/>
  <c r="S1602" i="1"/>
  <c r="S1603" i="1"/>
  <c r="S1604" i="1"/>
  <c r="S1605" i="1"/>
  <c r="S1606" i="1"/>
  <c r="S1607" i="1"/>
  <c r="S1608" i="1"/>
  <c r="S1609" i="1"/>
  <c r="S1610" i="1"/>
  <c r="S1611" i="1"/>
  <c r="S1612" i="1"/>
  <c r="S1613" i="1"/>
  <c r="S1614" i="1"/>
  <c r="S1615" i="1"/>
  <c r="S1616" i="1"/>
  <c r="S1617" i="1"/>
  <c r="S1618" i="1"/>
  <c r="S1619" i="1"/>
  <c r="S1620" i="1"/>
  <c r="S1621" i="1"/>
  <c r="S1622" i="1"/>
  <c r="S1623" i="1"/>
  <c r="S1624" i="1"/>
  <c r="S1625" i="1"/>
  <c r="S1626" i="1"/>
  <c r="S1627" i="1"/>
  <c r="S1628" i="1"/>
  <c r="S1629" i="1"/>
  <c r="S1630" i="1"/>
  <c r="S1631" i="1"/>
  <c r="S1632" i="1"/>
  <c r="S1633" i="1"/>
  <c r="S1634" i="1"/>
  <c r="S1635" i="1"/>
  <c r="S1636" i="1"/>
  <c r="S1637" i="1"/>
  <c r="S1638" i="1"/>
  <c r="S1639" i="1"/>
  <c r="S1640" i="1"/>
  <c r="S1641" i="1"/>
  <c r="S1642" i="1"/>
  <c r="S1643" i="1"/>
  <c r="S1644" i="1"/>
  <c r="S1645" i="1"/>
  <c r="S1646" i="1"/>
  <c r="S1647" i="1"/>
  <c r="S1648" i="1"/>
  <c r="S1649" i="1"/>
  <c r="S1650" i="1"/>
  <c r="S1651" i="1"/>
  <c r="S1652" i="1"/>
  <c r="S1653" i="1"/>
  <c r="S1654" i="1"/>
  <c r="S1655" i="1"/>
  <c r="S1656" i="1"/>
  <c r="S1657" i="1"/>
  <c r="S1658" i="1"/>
  <c r="S1659" i="1"/>
  <c r="S1660" i="1"/>
  <c r="S1661" i="1"/>
  <c r="S1662" i="1"/>
  <c r="S1663" i="1"/>
  <c r="S1664" i="1"/>
  <c r="S1665" i="1"/>
  <c r="S1666" i="1"/>
  <c r="S1667" i="1"/>
  <c r="S1668" i="1"/>
  <c r="S1669" i="1"/>
  <c r="S1670" i="1"/>
  <c r="S1671" i="1"/>
  <c r="S1672" i="1"/>
  <c r="S1673" i="1"/>
  <c r="S1674" i="1"/>
  <c r="S1675" i="1"/>
  <c r="S1676" i="1"/>
  <c r="S1677" i="1"/>
  <c r="S1678" i="1"/>
  <c r="S1679" i="1"/>
  <c r="S1680" i="1"/>
  <c r="S1681" i="1"/>
  <c r="S1682" i="1"/>
  <c r="S1683" i="1"/>
  <c r="S1684" i="1"/>
  <c r="S1685" i="1"/>
  <c r="S1686" i="1"/>
  <c r="S1687" i="1"/>
  <c r="S1688" i="1"/>
  <c r="S1689" i="1"/>
  <c r="S1690" i="1"/>
  <c r="S1691" i="1"/>
  <c r="S1692" i="1"/>
  <c r="S1693" i="1"/>
  <c r="S1694" i="1"/>
  <c r="S1695" i="1"/>
  <c r="S1696" i="1"/>
  <c r="S1697" i="1"/>
  <c r="S1698" i="1"/>
  <c r="S1699" i="1"/>
  <c r="S1700" i="1"/>
  <c r="S1701" i="1"/>
  <c r="S1702" i="1"/>
  <c r="S1703" i="1"/>
  <c r="S1704" i="1"/>
  <c r="S1705" i="1"/>
  <c r="S1706" i="1"/>
  <c r="S1707" i="1"/>
  <c r="S1708" i="1"/>
  <c r="S1709" i="1"/>
  <c r="S1710" i="1"/>
  <c r="S1711" i="1"/>
  <c r="S1712" i="1"/>
  <c r="S1713" i="1"/>
  <c r="S1714" i="1"/>
  <c r="S1715" i="1"/>
  <c r="S1716" i="1"/>
  <c r="S1717" i="1"/>
  <c r="S1718" i="1"/>
  <c r="S1719" i="1"/>
  <c r="S1720" i="1"/>
  <c r="S1721" i="1"/>
  <c r="S1722" i="1"/>
  <c r="S1723" i="1"/>
  <c r="S1724" i="1"/>
  <c r="S1725" i="1"/>
  <c r="S1726" i="1"/>
  <c r="S1727" i="1"/>
  <c r="S1728" i="1"/>
  <c r="S1729" i="1"/>
  <c r="S1730" i="1"/>
  <c r="S1731" i="1"/>
  <c r="S1732" i="1"/>
  <c r="S1733" i="1"/>
  <c r="S1734" i="1"/>
  <c r="S1735" i="1"/>
  <c r="S1736" i="1"/>
  <c r="S1737" i="1"/>
  <c r="S1738" i="1"/>
  <c r="S1739" i="1"/>
  <c r="S1740" i="1"/>
  <c r="S1741" i="1"/>
  <c r="S1742" i="1"/>
  <c r="S1743" i="1"/>
  <c r="S1744" i="1"/>
  <c r="S1745" i="1"/>
  <c r="S1746" i="1"/>
  <c r="S1747" i="1"/>
  <c r="S1748" i="1"/>
  <c r="S1749" i="1"/>
  <c r="S1750" i="1"/>
  <c r="S1751" i="1"/>
  <c r="S1752" i="1"/>
  <c r="S1753" i="1"/>
  <c r="S1754" i="1"/>
  <c r="S1755" i="1"/>
  <c r="S1756" i="1"/>
  <c r="S1757" i="1"/>
  <c r="S1758" i="1"/>
  <c r="S1759" i="1"/>
  <c r="S1760" i="1"/>
  <c r="S1761" i="1"/>
  <c r="S1762" i="1"/>
  <c r="S1763" i="1"/>
  <c r="S1764" i="1"/>
  <c r="S1765" i="1"/>
  <c r="S1766" i="1"/>
  <c r="S1767" i="1"/>
  <c r="S1768" i="1"/>
  <c r="S1769" i="1"/>
  <c r="S1770" i="1"/>
  <c r="S1771" i="1"/>
  <c r="S1772" i="1"/>
  <c r="S1773" i="1"/>
  <c r="S1774" i="1"/>
  <c r="S1775" i="1"/>
  <c r="S1776" i="1"/>
  <c r="S1777" i="1"/>
  <c r="S1778" i="1"/>
  <c r="S1779" i="1"/>
  <c r="S1780" i="1"/>
  <c r="S1781" i="1"/>
  <c r="S1782" i="1"/>
  <c r="S1783" i="1"/>
  <c r="S1784" i="1"/>
  <c r="S1785" i="1"/>
  <c r="S1786" i="1"/>
  <c r="S1787" i="1"/>
  <c r="S1788" i="1"/>
  <c r="S1789" i="1"/>
  <c r="S1790" i="1"/>
  <c r="S1791" i="1"/>
  <c r="S1792" i="1"/>
  <c r="S1793" i="1"/>
  <c r="S1794" i="1"/>
  <c r="S1795" i="1"/>
  <c r="S1796" i="1"/>
  <c r="S1797" i="1"/>
  <c r="S1798" i="1"/>
  <c r="S1799" i="1"/>
  <c r="S1800" i="1"/>
  <c r="S1801" i="1"/>
  <c r="S1802" i="1"/>
  <c r="S1803" i="1"/>
  <c r="S1804" i="1"/>
  <c r="S1805" i="1"/>
  <c r="S1806" i="1"/>
  <c r="S1807" i="1"/>
  <c r="S1808" i="1"/>
  <c r="S1809" i="1"/>
  <c r="S1810" i="1"/>
  <c r="S1811" i="1"/>
  <c r="S1812" i="1"/>
  <c r="S1813" i="1"/>
  <c r="S1814" i="1"/>
  <c r="S1815" i="1"/>
  <c r="S1816" i="1"/>
  <c r="S1817" i="1"/>
  <c r="S1818" i="1"/>
  <c r="S1819" i="1"/>
  <c r="S1820" i="1"/>
  <c r="S1821" i="1"/>
  <c r="S1822" i="1"/>
  <c r="S1823" i="1"/>
  <c r="S1824" i="1"/>
  <c r="S1825" i="1"/>
  <c r="S1826" i="1"/>
  <c r="S1827" i="1"/>
  <c r="S1828" i="1"/>
  <c r="S1829" i="1"/>
  <c r="S1830" i="1"/>
  <c r="S1831" i="1"/>
  <c r="S1832" i="1"/>
  <c r="S1833" i="1"/>
  <c r="S1834" i="1"/>
  <c r="S1835" i="1"/>
  <c r="S1836" i="1"/>
  <c r="S1837" i="1"/>
  <c r="S1838" i="1"/>
  <c r="S1839" i="1"/>
  <c r="S1840" i="1"/>
  <c r="S1841" i="1"/>
  <c r="S1842" i="1"/>
  <c r="S1843" i="1"/>
  <c r="S1844" i="1"/>
  <c r="S1845" i="1"/>
  <c r="S1846" i="1"/>
  <c r="S1847" i="1"/>
  <c r="S1848" i="1"/>
  <c r="S1849" i="1"/>
  <c r="S1850" i="1"/>
  <c r="S1851" i="1"/>
  <c r="S1852" i="1"/>
  <c r="S1853" i="1"/>
  <c r="S1854" i="1"/>
  <c r="S1855" i="1"/>
  <c r="S1856" i="1"/>
  <c r="S1857" i="1"/>
  <c r="S1858" i="1"/>
  <c r="S1859" i="1"/>
  <c r="S1860" i="1"/>
  <c r="S1861" i="1"/>
  <c r="S1862" i="1"/>
  <c r="S1863" i="1"/>
  <c r="S1864" i="1"/>
  <c r="S1865" i="1"/>
  <c r="S1866" i="1"/>
  <c r="S1867" i="1"/>
  <c r="S1868" i="1"/>
  <c r="S1869" i="1"/>
  <c r="S1870" i="1"/>
  <c r="S1871" i="1"/>
  <c r="S1872" i="1"/>
  <c r="S1873" i="1"/>
  <c r="S1874" i="1"/>
  <c r="S1875" i="1"/>
  <c r="S1876" i="1"/>
  <c r="S1877" i="1"/>
  <c r="S1878" i="1"/>
  <c r="S1879" i="1"/>
  <c r="S1880" i="1"/>
  <c r="S1881" i="1"/>
  <c r="S1882" i="1"/>
  <c r="S1883" i="1"/>
  <c r="S1884" i="1"/>
  <c r="S1885" i="1"/>
  <c r="S1886" i="1"/>
  <c r="S1887" i="1"/>
  <c r="S1888" i="1"/>
  <c r="S1889" i="1"/>
  <c r="S1890" i="1"/>
  <c r="S1891" i="1"/>
  <c r="S1892" i="1"/>
  <c r="S1893" i="1"/>
  <c r="S1894" i="1"/>
  <c r="S1895" i="1"/>
  <c r="S1896" i="1"/>
  <c r="S1897" i="1"/>
  <c r="S1898" i="1"/>
  <c r="S1899" i="1"/>
  <c r="S1900" i="1"/>
  <c r="S1901" i="1"/>
  <c r="S1902" i="1"/>
  <c r="S1903" i="1"/>
  <c r="S1904" i="1"/>
  <c r="S1905" i="1"/>
  <c r="S1906" i="1"/>
  <c r="S1907" i="1"/>
  <c r="S1908" i="1"/>
  <c r="S1909" i="1"/>
  <c r="S1910" i="1"/>
  <c r="S1911" i="1"/>
  <c r="S1912" i="1"/>
  <c r="S1913" i="1"/>
  <c r="S1914" i="1"/>
  <c r="S1915" i="1"/>
  <c r="S1916" i="1"/>
  <c r="S1917" i="1"/>
  <c r="S1918" i="1"/>
  <c r="S1919" i="1"/>
  <c r="S1920" i="1"/>
  <c r="S1921" i="1"/>
  <c r="S1922" i="1"/>
  <c r="S1923" i="1"/>
  <c r="S1924" i="1"/>
  <c r="S1925" i="1"/>
  <c r="S1926" i="1"/>
  <c r="S1927" i="1"/>
  <c r="S1928" i="1"/>
  <c r="S1929" i="1"/>
  <c r="S1930" i="1"/>
  <c r="S1931" i="1"/>
  <c r="S1932" i="1"/>
  <c r="S1933" i="1"/>
  <c r="S1934" i="1"/>
  <c r="S1935" i="1"/>
  <c r="S1936" i="1"/>
  <c r="S1937" i="1"/>
  <c r="S1938" i="1"/>
  <c r="S1939" i="1"/>
  <c r="S1940" i="1"/>
  <c r="S1941" i="1"/>
  <c r="S1942" i="1"/>
  <c r="S1943" i="1"/>
  <c r="S1944" i="1"/>
  <c r="S1945" i="1"/>
  <c r="S1946" i="1"/>
  <c r="S1947" i="1"/>
  <c r="S1948" i="1"/>
  <c r="S1949" i="1"/>
  <c r="S1950" i="1"/>
  <c r="S1951" i="1"/>
  <c r="S1952" i="1"/>
  <c r="S1953" i="1"/>
  <c r="S1954" i="1"/>
  <c r="S1955" i="1"/>
  <c r="S1956" i="1"/>
  <c r="S1957" i="1"/>
  <c r="S1958" i="1"/>
  <c r="S1959" i="1"/>
  <c r="S1960" i="1"/>
  <c r="S1961" i="1"/>
  <c r="S1962" i="1"/>
  <c r="S1963" i="1"/>
  <c r="S1964" i="1"/>
  <c r="S1965" i="1"/>
  <c r="S1966" i="1"/>
  <c r="S1967" i="1"/>
  <c r="S1968" i="1"/>
  <c r="S1969" i="1"/>
  <c r="S1970" i="1"/>
  <c r="S1971" i="1"/>
  <c r="S1972" i="1"/>
  <c r="S1973" i="1"/>
  <c r="S1974" i="1"/>
  <c r="S1975" i="1"/>
  <c r="S1976" i="1"/>
  <c r="S1977" i="1"/>
  <c r="S1978" i="1"/>
  <c r="S1979" i="1"/>
  <c r="S1980" i="1"/>
  <c r="S1981" i="1"/>
  <c r="S1982" i="1"/>
  <c r="S1983" i="1"/>
  <c r="S1984" i="1"/>
  <c r="S1985" i="1"/>
  <c r="S1986" i="1"/>
  <c r="S1987" i="1"/>
  <c r="S1988" i="1"/>
  <c r="S1989" i="1"/>
  <c r="S1990" i="1"/>
  <c r="S1991" i="1"/>
  <c r="S1992" i="1"/>
  <c r="S1993" i="1"/>
  <c r="S1994" i="1"/>
  <c r="S1995" i="1"/>
  <c r="S1996" i="1"/>
  <c r="S1997" i="1"/>
  <c r="S1998" i="1"/>
  <c r="S1999" i="1"/>
  <c r="S2000" i="1"/>
  <c r="S2001" i="1"/>
  <c r="R3" i="1" a="1"/>
  <c r="R3" i="1" s="1"/>
  <c r="R4" i="1" a="1"/>
  <c r="R4" i="1" s="1"/>
  <c r="R5" i="1" a="1"/>
  <c r="R5" i="1" s="1"/>
  <c r="R6" i="1" a="1"/>
  <c r="R6" i="1" s="1"/>
  <c r="R7" i="1" a="1"/>
  <c r="R7" i="1" s="1"/>
  <c r="R8" i="1" a="1"/>
  <c r="R8" i="1" s="1"/>
  <c r="R9" i="1" a="1"/>
  <c r="R9" i="1" s="1"/>
  <c r="R10" i="1" a="1"/>
  <c r="R10" i="1" s="1"/>
  <c r="R11" i="1" a="1"/>
  <c r="R11" i="1" s="1"/>
  <c r="R12" i="1" a="1"/>
  <c r="R12" i="1" s="1"/>
  <c r="R13" i="1" a="1"/>
  <c r="R13" i="1" s="1"/>
  <c r="R14" i="1" a="1"/>
  <c r="R14" i="1" s="1"/>
  <c r="R15" i="1" a="1"/>
  <c r="R15" i="1" s="1"/>
  <c r="R16" i="1" a="1"/>
  <c r="R16" i="1"/>
  <c r="R17" i="1" a="1"/>
  <c r="R17" i="1" s="1"/>
  <c r="R18" i="1" a="1"/>
  <c r="R18" i="1" s="1"/>
  <c r="R19" i="1" a="1"/>
  <c r="R19" i="1" s="1"/>
  <c r="R20" i="1" a="1"/>
  <c r="R20" i="1" s="1"/>
  <c r="R21" i="1" a="1"/>
  <c r="R21" i="1" s="1"/>
  <c r="R22" i="1" a="1"/>
  <c r="R22" i="1" s="1"/>
  <c r="R23" i="1" a="1"/>
  <c r="R23" i="1" s="1"/>
  <c r="R24" i="1" a="1"/>
  <c r="R24" i="1" s="1"/>
  <c r="R25" i="1" a="1"/>
  <c r="R25" i="1" s="1"/>
  <c r="R26" i="1" a="1"/>
  <c r="R26" i="1" s="1"/>
  <c r="R27" i="1" a="1"/>
  <c r="R27" i="1" s="1"/>
  <c r="R28" i="1" a="1"/>
  <c r="R28" i="1" s="1"/>
  <c r="R29" i="1" a="1"/>
  <c r="R29" i="1" s="1"/>
  <c r="R30" i="1" a="1"/>
  <c r="R30" i="1" s="1"/>
  <c r="R31" i="1" a="1"/>
  <c r="R31" i="1" s="1"/>
  <c r="R32" i="1" a="1"/>
  <c r="R32" i="1" s="1"/>
  <c r="R33" i="1" a="1"/>
  <c r="R33" i="1" s="1"/>
  <c r="R34" i="1" a="1"/>
  <c r="R34" i="1" s="1"/>
  <c r="R35" i="1" a="1"/>
  <c r="R35" i="1" s="1"/>
  <c r="R36" i="1" a="1"/>
  <c r="R36" i="1" s="1"/>
  <c r="R37" i="1" a="1"/>
  <c r="R37" i="1" s="1"/>
  <c r="R38" i="1" a="1"/>
  <c r="R38" i="1"/>
  <c r="R39" i="1" a="1"/>
  <c r="R39" i="1" s="1"/>
  <c r="R40" i="1" a="1"/>
  <c r="R40" i="1" s="1"/>
  <c r="R41" i="1" a="1"/>
  <c r="R41" i="1" s="1"/>
  <c r="R42" i="1" a="1"/>
  <c r="R42" i="1"/>
  <c r="R43" i="1" a="1"/>
  <c r="R43" i="1" s="1"/>
  <c r="R44" i="1" a="1"/>
  <c r="R44" i="1" s="1"/>
  <c r="R45" i="1" a="1"/>
  <c r="R45" i="1" s="1"/>
  <c r="R46" i="1" a="1"/>
  <c r="R46" i="1"/>
  <c r="R47" i="1" a="1"/>
  <c r="R47" i="1" s="1"/>
  <c r="R48" i="1" a="1"/>
  <c r="R48" i="1" s="1"/>
  <c r="R49" i="1" a="1"/>
  <c r="R49" i="1" s="1"/>
  <c r="R50" i="1" a="1"/>
  <c r="R50" i="1" s="1"/>
  <c r="R51" i="1" a="1"/>
  <c r="R51" i="1" s="1"/>
  <c r="R52" i="1" a="1"/>
  <c r="R52" i="1" s="1"/>
  <c r="R53" i="1" a="1"/>
  <c r="R53" i="1" s="1"/>
  <c r="R54" i="1" a="1"/>
  <c r="R54" i="1" s="1"/>
  <c r="R55" i="1" a="1"/>
  <c r="R55" i="1" s="1"/>
  <c r="R56" i="1" a="1"/>
  <c r="R56" i="1" s="1"/>
  <c r="R57" i="1" a="1"/>
  <c r="R57" i="1" s="1"/>
  <c r="R58" i="1" a="1"/>
  <c r="R58" i="1" s="1"/>
  <c r="R59" i="1" a="1"/>
  <c r="R59" i="1" s="1"/>
  <c r="R60" i="1" a="1"/>
  <c r="R60" i="1" s="1"/>
  <c r="R61" i="1" a="1"/>
  <c r="R61" i="1" s="1"/>
  <c r="R62" i="1" a="1"/>
  <c r="R62" i="1" s="1"/>
  <c r="R63" i="1" a="1"/>
  <c r="R63" i="1" s="1"/>
  <c r="R64" i="1" a="1"/>
  <c r="R64" i="1" s="1"/>
  <c r="R65" i="1" a="1"/>
  <c r="R65" i="1" s="1"/>
  <c r="R66" i="1" a="1"/>
  <c r="R66" i="1" s="1"/>
  <c r="R67" i="1" a="1"/>
  <c r="R67" i="1" s="1"/>
  <c r="R68" i="1" a="1"/>
  <c r="R68" i="1" s="1"/>
  <c r="R69" i="1" a="1"/>
  <c r="R69" i="1" s="1"/>
  <c r="R70" i="1" a="1"/>
  <c r="R70" i="1"/>
  <c r="R71" i="1" a="1"/>
  <c r="R71" i="1" s="1"/>
  <c r="R72" i="1" a="1"/>
  <c r="R72" i="1" s="1"/>
  <c r="R73" i="1" a="1"/>
  <c r="R73" i="1" s="1"/>
  <c r="R74" i="1" a="1"/>
  <c r="R74" i="1"/>
  <c r="R75" i="1" a="1"/>
  <c r="R75" i="1" s="1"/>
  <c r="R76" i="1" a="1"/>
  <c r="R76" i="1" s="1"/>
  <c r="R77" i="1" a="1"/>
  <c r="R77" i="1" s="1"/>
  <c r="R78" i="1" a="1"/>
  <c r="R78" i="1"/>
  <c r="R79" i="1" a="1"/>
  <c r="R79" i="1" s="1"/>
  <c r="R80" i="1" a="1"/>
  <c r="R80" i="1" s="1"/>
  <c r="R81" i="1" a="1"/>
  <c r="R81" i="1" s="1"/>
  <c r="R82" i="1" a="1"/>
  <c r="R82" i="1" s="1"/>
  <c r="R83" i="1" a="1"/>
  <c r="R83" i="1" s="1"/>
  <c r="R84" i="1" a="1"/>
  <c r="R84" i="1" s="1"/>
  <c r="R85" i="1" a="1"/>
  <c r="R85" i="1" s="1"/>
  <c r="R86" i="1" a="1"/>
  <c r="R86" i="1" s="1"/>
  <c r="R87" i="1" a="1"/>
  <c r="R87" i="1" s="1"/>
  <c r="R88" i="1" a="1"/>
  <c r="R88" i="1" s="1"/>
  <c r="R89" i="1" a="1"/>
  <c r="R89" i="1" s="1"/>
  <c r="R90" i="1" a="1"/>
  <c r="R90" i="1" s="1"/>
  <c r="R91" i="1" a="1"/>
  <c r="R91" i="1" s="1"/>
  <c r="R92" i="1" a="1"/>
  <c r="R92" i="1" s="1"/>
  <c r="R93" i="1" a="1"/>
  <c r="R93" i="1" s="1"/>
  <c r="R94" i="1" a="1"/>
  <c r="R94" i="1" s="1"/>
  <c r="R95" i="1" a="1"/>
  <c r="R95" i="1" s="1"/>
  <c r="R96" i="1" a="1"/>
  <c r="R96" i="1" s="1"/>
  <c r="R97" i="1" a="1"/>
  <c r="R97" i="1" s="1"/>
  <c r="R98" i="1" a="1"/>
  <c r="R98" i="1" s="1"/>
  <c r="R99" i="1" a="1"/>
  <c r="R99" i="1" s="1"/>
  <c r="R100" i="1" a="1"/>
  <c r="R100" i="1" s="1"/>
  <c r="R101" i="1" a="1"/>
  <c r="R101" i="1" s="1"/>
  <c r="R102" i="1" a="1"/>
  <c r="R102" i="1"/>
  <c r="R103" i="1" a="1"/>
  <c r="R103" i="1" s="1"/>
  <c r="R104" i="1" a="1"/>
  <c r="R104" i="1" s="1"/>
  <c r="R105" i="1" a="1"/>
  <c r="R105" i="1" s="1"/>
  <c r="R106" i="1" a="1"/>
  <c r="R106" i="1"/>
  <c r="R107" i="1" a="1"/>
  <c r="R107" i="1" s="1"/>
  <c r="R108" i="1" a="1"/>
  <c r="R108" i="1" s="1"/>
  <c r="R109" i="1" a="1"/>
  <c r="R109" i="1" s="1"/>
  <c r="R110" i="1" a="1"/>
  <c r="R110" i="1"/>
  <c r="R111" i="1" a="1"/>
  <c r="R111" i="1" s="1"/>
  <c r="R112" i="1" a="1"/>
  <c r="R112" i="1" s="1"/>
  <c r="R113" i="1" a="1"/>
  <c r="R113" i="1" s="1"/>
  <c r="R114" i="1" a="1"/>
  <c r="R114" i="1" s="1"/>
  <c r="R115" i="1" a="1"/>
  <c r="R115" i="1" s="1"/>
  <c r="R116" i="1" a="1"/>
  <c r="R116" i="1" s="1"/>
  <c r="R117" i="1" a="1"/>
  <c r="R117" i="1" s="1"/>
  <c r="R118" i="1" a="1"/>
  <c r="R118" i="1" s="1"/>
  <c r="R119" i="1" a="1"/>
  <c r="R119" i="1" s="1"/>
  <c r="R120" i="1" a="1"/>
  <c r="R120" i="1" s="1"/>
  <c r="R121" i="1" a="1"/>
  <c r="R121" i="1" s="1"/>
  <c r="R122" i="1" a="1"/>
  <c r="R122" i="1" s="1"/>
  <c r="R123" i="1" a="1"/>
  <c r="R123" i="1" s="1"/>
  <c r="R124" i="1" a="1"/>
  <c r="R124" i="1" s="1"/>
  <c r="R125" i="1" a="1"/>
  <c r="R125" i="1" s="1"/>
  <c r="R126" i="1" a="1"/>
  <c r="R126" i="1" s="1"/>
  <c r="R127" i="1" a="1"/>
  <c r="R127" i="1" s="1"/>
  <c r="R128" i="1" a="1"/>
  <c r="R128" i="1" s="1"/>
  <c r="R129" i="1" a="1"/>
  <c r="R129" i="1" s="1"/>
  <c r="R130" i="1" a="1"/>
  <c r="R130" i="1" s="1"/>
  <c r="R131" i="1" a="1"/>
  <c r="R131" i="1" s="1"/>
  <c r="R132" i="1" a="1"/>
  <c r="R132" i="1" s="1"/>
  <c r="R133" i="1" a="1"/>
  <c r="R133" i="1" s="1"/>
  <c r="R134" i="1" a="1"/>
  <c r="R134" i="1" s="1"/>
  <c r="R135" i="1" a="1"/>
  <c r="R135" i="1" s="1"/>
  <c r="R136" i="1" a="1"/>
  <c r="R136" i="1" s="1"/>
  <c r="R137" i="1" a="1"/>
  <c r="R137" i="1" s="1"/>
  <c r="R138" i="1" a="1"/>
  <c r="R138" i="1" s="1"/>
  <c r="R139" i="1" a="1"/>
  <c r="R139" i="1" s="1"/>
  <c r="R140" i="1" a="1"/>
  <c r="R140" i="1" s="1"/>
  <c r="R141" i="1" a="1"/>
  <c r="R141" i="1" s="1"/>
  <c r="R142" i="1" a="1"/>
  <c r="R142" i="1" s="1"/>
  <c r="R143" i="1" a="1"/>
  <c r="R143" i="1" s="1"/>
  <c r="R144" i="1" a="1"/>
  <c r="R144" i="1" s="1"/>
  <c r="R145" i="1" a="1"/>
  <c r="R145" i="1" s="1"/>
  <c r="R146" i="1" a="1"/>
  <c r="R146" i="1" s="1"/>
  <c r="R147" i="1" a="1"/>
  <c r="R147" i="1" s="1"/>
  <c r="R148" i="1" a="1"/>
  <c r="R148" i="1" s="1"/>
  <c r="R149" i="1" a="1"/>
  <c r="R149" i="1" s="1"/>
  <c r="R150" i="1" a="1"/>
  <c r="R150" i="1" s="1"/>
  <c r="R151" i="1" a="1"/>
  <c r="R151" i="1" s="1"/>
  <c r="R152" i="1" a="1"/>
  <c r="R152" i="1" s="1"/>
  <c r="R153" i="1" a="1"/>
  <c r="R153" i="1" s="1"/>
  <c r="R154" i="1" a="1"/>
  <c r="R154" i="1" s="1"/>
  <c r="R155" i="1" a="1"/>
  <c r="R155" i="1" s="1"/>
  <c r="R156" i="1" a="1"/>
  <c r="R156" i="1" s="1"/>
  <c r="R157" i="1" a="1"/>
  <c r="R157" i="1" s="1"/>
  <c r="R158" i="1" a="1"/>
  <c r="R158" i="1" s="1"/>
  <c r="R159" i="1" a="1"/>
  <c r="R159" i="1" s="1"/>
  <c r="R160" i="1" a="1"/>
  <c r="R160" i="1" s="1"/>
  <c r="R161" i="1" a="1"/>
  <c r="R161" i="1" s="1"/>
  <c r="R162" i="1" a="1"/>
  <c r="R162" i="1"/>
  <c r="R163" i="1" a="1"/>
  <c r="R163" i="1" s="1"/>
  <c r="R164" i="1" a="1"/>
  <c r="R164" i="1" s="1"/>
  <c r="R165" i="1" a="1"/>
  <c r="R165" i="1" s="1"/>
  <c r="R166" i="1" a="1"/>
  <c r="R166" i="1" s="1"/>
  <c r="R167" i="1" a="1"/>
  <c r="R167" i="1" s="1"/>
  <c r="R168" i="1" a="1"/>
  <c r="R168" i="1" s="1"/>
  <c r="R169" i="1" a="1"/>
  <c r="R169" i="1" s="1"/>
  <c r="R170" i="1" a="1"/>
  <c r="R170" i="1" s="1"/>
  <c r="R171" i="1" a="1"/>
  <c r="R171" i="1" s="1"/>
  <c r="R172" i="1" a="1"/>
  <c r="R172" i="1" s="1"/>
  <c r="R173" i="1" a="1"/>
  <c r="R173" i="1" s="1"/>
  <c r="R174" i="1" a="1"/>
  <c r="R174" i="1" s="1"/>
  <c r="R175" i="1" a="1"/>
  <c r="R175" i="1" s="1"/>
  <c r="R176" i="1" a="1"/>
  <c r="R176" i="1" s="1"/>
  <c r="R177" i="1" a="1"/>
  <c r="R177" i="1" s="1"/>
  <c r="R178" i="1" a="1"/>
  <c r="R178" i="1" s="1"/>
  <c r="R179" i="1" a="1"/>
  <c r="R179" i="1" s="1"/>
  <c r="R180" i="1" a="1"/>
  <c r="R180" i="1"/>
  <c r="R181" i="1" a="1"/>
  <c r="R181" i="1" s="1"/>
  <c r="R182" i="1" a="1"/>
  <c r="R182" i="1" s="1"/>
  <c r="R183" i="1" a="1"/>
  <c r="R183" i="1" s="1"/>
  <c r="R184" i="1" a="1"/>
  <c r="R184" i="1" s="1"/>
  <c r="R185" i="1" a="1"/>
  <c r="R185" i="1" s="1"/>
  <c r="R186" i="1" a="1"/>
  <c r="R186" i="1" s="1"/>
  <c r="R187" i="1" a="1"/>
  <c r="R187" i="1" s="1"/>
  <c r="R188" i="1" a="1"/>
  <c r="R188" i="1" s="1"/>
  <c r="R189" i="1" a="1"/>
  <c r="R189" i="1" s="1"/>
  <c r="R190" i="1" a="1"/>
  <c r="R190" i="1" s="1"/>
  <c r="R191" i="1" a="1"/>
  <c r="R191" i="1" s="1"/>
  <c r="R192" i="1" a="1"/>
  <c r="R192" i="1" s="1"/>
  <c r="R193" i="1" a="1"/>
  <c r="R193" i="1" s="1"/>
  <c r="R194" i="1" a="1"/>
  <c r="R194" i="1" s="1"/>
  <c r="R195" i="1" a="1"/>
  <c r="R195" i="1" s="1"/>
  <c r="R196" i="1" a="1"/>
  <c r="R196" i="1" s="1"/>
  <c r="R197" i="1" a="1"/>
  <c r="R197" i="1" s="1"/>
  <c r="R198" i="1" a="1"/>
  <c r="R198" i="1" s="1"/>
  <c r="R199" i="1" a="1"/>
  <c r="R199" i="1" s="1"/>
  <c r="R200" i="1" a="1"/>
  <c r="R200" i="1" s="1"/>
  <c r="R201" i="1" a="1"/>
  <c r="R201" i="1" s="1"/>
  <c r="R202" i="1" a="1"/>
  <c r="R202" i="1" s="1"/>
  <c r="R203" i="1" a="1"/>
  <c r="R203" i="1" s="1"/>
  <c r="R204" i="1" a="1"/>
  <c r="R204" i="1" s="1"/>
  <c r="R205" i="1" a="1"/>
  <c r="R205" i="1" s="1"/>
  <c r="R206" i="1" a="1"/>
  <c r="R206" i="1" s="1"/>
  <c r="R207" i="1" a="1"/>
  <c r="R207" i="1" s="1"/>
  <c r="R208" i="1" a="1"/>
  <c r="R208" i="1" s="1"/>
  <c r="R209" i="1" a="1"/>
  <c r="R209" i="1" s="1"/>
  <c r="R210" i="1" a="1"/>
  <c r="R210" i="1" s="1"/>
  <c r="R211" i="1" a="1"/>
  <c r="R211" i="1" s="1"/>
  <c r="R212" i="1" a="1"/>
  <c r="R212" i="1"/>
  <c r="R213" i="1" a="1"/>
  <c r="R213" i="1" s="1"/>
  <c r="R214" i="1" a="1"/>
  <c r="R214" i="1"/>
  <c r="R215" i="1" a="1"/>
  <c r="R215" i="1" s="1"/>
  <c r="R216" i="1" a="1"/>
  <c r="R216" i="1" s="1"/>
  <c r="R217" i="1" a="1"/>
  <c r="R217" i="1" s="1"/>
  <c r="R218" i="1" a="1"/>
  <c r="R218" i="1" s="1"/>
  <c r="R219" i="1" a="1"/>
  <c r="R219" i="1" s="1"/>
  <c r="R220" i="1" a="1"/>
  <c r="R220" i="1" s="1"/>
  <c r="R221" i="1" a="1"/>
  <c r="R221" i="1" s="1"/>
  <c r="R222" i="1" a="1"/>
  <c r="R222" i="1" s="1"/>
  <c r="R223" i="1" a="1"/>
  <c r="R223" i="1" s="1"/>
  <c r="R224" i="1" a="1"/>
  <c r="R224" i="1" s="1"/>
  <c r="R225" i="1" a="1"/>
  <c r="R225" i="1" s="1"/>
  <c r="R226" i="1" a="1"/>
  <c r="R226" i="1" s="1"/>
  <c r="R227" i="1" a="1"/>
  <c r="R227" i="1" s="1"/>
  <c r="R228" i="1" a="1"/>
  <c r="R228" i="1"/>
  <c r="R229" i="1" a="1"/>
  <c r="R229" i="1" s="1"/>
  <c r="R230" i="1" a="1"/>
  <c r="R230" i="1" s="1"/>
  <c r="R231" i="1" a="1"/>
  <c r="R231" i="1" s="1"/>
  <c r="R232" i="1" a="1"/>
  <c r="R232" i="1" s="1"/>
  <c r="R233" i="1" a="1"/>
  <c r="R233" i="1" s="1"/>
  <c r="R234" i="1" a="1"/>
  <c r="R234" i="1" s="1"/>
  <c r="R235" i="1" a="1"/>
  <c r="R235" i="1" s="1"/>
  <c r="R236" i="1" a="1"/>
  <c r="R236" i="1" s="1"/>
  <c r="R237" i="1" a="1"/>
  <c r="R237" i="1" s="1"/>
  <c r="R238" i="1" a="1"/>
  <c r="R238" i="1" s="1"/>
  <c r="R239" i="1" a="1"/>
  <c r="R239" i="1" s="1"/>
  <c r="R240" i="1" a="1"/>
  <c r="R240" i="1" s="1"/>
  <c r="R241" i="1" a="1"/>
  <c r="R241" i="1" s="1"/>
  <c r="R242" i="1" a="1"/>
  <c r="R242" i="1" s="1"/>
  <c r="R243" i="1" a="1"/>
  <c r="R243" i="1" s="1"/>
  <c r="R244" i="1" a="1"/>
  <c r="R244" i="1" s="1"/>
  <c r="R245" i="1" a="1"/>
  <c r="R245" i="1" s="1"/>
  <c r="R246" i="1" a="1"/>
  <c r="R246" i="1" s="1"/>
  <c r="R247" i="1" a="1"/>
  <c r="R247" i="1" s="1"/>
  <c r="R248" i="1" a="1"/>
  <c r="R248" i="1" s="1"/>
  <c r="R249" i="1" a="1"/>
  <c r="R249" i="1" s="1"/>
  <c r="R250" i="1" a="1"/>
  <c r="R250" i="1" s="1"/>
  <c r="R251" i="1" a="1"/>
  <c r="R251" i="1" s="1"/>
  <c r="R252" i="1" a="1"/>
  <c r="R252" i="1" s="1"/>
  <c r="R253" i="1" a="1"/>
  <c r="R253" i="1" s="1"/>
  <c r="R254" i="1" a="1"/>
  <c r="R254" i="1" s="1"/>
  <c r="R255" i="1" a="1"/>
  <c r="R255" i="1" s="1"/>
  <c r="R256" i="1" a="1"/>
  <c r="R256" i="1" s="1"/>
  <c r="R257" i="1" a="1"/>
  <c r="R257" i="1" s="1"/>
  <c r="R258" i="1" a="1"/>
  <c r="R258" i="1"/>
  <c r="R259" i="1" a="1"/>
  <c r="R259" i="1" s="1"/>
  <c r="R260" i="1" a="1"/>
  <c r="R260" i="1" s="1"/>
  <c r="R261" i="1" a="1"/>
  <c r="R261" i="1" s="1"/>
  <c r="R262" i="1" a="1"/>
  <c r="R262" i="1" s="1"/>
  <c r="R263" i="1" a="1"/>
  <c r="R263" i="1" s="1"/>
  <c r="R264" i="1" a="1"/>
  <c r="R264" i="1" s="1"/>
  <c r="R265" i="1" a="1"/>
  <c r="R265" i="1" s="1"/>
  <c r="R266" i="1" a="1"/>
  <c r="R266" i="1" s="1"/>
  <c r="R267" i="1" a="1"/>
  <c r="R267" i="1" s="1"/>
  <c r="R268" i="1" a="1"/>
  <c r="R268" i="1" s="1"/>
  <c r="R269" i="1" a="1"/>
  <c r="R269" i="1" s="1"/>
  <c r="R270" i="1" a="1"/>
  <c r="R270" i="1" s="1"/>
  <c r="R271" i="1" a="1"/>
  <c r="R271" i="1" s="1"/>
  <c r="R272" i="1" a="1"/>
  <c r="R272" i="1" s="1"/>
  <c r="R273" i="1" a="1"/>
  <c r="R273" i="1" s="1"/>
  <c r="R274" i="1" a="1"/>
  <c r="R274" i="1" s="1"/>
  <c r="R275" i="1" a="1"/>
  <c r="R275" i="1" s="1"/>
  <c r="R276" i="1" a="1"/>
  <c r="R276" i="1" s="1"/>
  <c r="R277" i="1" a="1"/>
  <c r="R277" i="1" s="1"/>
  <c r="R278" i="1" a="1"/>
  <c r="R278" i="1" s="1"/>
  <c r="R279" i="1" a="1"/>
  <c r="R279" i="1" s="1"/>
  <c r="R280" i="1" a="1"/>
  <c r="R280" i="1" s="1"/>
  <c r="R281" i="1" a="1"/>
  <c r="R281" i="1" s="1"/>
  <c r="R282" i="1" a="1"/>
  <c r="R282" i="1" s="1"/>
  <c r="R283" i="1" a="1"/>
  <c r="R283" i="1" s="1"/>
  <c r="R284" i="1" a="1"/>
  <c r="R284" i="1" s="1"/>
  <c r="R285" i="1" a="1"/>
  <c r="R285" i="1" s="1"/>
  <c r="R286" i="1" a="1"/>
  <c r="R286" i="1" s="1"/>
  <c r="R287" i="1" a="1"/>
  <c r="R287" i="1" s="1"/>
  <c r="R288" i="1" a="1"/>
  <c r="R288" i="1" s="1"/>
  <c r="R289" i="1" a="1"/>
  <c r="R289" i="1" s="1"/>
  <c r="R290" i="1" a="1"/>
  <c r="R290" i="1" s="1"/>
  <c r="R291" i="1" a="1"/>
  <c r="R291" i="1" s="1"/>
  <c r="R292" i="1" a="1"/>
  <c r="R292" i="1"/>
  <c r="R293" i="1" a="1"/>
  <c r="R293" i="1" s="1"/>
  <c r="R294" i="1" a="1"/>
  <c r="R294" i="1" s="1"/>
  <c r="R295" i="1" a="1"/>
  <c r="R295" i="1" s="1"/>
  <c r="R296" i="1" a="1"/>
  <c r="R296" i="1" s="1"/>
  <c r="R297" i="1" a="1"/>
  <c r="R297" i="1" s="1"/>
  <c r="R298" i="1" a="1"/>
  <c r="R298" i="1" s="1"/>
  <c r="R299" i="1" a="1"/>
  <c r="R299" i="1" s="1"/>
  <c r="R300" i="1" a="1"/>
  <c r="R300" i="1" s="1"/>
  <c r="R301" i="1" a="1"/>
  <c r="R301" i="1" s="1"/>
  <c r="R302" i="1" a="1"/>
  <c r="R302" i="1" s="1"/>
  <c r="R303" i="1" a="1"/>
  <c r="R303" i="1" s="1"/>
  <c r="R304" i="1" a="1"/>
  <c r="R304" i="1" s="1"/>
  <c r="R305" i="1" a="1"/>
  <c r="R305" i="1" s="1"/>
  <c r="R306" i="1" a="1"/>
  <c r="R306" i="1" s="1"/>
  <c r="R307" i="1" a="1"/>
  <c r="R307" i="1" s="1"/>
  <c r="R308" i="1" a="1"/>
  <c r="R308" i="1" s="1"/>
  <c r="R309" i="1" a="1"/>
  <c r="R309" i="1" s="1"/>
  <c r="R310" i="1" a="1"/>
  <c r="R310" i="1" s="1"/>
  <c r="R311" i="1" a="1"/>
  <c r="R311" i="1" s="1"/>
  <c r="R312" i="1" a="1"/>
  <c r="R312" i="1" s="1"/>
  <c r="R313" i="1" a="1"/>
  <c r="R313" i="1" s="1"/>
  <c r="R314" i="1" a="1"/>
  <c r="R314" i="1"/>
  <c r="R315" i="1" a="1"/>
  <c r="R315" i="1" s="1"/>
  <c r="R316" i="1" a="1"/>
  <c r="R316" i="1" s="1"/>
  <c r="R317" i="1" a="1"/>
  <c r="R317" i="1" s="1"/>
  <c r="R318" i="1" a="1"/>
  <c r="R318" i="1" s="1"/>
  <c r="R319" i="1" a="1"/>
  <c r="R319" i="1" s="1"/>
  <c r="R320" i="1" a="1"/>
  <c r="R320" i="1" s="1"/>
  <c r="R321" i="1" a="1"/>
  <c r="R321" i="1" s="1"/>
  <c r="R322" i="1" a="1"/>
  <c r="R322" i="1" s="1"/>
  <c r="R323" i="1" a="1"/>
  <c r="R323" i="1" s="1"/>
  <c r="R324" i="1" a="1"/>
  <c r="R324" i="1" s="1"/>
  <c r="R325" i="1" a="1"/>
  <c r="R325" i="1" s="1"/>
  <c r="R326" i="1" a="1"/>
  <c r="R326" i="1" s="1"/>
  <c r="R327" i="1" a="1"/>
  <c r="R327" i="1" s="1"/>
  <c r="R328" i="1" a="1"/>
  <c r="R328" i="1" s="1"/>
  <c r="R329" i="1" a="1"/>
  <c r="R329" i="1" s="1"/>
  <c r="R330" i="1" a="1"/>
  <c r="R330" i="1" s="1"/>
  <c r="R331" i="1" a="1"/>
  <c r="R331" i="1" s="1"/>
  <c r="R332" i="1" a="1"/>
  <c r="R332" i="1"/>
  <c r="R333" i="1" a="1"/>
  <c r="R333" i="1" s="1"/>
  <c r="R334" i="1" a="1"/>
  <c r="R334" i="1" s="1"/>
  <c r="R335" i="1" a="1"/>
  <c r="R335" i="1" s="1"/>
  <c r="R336" i="1" a="1"/>
  <c r="R336" i="1" s="1"/>
  <c r="R337" i="1" a="1"/>
  <c r="R337" i="1" s="1"/>
  <c r="R338" i="1" a="1"/>
  <c r="R338" i="1" s="1"/>
  <c r="R339" i="1" a="1"/>
  <c r="R339" i="1" s="1"/>
  <c r="R340" i="1" a="1"/>
  <c r="R340" i="1" s="1"/>
  <c r="R341" i="1" a="1"/>
  <c r="R341" i="1" s="1"/>
  <c r="R342" i="1" a="1"/>
  <c r="R342" i="1" s="1"/>
  <c r="R343" i="1" a="1"/>
  <c r="R343" i="1" s="1"/>
  <c r="R344" i="1" a="1"/>
  <c r="R344" i="1" s="1"/>
  <c r="R345" i="1" a="1"/>
  <c r="R345" i="1" s="1"/>
  <c r="R346" i="1" a="1"/>
  <c r="R346" i="1" s="1"/>
  <c r="R347" i="1" a="1"/>
  <c r="R347" i="1" s="1"/>
  <c r="R348" i="1" a="1"/>
  <c r="R348" i="1" s="1"/>
  <c r="R349" i="1" a="1"/>
  <c r="R349" i="1" s="1"/>
  <c r="R350" i="1" a="1"/>
  <c r="R350" i="1" s="1"/>
  <c r="R351" i="1" a="1"/>
  <c r="R351" i="1" s="1"/>
  <c r="R352" i="1" a="1"/>
  <c r="R352" i="1" s="1"/>
  <c r="R353" i="1" a="1"/>
  <c r="R353" i="1" s="1"/>
  <c r="R354" i="1" a="1"/>
  <c r="R354" i="1" s="1"/>
  <c r="R355" i="1" a="1"/>
  <c r="R355" i="1" s="1"/>
  <c r="R356" i="1" a="1"/>
  <c r="R356" i="1" s="1"/>
  <c r="R357" i="1" a="1"/>
  <c r="R357" i="1" s="1"/>
  <c r="R358" i="1" a="1"/>
  <c r="R358" i="1" s="1"/>
  <c r="R359" i="1" a="1"/>
  <c r="R359" i="1" s="1"/>
  <c r="R360" i="1" a="1"/>
  <c r="R360" i="1" s="1"/>
  <c r="R361" i="1" a="1"/>
  <c r="R361" i="1" s="1"/>
  <c r="R362" i="1" a="1"/>
  <c r="R362" i="1" s="1"/>
  <c r="R363" i="1" a="1"/>
  <c r="R363" i="1" s="1"/>
  <c r="R364" i="1" a="1"/>
  <c r="R364" i="1" s="1"/>
  <c r="R365" i="1" a="1"/>
  <c r="R365" i="1" s="1"/>
  <c r="R366" i="1" a="1"/>
  <c r="R366" i="1" s="1"/>
  <c r="R367" i="1" a="1"/>
  <c r="R367" i="1" s="1"/>
  <c r="R368" i="1" a="1"/>
  <c r="R368" i="1"/>
  <c r="R369" i="1" a="1"/>
  <c r="R369" i="1" s="1"/>
  <c r="R370" i="1" a="1"/>
  <c r="R370" i="1" s="1"/>
  <c r="R371" i="1" a="1"/>
  <c r="R371" i="1" s="1"/>
  <c r="R372" i="1" a="1"/>
  <c r="R372" i="1" s="1"/>
  <c r="R373" i="1" a="1"/>
  <c r="R373" i="1" s="1"/>
  <c r="R374" i="1" a="1"/>
  <c r="R374" i="1"/>
  <c r="R375" i="1" a="1"/>
  <c r="R375" i="1" s="1"/>
  <c r="R376" i="1" a="1"/>
  <c r="R376" i="1"/>
  <c r="R377" i="1" a="1"/>
  <c r="R377" i="1" s="1"/>
  <c r="R378" i="1" a="1"/>
  <c r="R378" i="1" s="1"/>
  <c r="R379" i="1" a="1"/>
  <c r="R379" i="1" s="1"/>
  <c r="R380" i="1" a="1"/>
  <c r="R380" i="1" s="1"/>
  <c r="R381" i="1" a="1"/>
  <c r="R381" i="1" s="1"/>
  <c r="R382" i="1" a="1"/>
  <c r="R382" i="1" s="1"/>
  <c r="R383" i="1" a="1"/>
  <c r="R383" i="1" s="1"/>
  <c r="R384" i="1" a="1"/>
  <c r="R384" i="1"/>
  <c r="R385" i="1" a="1"/>
  <c r="R385" i="1" s="1"/>
  <c r="R386" i="1" a="1"/>
  <c r="R386" i="1" s="1"/>
  <c r="R387" i="1" a="1"/>
  <c r="R387" i="1" s="1"/>
  <c r="R388" i="1" a="1"/>
  <c r="R388" i="1" s="1"/>
  <c r="R389" i="1" a="1"/>
  <c r="R389" i="1" s="1"/>
  <c r="R390" i="1" a="1"/>
  <c r="R390" i="1"/>
  <c r="R391" i="1" a="1"/>
  <c r="R391" i="1" s="1"/>
  <c r="R392" i="1" a="1"/>
  <c r="R392" i="1" s="1"/>
  <c r="R393" i="1" a="1"/>
  <c r="R393" i="1" s="1"/>
  <c r="R394" i="1" a="1"/>
  <c r="R394" i="1" s="1"/>
  <c r="R395" i="1" a="1"/>
  <c r="R395" i="1" s="1"/>
  <c r="R396" i="1" a="1"/>
  <c r="R396" i="1" s="1"/>
  <c r="R397" i="1" a="1"/>
  <c r="R397" i="1" s="1"/>
  <c r="R398" i="1" a="1"/>
  <c r="R398" i="1" s="1"/>
  <c r="R399" i="1" a="1"/>
  <c r="R399" i="1" s="1"/>
  <c r="R400" i="1" a="1"/>
  <c r="R400" i="1" s="1"/>
  <c r="R401" i="1" a="1"/>
  <c r="R401" i="1" s="1"/>
  <c r="R402" i="1" a="1"/>
  <c r="R402" i="1" s="1"/>
  <c r="R403" i="1" a="1"/>
  <c r="R403" i="1" s="1"/>
  <c r="R404" i="1" a="1"/>
  <c r="R404" i="1" s="1"/>
  <c r="R405" i="1" a="1"/>
  <c r="R405" i="1" s="1"/>
  <c r="R406" i="1" a="1"/>
  <c r="R406" i="1" s="1"/>
  <c r="R407" i="1" a="1"/>
  <c r="R407" i="1" s="1"/>
  <c r="R408" i="1" a="1"/>
  <c r="R408" i="1"/>
  <c r="R409" i="1" a="1"/>
  <c r="R409" i="1" s="1"/>
  <c r="R410" i="1" a="1"/>
  <c r="R410" i="1" s="1"/>
  <c r="R411" i="1" a="1"/>
  <c r="R411" i="1" s="1"/>
  <c r="R412" i="1" a="1"/>
  <c r="R412" i="1" s="1"/>
  <c r="R413" i="1" a="1"/>
  <c r="R413" i="1" s="1"/>
  <c r="R414" i="1" a="1"/>
  <c r="R414" i="1" s="1"/>
  <c r="R415" i="1" a="1"/>
  <c r="R415" i="1" s="1"/>
  <c r="R416" i="1" a="1"/>
  <c r="R416" i="1" s="1"/>
  <c r="R417" i="1" a="1"/>
  <c r="R417" i="1" s="1"/>
  <c r="R418" i="1" a="1"/>
  <c r="R418" i="1" s="1"/>
  <c r="R419" i="1" a="1"/>
  <c r="R419" i="1" s="1"/>
  <c r="R420" i="1" a="1"/>
  <c r="R420" i="1" s="1"/>
  <c r="R421" i="1" a="1"/>
  <c r="R421" i="1" s="1"/>
  <c r="R422" i="1" a="1"/>
  <c r="R422" i="1" s="1"/>
  <c r="R423" i="1" a="1"/>
  <c r="R423" i="1"/>
  <c r="R424" i="1" a="1"/>
  <c r="R424" i="1" s="1"/>
  <c r="R425" i="1" a="1"/>
  <c r="R425" i="1" s="1"/>
  <c r="R426" i="1" a="1"/>
  <c r="R426" i="1" s="1"/>
  <c r="R427" i="1" a="1"/>
  <c r="R427" i="1" s="1"/>
  <c r="R428" i="1" a="1"/>
  <c r="R428" i="1" s="1"/>
  <c r="R429" i="1" a="1"/>
  <c r="R429" i="1" s="1"/>
  <c r="R430" i="1" a="1"/>
  <c r="R430" i="1" s="1"/>
  <c r="R431" i="1" a="1"/>
  <c r="R431" i="1" s="1"/>
  <c r="R432" i="1" a="1"/>
  <c r="R432" i="1" s="1"/>
  <c r="R433" i="1" a="1"/>
  <c r="R433" i="1" s="1"/>
  <c r="R434" i="1" a="1"/>
  <c r="R434" i="1" s="1"/>
  <c r="R435" i="1" a="1"/>
  <c r="R435" i="1" s="1"/>
  <c r="R436" i="1" a="1"/>
  <c r="R436" i="1" s="1"/>
  <c r="R437" i="1" a="1"/>
  <c r="R437" i="1" s="1"/>
  <c r="R438" i="1" a="1"/>
  <c r="R438" i="1" s="1"/>
  <c r="R439" i="1" a="1"/>
  <c r="R439" i="1" s="1"/>
  <c r="R440" i="1" a="1"/>
  <c r="R440" i="1" s="1"/>
  <c r="R441" i="1" a="1"/>
  <c r="R441" i="1" s="1"/>
  <c r="R442" i="1" a="1"/>
  <c r="R442" i="1" s="1"/>
  <c r="R443" i="1" a="1"/>
  <c r="R443" i="1" s="1"/>
  <c r="R444" i="1" a="1"/>
  <c r="R444" i="1" s="1"/>
  <c r="R445" i="1" a="1"/>
  <c r="R445" i="1" s="1"/>
  <c r="R446" i="1" a="1"/>
  <c r="R446" i="1" s="1"/>
  <c r="R447" i="1" a="1"/>
  <c r="R447" i="1" s="1"/>
  <c r="R448" i="1" a="1"/>
  <c r="R448" i="1" s="1"/>
  <c r="R449" i="1" a="1"/>
  <c r="R449" i="1" s="1"/>
  <c r="R450" i="1" a="1"/>
  <c r="R450" i="1" s="1"/>
  <c r="R451" i="1" a="1"/>
  <c r="R451" i="1"/>
  <c r="R452" i="1" a="1"/>
  <c r="R452" i="1" s="1"/>
  <c r="R453" i="1" a="1"/>
  <c r="R453" i="1" s="1"/>
  <c r="R454" i="1" a="1"/>
  <c r="R454" i="1" s="1"/>
  <c r="R455" i="1" a="1"/>
  <c r="R455" i="1" s="1"/>
  <c r="R456" i="1" a="1"/>
  <c r="R456" i="1"/>
  <c r="R457" i="1" a="1"/>
  <c r="R457" i="1" s="1"/>
  <c r="R458" i="1" a="1"/>
  <c r="R458" i="1" s="1"/>
  <c r="R459" i="1" a="1"/>
  <c r="R459" i="1" s="1"/>
  <c r="R460" i="1" a="1"/>
  <c r="R460" i="1" s="1"/>
  <c r="R461" i="1" a="1"/>
  <c r="R461" i="1" s="1"/>
  <c r="R462" i="1" a="1"/>
  <c r="R462" i="1"/>
  <c r="R463" i="1" a="1"/>
  <c r="R463" i="1" s="1"/>
  <c r="R464" i="1" a="1"/>
  <c r="R464" i="1" s="1"/>
  <c r="R465" i="1" a="1"/>
  <c r="R465" i="1" s="1"/>
  <c r="R466" i="1" a="1"/>
  <c r="R466" i="1" s="1"/>
  <c r="R467" i="1" a="1"/>
  <c r="R467" i="1" s="1"/>
  <c r="R468" i="1" a="1"/>
  <c r="R468" i="1" s="1"/>
  <c r="R469" i="1" a="1"/>
  <c r="R469" i="1" s="1"/>
  <c r="R470" i="1" a="1"/>
  <c r="R470" i="1" s="1"/>
  <c r="R471" i="1" a="1"/>
  <c r="R471" i="1"/>
  <c r="R472" i="1" a="1"/>
  <c r="R472" i="1" s="1"/>
  <c r="R473" i="1" a="1"/>
  <c r="R473" i="1" s="1"/>
  <c r="R474" i="1" a="1"/>
  <c r="R474" i="1" s="1"/>
  <c r="R475" i="1" a="1"/>
  <c r="R475" i="1" s="1"/>
  <c r="R476" i="1" a="1"/>
  <c r="R476" i="1" s="1"/>
  <c r="R477" i="1" a="1"/>
  <c r="R477" i="1" s="1"/>
  <c r="R478" i="1" a="1"/>
  <c r="R478" i="1" s="1"/>
  <c r="R479" i="1" a="1"/>
  <c r="R479" i="1" s="1"/>
  <c r="R480" i="1" a="1"/>
  <c r="R480" i="1" s="1"/>
  <c r="R481" i="1" a="1"/>
  <c r="R481" i="1" s="1"/>
  <c r="R482" i="1" a="1"/>
  <c r="R482" i="1" s="1"/>
  <c r="R483" i="1" a="1"/>
  <c r="R483" i="1" s="1"/>
  <c r="R484" i="1" a="1"/>
  <c r="R484" i="1" s="1"/>
  <c r="R485" i="1" a="1"/>
  <c r="R485" i="1" s="1"/>
  <c r="R486" i="1" a="1"/>
  <c r="R486" i="1" s="1"/>
  <c r="R487" i="1" a="1"/>
  <c r="R487" i="1"/>
  <c r="R488" i="1" a="1"/>
  <c r="R488" i="1" s="1"/>
  <c r="R489" i="1" a="1"/>
  <c r="R489" i="1" s="1"/>
  <c r="R490" i="1" a="1"/>
  <c r="R490" i="1" s="1"/>
  <c r="R491" i="1" a="1"/>
  <c r="R491" i="1"/>
  <c r="R492" i="1" a="1"/>
  <c r="R492" i="1" s="1"/>
  <c r="R493" i="1" a="1"/>
  <c r="R493" i="1" s="1"/>
  <c r="R494" i="1" a="1"/>
  <c r="R494" i="1" s="1"/>
  <c r="R495" i="1" a="1"/>
  <c r="R495" i="1" s="1"/>
  <c r="R496" i="1" a="1"/>
  <c r="R496" i="1" s="1"/>
  <c r="R497" i="1" a="1"/>
  <c r="R497" i="1" s="1"/>
  <c r="R498" i="1" a="1"/>
  <c r="R498" i="1" s="1"/>
  <c r="R499" i="1" a="1"/>
  <c r="R499" i="1" s="1"/>
  <c r="R500" i="1" a="1"/>
  <c r="R500" i="1" s="1"/>
  <c r="R501" i="1" a="1"/>
  <c r="R501" i="1" s="1"/>
  <c r="R502" i="1" a="1"/>
  <c r="R502" i="1" s="1"/>
  <c r="R503" i="1" a="1"/>
  <c r="R503" i="1"/>
  <c r="R504" i="1" a="1"/>
  <c r="R504" i="1" s="1"/>
  <c r="R505" i="1" a="1"/>
  <c r="R505" i="1" s="1"/>
  <c r="R506" i="1" a="1"/>
  <c r="R506" i="1" s="1"/>
  <c r="R507" i="1" a="1"/>
  <c r="R507" i="1" s="1"/>
  <c r="R508" i="1" a="1"/>
  <c r="R508" i="1" s="1"/>
  <c r="R509" i="1" a="1"/>
  <c r="R509" i="1" s="1"/>
  <c r="R510" i="1" a="1"/>
  <c r="R510" i="1"/>
  <c r="R511" i="1" a="1"/>
  <c r="R511" i="1"/>
  <c r="R512" i="1" a="1"/>
  <c r="R512" i="1" s="1"/>
  <c r="R513" i="1" a="1"/>
  <c r="R513" i="1" s="1"/>
  <c r="R514" i="1" a="1"/>
  <c r="R514" i="1" s="1"/>
  <c r="R515" i="1" a="1"/>
  <c r="R515" i="1" s="1"/>
  <c r="R516" i="1" a="1"/>
  <c r="R516" i="1" s="1"/>
  <c r="R517" i="1" a="1"/>
  <c r="R517" i="1" s="1"/>
  <c r="R518" i="1" a="1"/>
  <c r="R518" i="1" s="1"/>
  <c r="R519" i="1" a="1"/>
  <c r="R519" i="1"/>
  <c r="R520" i="1" a="1"/>
  <c r="R520" i="1" s="1"/>
  <c r="R521" i="1" a="1"/>
  <c r="R521" i="1" s="1"/>
  <c r="R522" i="1" a="1"/>
  <c r="R522" i="1" s="1"/>
  <c r="R523" i="1" a="1"/>
  <c r="R523" i="1" s="1"/>
  <c r="R524" i="1" a="1"/>
  <c r="R524" i="1" s="1"/>
  <c r="R525" i="1" a="1"/>
  <c r="R525" i="1" s="1"/>
  <c r="R526" i="1" a="1"/>
  <c r="R526" i="1" s="1"/>
  <c r="R527" i="1" a="1"/>
  <c r="R527" i="1" s="1"/>
  <c r="R528" i="1" a="1"/>
  <c r="R528" i="1" s="1"/>
  <c r="R529" i="1" a="1"/>
  <c r="R529" i="1" s="1"/>
  <c r="R530" i="1" a="1"/>
  <c r="R530" i="1" s="1"/>
  <c r="R531" i="1" a="1"/>
  <c r="R531" i="1" s="1"/>
  <c r="R532" i="1" a="1"/>
  <c r="R532" i="1" s="1"/>
  <c r="R533" i="1" a="1"/>
  <c r="R533" i="1" s="1"/>
  <c r="R534" i="1" a="1"/>
  <c r="R534" i="1" s="1"/>
  <c r="R535" i="1" a="1"/>
  <c r="R535" i="1" s="1"/>
  <c r="R536" i="1" a="1"/>
  <c r="R536" i="1" s="1"/>
  <c r="R537" i="1" a="1"/>
  <c r="R537" i="1" s="1"/>
  <c r="R538" i="1" a="1"/>
  <c r="R538" i="1" s="1"/>
  <c r="R539" i="1" a="1"/>
  <c r="R539" i="1" s="1"/>
  <c r="R540" i="1" a="1"/>
  <c r="R540" i="1" s="1"/>
  <c r="R541" i="1" a="1"/>
  <c r="R541" i="1" s="1"/>
  <c r="R542" i="1" a="1"/>
  <c r="R542" i="1" s="1"/>
  <c r="R543" i="1" a="1"/>
  <c r="R543" i="1"/>
  <c r="R544" i="1" a="1"/>
  <c r="R544" i="1"/>
  <c r="R545" i="1" a="1"/>
  <c r="R545" i="1" s="1"/>
  <c r="R546" i="1" a="1"/>
  <c r="R546" i="1" s="1"/>
  <c r="R547" i="1" a="1"/>
  <c r="R547" i="1" s="1"/>
  <c r="R548" i="1" a="1"/>
  <c r="R548" i="1" s="1"/>
  <c r="R549" i="1" a="1"/>
  <c r="R549" i="1" s="1"/>
  <c r="R550" i="1" a="1"/>
  <c r="R550" i="1" s="1"/>
  <c r="R551" i="1" a="1"/>
  <c r="R551" i="1" s="1"/>
  <c r="R552" i="1" a="1"/>
  <c r="R552" i="1" s="1"/>
  <c r="R553" i="1" a="1"/>
  <c r="R553" i="1" s="1"/>
  <c r="R554" i="1" a="1"/>
  <c r="R554" i="1" s="1"/>
  <c r="R555" i="1" a="1"/>
  <c r="R555" i="1" s="1"/>
  <c r="R556" i="1" a="1"/>
  <c r="R556" i="1" s="1"/>
  <c r="R557" i="1" a="1"/>
  <c r="R557" i="1" s="1"/>
  <c r="R558" i="1" a="1"/>
  <c r="R558" i="1" s="1"/>
  <c r="R559" i="1" a="1"/>
  <c r="R559" i="1" s="1"/>
  <c r="R560" i="1" a="1"/>
  <c r="R560" i="1" s="1"/>
  <c r="R561" i="1" a="1"/>
  <c r="R561" i="1" s="1"/>
  <c r="R562" i="1" a="1"/>
  <c r="R562" i="1" s="1"/>
  <c r="R563" i="1" a="1"/>
  <c r="R563" i="1" s="1"/>
  <c r="R564" i="1" a="1"/>
  <c r="R564" i="1" s="1"/>
  <c r="R565" i="1" a="1"/>
  <c r="R565" i="1" s="1"/>
  <c r="R566" i="1" a="1"/>
  <c r="R566" i="1"/>
  <c r="R567" i="1" a="1"/>
  <c r="R567" i="1" s="1"/>
  <c r="R568" i="1" a="1"/>
  <c r="R568" i="1" s="1"/>
  <c r="R569" i="1" a="1"/>
  <c r="R569" i="1" s="1"/>
  <c r="R570" i="1" a="1"/>
  <c r="R570" i="1" s="1"/>
  <c r="R571" i="1" a="1"/>
  <c r="R571" i="1" s="1"/>
  <c r="R572" i="1" a="1"/>
  <c r="R572" i="1" s="1"/>
  <c r="R573" i="1" a="1"/>
  <c r="R573" i="1" s="1"/>
  <c r="R574" i="1" a="1"/>
  <c r="R574" i="1" s="1"/>
  <c r="R575" i="1" a="1"/>
  <c r="R575" i="1" s="1"/>
  <c r="R576" i="1" a="1"/>
  <c r="R576" i="1" s="1"/>
  <c r="R577" i="1" a="1"/>
  <c r="R577" i="1" s="1"/>
  <c r="R578" i="1" a="1"/>
  <c r="R578" i="1" s="1"/>
  <c r="R579" i="1" a="1"/>
  <c r="R579" i="1" s="1"/>
  <c r="R580" i="1" a="1"/>
  <c r="R580" i="1" s="1"/>
  <c r="R581" i="1" a="1"/>
  <c r="R581" i="1" s="1"/>
  <c r="R582" i="1" a="1"/>
  <c r="R582" i="1" s="1"/>
  <c r="R583" i="1" a="1"/>
  <c r="R583" i="1" s="1"/>
  <c r="R584" i="1" a="1"/>
  <c r="R584" i="1" s="1"/>
  <c r="R585" i="1" a="1"/>
  <c r="R585" i="1" s="1"/>
  <c r="R586" i="1" a="1"/>
  <c r="R586" i="1" s="1"/>
  <c r="R587" i="1" a="1"/>
  <c r="R587" i="1" s="1"/>
  <c r="R588" i="1" a="1"/>
  <c r="R588" i="1" s="1"/>
  <c r="R589" i="1" a="1"/>
  <c r="R589" i="1" s="1"/>
  <c r="R590" i="1" a="1"/>
  <c r="R590" i="1" s="1"/>
  <c r="R591" i="1" a="1"/>
  <c r="R591" i="1" s="1"/>
  <c r="R592" i="1" a="1"/>
  <c r="R592" i="1" s="1"/>
  <c r="R593" i="1" a="1"/>
  <c r="R593" i="1" s="1"/>
  <c r="R594" i="1" a="1"/>
  <c r="R594" i="1" s="1"/>
  <c r="R595" i="1" a="1"/>
  <c r="R595" i="1" s="1"/>
  <c r="R596" i="1" a="1"/>
  <c r="R596" i="1" s="1"/>
  <c r="R597" i="1" a="1"/>
  <c r="R597" i="1" s="1"/>
  <c r="R598" i="1" a="1"/>
  <c r="R598" i="1" s="1"/>
  <c r="R599" i="1" a="1"/>
  <c r="R599" i="1" s="1"/>
  <c r="R600" i="1" a="1"/>
  <c r="R600" i="1" s="1"/>
  <c r="R601" i="1" a="1"/>
  <c r="R601" i="1" s="1"/>
  <c r="R602" i="1" a="1"/>
  <c r="R602" i="1" s="1"/>
  <c r="R603" i="1" a="1"/>
  <c r="R603" i="1" s="1"/>
  <c r="R604" i="1" a="1"/>
  <c r="R604" i="1" s="1"/>
  <c r="R605" i="1" a="1"/>
  <c r="R605" i="1" s="1"/>
  <c r="R606" i="1" a="1"/>
  <c r="R606" i="1" s="1"/>
  <c r="R607" i="1" a="1"/>
  <c r="R607" i="1" s="1"/>
  <c r="R608" i="1" a="1"/>
  <c r="R608" i="1" s="1"/>
  <c r="R609" i="1" a="1"/>
  <c r="R609" i="1" s="1"/>
  <c r="R610" i="1" a="1"/>
  <c r="R610" i="1" s="1"/>
  <c r="R611" i="1" a="1"/>
  <c r="R611" i="1" s="1"/>
  <c r="R612" i="1" a="1"/>
  <c r="R612" i="1" s="1"/>
  <c r="R613" i="1" a="1"/>
  <c r="R613" i="1" s="1"/>
  <c r="R614" i="1" a="1"/>
  <c r="R614" i="1" s="1"/>
  <c r="R615" i="1" a="1"/>
  <c r="R615" i="1" s="1"/>
  <c r="R616" i="1" a="1"/>
  <c r="R616" i="1" s="1"/>
  <c r="R617" i="1" a="1"/>
  <c r="R617" i="1" s="1"/>
  <c r="R618" i="1" a="1"/>
  <c r="R618" i="1" s="1"/>
  <c r="R619" i="1" a="1"/>
  <c r="R619" i="1" s="1"/>
  <c r="R620" i="1" a="1"/>
  <c r="R620" i="1" s="1"/>
  <c r="R621" i="1" a="1"/>
  <c r="R621" i="1" s="1"/>
  <c r="R622" i="1" a="1"/>
  <c r="R622" i="1" s="1"/>
  <c r="R623" i="1" a="1"/>
  <c r="R623" i="1" s="1"/>
  <c r="R624" i="1" a="1"/>
  <c r="R624" i="1" s="1"/>
  <c r="R625" i="1" a="1"/>
  <c r="R625" i="1" s="1"/>
  <c r="R626" i="1" a="1"/>
  <c r="R626" i="1" s="1"/>
  <c r="R627" i="1" a="1"/>
  <c r="R627" i="1" s="1"/>
  <c r="R628" i="1" a="1"/>
  <c r="R628" i="1" s="1"/>
  <c r="R629" i="1" a="1"/>
  <c r="R629" i="1" s="1"/>
  <c r="R630" i="1" a="1"/>
  <c r="R630" i="1"/>
  <c r="R631" i="1" a="1"/>
  <c r="R631" i="1" s="1"/>
  <c r="R632" i="1" a="1"/>
  <c r="R632" i="1" s="1"/>
  <c r="R633" i="1" a="1"/>
  <c r="R633" i="1" s="1"/>
  <c r="R634" i="1" a="1"/>
  <c r="R634" i="1" s="1"/>
  <c r="R635" i="1" a="1"/>
  <c r="R635" i="1" s="1"/>
  <c r="R636" i="1" a="1"/>
  <c r="R636" i="1" s="1"/>
  <c r="R637" i="1" a="1"/>
  <c r="R637" i="1" s="1"/>
  <c r="R638" i="1" a="1"/>
  <c r="R638" i="1" s="1"/>
  <c r="R639" i="1" a="1"/>
  <c r="R639" i="1" s="1"/>
  <c r="R640" i="1" a="1"/>
  <c r="R640" i="1" s="1"/>
  <c r="R641" i="1" a="1"/>
  <c r="R641" i="1" s="1"/>
  <c r="R642" i="1" a="1"/>
  <c r="R642" i="1" s="1"/>
  <c r="R643" i="1" a="1"/>
  <c r="R643" i="1" s="1"/>
  <c r="R644" i="1" a="1"/>
  <c r="R644" i="1" s="1"/>
  <c r="R645" i="1" a="1"/>
  <c r="R645" i="1" s="1"/>
  <c r="R646" i="1" a="1"/>
  <c r="R646" i="1" s="1"/>
  <c r="R647" i="1" a="1"/>
  <c r="R647" i="1" s="1"/>
  <c r="R648" i="1" a="1"/>
  <c r="R648" i="1" s="1"/>
  <c r="R649" i="1" a="1"/>
  <c r="R649" i="1" s="1"/>
  <c r="R650" i="1" a="1"/>
  <c r="R650" i="1" s="1"/>
  <c r="R651" i="1" a="1"/>
  <c r="R651" i="1" s="1"/>
  <c r="R652" i="1" a="1"/>
  <c r="R652" i="1" s="1"/>
  <c r="R653" i="1" a="1"/>
  <c r="R653" i="1" s="1"/>
  <c r="R654" i="1" a="1"/>
  <c r="R654" i="1"/>
  <c r="R655" i="1" a="1"/>
  <c r="R655" i="1" s="1"/>
  <c r="R656" i="1" a="1"/>
  <c r="R656" i="1" s="1"/>
  <c r="R657" i="1" a="1"/>
  <c r="R657" i="1" s="1"/>
  <c r="R658" i="1" a="1"/>
  <c r="R658" i="1" s="1"/>
  <c r="R659" i="1" a="1"/>
  <c r="R659" i="1" s="1"/>
  <c r="R660" i="1" a="1"/>
  <c r="R660" i="1" s="1"/>
  <c r="R661" i="1" a="1"/>
  <c r="R661" i="1" s="1"/>
  <c r="R662" i="1" a="1"/>
  <c r="R662" i="1" s="1"/>
  <c r="R663" i="1" a="1"/>
  <c r="R663" i="1" s="1"/>
  <c r="R664" i="1" a="1"/>
  <c r="R664" i="1" s="1"/>
  <c r="R665" i="1" a="1"/>
  <c r="R665" i="1" s="1"/>
  <c r="R666" i="1" a="1"/>
  <c r="R666" i="1" s="1"/>
  <c r="R667" i="1" a="1"/>
  <c r="R667" i="1" s="1"/>
  <c r="R668" i="1" a="1"/>
  <c r="R668" i="1" s="1"/>
  <c r="R669" i="1" a="1"/>
  <c r="R669" i="1" s="1"/>
  <c r="R670" i="1" a="1"/>
  <c r="R670" i="1" s="1"/>
  <c r="R671" i="1" a="1"/>
  <c r="R671" i="1" s="1"/>
  <c r="R672" i="1" a="1"/>
  <c r="R672" i="1" s="1"/>
  <c r="R673" i="1" a="1"/>
  <c r="R673" i="1" s="1"/>
  <c r="R674" i="1" a="1"/>
  <c r="R674" i="1" s="1"/>
  <c r="R675" i="1" a="1"/>
  <c r="R675" i="1" s="1"/>
  <c r="R676" i="1" a="1"/>
  <c r="R676" i="1" s="1"/>
  <c r="R677" i="1" a="1"/>
  <c r="R677" i="1" s="1"/>
  <c r="R678" i="1" a="1"/>
  <c r="R678" i="1" s="1"/>
  <c r="R679" i="1" a="1"/>
  <c r="R679" i="1" s="1"/>
  <c r="R680" i="1" a="1"/>
  <c r="R680" i="1" s="1"/>
  <c r="R681" i="1" a="1"/>
  <c r="R681" i="1" s="1"/>
  <c r="R682" i="1" a="1"/>
  <c r="R682" i="1" s="1"/>
  <c r="R683" i="1" a="1"/>
  <c r="R683" i="1" s="1"/>
  <c r="R684" i="1" a="1"/>
  <c r="R684" i="1" s="1"/>
  <c r="R685" i="1" a="1"/>
  <c r="R685" i="1" s="1"/>
  <c r="R686" i="1" a="1"/>
  <c r="R686" i="1" s="1"/>
  <c r="R687" i="1" a="1"/>
  <c r="R687" i="1" s="1"/>
  <c r="R688" i="1" a="1"/>
  <c r="R688" i="1" s="1"/>
  <c r="R689" i="1" a="1"/>
  <c r="R689" i="1" s="1"/>
  <c r="R690" i="1" a="1"/>
  <c r="R690" i="1" s="1"/>
  <c r="R691" i="1" a="1"/>
  <c r="R691" i="1" s="1"/>
  <c r="R692" i="1" a="1"/>
  <c r="R692" i="1" s="1"/>
  <c r="R693" i="1" a="1"/>
  <c r="R693" i="1" s="1"/>
  <c r="R694" i="1" a="1"/>
  <c r="R694" i="1" s="1"/>
  <c r="R695" i="1" a="1"/>
  <c r="R695" i="1" s="1"/>
  <c r="R696" i="1" a="1"/>
  <c r="R696" i="1" s="1"/>
  <c r="R697" i="1" a="1"/>
  <c r="R697" i="1" s="1"/>
  <c r="R698" i="1" a="1"/>
  <c r="R698" i="1" s="1"/>
  <c r="R699" i="1" a="1"/>
  <c r="R699" i="1" s="1"/>
  <c r="R700" i="1" a="1"/>
  <c r="R700" i="1" s="1"/>
  <c r="R701" i="1" a="1"/>
  <c r="R701" i="1" s="1"/>
  <c r="R702" i="1" a="1"/>
  <c r="R702" i="1" s="1"/>
  <c r="R703" i="1" a="1"/>
  <c r="R703" i="1" s="1"/>
  <c r="R704" i="1" a="1"/>
  <c r="R704" i="1" s="1"/>
  <c r="R705" i="1" a="1"/>
  <c r="R705" i="1" s="1"/>
  <c r="R706" i="1" a="1"/>
  <c r="R706" i="1" s="1"/>
  <c r="R707" i="1" a="1"/>
  <c r="R707" i="1" s="1"/>
  <c r="R708" i="1" a="1"/>
  <c r="R708" i="1" s="1"/>
  <c r="R709" i="1" a="1"/>
  <c r="R709" i="1" s="1"/>
  <c r="R710" i="1" a="1"/>
  <c r="R710" i="1" s="1"/>
  <c r="R711" i="1" a="1"/>
  <c r="R711" i="1" s="1"/>
  <c r="R712" i="1" a="1"/>
  <c r="R712" i="1" s="1"/>
  <c r="R713" i="1" a="1"/>
  <c r="R713" i="1" s="1"/>
  <c r="R714" i="1" a="1"/>
  <c r="R714" i="1" s="1"/>
  <c r="R715" i="1" a="1"/>
  <c r="R715" i="1" s="1"/>
  <c r="R716" i="1" a="1"/>
  <c r="R716" i="1" s="1"/>
  <c r="R717" i="1" a="1"/>
  <c r="R717" i="1" s="1"/>
  <c r="R718" i="1" a="1"/>
  <c r="R718" i="1"/>
  <c r="R719" i="1" a="1"/>
  <c r="R719" i="1" s="1"/>
  <c r="R720" i="1" a="1"/>
  <c r="R720" i="1" s="1"/>
  <c r="R721" i="1" a="1"/>
  <c r="R721" i="1" s="1"/>
  <c r="R722" i="1" a="1"/>
  <c r="R722" i="1" s="1"/>
  <c r="R723" i="1" a="1"/>
  <c r="R723" i="1" s="1"/>
  <c r="R724" i="1" a="1"/>
  <c r="R724" i="1" s="1"/>
  <c r="R725" i="1" a="1"/>
  <c r="R725" i="1" s="1"/>
  <c r="R726" i="1" a="1"/>
  <c r="R726" i="1" s="1"/>
  <c r="R727" i="1" a="1"/>
  <c r="R727" i="1" s="1"/>
  <c r="R728" i="1" a="1"/>
  <c r="R728" i="1" s="1"/>
  <c r="R729" i="1" a="1"/>
  <c r="R729" i="1" s="1"/>
  <c r="R730" i="1" a="1"/>
  <c r="R730" i="1" s="1"/>
  <c r="R731" i="1" a="1"/>
  <c r="R731" i="1" s="1"/>
  <c r="R732" i="1" a="1"/>
  <c r="R732" i="1" s="1"/>
  <c r="R733" i="1" a="1"/>
  <c r="R733" i="1" s="1"/>
  <c r="R734" i="1" a="1"/>
  <c r="R734" i="1" s="1"/>
  <c r="R735" i="1" a="1"/>
  <c r="R735" i="1" s="1"/>
  <c r="R736" i="1" a="1"/>
  <c r="R736" i="1" s="1"/>
  <c r="R737" i="1" a="1"/>
  <c r="R737" i="1" s="1"/>
  <c r="R738" i="1" a="1"/>
  <c r="R738" i="1" s="1"/>
  <c r="R739" i="1" a="1"/>
  <c r="R739" i="1" s="1"/>
  <c r="R740" i="1" a="1"/>
  <c r="R740" i="1" s="1"/>
  <c r="R741" i="1" a="1"/>
  <c r="R741" i="1" s="1"/>
  <c r="R742" i="1" a="1"/>
  <c r="R742" i="1" s="1"/>
  <c r="R743" i="1" a="1"/>
  <c r="R743" i="1" s="1"/>
  <c r="R744" i="1" a="1"/>
  <c r="R744" i="1" s="1"/>
  <c r="R745" i="1" a="1"/>
  <c r="R745" i="1" s="1"/>
  <c r="R746" i="1" a="1"/>
  <c r="R746" i="1" s="1"/>
  <c r="R747" i="1" a="1"/>
  <c r="R747" i="1" s="1"/>
  <c r="R748" i="1" a="1"/>
  <c r="R748" i="1" s="1"/>
  <c r="R749" i="1" a="1"/>
  <c r="R749" i="1" s="1"/>
  <c r="R750" i="1" a="1"/>
  <c r="R750" i="1" s="1"/>
  <c r="R751" i="1" a="1"/>
  <c r="R751" i="1" s="1"/>
  <c r="R752" i="1" a="1"/>
  <c r="R752" i="1" s="1"/>
  <c r="R753" i="1" a="1"/>
  <c r="R753" i="1" s="1"/>
  <c r="R754" i="1" a="1"/>
  <c r="R754" i="1" s="1"/>
  <c r="R755" i="1" a="1"/>
  <c r="R755" i="1" s="1"/>
  <c r="R756" i="1" a="1"/>
  <c r="R756" i="1" s="1"/>
  <c r="R757" i="1" a="1"/>
  <c r="R757" i="1" s="1"/>
  <c r="R758" i="1" a="1"/>
  <c r="R758" i="1" s="1"/>
  <c r="R759" i="1" a="1"/>
  <c r="R759" i="1" s="1"/>
  <c r="R760" i="1" a="1"/>
  <c r="R760" i="1" s="1"/>
  <c r="R761" i="1" a="1"/>
  <c r="R761" i="1" s="1"/>
  <c r="R762" i="1" a="1"/>
  <c r="R762" i="1" s="1"/>
  <c r="R763" i="1" a="1"/>
  <c r="R763" i="1" s="1"/>
  <c r="R764" i="1" a="1"/>
  <c r="R764" i="1" s="1"/>
  <c r="R765" i="1" a="1"/>
  <c r="R765" i="1" s="1"/>
  <c r="R766" i="1" a="1"/>
  <c r="R766" i="1" s="1"/>
  <c r="R767" i="1" a="1"/>
  <c r="R767" i="1" s="1"/>
  <c r="R768" i="1" a="1"/>
  <c r="R768" i="1" s="1"/>
  <c r="R769" i="1" a="1"/>
  <c r="R769" i="1" s="1"/>
  <c r="R770" i="1" a="1"/>
  <c r="R770" i="1" s="1"/>
  <c r="R771" i="1" a="1"/>
  <c r="R771" i="1" s="1"/>
  <c r="R772" i="1" a="1"/>
  <c r="R772" i="1" s="1"/>
  <c r="R773" i="1" a="1"/>
  <c r="R773" i="1" s="1"/>
  <c r="R774" i="1" a="1"/>
  <c r="R774" i="1" s="1"/>
  <c r="R775" i="1" a="1"/>
  <c r="R775" i="1" s="1"/>
  <c r="R776" i="1" a="1"/>
  <c r="R776" i="1" s="1"/>
  <c r="R777" i="1" a="1"/>
  <c r="R777" i="1" s="1"/>
  <c r="R778" i="1" a="1"/>
  <c r="R778" i="1" s="1"/>
  <c r="R779" i="1" a="1"/>
  <c r="R779" i="1" s="1"/>
  <c r="R780" i="1" a="1"/>
  <c r="R780" i="1" s="1"/>
  <c r="R781" i="1" a="1"/>
  <c r="R781" i="1" s="1"/>
  <c r="R782" i="1" a="1"/>
  <c r="R782" i="1" s="1"/>
  <c r="R783" i="1" a="1"/>
  <c r="R783" i="1" s="1"/>
  <c r="R784" i="1" a="1"/>
  <c r="R784" i="1" s="1"/>
  <c r="R785" i="1" a="1"/>
  <c r="R785" i="1" s="1"/>
  <c r="R786" i="1" a="1"/>
  <c r="R786" i="1" s="1"/>
  <c r="R787" i="1" a="1"/>
  <c r="R787" i="1" s="1"/>
  <c r="R788" i="1" a="1"/>
  <c r="R788" i="1" s="1"/>
  <c r="R789" i="1" a="1"/>
  <c r="R789" i="1" s="1"/>
  <c r="R790" i="1" a="1"/>
  <c r="R790" i="1" s="1"/>
  <c r="R791" i="1" a="1"/>
  <c r="R791" i="1" s="1"/>
  <c r="R792" i="1" a="1"/>
  <c r="R792" i="1" s="1"/>
  <c r="R793" i="1" a="1"/>
  <c r="R793" i="1" s="1"/>
  <c r="R794" i="1" a="1"/>
  <c r="R794" i="1" s="1"/>
  <c r="R795" i="1" a="1"/>
  <c r="R795" i="1" s="1"/>
  <c r="R796" i="1" a="1"/>
  <c r="R796" i="1" s="1"/>
  <c r="R797" i="1" a="1"/>
  <c r="R797" i="1" s="1"/>
  <c r="R798" i="1" a="1"/>
  <c r="R798" i="1" s="1"/>
  <c r="R799" i="1" a="1"/>
  <c r="R799" i="1" s="1"/>
  <c r="R800" i="1" a="1"/>
  <c r="R800" i="1" s="1"/>
  <c r="R801" i="1" a="1"/>
  <c r="R801" i="1" s="1"/>
  <c r="R802" i="1" a="1"/>
  <c r="R802" i="1" s="1"/>
  <c r="R803" i="1" a="1"/>
  <c r="R803" i="1" s="1"/>
  <c r="R804" i="1" a="1"/>
  <c r="R804" i="1" s="1"/>
  <c r="R805" i="1" a="1"/>
  <c r="R805" i="1" s="1"/>
  <c r="R806" i="1" a="1"/>
  <c r="R806" i="1" s="1"/>
  <c r="R807" i="1" a="1"/>
  <c r="R807" i="1" s="1"/>
  <c r="R808" i="1" a="1"/>
  <c r="R808" i="1" s="1"/>
  <c r="R809" i="1" a="1"/>
  <c r="R809" i="1" s="1"/>
  <c r="R810" i="1" a="1"/>
  <c r="R810" i="1"/>
  <c r="R811" i="1" a="1"/>
  <c r="R811" i="1" s="1"/>
  <c r="R812" i="1" a="1"/>
  <c r="R812" i="1" s="1"/>
  <c r="R813" i="1" a="1"/>
  <c r="R813" i="1" s="1"/>
  <c r="R814" i="1" a="1"/>
  <c r="R814" i="1" s="1"/>
  <c r="R815" i="1" a="1"/>
  <c r="R815" i="1" s="1"/>
  <c r="R816" i="1" a="1"/>
  <c r="R816" i="1" s="1"/>
  <c r="R817" i="1" a="1"/>
  <c r="R817" i="1"/>
  <c r="R818" i="1" a="1"/>
  <c r="R818" i="1" s="1"/>
  <c r="R819" i="1" a="1"/>
  <c r="R819" i="1" s="1"/>
  <c r="R820" i="1" a="1"/>
  <c r="R820" i="1" s="1"/>
  <c r="R821" i="1" a="1"/>
  <c r="R821" i="1" s="1"/>
  <c r="R822" i="1" a="1"/>
  <c r="R822" i="1" s="1"/>
  <c r="R823" i="1" a="1"/>
  <c r="R823" i="1" s="1"/>
  <c r="R824" i="1" a="1"/>
  <c r="R824" i="1" s="1"/>
  <c r="R825" i="1" a="1"/>
  <c r="R825" i="1" s="1"/>
  <c r="R826" i="1" a="1"/>
  <c r="R826" i="1" s="1"/>
  <c r="R827" i="1" a="1"/>
  <c r="R827" i="1" s="1"/>
  <c r="R828" i="1" a="1"/>
  <c r="R828" i="1" s="1"/>
  <c r="R829" i="1" a="1"/>
  <c r="R829" i="1" s="1"/>
  <c r="R830" i="1" a="1"/>
  <c r="R830" i="1" s="1"/>
  <c r="R831" i="1" a="1"/>
  <c r="R831" i="1" s="1"/>
  <c r="R832" i="1" a="1"/>
  <c r="R832" i="1" s="1"/>
  <c r="R833" i="1" a="1"/>
  <c r="R833" i="1" s="1"/>
  <c r="R834" i="1" a="1"/>
  <c r="R834" i="1" s="1"/>
  <c r="R835" i="1" a="1"/>
  <c r="R835" i="1" s="1"/>
  <c r="R836" i="1" a="1"/>
  <c r="R836" i="1" s="1"/>
  <c r="R837" i="1" a="1"/>
  <c r="R837" i="1" s="1"/>
  <c r="R838" i="1" a="1"/>
  <c r="R838" i="1" s="1"/>
  <c r="R839" i="1" a="1"/>
  <c r="R839" i="1" s="1"/>
  <c r="R840" i="1" a="1"/>
  <c r="R840" i="1" s="1"/>
  <c r="R841" i="1" a="1"/>
  <c r="R841" i="1" s="1"/>
  <c r="R842" i="1" a="1"/>
  <c r="R842" i="1" s="1"/>
  <c r="R843" i="1" a="1"/>
  <c r="R843" i="1" s="1"/>
  <c r="R844" i="1" a="1"/>
  <c r="R844" i="1" s="1"/>
  <c r="R845" i="1" a="1"/>
  <c r="R845" i="1" s="1"/>
  <c r="R846" i="1" a="1"/>
  <c r="R846" i="1" s="1"/>
  <c r="R847" i="1" a="1"/>
  <c r="R847" i="1" s="1"/>
  <c r="R848" i="1" a="1"/>
  <c r="R848" i="1" s="1"/>
  <c r="R849" i="1" a="1"/>
  <c r="R849" i="1" s="1"/>
  <c r="R850" i="1" a="1"/>
  <c r="R850" i="1" s="1"/>
  <c r="R851" i="1" a="1"/>
  <c r="R851" i="1" s="1"/>
  <c r="R852" i="1" a="1"/>
  <c r="R852" i="1" s="1"/>
  <c r="R853" i="1" a="1"/>
  <c r="R853" i="1" s="1"/>
  <c r="R854" i="1" a="1"/>
  <c r="R854" i="1" s="1"/>
  <c r="R855" i="1" a="1"/>
  <c r="R855" i="1" s="1"/>
  <c r="R856" i="1" a="1"/>
  <c r="R856" i="1" s="1"/>
  <c r="R857" i="1" a="1"/>
  <c r="R857" i="1" s="1"/>
  <c r="R858" i="1" a="1"/>
  <c r="R858" i="1" s="1"/>
  <c r="R859" i="1" a="1"/>
  <c r="R859" i="1" s="1"/>
  <c r="R860" i="1" a="1"/>
  <c r="R860" i="1" s="1"/>
  <c r="R861" i="1" a="1"/>
  <c r="R861" i="1" s="1"/>
  <c r="R862" i="1" a="1"/>
  <c r="R862" i="1" s="1"/>
  <c r="R863" i="1" a="1"/>
  <c r="R863" i="1" s="1"/>
  <c r="R864" i="1" a="1"/>
  <c r="R864" i="1" s="1"/>
  <c r="R865" i="1" a="1"/>
  <c r="R865" i="1" s="1"/>
  <c r="R866" i="1" a="1"/>
  <c r="R866" i="1"/>
  <c r="R867" i="1" a="1"/>
  <c r="R867" i="1" s="1"/>
  <c r="R868" i="1" a="1"/>
  <c r="R868" i="1" s="1"/>
  <c r="R869" i="1" a="1"/>
  <c r="R869" i="1" s="1"/>
  <c r="R870" i="1" a="1"/>
  <c r="R870" i="1" s="1"/>
  <c r="R871" i="1" a="1"/>
  <c r="R871" i="1" s="1"/>
  <c r="R872" i="1" a="1"/>
  <c r="R872" i="1" s="1"/>
  <c r="R873" i="1" a="1"/>
  <c r="R873" i="1" s="1"/>
  <c r="R874" i="1" a="1"/>
  <c r="R874" i="1" s="1"/>
  <c r="R875" i="1" a="1"/>
  <c r="R875" i="1"/>
  <c r="R876" i="1" a="1"/>
  <c r="R876" i="1" s="1"/>
  <c r="R877" i="1" a="1"/>
  <c r="R877" i="1"/>
  <c r="R878" i="1" a="1"/>
  <c r="R878" i="1"/>
  <c r="R879" i="1" a="1"/>
  <c r="R879" i="1" s="1"/>
  <c r="R880" i="1" a="1"/>
  <c r="R880" i="1" s="1"/>
  <c r="R881" i="1" a="1"/>
  <c r="R881" i="1" s="1"/>
  <c r="R882" i="1" a="1"/>
  <c r="R882" i="1" s="1"/>
  <c r="R883" i="1" a="1"/>
  <c r="R883" i="1" s="1"/>
  <c r="R884" i="1" a="1"/>
  <c r="R884" i="1" s="1"/>
  <c r="R885" i="1" a="1"/>
  <c r="R885" i="1" s="1"/>
  <c r="R886" i="1" a="1"/>
  <c r="R886" i="1" s="1"/>
  <c r="R887" i="1" a="1"/>
  <c r="R887" i="1"/>
  <c r="R888" i="1" a="1"/>
  <c r="R888" i="1" s="1"/>
  <c r="R889" i="1" a="1"/>
  <c r="R889" i="1" s="1"/>
  <c r="R890" i="1" a="1"/>
  <c r="R890" i="1" s="1"/>
  <c r="R891" i="1" a="1"/>
  <c r="R891" i="1" s="1"/>
  <c r="R892" i="1" a="1"/>
  <c r="R892" i="1" s="1"/>
  <c r="R893" i="1" a="1"/>
  <c r="R893" i="1" s="1"/>
  <c r="R894" i="1" a="1"/>
  <c r="R894" i="1" s="1"/>
  <c r="R895" i="1" a="1"/>
  <c r="R895" i="1" s="1"/>
  <c r="R896" i="1" a="1"/>
  <c r="R896" i="1" s="1"/>
  <c r="R897" i="1" a="1"/>
  <c r="R897" i="1" s="1"/>
  <c r="R898" i="1" a="1"/>
  <c r="R898" i="1" s="1"/>
  <c r="R899" i="1" a="1"/>
  <c r="R899" i="1" s="1"/>
  <c r="R900" i="1" a="1"/>
  <c r="R900" i="1" s="1"/>
  <c r="R901" i="1" a="1"/>
  <c r="R901" i="1" s="1"/>
  <c r="R902" i="1" a="1"/>
  <c r="R902" i="1" s="1"/>
  <c r="R903" i="1" a="1"/>
  <c r="R903" i="1" s="1"/>
  <c r="R904" i="1" a="1"/>
  <c r="R904" i="1" s="1"/>
  <c r="R905" i="1" a="1"/>
  <c r="R905" i="1"/>
  <c r="R906" i="1" a="1"/>
  <c r="R906" i="1" s="1"/>
  <c r="R907" i="1" a="1"/>
  <c r="R907" i="1" s="1"/>
  <c r="R908" i="1" a="1"/>
  <c r="R908" i="1" s="1"/>
  <c r="R909" i="1" a="1"/>
  <c r="R909" i="1" s="1"/>
  <c r="R910" i="1" a="1"/>
  <c r="R910" i="1" s="1"/>
  <c r="R911" i="1" a="1"/>
  <c r="R911" i="1" s="1"/>
  <c r="R912" i="1" a="1"/>
  <c r="R912" i="1" s="1"/>
  <c r="R913" i="1" a="1"/>
  <c r="R913" i="1" s="1"/>
  <c r="R914" i="1" a="1"/>
  <c r="R914" i="1" s="1"/>
  <c r="R915" i="1" a="1"/>
  <c r="R915" i="1" s="1"/>
  <c r="R916" i="1" a="1"/>
  <c r="R916" i="1" s="1"/>
  <c r="R917" i="1" a="1"/>
  <c r="R917" i="1" s="1"/>
  <c r="R918" i="1" a="1"/>
  <c r="R918" i="1" s="1"/>
  <c r="R919" i="1" a="1"/>
  <c r="R919" i="1" s="1"/>
  <c r="R920" i="1" a="1"/>
  <c r="R920" i="1" s="1"/>
  <c r="R921" i="1" a="1"/>
  <c r="R921" i="1" s="1"/>
  <c r="R922" i="1" a="1"/>
  <c r="R922" i="1" s="1"/>
  <c r="R923" i="1" a="1"/>
  <c r="R923" i="1" s="1"/>
  <c r="R924" i="1" a="1"/>
  <c r="R924" i="1" s="1"/>
  <c r="R925" i="1" a="1"/>
  <c r="R925" i="1" s="1"/>
  <c r="R926" i="1" a="1"/>
  <c r="R926" i="1" s="1"/>
  <c r="R927" i="1" a="1"/>
  <c r="R927" i="1" s="1"/>
  <c r="R928" i="1" a="1"/>
  <c r="R928" i="1" s="1"/>
  <c r="R929" i="1" a="1"/>
  <c r="R929" i="1" s="1"/>
  <c r="R930" i="1" a="1"/>
  <c r="R930" i="1" s="1"/>
  <c r="R931" i="1" a="1"/>
  <c r="R931" i="1" s="1"/>
  <c r="R932" i="1" a="1"/>
  <c r="R932" i="1"/>
  <c r="R933" i="1" a="1"/>
  <c r="R933" i="1" s="1"/>
  <c r="R934" i="1" a="1"/>
  <c r="R934" i="1" s="1"/>
  <c r="R935" i="1" a="1"/>
  <c r="R935" i="1" s="1"/>
  <c r="R936" i="1" a="1"/>
  <c r="R936" i="1" s="1"/>
  <c r="R937" i="1" a="1"/>
  <c r="R937" i="1" s="1"/>
  <c r="R938" i="1" a="1"/>
  <c r="R938" i="1" s="1"/>
  <c r="R939" i="1" a="1"/>
  <c r="R939" i="1" s="1"/>
  <c r="R940" i="1" a="1"/>
  <c r="R940" i="1" s="1"/>
  <c r="R941" i="1" a="1"/>
  <c r="R941" i="1" s="1"/>
  <c r="R942" i="1" a="1"/>
  <c r="R942" i="1" s="1"/>
  <c r="R943" i="1" a="1"/>
  <c r="R943" i="1" s="1"/>
  <c r="R944" i="1" a="1"/>
  <c r="R944" i="1" s="1"/>
  <c r="R945" i="1" a="1"/>
  <c r="R945" i="1"/>
  <c r="R946" i="1" a="1"/>
  <c r="R946" i="1" s="1"/>
  <c r="R947" i="1" a="1"/>
  <c r="R947" i="1" s="1"/>
  <c r="R948" i="1" a="1"/>
  <c r="R948" i="1" s="1"/>
  <c r="R949" i="1" a="1"/>
  <c r="R949" i="1" s="1"/>
  <c r="R950" i="1" a="1"/>
  <c r="R950" i="1" s="1"/>
  <c r="R951" i="1" a="1"/>
  <c r="R951" i="1" s="1"/>
  <c r="R952" i="1" a="1"/>
  <c r="R952" i="1" s="1"/>
  <c r="R953" i="1" a="1"/>
  <c r="R953" i="1" s="1"/>
  <c r="R954" i="1" a="1"/>
  <c r="R954" i="1" s="1"/>
  <c r="R955" i="1" a="1"/>
  <c r="R955" i="1" s="1"/>
  <c r="R956" i="1" a="1"/>
  <c r="R956" i="1" s="1"/>
  <c r="R957" i="1" a="1"/>
  <c r="R957" i="1" s="1"/>
  <c r="R958" i="1" a="1"/>
  <c r="R958" i="1" s="1"/>
  <c r="R959" i="1" a="1"/>
  <c r="R959" i="1" s="1"/>
  <c r="R960" i="1" a="1"/>
  <c r="R960" i="1" s="1"/>
  <c r="R961" i="1" a="1"/>
  <c r="R961" i="1" s="1"/>
  <c r="R962" i="1" a="1"/>
  <c r="R962" i="1" s="1"/>
  <c r="R963" i="1" a="1"/>
  <c r="R963" i="1" s="1"/>
  <c r="R964" i="1" a="1"/>
  <c r="R964" i="1" s="1"/>
  <c r="R965" i="1" a="1"/>
  <c r="R965" i="1" s="1"/>
  <c r="R966" i="1" a="1"/>
  <c r="R966" i="1" s="1"/>
  <c r="R967" i="1" a="1"/>
  <c r="R967" i="1" s="1"/>
  <c r="R968" i="1" a="1"/>
  <c r="R968" i="1" s="1"/>
  <c r="R969" i="1" a="1"/>
  <c r="R969" i="1" s="1"/>
  <c r="R970" i="1" a="1"/>
  <c r="R970" i="1" s="1"/>
  <c r="R971" i="1" a="1"/>
  <c r="R971" i="1" s="1"/>
  <c r="R972" i="1" a="1"/>
  <c r="R972" i="1" s="1"/>
  <c r="R973" i="1" a="1"/>
  <c r="R973" i="1" s="1"/>
  <c r="R974" i="1" a="1"/>
  <c r="R974" i="1" s="1"/>
  <c r="R975" i="1" a="1"/>
  <c r="R975" i="1" s="1"/>
  <c r="R976" i="1" a="1"/>
  <c r="R976" i="1" s="1"/>
  <c r="R977" i="1" a="1"/>
  <c r="R977" i="1" s="1"/>
  <c r="R978" i="1" a="1"/>
  <c r="R978" i="1" s="1"/>
  <c r="R979" i="1" a="1"/>
  <c r="R979" i="1" s="1"/>
  <c r="R980" i="1" a="1"/>
  <c r="R980" i="1" s="1"/>
  <c r="R981" i="1" a="1"/>
  <c r="R981" i="1" s="1"/>
  <c r="R982" i="1" a="1"/>
  <c r="R982" i="1" s="1"/>
  <c r="R983" i="1" a="1"/>
  <c r="R983" i="1" s="1"/>
  <c r="R984" i="1" a="1"/>
  <c r="R984" i="1" s="1"/>
  <c r="R985" i="1" a="1"/>
  <c r="R985" i="1" s="1"/>
  <c r="R986" i="1" a="1"/>
  <c r="R986" i="1" s="1"/>
  <c r="R987" i="1" a="1"/>
  <c r="R987" i="1" s="1"/>
  <c r="R988" i="1" a="1"/>
  <c r="R988" i="1"/>
  <c r="R989" i="1" a="1"/>
  <c r="R989" i="1" s="1"/>
  <c r="R990" i="1" a="1"/>
  <c r="R990" i="1" s="1"/>
  <c r="R991" i="1" a="1"/>
  <c r="R991" i="1" s="1"/>
  <c r="R992" i="1" a="1"/>
  <c r="R992" i="1" s="1"/>
  <c r="R993" i="1" a="1"/>
  <c r="R993" i="1" s="1"/>
  <c r="R994" i="1" a="1"/>
  <c r="R994" i="1" s="1"/>
  <c r="R995" i="1" a="1"/>
  <c r="R995" i="1"/>
  <c r="R996" i="1" a="1"/>
  <c r="R996" i="1" s="1"/>
  <c r="R997" i="1" a="1"/>
  <c r="R997" i="1" s="1"/>
  <c r="R998" i="1" a="1"/>
  <c r="R998" i="1" s="1"/>
  <c r="R999" i="1" a="1"/>
  <c r="R999" i="1"/>
  <c r="R1000" i="1" a="1"/>
  <c r="R1000" i="1" s="1"/>
  <c r="R1001" i="1" a="1"/>
  <c r="R1001" i="1" s="1"/>
  <c r="R1002" i="1" a="1"/>
  <c r="R1002" i="1" s="1"/>
  <c r="R1003" i="1" a="1"/>
  <c r="R1003" i="1" s="1"/>
  <c r="R1004" i="1" a="1"/>
  <c r="R1004" i="1" s="1"/>
  <c r="R1005" i="1" a="1"/>
  <c r="R1005" i="1" s="1"/>
  <c r="R1006" i="1" a="1"/>
  <c r="R1006" i="1" s="1"/>
  <c r="R1007" i="1" a="1"/>
  <c r="R1007" i="1" s="1"/>
  <c r="R1008" i="1" a="1"/>
  <c r="R1008" i="1" s="1"/>
  <c r="R1009" i="1" a="1"/>
  <c r="R1009" i="1" s="1"/>
  <c r="R1010" i="1" a="1"/>
  <c r="R1010" i="1" s="1"/>
  <c r="R1011" i="1" a="1"/>
  <c r="R1011" i="1" s="1"/>
  <c r="R1012" i="1" a="1"/>
  <c r="R1012" i="1" s="1"/>
  <c r="R1013" i="1" a="1"/>
  <c r="R1013" i="1"/>
  <c r="R1014" i="1" a="1"/>
  <c r="R1014" i="1" s="1"/>
  <c r="R1015" i="1" a="1"/>
  <c r="R1015" i="1" s="1"/>
  <c r="R1016" i="1" a="1"/>
  <c r="R1016" i="1" s="1"/>
  <c r="R1017" i="1" a="1"/>
  <c r="R1017" i="1" s="1"/>
  <c r="R1018" i="1" a="1"/>
  <c r="R1018" i="1" s="1"/>
  <c r="R1019" i="1" a="1"/>
  <c r="R1019" i="1" s="1"/>
  <c r="R1020" i="1" a="1"/>
  <c r="R1020" i="1" s="1"/>
  <c r="R1021" i="1" a="1"/>
  <c r="R1021" i="1" s="1"/>
  <c r="R1022" i="1" a="1"/>
  <c r="R1022" i="1" s="1"/>
  <c r="R1023" i="1" a="1"/>
  <c r="R1023" i="1" s="1"/>
  <c r="R1024" i="1" a="1"/>
  <c r="R1024" i="1" s="1"/>
  <c r="R1025" i="1" a="1"/>
  <c r="R1025" i="1" s="1"/>
  <c r="R1026" i="1" a="1"/>
  <c r="R1026" i="1" s="1"/>
  <c r="R1027" i="1" a="1"/>
  <c r="R1027" i="1" s="1"/>
  <c r="R1028" i="1" a="1"/>
  <c r="R1028" i="1" s="1"/>
  <c r="R1029" i="1" a="1"/>
  <c r="R1029" i="1" s="1"/>
  <c r="R1030" i="1" a="1"/>
  <c r="R1030" i="1" s="1"/>
  <c r="R1031" i="1" a="1"/>
  <c r="R1031" i="1" s="1"/>
  <c r="R1032" i="1" a="1"/>
  <c r="R1032" i="1" s="1"/>
  <c r="R1033" i="1" a="1"/>
  <c r="R1033" i="1" s="1"/>
  <c r="R1034" i="1" a="1"/>
  <c r="R1034" i="1" s="1"/>
  <c r="R1035" i="1" a="1"/>
  <c r="R1035" i="1" s="1"/>
  <c r="R1036" i="1" a="1"/>
  <c r="R1036" i="1" s="1"/>
  <c r="R1037" i="1" a="1"/>
  <c r="R1037" i="1" s="1"/>
  <c r="R1038" i="1" a="1"/>
  <c r="R1038" i="1" s="1"/>
  <c r="R1039" i="1" a="1"/>
  <c r="R1039" i="1" s="1"/>
  <c r="R1040" i="1" a="1"/>
  <c r="R1040" i="1" s="1"/>
  <c r="R1041" i="1" a="1"/>
  <c r="R1041" i="1" s="1"/>
  <c r="R1042" i="1" a="1"/>
  <c r="R1042" i="1" s="1"/>
  <c r="R1043" i="1" a="1"/>
  <c r="R1043" i="1" s="1"/>
  <c r="R1044" i="1" a="1"/>
  <c r="R1044" i="1" s="1"/>
  <c r="R1045" i="1" a="1"/>
  <c r="R1045" i="1"/>
  <c r="R1046" i="1" a="1"/>
  <c r="R1046" i="1" s="1"/>
  <c r="R1047" i="1" a="1"/>
  <c r="R1047" i="1" s="1"/>
  <c r="R1048" i="1" a="1"/>
  <c r="R1048" i="1" s="1"/>
  <c r="R1049" i="1" a="1"/>
  <c r="R1049" i="1" s="1"/>
  <c r="R1050" i="1" a="1"/>
  <c r="R1050" i="1" s="1"/>
  <c r="R1051" i="1" a="1"/>
  <c r="R1051" i="1" s="1"/>
  <c r="R1052" i="1" a="1"/>
  <c r="R1052" i="1"/>
  <c r="R1053" i="1" a="1"/>
  <c r="R1053" i="1" s="1"/>
  <c r="R1054" i="1" a="1"/>
  <c r="R1054" i="1" s="1"/>
  <c r="R1055" i="1" a="1"/>
  <c r="R1055" i="1" s="1"/>
  <c r="R1056" i="1" a="1"/>
  <c r="R1056" i="1" s="1"/>
  <c r="R1057" i="1" a="1"/>
  <c r="R1057" i="1" s="1"/>
  <c r="R1058" i="1" a="1"/>
  <c r="R1058" i="1" s="1"/>
  <c r="R1059" i="1" a="1"/>
  <c r="R1059" i="1"/>
  <c r="R1060" i="1" a="1"/>
  <c r="R1060" i="1" s="1"/>
  <c r="R1061" i="1" a="1"/>
  <c r="R1061" i="1" s="1"/>
  <c r="R1062" i="1" a="1"/>
  <c r="R1062" i="1" s="1"/>
  <c r="R1063" i="1" a="1"/>
  <c r="R1063" i="1" s="1"/>
  <c r="R1064" i="1" a="1"/>
  <c r="R1064" i="1" s="1"/>
  <c r="R1065" i="1" a="1"/>
  <c r="R1065" i="1" s="1"/>
  <c r="R1066" i="1" a="1"/>
  <c r="R1066" i="1" s="1"/>
  <c r="R1067" i="1" a="1"/>
  <c r="R1067" i="1" s="1"/>
  <c r="R1068" i="1" a="1"/>
  <c r="R1068" i="1" s="1"/>
  <c r="R1069" i="1" a="1"/>
  <c r="R1069" i="1" s="1"/>
  <c r="R1070" i="1" a="1"/>
  <c r="R1070" i="1" s="1"/>
  <c r="R1071" i="1" a="1"/>
  <c r="R1071" i="1" s="1"/>
  <c r="R1072" i="1" a="1"/>
  <c r="R1072" i="1" s="1"/>
  <c r="R1073" i="1" a="1"/>
  <c r="R1073" i="1" s="1"/>
  <c r="R1074" i="1" a="1"/>
  <c r="R1074" i="1" s="1"/>
  <c r="R1075" i="1" a="1"/>
  <c r="R1075" i="1" s="1"/>
  <c r="R1076" i="1" a="1"/>
  <c r="R1076" i="1" s="1"/>
  <c r="R1077" i="1" a="1"/>
  <c r="R1077" i="1"/>
  <c r="R1078" i="1" a="1"/>
  <c r="R1078" i="1" s="1"/>
  <c r="R1079" i="1" a="1"/>
  <c r="R1079" i="1" s="1"/>
  <c r="R1080" i="1" a="1"/>
  <c r="R1080" i="1" s="1"/>
  <c r="R1081" i="1" a="1"/>
  <c r="R1081" i="1" s="1"/>
  <c r="R1082" i="1" a="1"/>
  <c r="R1082" i="1" s="1"/>
  <c r="R1083" i="1" a="1"/>
  <c r="R1083" i="1" s="1"/>
  <c r="R1084" i="1" a="1"/>
  <c r="R1084" i="1" s="1"/>
  <c r="R1085" i="1" a="1"/>
  <c r="R1085" i="1" s="1"/>
  <c r="R1086" i="1" a="1"/>
  <c r="R1086" i="1" s="1"/>
  <c r="R1087" i="1" a="1"/>
  <c r="R1087" i="1" s="1"/>
  <c r="R1088" i="1" a="1"/>
  <c r="R1088" i="1" s="1"/>
  <c r="R1089" i="1" a="1"/>
  <c r="R1089" i="1" s="1"/>
  <c r="R1090" i="1" a="1"/>
  <c r="R1090" i="1" s="1"/>
  <c r="R1091" i="1" a="1"/>
  <c r="R1091" i="1" s="1"/>
  <c r="R1092" i="1" a="1"/>
  <c r="R1092" i="1" s="1"/>
  <c r="R1093" i="1" a="1"/>
  <c r="R1093" i="1" s="1"/>
  <c r="R1094" i="1" a="1"/>
  <c r="R1094" i="1" s="1"/>
  <c r="R1095" i="1" a="1"/>
  <c r="R1095" i="1" s="1"/>
  <c r="R1096" i="1" a="1"/>
  <c r="R1096" i="1" s="1"/>
  <c r="R1097" i="1" a="1"/>
  <c r="R1097" i="1" s="1"/>
  <c r="R1098" i="1" a="1"/>
  <c r="R1098" i="1" s="1"/>
  <c r="R1099" i="1" a="1"/>
  <c r="R1099" i="1" s="1"/>
  <c r="R1100" i="1" a="1"/>
  <c r="R1100" i="1" s="1"/>
  <c r="R1101" i="1" a="1"/>
  <c r="R1101" i="1" s="1"/>
  <c r="R1102" i="1" a="1"/>
  <c r="R1102" i="1" s="1"/>
  <c r="R1103" i="1" a="1"/>
  <c r="R1103" i="1" s="1"/>
  <c r="R1104" i="1" a="1"/>
  <c r="R1104" i="1" s="1"/>
  <c r="R1105" i="1" a="1"/>
  <c r="R1105" i="1" s="1"/>
  <c r="R1106" i="1" a="1"/>
  <c r="R1106" i="1" s="1"/>
  <c r="R1107" i="1" a="1"/>
  <c r="R1107" i="1" s="1"/>
  <c r="R1108" i="1" a="1"/>
  <c r="R1108" i="1" s="1"/>
  <c r="R1109" i="1" a="1"/>
  <c r="R1109" i="1" s="1"/>
  <c r="R1110" i="1" a="1"/>
  <c r="R1110" i="1" s="1"/>
  <c r="R1111" i="1" a="1"/>
  <c r="R1111" i="1" s="1"/>
  <c r="R1112" i="1" a="1"/>
  <c r="R1112" i="1" s="1"/>
  <c r="R1113" i="1" a="1"/>
  <c r="R1113" i="1" s="1"/>
  <c r="R1114" i="1" a="1"/>
  <c r="R1114" i="1" s="1"/>
  <c r="R1115" i="1" a="1"/>
  <c r="R1115" i="1" s="1"/>
  <c r="R1116" i="1" a="1"/>
  <c r="R1116" i="1" s="1"/>
  <c r="R1117" i="1" a="1"/>
  <c r="R1117" i="1" s="1"/>
  <c r="R1118" i="1" a="1"/>
  <c r="R1118" i="1" s="1"/>
  <c r="R1119" i="1" a="1"/>
  <c r="R1119" i="1" s="1"/>
  <c r="R1120" i="1" a="1"/>
  <c r="R1120" i="1" s="1"/>
  <c r="R1121" i="1" a="1"/>
  <c r="R1121" i="1" s="1"/>
  <c r="R1122" i="1" a="1"/>
  <c r="R1122" i="1" s="1"/>
  <c r="R1123" i="1" a="1"/>
  <c r="R1123" i="1" s="1"/>
  <c r="R1124" i="1" a="1"/>
  <c r="R1124" i="1" s="1"/>
  <c r="R1125" i="1" a="1"/>
  <c r="R1125" i="1" s="1"/>
  <c r="R1126" i="1" a="1"/>
  <c r="R1126" i="1" s="1"/>
  <c r="R1127" i="1" a="1"/>
  <c r="R1127" i="1" s="1"/>
  <c r="R1128" i="1" a="1"/>
  <c r="R1128" i="1" s="1"/>
  <c r="R1129" i="1" a="1"/>
  <c r="R1129" i="1" s="1"/>
  <c r="R1130" i="1" a="1"/>
  <c r="R1130" i="1" s="1"/>
  <c r="R1131" i="1" a="1"/>
  <c r="R1131" i="1" s="1"/>
  <c r="R1132" i="1" a="1"/>
  <c r="R1132" i="1" s="1"/>
  <c r="R1133" i="1" a="1"/>
  <c r="R1133" i="1" s="1"/>
  <c r="R1134" i="1" a="1"/>
  <c r="R1134" i="1" s="1"/>
  <c r="R1135" i="1" a="1"/>
  <c r="R1135" i="1" s="1"/>
  <c r="R1136" i="1" a="1"/>
  <c r="R1136" i="1" s="1"/>
  <c r="R1137" i="1" a="1"/>
  <c r="R1137" i="1" s="1"/>
  <c r="R1138" i="1" a="1"/>
  <c r="R1138" i="1" s="1"/>
  <c r="R1139" i="1" a="1"/>
  <c r="R1139" i="1" s="1"/>
  <c r="R1140" i="1" a="1"/>
  <c r="R1140" i="1" s="1"/>
  <c r="R1141" i="1" a="1"/>
  <c r="R1141" i="1"/>
  <c r="R1142" i="1" a="1"/>
  <c r="R1142" i="1" s="1"/>
  <c r="R1143" i="1" a="1"/>
  <c r="R1143" i="1" s="1"/>
  <c r="R1144" i="1" a="1"/>
  <c r="R1144" i="1" s="1"/>
  <c r="R1145" i="1" a="1"/>
  <c r="R1145" i="1" s="1"/>
  <c r="R1146" i="1" a="1"/>
  <c r="R1146" i="1" s="1"/>
  <c r="R1147" i="1" a="1"/>
  <c r="R1147" i="1" s="1"/>
  <c r="R1148" i="1" a="1"/>
  <c r="R1148" i="1" s="1"/>
  <c r="R1149" i="1" a="1"/>
  <c r="R1149" i="1" s="1"/>
  <c r="R1150" i="1" a="1"/>
  <c r="R1150" i="1" s="1"/>
  <c r="R1151" i="1" a="1"/>
  <c r="R1151" i="1" s="1"/>
  <c r="R1152" i="1" a="1"/>
  <c r="R1152" i="1" s="1"/>
  <c r="R1153" i="1" a="1"/>
  <c r="R1153" i="1" s="1"/>
  <c r="R1154" i="1" a="1"/>
  <c r="R1154" i="1" s="1"/>
  <c r="R1155" i="1" a="1"/>
  <c r="R1155" i="1" s="1"/>
  <c r="R1156" i="1" a="1"/>
  <c r="R1156" i="1" s="1"/>
  <c r="R1157" i="1" a="1"/>
  <c r="R1157" i="1" s="1"/>
  <c r="R1158" i="1" a="1"/>
  <c r="R1158" i="1" s="1"/>
  <c r="R1159" i="1" a="1"/>
  <c r="R1159" i="1" s="1"/>
  <c r="R1160" i="1" a="1"/>
  <c r="R1160" i="1" s="1"/>
  <c r="R1161" i="1" a="1"/>
  <c r="R1161" i="1" s="1"/>
  <c r="R1162" i="1" a="1"/>
  <c r="R1162" i="1" s="1"/>
  <c r="R1163" i="1" a="1"/>
  <c r="R1163" i="1" s="1"/>
  <c r="R1164" i="1" a="1"/>
  <c r="R1164" i="1" s="1"/>
  <c r="R1165" i="1" a="1"/>
  <c r="R1165" i="1" s="1"/>
  <c r="R1166" i="1" a="1"/>
  <c r="R1166" i="1" s="1"/>
  <c r="R1167" i="1" a="1"/>
  <c r="R1167" i="1" s="1"/>
  <c r="R1168" i="1" a="1"/>
  <c r="R1168" i="1" s="1"/>
  <c r="R1169" i="1" a="1"/>
  <c r="R1169" i="1" s="1"/>
  <c r="R1170" i="1" a="1"/>
  <c r="R1170" i="1" s="1"/>
  <c r="R1171" i="1" a="1"/>
  <c r="R1171" i="1" s="1"/>
  <c r="R1172" i="1" a="1"/>
  <c r="R1172" i="1" s="1"/>
  <c r="R1173" i="1" a="1"/>
  <c r="R1173" i="1" s="1"/>
  <c r="R1174" i="1" a="1"/>
  <c r="R1174" i="1" s="1"/>
  <c r="R1175" i="1" a="1"/>
  <c r="R1175" i="1" s="1"/>
  <c r="R1176" i="1" a="1"/>
  <c r="R1176" i="1" s="1"/>
  <c r="R1177" i="1" a="1"/>
  <c r="R1177" i="1" s="1"/>
  <c r="R1178" i="1" a="1"/>
  <c r="R1178" i="1" s="1"/>
  <c r="R1179" i="1" a="1"/>
  <c r="R1179" i="1" s="1"/>
  <c r="R1180" i="1" a="1"/>
  <c r="R1180" i="1" s="1"/>
  <c r="R1181" i="1" a="1"/>
  <c r="R1181" i="1" s="1"/>
  <c r="R1182" i="1" a="1"/>
  <c r="R1182" i="1" s="1"/>
  <c r="R1183" i="1" a="1"/>
  <c r="R1183" i="1" s="1"/>
  <c r="R1184" i="1" a="1"/>
  <c r="R1184" i="1" s="1"/>
  <c r="R1185" i="1" a="1"/>
  <c r="R1185" i="1" s="1"/>
  <c r="R1186" i="1" a="1"/>
  <c r="R1186" i="1" s="1"/>
  <c r="R1187" i="1" a="1"/>
  <c r="R1187" i="1" s="1"/>
  <c r="R1188" i="1" a="1"/>
  <c r="R1188" i="1" s="1"/>
  <c r="R1189" i="1" a="1"/>
  <c r="R1189" i="1" s="1"/>
  <c r="R1190" i="1" a="1"/>
  <c r="R1190" i="1" s="1"/>
  <c r="R1191" i="1" a="1"/>
  <c r="R1191" i="1" s="1"/>
  <c r="R1192" i="1" a="1"/>
  <c r="R1192" i="1" s="1"/>
  <c r="R1193" i="1" a="1"/>
  <c r="R1193" i="1" s="1"/>
  <c r="R1194" i="1" a="1"/>
  <c r="R1194" i="1" s="1"/>
  <c r="R1195" i="1" a="1"/>
  <c r="R1195" i="1" s="1"/>
  <c r="R1196" i="1" a="1"/>
  <c r="R1196" i="1" s="1"/>
  <c r="R1197" i="1" a="1"/>
  <c r="R1197" i="1" s="1"/>
  <c r="R1198" i="1" a="1"/>
  <c r="R1198" i="1" s="1"/>
  <c r="R1199" i="1" a="1"/>
  <c r="R1199" i="1" s="1"/>
  <c r="R1200" i="1" a="1"/>
  <c r="R1200" i="1" s="1"/>
  <c r="R1201" i="1" a="1"/>
  <c r="R1201" i="1" s="1"/>
  <c r="R1202" i="1" a="1"/>
  <c r="R1202" i="1" s="1"/>
  <c r="R1203" i="1" a="1"/>
  <c r="R1203" i="1" s="1"/>
  <c r="R1204" i="1" a="1"/>
  <c r="R1204" i="1" s="1"/>
  <c r="R1205" i="1" a="1"/>
  <c r="R1205" i="1"/>
  <c r="R1206" i="1" a="1"/>
  <c r="R1206" i="1" s="1"/>
  <c r="R1207" i="1" a="1"/>
  <c r="R1207" i="1" s="1"/>
  <c r="R1208" i="1" a="1"/>
  <c r="R1208" i="1" s="1"/>
  <c r="R1209" i="1" a="1"/>
  <c r="R1209" i="1" s="1"/>
  <c r="R1210" i="1" a="1"/>
  <c r="R1210" i="1" s="1"/>
  <c r="R1211" i="1" a="1"/>
  <c r="R1211" i="1" s="1"/>
  <c r="R1212" i="1" a="1"/>
  <c r="R1212" i="1" s="1"/>
  <c r="R1213" i="1" a="1"/>
  <c r="R1213" i="1" s="1"/>
  <c r="R1214" i="1" a="1"/>
  <c r="R1214" i="1" s="1"/>
  <c r="R1215" i="1" a="1"/>
  <c r="R1215" i="1" s="1"/>
  <c r="R1216" i="1" a="1"/>
  <c r="R1216" i="1" s="1"/>
  <c r="R1217" i="1" a="1"/>
  <c r="R1217" i="1" s="1"/>
  <c r="R1218" i="1" a="1"/>
  <c r="R1218" i="1" s="1"/>
  <c r="R1219" i="1" a="1"/>
  <c r="R1219" i="1" s="1"/>
  <c r="R1220" i="1" a="1"/>
  <c r="R1220" i="1"/>
  <c r="R1221" i="1" a="1"/>
  <c r="R1221" i="1" s="1"/>
  <c r="R1222" i="1" a="1"/>
  <c r="R1222" i="1" s="1"/>
  <c r="R1223" i="1" a="1"/>
  <c r="R1223" i="1" s="1"/>
  <c r="R1224" i="1" a="1"/>
  <c r="R1224" i="1" s="1"/>
  <c r="R1225" i="1" a="1"/>
  <c r="R1225" i="1" s="1"/>
  <c r="R1226" i="1" a="1"/>
  <c r="R1226" i="1" s="1"/>
  <c r="R1227" i="1" a="1"/>
  <c r="R1227" i="1" s="1"/>
  <c r="R1228" i="1" a="1"/>
  <c r="R1228" i="1" s="1"/>
  <c r="R1229" i="1" a="1"/>
  <c r="R1229" i="1" s="1"/>
  <c r="R1230" i="1" a="1"/>
  <c r="R1230" i="1" s="1"/>
  <c r="R1231" i="1" a="1"/>
  <c r="R1231" i="1" s="1"/>
  <c r="R1232" i="1" a="1"/>
  <c r="R1232" i="1" s="1"/>
  <c r="R1233" i="1" a="1"/>
  <c r="R1233" i="1" s="1"/>
  <c r="R1234" i="1" a="1"/>
  <c r="R1234" i="1" s="1"/>
  <c r="R1235" i="1" a="1"/>
  <c r="R1235" i="1" s="1"/>
  <c r="R1236" i="1" a="1"/>
  <c r="R1236" i="1" s="1"/>
  <c r="R1237" i="1" a="1"/>
  <c r="R1237" i="1" s="1"/>
  <c r="R1238" i="1" a="1"/>
  <c r="R1238" i="1" s="1"/>
  <c r="R1239" i="1" a="1"/>
  <c r="R1239" i="1" s="1"/>
  <c r="R1240" i="1" a="1"/>
  <c r="R1240" i="1" s="1"/>
  <c r="R1241" i="1" a="1"/>
  <c r="R1241" i="1" s="1"/>
  <c r="R1242" i="1" a="1"/>
  <c r="R1242" i="1" s="1"/>
  <c r="R1243" i="1" a="1"/>
  <c r="R1243" i="1" s="1"/>
  <c r="R1244" i="1" a="1"/>
  <c r="R1244" i="1" s="1"/>
  <c r="R1245" i="1" a="1"/>
  <c r="R1245" i="1" s="1"/>
  <c r="R1246" i="1" a="1"/>
  <c r="R1246" i="1" s="1"/>
  <c r="R1247" i="1" a="1"/>
  <c r="R1247" i="1" s="1"/>
  <c r="R1248" i="1" a="1"/>
  <c r="R1248" i="1" s="1"/>
  <c r="R1249" i="1" a="1"/>
  <c r="R1249" i="1" s="1"/>
  <c r="R1250" i="1" a="1"/>
  <c r="R1250" i="1" s="1"/>
  <c r="R1251" i="1" a="1"/>
  <c r="R1251" i="1" s="1"/>
  <c r="R1252" i="1" a="1"/>
  <c r="R1252" i="1" s="1"/>
  <c r="R1253" i="1" a="1"/>
  <c r="R1253" i="1" s="1"/>
  <c r="R1254" i="1" a="1"/>
  <c r="R1254" i="1" s="1"/>
  <c r="R1255" i="1" a="1"/>
  <c r="R1255" i="1" s="1"/>
  <c r="R1256" i="1" a="1"/>
  <c r="R1256" i="1" s="1"/>
  <c r="R1257" i="1" a="1"/>
  <c r="R1257" i="1" s="1"/>
  <c r="R1258" i="1" a="1"/>
  <c r="R1258" i="1" s="1"/>
  <c r="R1259" i="1" a="1"/>
  <c r="R1259" i="1" s="1"/>
  <c r="R1260" i="1" a="1"/>
  <c r="R1260" i="1" s="1"/>
  <c r="R1261" i="1" a="1"/>
  <c r="R1261" i="1" s="1"/>
  <c r="R1262" i="1" a="1"/>
  <c r="R1262" i="1"/>
  <c r="R1263" i="1" a="1"/>
  <c r="R1263" i="1" s="1"/>
  <c r="R1264" i="1" a="1"/>
  <c r="R1264" i="1" s="1"/>
  <c r="R1265" i="1" a="1"/>
  <c r="R1265" i="1" s="1"/>
  <c r="R1266" i="1" a="1"/>
  <c r="R1266" i="1" s="1"/>
  <c r="R1267" i="1" a="1"/>
  <c r="R1267" i="1" s="1"/>
  <c r="R1268" i="1" a="1"/>
  <c r="R1268" i="1" s="1"/>
  <c r="R1269" i="1" a="1"/>
  <c r="R1269" i="1" s="1"/>
  <c r="R1270" i="1" a="1"/>
  <c r="R1270" i="1" s="1"/>
  <c r="R1271" i="1" a="1"/>
  <c r="R1271" i="1" s="1"/>
  <c r="R1272" i="1" a="1"/>
  <c r="R1272" i="1" s="1"/>
  <c r="R1273" i="1" a="1"/>
  <c r="R1273" i="1" s="1"/>
  <c r="R1274" i="1" a="1"/>
  <c r="R1274" i="1" s="1"/>
  <c r="R1275" i="1" a="1"/>
  <c r="R1275" i="1" s="1"/>
  <c r="R1276" i="1" a="1"/>
  <c r="R1276" i="1" s="1"/>
  <c r="R1277" i="1" a="1"/>
  <c r="R1277" i="1" s="1"/>
  <c r="R1278" i="1" a="1"/>
  <c r="R1278" i="1" s="1"/>
  <c r="R1279" i="1" a="1"/>
  <c r="R1279" i="1" s="1"/>
  <c r="R1280" i="1" a="1"/>
  <c r="R1280" i="1" s="1"/>
  <c r="R1281" i="1" a="1"/>
  <c r="R1281" i="1" s="1"/>
  <c r="R1282" i="1" a="1"/>
  <c r="R1282" i="1" s="1"/>
  <c r="R1283" i="1" a="1"/>
  <c r="R1283" i="1" s="1"/>
  <c r="R1284" i="1" a="1"/>
  <c r="R1284" i="1" s="1"/>
  <c r="R1285" i="1" a="1"/>
  <c r="R1285" i="1" s="1"/>
  <c r="R1286" i="1" a="1"/>
  <c r="R1286" i="1" s="1"/>
  <c r="R1287" i="1" a="1"/>
  <c r="R1287" i="1" s="1"/>
  <c r="R1288" i="1" a="1"/>
  <c r="R1288" i="1" s="1"/>
  <c r="R1289" i="1" a="1"/>
  <c r="R1289" i="1" s="1"/>
  <c r="R1290" i="1" a="1"/>
  <c r="R1290" i="1" s="1"/>
  <c r="R1291" i="1" a="1"/>
  <c r="R1291" i="1" s="1"/>
  <c r="R1292" i="1" a="1"/>
  <c r="R1292" i="1" s="1"/>
  <c r="R1293" i="1" a="1"/>
  <c r="R1293" i="1" s="1"/>
  <c r="R1294" i="1" a="1"/>
  <c r="R1294" i="1" s="1"/>
  <c r="R1295" i="1" a="1"/>
  <c r="R1295" i="1" s="1"/>
  <c r="R1296" i="1" a="1"/>
  <c r="R1296" i="1" s="1"/>
  <c r="R1297" i="1" a="1"/>
  <c r="R1297" i="1" s="1"/>
  <c r="R1298" i="1" a="1"/>
  <c r="R1298" i="1" s="1"/>
  <c r="R1299" i="1" a="1"/>
  <c r="R1299" i="1" s="1"/>
  <c r="R1300" i="1" a="1"/>
  <c r="R1300" i="1" s="1"/>
  <c r="R1301" i="1" a="1"/>
  <c r="R1301" i="1" s="1"/>
  <c r="R1302" i="1" a="1"/>
  <c r="R1302" i="1" s="1"/>
  <c r="R1303" i="1" a="1"/>
  <c r="R1303" i="1" s="1"/>
  <c r="R1304" i="1" a="1"/>
  <c r="R1304" i="1" s="1"/>
  <c r="R1305" i="1" a="1"/>
  <c r="R1305" i="1" s="1"/>
  <c r="R1306" i="1" a="1"/>
  <c r="R1306" i="1" s="1"/>
  <c r="R1307" i="1" a="1"/>
  <c r="R1307" i="1" s="1"/>
  <c r="R1308" i="1" a="1"/>
  <c r="R1308" i="1" s="1"/>
  <c r="R1309" i="1" a="1"/>
  <c r="R1309" i="1" s="1"/>
  <c r="R1310" i="1" a="1"/>
  <c r="R1310" i="1" s="1"/>
  <c r="R1311" i="1" a="1"/>
  <c r="R1311" i="1" s="1"/>
  <c r="R1312" i="1" a="1"/>
  <c r="R1312" i="1" s="1"/>
  <c r="R1313" i="1" a="1"/>
  <c r="R1313" i="1" s="1"/>
  <c r="R1314" i="1" a="1"/>
  <c r="R1314" i="1" s="1"/>
  <c r="R1315" i="1" a="1"/>
  <c r="R1315" i="1" s="1"/>
  <c r="R1316" i="1" a="1"/>
  <c r="R1316" i="1" s="1"/>
  <c r="R1317" i="1" a="1"/>
  <c r="R1317" i="1" s="1"/>
  <c r="R1318" i="1" a="1"/>
  <c r="R1318" i="1" s="1"/>
  <c r="R1319" i="1" a="1"/>
  <c r="R1319" i="1" s="1"/>
  <c r="R1320" i="1" a="1"/>
  <c r="R1320" i="1" s="1"/>
  <c r="R1321" i="1" a="1"/>
  <c r="R1321" i="1" s="1"/>
  <c r="R1322" i="1" a="1"/>
  <c r="R1322" i="1" s="1"/>
  <c r="R1323" i="1" a="1"/>
  <c r="R1323" i="1" s="1"/>
  <c r="R1324" i="1" a="1"/>
  <c r="R1324" i="1" s="1"/>
  <c r="R1325" i="1" a="1"/>
  <c r="R1325" i="1" s="1"/>
  <c r="R1326" i="1" a="1"/>
  <c r="R1326" i="1" s="1"/>
  <c r="R1327" i="1" a="1"/>
  <c r="R1327" i="1" s="1"/>
  <c r="R1328" i="1" a="1"/>
  <c r="R1328" i="1" s="1"/>
  <c r="R1329" i="1" a="1"/>
  <c r="R1329" i="1" s="1"/>
  <c r="R1330" i="1" a="1"/>
  <c r="R1330" i="1" s="1"/>
  <c r="R1331" i="1" a="1"/>
  <c r="R1331" i="1" s="1"/>
  <c r="R1332" i="1" a="1"/>
  <c r="R1332" i="1" s="1"/>
  <c r="R1333" i="1" a="1"/>
  <c r="R1333" i="1" s="1"/>
  <c r="R1334" i="1" a="1"/>
  <c r="R1334" i="1" s="1"/>
  <c r="R1335" i="1" a="1"/>
  <c r="R1335" i="1" s="1"/>
  <c r="R1336" i="1" a="1"/>
  <c r="R1336" i="1" s="1"/>
  <c r="R1337" i="1" a="1"/>
  <c r="R1337" i="1" s="1"/>
  <c r="R1338" i="1" a="1"/>
  <c r="R1338" i="1" s="1"/>
  <c r="R1339" i="1" a="1"/>
  <c r="R1339" i="1" s="1"/>
  <c r="R1340" i="1" a="1"/>
  <c r="R1340" i="1" s="1"/>
  <c r="R1341" i="1" a="1"/>
  <c r="R1341" i="1" s="1"/>
  <c r="R1342" i="1" a="1"/>
  <c r="R1342" i="1"/>
  <c r="R1343" i="1" a="1"/>
  <c r="R1343" i="1" s="1"/>
  <c r="R1344" i="1" a="1"/>
  <c r="R1344" i="1" s="1"/>
  <c r="R1345" i="1" a="1"/>
  <c r="R1345" i="1" s="1"/>
  <c r="R1346" i="1" a="1"/>
  <c r="R1346" i="1" s="1"/>
  <c r="R1347" i="1" a="1"/>
  <c r="R1347" i="1" s="1"/>
  <c r="R1348" i="1" a="1"/>
  <c r="R1348" i="1" s="1"/>
  <c r="R1349" i="1" a="1"/>
  <c r="R1349" i="1" s="1"/>
  <c r="R1350" i="1" a="1"/>
  <c r="R1350" i="1" s="1"/>
  <c r="R1351" i="1" a="1"/>
  <c r="R1351" i="1" s="1"/>
  <c r="R1352" i="1" a="1"/>
  <c r="R1352" i="1" s="1"/>
  <c r="R1353" i="1" a="1"/>
  <c r="R1353" i="1" s="1"/>
  <c r="R1354" i="1" a="1"/>
  <c r="R1354" i="1" s="1"/>
  <c r="R1355" i="1" a="1"/>
  <c r="R1355" i="1" s="1"/>
  <c r="R1356" i="1" a="1"/>
  <c r="R1356" i="1" s="1"/>
  <c r="R1357" i="1" a="1"/>
  <c r="R1357" i="1" s="1"/>
  <c r="R1358" i="1" a="1"/>
  <c r="R1358" i="1" s="1"/>
  <c r="R1359" i="1" a="1"/>
  <c r="R1359" i="1" s="1"/>
  <c r="R1360" i="1" a="1"/>
  <c r="R1360" i="1" s="1"/>
  <c r="R1361" i="1" a="1"/>
  <c r="R1361" i="1" s="1"/>
  <c r="R1362" i="1" a="1"/>
  <c r="R1362" i="1" s="1"/>
  <c r="R1363" i="1" a="1"/>
  <c r="R1363" i="1" s="1"/>
  <c r="R1364" i="1" a="1"/>
  <c r="R1364" i="1" s="1"/>
  <c r="R1365" i="1" a="1"/>
  <c r="R1365" i="1" s="1"/>
  <c r="R1366" i="1" a="1"/>
  <c r="R1366" i="1" s="1"/>
  <c r="R1367" i="1" a="1"/>
  <c r="R1367" i="1" s="1"/>
  <c r="R1368" i="1" a="1"/>
  <c r="R1368" i="1" s="1"/>
  <c r="R1369" i="1" a="1"/>
  <c r="R1369" i="1" s="1"/>
  <c r="R1370" i="1" a="1"/>
  <c r="R1370" i="1" s="1"/>
  <c r="R1371" i="1" a="1"/>
  <c r="R1371" i="1" s="1"/>
  <c r="R1372" i="1" a="1"/>
  <c r="R1372" i="1" s="1"/>
  <c r="R1373" i="1" a="1"/>
  <c r="R1373" i="1" s="1"/>
  <c r="R1374" i="1" a="1"/>
  <c r="R1374" i="1" s="1"/>
  <c r="R1375" i="1" a="1"/>
  <c r="R1375" i="1" s="1"/>
  <c r="R1376" i="1" a="1"/>
  <c r="R1376" i="1" s="1"/>
  <c r="R1377" i="1" a="1"/>
  <c r="R1377" i="1" s="1"/>
  <c r="R1378" i="1" a="1"/>
  <c r="R1378" i="1" s="1"/>
  <c r="R1379" i="1" a="1"/>
  <c r="R1379" i="1" s="1"/>
  <c r="R1380" i="1" a="1"/>
  <c r="R1380" i="1" s="1"/>
  <c r="R1381" i="1" a="1"/>
  <c r="R1381" i="1" s="1"/>
  <c r="R1382" i="1" a="1"/>
  <c r="R1382" i="1" s="1"/>
  <c r="R1383" i="1" a="1"/>
  <c r="R1383" i="1" s="1"/>
  <c r="R1384" i="1" a="1"/>
  <c r="R1384" i="1" s="1"/>
  <c r="R1385" i="1" a="1"/>
  <c r="R1385" i="1" s="1"/>
  <c r="R1386" i="1" a="1"/>
  <c r="R1386" i="1" s="1"/>
  <c r="R1387" i="1" a="1"/>
  <c r="R1387" i="1" s="1"/>
  <c r="R1388" i="1" a="1"/>
  <c r="R1388" i="1" s="1"/>
  <c r="R1389" i="1" a="1"/>
  <c r="R1389" i="1" s="1"/>
  <c r="R1390" i="1" a="1"/>
  <c r="R1390" i="1" s="1"/>
  <c r="R1391" i="1" a="1"/>
  <c r="R1391" i="1" s="1"/>
  <c r="R1392" i="1" a="1"/>
  <c r="R1392" i="1" s="1"/>
  <c r="R1393" i="1" a="1"/>
  <c r="R1393" i="1" s="1"/>
  <c r="R1394" i="1" a="1"/>
  <c r="R1394" i="1" s="1"/>
  <c r="R1395" i="1" a="1"/>
  <c r="R1395" i="1" s="1"/>
  <c r="R1396" i="1" a="1"/>
  <c r="R1396" i="1" s="1"/>
  <c r="R1397" i="1" a="1"/>
  <c r="R1397" i="1" s="1"/>
  <c r="R1398" i="1" a="1"/>
  <c r="R1398" i="1" s="1"/>
  <c r="R1399" i="1" a="1"/>
  <c r="R1399" i="1" s="1"/>
  <c r="R1400" i="1" a="1"/>
  <c r="R1400" i="1" s="1"/>
  <c r="R1401" i="1" a="1"/>
  <c r="R1401" i="1" s="1"/>
  <c r="R1402" i="1" a="1"/>
  <c r="R1402" i="1" s="1"/>
  <c r="R1403" i="1" a="1"/>
  <c r="R1403" i="1" s="1"/>
  <c r="R1404" i="1" a="1"/>
  <c r="R1404" i="1" s="1"/>
  <c r="R1405" i="1" a="1"/>
  <c r="R1405" i="1" s="1"/>
  <c r="R1406" i="1" a="1"/>
  <c r="R1406" i="1" s="1"/>
  <c r="R1407" i="1" a="1"/>
  <c r="R1407" i="1" s="1"/>
  <c r="R1408" i="1" a="1"/>
  <c r="R1408" i="1" s="1"/>
  <c r="R1409" i="1" a="1"/>
  <c r="R1409" i="1" s="1"/>
  <c r="R1410" i="1" a="1"/>
  <c r="R1410" i="1" s="1"/>
  <c r="R1411" i="1" a="1"/>
  <c r="R1411" i="1" s="1"/>
  <c r="R1412" i="1" a="1"/>
  <c r="R1412" i="1" s="1"/>
  <c r="R1413" i="1" a="1"/>
  <c r="R1413" i="1" s="1"/>
  <c r="R1414" i="1" a="1"/>
  <c r="R1414" i="1" s="1"/>
  <c r="R1415" i="1" a="1"/>
  <c r="R1415" i="1" s="1"/>
  <c r="R1416" i="1" a="1"/>
  <c r="R1416" i="1" s="1"/>
  <c r="R1417" i="1" a="1"/>
  <c r="R1417" i="1" s="1"/>
  <c r="R1418" i="1" a="1"/>
  <c r="R1418" i="1" s="1"/>
  <c r="R1419" i="1" a="1"/>
  <c r="R1419" i="1" s="1"/>
  <c r="R1420" i="1" a="1"/>
  <c r="R1420" i="1" s="1"/>
  <c r="R1421" i="1" a="1"/>
  <c r="R1421" i="1" s="1"/>
  <c r="R1422" i="1" a="1"/>
  <c r="R1422" i="1" s="1"/>
  <c r="R1423" i="1" a="1"/>
  <c r="R1423" i="1" s="1"/>
  <c r="R1424" i="1" a="1"/>
  <c r="R1424" i="1" s="1"/>
  <c r="R1425" i="1" a="1"/>
  <c r="R1425" i="1" s="1"/>
  <c r="R1426" i="1" a="1"/>
  <c r="R1426" i="1"/>
  <c r="R1427" i="1" a="1"/>
  <c r="R1427" i="1" s="1"/>
  <c r="R1428" i="1" a="1"/>
  <c r="R1428" i="1" s="1"/>
  <c r="R1429" i="1" a="1"/>
  <c r="R1429" i="1" s="1"/>
  <c r="R1430" i="1" a="1"/>
  <c r="R1430" i="1" s="1"/>
  <c r="R1431" i="1" a="1"/>
  <c r="R1431" i="1" s="1"/>
  <c r="R1432" i="1" a="1"/>
  <c r="R1432" i="1" s="1"/>
  <c r="R1433" i="1" a="1"/>
  <c r="R1433" i="1" s="1"/>
  <c r="R1434" i="1" a="1"/>
  <c r="R1434" i="1" s="1"/>
  <c r="R1435" i="1" a="1"/>
  <c r="R1435" i="1" s="1"/>
  <c r="R1436" i="1" a="1"/>
  <c r="R1436" i="1" s="1"/>
  <c r="R1437" i="1" a="1"/>
  <c r="R1437" i="1" s="1"/>
  <c r="R1438" i="1" a="1"/>
  <c r="R1438" i="1"/>
  <c r="R1439" i="1" a="1"/>
  <c r="R1439" i="1" s="1"/>
  <c r="R1440" i="1" a="1"/>
  <c r="R1440" i="1" s="1"/>
  <c r="R1441" i="1" a="1"/>
  <c r="R1441" i="1" s="1"/>
  <c r="R1442" i="1" a="1"/>
  <c r="R1442" i="1" s="1"/>
  <c r="R1443" i="1" a="1"/>
  <c r="R1443" i="1" s="1"/>
  <c r="R1444" i="1" a="1"/>
  <c r="R1444" i="1" s="1"/>
  <c r="R1445" i="1" a="1"/>
  <c r="R1445" i="1" s="1"/>
  <c r="R1446" i="1" a="1"/>
  <c r="R1446" i="1" s="1"/>
  <c r="R1447" i="1" a="1"/>
  <c r="R1447" i="1" s="1"/>
  <c r="R1448" i="1" a="1"/>
  <c r="R1448" i="1" s="1"/>
  <c r="R1449" i="1" a="1"/>
  <c r="R1449" i="1" s="1"/>
  <c r="R1450" i="1" a="1"/>
  <c r="R1450" i="1" s="1"/>
  <c r="R1451" i="1" a="1"/>
  <c r="R1451" i="1" s="1"/>
  <c r="R1452" i="1" a="1"/>
  <c r="R1452" i="1" s="1"/>
  <c r="R1453" i="1" a="1"/>
  <c r="R1453" i="1" s="1"/>
  <c r="R1454" i="1" a="1"/>
  <c r="R1454" i="1" s="1"/>
  <c r="R1455" i="1" a="1"/>
  <c r="R1455" i="1" s="1"/>
  <c r="R1456" i="1" a="1"/>
  <c r="R1456" i="1" s="1"/>
  <c r="R1457" i="1" a="1"/>
  <c r="R1457" i="1" s="1"/>
  <c r="R1458" i="1" a="1"/>
  <c r="R1458" i="1" s="1"/>
  <c r="R1459" i="1" a="1"/>
  <c r="R1459" i="1" s="1"/>
  <c r="R1460" i="1" a="1"/>
  <c r="R1460" i="1" s="1"/>
  <c r="R1461" i="1" a="1"/>
  <c r="R1461" i="1" s="1"/>
  <c r="R1462" i="1" a="1"/>
  <c r="R1462" i="1" s="1"/>
  <c r="R1463" i="1" a="1"/>
  <c r="R1463" i="1" s="1"/>
  <c r="R1464" i="1" a="1"/>
  <c r="R1464" i="1" s="1"/>
  <c r="R1465" i="1" a="1"/>
  <c r="R1465" i="1" s="1"/>
  <c r="R1466" i="1" a="1"/>
  <c r="R1466" i="1" s="1"/>
  <c r="R1467" i="1" a="1"/>
  <c r="R1467" i="1" s="1"/>
  <c r="R1468" i="1" a="1"/>
  <c r="R1468" i="1" s="1"/>
  <c r="R1469" i="1" a="1"/>
  <c r="R1469" i="1" s="1"/>
  <c r="R1470" i="1" a="1"/>
  <c r="R1470" i="1" s="1"/>
  <c r="R1471" i="1" a="1"/>
  <c r="R1471" i="1" s="1"/>
  <c r="R1472" i="1" a="1"/>
  <c r="R1472" i="1" s="1"/>
  <c r="R1473" i="1" a="1"/>
  <c r="R1473" i="1" s="1"/>
  <c r="R1474" i="1" a="1"/>
  <c r="R1474" i="1" s="1"/>
  <c r="R1475" i="1" a="1"/>
  <c r="R1475" i="1" s="1"/>
  <c r="R1476" i="1" a="1"/>
  <c r="R1476" i="1" s="1"/>
  <c r="R1477" i="1" a="1"/>
  <c r="R1477" i="1" s="1"/>
  <c r="R1478" i="1" a="1"/>
  <c r="R1478" i="1" s="1"/>
  <c r="R1479" i="1" a="1"/>
  <c r="R1479" i="1" s="1"/>
  <c r="R1480" i="1" a="1"/>
  <c r="R1480" i="1" s="1"/>
  <c r="R1481" i="1" a="1"/>
  <c r="R1481" i="1" s="1"/>
  <c r="R1482" i="1" a="1"/>
  <c r="R1482" i="1" s="1"/>
  <c r="R1483" i="1" a="1"/>
  <c r="R1483" i="1" s="1"/>
  <c r="R1484" i="1" a="1"/>
  <c r="R1484" i="1" s="1"/>
  <c r="R1485" i="1" a="1"/>
  <c r="R1485" i="1" s="1"/>
  <c r="R1486" i="1" a="1"/>
  <c r="R1486" i="1"/>
  <c r="R1487" i="1" a="1"/>
  <c r="R1487" i="1" s="1"/>
  <c r="R1488" i="1" a="1"/>
  <c r="R1488" i="1" s="1"/>
  <c r="R1489" i="1" a="1"/>
  <c r="R1489" i="1" s="1"/>
  <c r="R1490" i="1" a="1"/>
  <c r="R1490" i="1"/>
  <c r="R1491" i="1" a="1"/>
  <c r="R1491" i="1" s="1"/>
  <c r="R1492" i="1" a="1"/>
  <c r="R1492" i="1" s="1"/>
  <c r="R1493" i="1" a="1"/>
  <c r="R1493" i="1" s="1"/>
  <c r="R1494" i="1" a="1"/>
  <c r="R1494" i="1" s="1"/>
  <c r="R1495" i="1" a="1"/>
  <c r="R1495" i="1" s="1"/>
  <c r="R1496" i="1" a="1"/>
  <c r="R1496" i="1" s="1"/>
  <c r="R1497" i="1" a="1"/>
  <c r="R1497" i="1" s="1"/>
  <c r="R1498" i="1" a="1"/>
  <c r="R1498" i="1" s="1"/>
  <c r="R1499" i="1" a="1"/>
  <c r="R1499" i="1" s="1"/>
  <c r="R1500" i="1" a="1"/>
  <c r="R1500" i="1" s="1"/>
  <c r="R1501" i="1" a="1"/>
  <c r="R1501" i="1" s="1"/>
  <c r="R1502" i="1" a="1"/>
  <c r="R1502" i="1" s="1"/>
  <c r="R1503" i="1" a="1"/>
  <c r="R1503" i="1" s="1"/>
  <c r="R1504" i="1" a="1"/>
  <c r="R1504" i="1" s="1"/>
  <c r="R1505" i="1" a="1"/>
  <c r="R1505" i="1" s="1"/>
  <c r="R1506" i="1" a="1"/>
  <c r="R1506" i="1" s="1"/>
  <c r="R1507" i="1" a="1"/>
  <c r="R1507" i="1" s="1"/>
  <c r="R1508" i="1" a="1"/>
  <c r="R1508" i="1" s="1"/>
  <c r="R1509" i="1" a="1"/>
  <c r="R1509" i="1" s="1"/>
  <c r="R1510" i="1" a="1"/>
  <c r="R1510" i="1" s="1"/>
  <c r="R1511" i="1" a="1"/>
  <c r="R1511" i="1" s="1"/>
  <c r="R1512" i="1" a="1"/>
  <c r="R1512" i="1" s="1"/>
  <c r="R1513" i="1" a="1"/>
  <c r="R1513" i="1" s="1"/>
  <c r="R1514" i="1" a="1"/>
  <c r="R1514" i="1" s="1"/>
  <c r="R1515" i="1" a="1"/>
  <c r="R1515" i="1" s="1"/>
  <c r="R1516" i="1" a="1"/>
  <c r="R1516" i="1" s="1"/>
  <c r="R1517" i="1" a="1"/>
  <c r="R1517" i="1" s="1"/>
  <c r="R1518" i="1" a="1"/>
  <c r="R1518" i="1" s="1"/>
  <c r="R1519" i="1" a="1"/>
  <c r="R1519" i="1" s="1"/>
  <c r="R1520" i="1" a="1"/>
  <c r="R1520" i="1" s="1"/>
  <c r="R1521" i="1" a="1"/>
  <c r="R1521" i="1" s="1"/>
  <c r="R1522" i="1" a="1"/>
  <c r="R1522" i="1" s="1"/>
  <c r="R1523" i="1" a="1"/>
  <c r="R1523" i="1" s="1"/>
  <c r="R1524" i="1" a="1"/>
  <c r="R1524" i="1" s="1"/>
  <c r="R1525" i="1" a="1"/>
  <c r="R1525" i="1" s="1"/>
  <c r="R1526" i="1" a="1"/>
  <c r="R1526" i="1"/>
  <c r="R1527" i="1" a="1"/>
  <c r="R1527" i="1" s="1"/>
  <c r="R1528" i="1" a="1"/>
  <c r="R1528" i="1" s="1"/>
  <c r="R1529" i="1" a="1"/>
  <c r="R1529" i="1" s="1"/>
  <c r="R1530" i="1" a="1"/>
  <c r="R1530" i="1" s="1"/>
  <c r="R1531" i="1" a="1"/>
  <c r="R1531" i="1" s="1"/>
  <c r="R1532" i="1" a="1"/>
  <c r="R1532" i="1" s="1"/>
  <c r="R1533" i="1" a="1"/>
  <c r="R1533" i="1" s="1"/>
  <c r="R1534" i="1" a="1"/>
  <c r="R1534" i="1" s="1"/>
  <c r="R1535" i="1" a="1"/>
  <c r="R1535" i="1" s="1"/>
  <c r="R1536" i="1" a="1"/>
  <c r="R1536" i="1" s="1"/>
  <c r="R1537" i="1" a="1"/>
  <c r="R1537" i="1" s="1"/>
  <c r="R1538" i="1" a="1"/>
  <c r="R1538" i="1" s="1"/>
  <c r="R1539" i="1" a="1"/>
  <c r="R1539" i="1" s="1"/>
  <c r="R1540" i="1" a="1"/>
  <c r="R1540" i="1" s="1"/>
  <c r="R1541" i="1" a="1"/>
  <c r="R1541" i="1" s="1"/>
  <c r="R1542" i="1" a="1"/>
  <c r="R1542" i="1" s="1"/>
  <c r="R1543" i="1" a="1"/>
  <c r="R1543" i="1" s="1"/>
  <c r="R1544" i="1" a="1"/>
  <c r="R1544" i="1" s="1"/>
  <c r="R1545" i="1" a="1"/>
  <c r="R1545" i="1" s="1"/>
  <c r="R1546" i="1" a="1"/>
  <c r="R1546" i="1" s="1"/>
  <c r="R1547" i="1" a="1"/>
  <c r="R1547" i="1" s="1"/>
  <c r="R1548" i="1" a="1"/>
  <c r="R1548" i="1" s="1"/>
  <c r="R1549" i="1" a="1"/>
  <c r="R1549" i="1" s="1"/>
  <c r="R1550" i="1" a="1"/>
  <c r="R1550" i="1" s="1"/>
  <c r="R1551" i="1" a="1"/>
  <c r="R1551" i="1" s="1"/>
  <c r="R1552" i="1" a="1"/>
  <c r="R1552" i="1" s="1"/>
  <c r="R1553" i="1" a="1"/>
  <c r="R1553" i="1" s="1"/>
  <c r="R1554" i="1" a="1"/>
  <c r="R1554" i="1" s="1"/>
  <c r="R1555" i="1" a="1"/>
  <c r="R1555" i="1" s="1"/>
  <c r="R1556" i="1" a="1"/>
  <c r="R1556" i="1" s="1"/>
  <c r="R1557" i="1" a="1"/>
  <c r="R1557" i="1" s="1"/>
  <c r="R1558" i="1" a="1"/>
  <c r="R1558" i="1" s="1"/>
  <c r="R1559" i="1" a="1"/>
  <c r="R1559" i="1" s="1"/>
  <c r="R1560" i="1" a="1"/>
  <c r="R1560" i="1" s="1"/>
  <c r="R1561" i="1" a="1"/>
  <c r="R1561" i="1" s="1"/>
  <c r="R1562" i="1" a="1"/>
  <c r="R1562" i="1" s="1"/>
  <c r="R1563" i="1" a="1"/>
  <c r="R1563" i="1" s="1"/>
  <c r="R1564" i="1" a="1"/>
  <c r="R1564" i="1" s="1"/>
  <c r="R1565" i="1" a="1"/>
  <c r="R1565" i="1" s="1"/>
  <c r="R1566" i="1" a="1"/>
  <c r="R1566" i="1" s="1"/>
  <c r="R1567" i="1" a="1"/>
  <c r="R1567" i="1" s="1"/>
  <c r="R1568" i="1" a="1"/>
  <c r="R1568" i="1" s="1"/>
  <c r="R1569" i="1" a="1"/>
  <c r="R1569" i="1" s="1"/>
  <c r="R1570" i="1" a="1"/>
  <c r="R1570" i="1" s="1"/>
  <c r="R1571" i="1" a="1"/>
  <c r="R1571" i="1" s="1"/>
  <c r="R1572" i="1" a="1"/>
  <c r="R1572" i="1" s="1"/>
  <c r="R1573" i="1" a="1"/>
  <c r="R1573" i="1" s="1"/>
  <c r="R1574" i="1" a="1"/>
  <c r="R1574" i="1" s="1"/>
  <c r="R1575" i="1" a="1"/>
  <c r="R1575" i="1" s="1"/>
  <c r="R1576" i="1" a="1"/>
  <c r="R1576" i="1" s="1"/>
  <c r="R1577" i="1" a="1"/>
  <c r="R1577" i="1" s="1"/>
  <c r="R1578" i="1" a="1"/>
  <c r="R1578" i="1" s="1"/>
  <c r="R1579" i="1" a="1"/>
  <c r="R1579" i="1" s="1"/>
  <c r="R1580" i="1" a="1"/>
  <c r="R1580" i="1" s="1"/>
  <c r="R1581" i="1" a="1"/>
  <c r="R1581" i="1" s="1"/>
  <c r="R1582" i="1" a="1"/>
  <c r="R1582" i="1" s="1"/>
  <c r="R1583" i="1" a="1"/>
  <c r="R1583" i="1" s="1"/>
  <c r="R1584" i="1" a="1"/>
  <c r="R1584" i="1" s="1"/>
  <c r="R1585" i="1" a="1"/>
  <c r="R1585" i="1" s="1"/>
  <c r="R1586" i="1" a="1"/>
  <c r="R1586" i="1" s="1"/>
  <c r="R1587" i="1" a="1"/>
  <c r="R1587" i="1" s="1"/>
  <c r="R1588" i="1" a="1"/>
  <c r="R1588" i="1" s="1"/>
  <c r="R1589" i="1" a="1"/>
  <c r="R1589" i="1" s="1"/>
  <c r="R1590" i="1" a="1"/>
  <c r="R1590" i="1" s="1"/>
  <c r="R1591" i="1" a="1"/>
  <c r="R1591" i="1" s="1"/>
  <c r="R1592" i="1" a="1"/>
  <c r="R1592" i="1" s="1"/>
  <c r="R1593" i="1" a="1"/>
  <c r="R1593" i="1" s="1"/>
  <c r="R1594" i="1" a="1"/>
  <c r="R1594" i="1" s="1"/>
  <c r="R1595" i="1" a="1"/>
  <c r="R1595" i="1" s="1"/>
  <c r="R1596" i="1" a="1"/>
  <c r="R1596" i="1" s="1"/>
  <c r="R1597" i="1" a="1"/>
  <c r="R1597" i="1" s="1"/>
  <c r="R1598" i="1" a="1"/>
  <c r="R1598" i="1" s="1"/>
  <c r="R1599" i="1" a="1"/>
  <c r="R1599" i="1" s="1"/>
  <c r="R1600" i="1" a="1"/>
  <c r="R1600" i="1" s="1"/>
  <c r="R1601" i="1" a="1"/>
  <c r="R1601" i="1" s="1"/>
  <c r="R1602" i="1" a="1"/>
  <c r="R1602" i="1" s="1"/>
  <c r="R1603" i="1" a="1"/>
  <c r="R1603" i="1" s="1"/>
  <c r="R1604" i="1" a="1"/>
  <c r="R1604" i="1" s="1"/>
  <c r="R1605" i="1" a="1"/>
  <c r="R1605" i="1" s="1"/>
  <c r="R1606" i="1" a="1"/>
  <c r="R1606" i="1" s="1"/>
  <c r="R1607" i="1" a="1"/>
  <c r="R1607" i="1" s="1"/>
  <c r="R1608" i="1" a="1"/>
  <c r="R1608" i="1" s="1"/>
  <c r="R1609" i="1" a="1"/>
  <c r="R1609" i="1" s="1"/>
  <c r="R1610" i="1" a="1"/>
  <c r="R1610" i="1" s="1"/>
  <c r="R1611" i="1" a="1"/>
  <c r="R1611" i="1" s="1"/>
  <c r="R1612" i="1" a="1"/>
  <c r="R1612" i="1" s="1"/>
  <c r="R1613" i="1" a="1"/>
  <c r="R1613" i="1" s="1"/>
  <c r="R1614" i="1" a="1"/>
  <c r="R1614" i="1" s="1"/>
  <c r="R1615" i="1" a="1"/>
  <c r="R1615" i="1" s="1"/>
  <c r="R1616" i="1" a="1"/>
  <c r="R1616" i="1" s="1"/>
  <c r="R1617" i="1" a="1"/>
  <c r="R1617" i="1" s="1"/>
  <c r="R1618" i="1" a="1"/>
  <c r="R1618" i="1" s="1"/>
  <c r="R1619" i="1" a="1"/>
  <c r="R1619" i="1" s="1"/>
  <c r="R1620" i="1" a="1"/>
  <c r="R1620" i="1" s="1"/>
  <c r="R1621" i="1" a="1"/>
  <c r="R1621" i="1" s="1"/>
  <c r="R1622" i="1" a="1"/>
  <c r="R1622" i="1" s="1"/>
  <c r="R1623" i="1" a="1"/>
  <c r="R1623" i="1" s="1"/>
  <c r="R1624" i="1" a="1"/>
  <c r="R1624" i="1" s="1"/>
  <c r="R1625" i="1" a="1"/>
  <c r="R1625" i="1" s="1"/>
  <c r="R1626" i="1" a="1"/>
  <c r="R1626" i="1" s="1"/>
  <c r="R1627" i="1" a="1"/>
  <c r="R1627" i="1" s="1"/>
  <c r="R1628" i="1" a="1"/>
  <c r="R1628" i="1" s="1"/>
  <c r="R1629" i="1" a="1"/>
  <c r="R1629" i="1" s="1"/>
  <c r="R1630" i="1" a="1"/>
  <c r="R1630" i="1" s="1"/>
  <c r="R1631" i="1" a="1"/>
  <c r="R1631" i="1" s="1"/>
  <c r="R1632" i="1" a="1"/>
  <c r="R1632" i="1" s="1"/>
  <c r="R1633" i="1" a="1"/>
  <c r="R1633" i="1" s="1"/>
  <c r="R1634" i="1" a="1"/>
  <c r="R1634" i="1" s="1"/>
  <c r="R1635" i="1" a="1"/>
  <c r="R1635" i="1" s="1"/>
  <c r="R1636" i="1" a="1"/>
  <c r="R1636" i="1" s="1"/>
  <c r="R1637" i="1" a="1"/>
  <c r="R1637" i="1" s="1"/>
  <c r="R1638" i="1" a="1"/>
  <c r="R1638" i="1" s="1"/>
  <c r="R1639" i="1" a="1"/>
  <c r="R1639" i="1" s="1"/>
  <c r="R1640" i="1" a="1"/>
  <c r="R1640" i="1" s="1"/>
  <c r="R1641" i="1" a="1"/>
  <c r="R1641" i="1" s="1"/>
  <c r="R1642" i="1" a="1"/>
  <c r="R1642" i="1" s="1"/>
  <c r="R1643" i="1" a="1"/>
  <c r="R1643" i="1" s="1"/>
  <c r="R1644" i="1" a="1"/>
  <c r="R1644" i="1" s="1"/>
  <c r="R1645" i="1" a="1"/>
  <c r="R1645" i="1" s="1"/>
  <c r="R1646" i="1" a="1"/>
  <c r="R1646" i="1" s="1"/>
  <c r="R1647" i="1" a="1"/>
  <c r="R1647" i="1" s="1"/>
  <c r="R1648" i="1" a="1"/>
  <c r="R1648" i="1" s="1"/>
  <c r="R1649" i="1" a="1"/>
  <c r="R1649" i="1" s="1"/>
  <c r="R1650" i="1" a="1"/>
  <c r="R1650" i="1" s="1"/>
  <c r="R1651" i="1" a="1"/>
  <c r="R1651" i="1" s="1"/>
  <c r="R1652" i="1" a="1"/>
  <c r="R1652" i="1" s="1"/>
  <c r="R1653" i="1" a="1"/>
  <c r="R1653" i="1" s="1"/>
  <c r="R1654" i="1" a="1"/>
  <c r="R1654" i="1" s="1"/>
  <c r="R1655" i="1" a="1"/>
  <c r="R1655" i="1" s="1"/>
  <c r="R1656" i="1" a="1"/>
  <c r="R1656" i="1" s="1"/>
  <c r="R1657" i="1" a="1"/>
  <c r="R1657" i="1" s="1"/>
  <c r="R1658" i="1" a="1"/>
  <c r="R1658" i="1" s="1"/>
  <c r="R1659" i="1" a="1"/>
  <c r="R1659" i="1" s="1"/>
  <c r="R1660" i="1" a="1"/>
  <c r="R1660" i="1" s="1"/>
  <c r="R1661" i="1" a="1"/>
  <c r="R1661" i="1" s="1"/>
  <c r="R1662" i="1" a="1"/>
  <c r="R1662" i="1" s="1"/>
  <c r="R1663" i="1" a="1"/>
  <c r="R1663" i="1" s="1"/>
  <c r="R1664" i="1" a="1"/>
  <c r="R1664" i="1" s="1"/>
  <c r="R1665" i="1" a="1"/>
  <c r="R1665" i="1" s="1"/>
  <c r="R1666" i="1" a="1"/>
  <c r="R1666" i="1" s="1"/>
  <c r="R1667" i="1" a="1"/>
  <c r="R1667" i="1" s="1"/>
  <c r="R1668" i="1" a="1"/>
  <c r="R1668" i="1" s="1"/>
  <c r="R1669" i="1" a="1"/>
  <c r="R1669" i="1" s="1"/>
  <c r="R1670" i="1" a="1"/>
  <c r="R1670" i="1" s="1"/>
  <c r="R1671" i="1" a="1"/>
  <c r="R1671" i="1" s="1"/>
  <c r="R1672" i="1" a="1"/>
  <c r="R1672" i="1" s="1"/>
  <c r="R1673" i="1" a="1"/>
  <c r="R1673" i="1" s="1"/>
  <c r="R1674" i="1" a="1"/>
  <c r="R1674" i="1" s="1"/>
  <c r="R1675" i="1" a="1"/>
  <c r="R1675" i="1" s="1"/>
  <c r="R1676" i="1" a="1"/>
  <c r="R1676" i="1" s="1"/>
  <c r="R1677" i="1" a="1"/>
  <c r="R1677" i="1" s="1"/>
  <c r="R1678" i="1" a="1"/>
  <c r="R1678" i="1"/>
  <c r="R1679" i="1" a="1"/>
  <c r="R1679" i="1" s="1"/>
  <c r="R1680" i="1" a="1"/>
  <c r="R1680" i="1" s="1"/>
  <c r="R1681" i="1" a="1"/>
  <c r="R1681" i="1" s="1"/>
  <c r="R1682" i="1" a="1"/>
  <c r="R1682" i="1" s="1"/>
  <c r="R1683" i="1" a="1"/>
  <c r="R1683" i="1" s="1"/>
  <c r="R1684" i="1" a="1"/>
  <c r="R1684" i="1" s="1"/>
  <c r="R1685" i="1" a="1"/>
  <c r="R1685" i="1" s="1"/>
  <c r="R1686" i="1" a="1"/>
  <c r="R1686" i="1" s="1"/>
  <c r="R1687" i="1" a="1"/>
  <c r="R1687" i="1" s="1"/>
  <c r="R1688" i="1" a="1"/>
  <c r="R1688" i="1" s="1"/>
  <c r="R1689" i="1" a="1"/>
  <c r="R1689" i="1" s="1"/>
  <c r="R1690" i="1" a="1"/>
  <c r="R1690" i="1" s="1"/>
  <c r="R1691" i="1" a="1"/>
  <c r="R1691" i="1" s="1"/>
  <c r="R1692" i="1" a="1"/>
  <c r="R1692" i="1" s="1"/>
  <c r="R1693" i="1" a="1"/>
  <c r="R1693" i="1" s="1"/>
  <c r="R1694" i="1" a="1"/>
  <c r="R1694" i="1" s="1"/>
  <c r="R1695" i="1" a="1"/>
  <c r="R1695" i="1" s="1"/>
  <c r="R1696" i="1" a="1"/>
  <c r="R1696" i="1" s="1"/>
  <c r="R1697" i="1" a="1"/>
  <c r="R1697" i="1" s="1"/>
  <c r="R1698" i="1" a="1"/>
  <c r="R1698" i="1" s="1"/>
  <c r="R1699" i="1" a="1"/>
  <c r="R1699" i="1" s="1"/>
  <c r="R1700" i="1" a="1"/>
  <c r="R1700" i="1" s="1"/>
  <c r="R1701" i="1" a="1"/>
  <c r="R1701" i="1" s="1"/>
  <c r="R1702" i="1" a="1"/>
  <c r="R1702" i="1" s="1"/>
  <c r="R1703" i="1" a="1"/>
  <c r="R1703" i="1" s="1"/>
  <c r="R1704" i="1" a="1"/>
  <c r="R1704" i="1" s="1"/>
  <c r="R1705" i="1" a="1"/>
  <c r="R1705" i="1" s="1"/>
  <c r="R1706" i="1" a="1"/>
  <c r="R1706" i="1" s="1"/>
  <c r="R1707" i="1" a="1"/>
  <c r="R1707" i="1" s="1"/>
  <c r="R1708" i="1" a="1"/>
  <c r="R1708" i="1" s="1"/>
  <c r="R1709" i="1" a="1"/>
  <c r="R1709" i="1" s="1"/>
  <c r="R1710" i="1" a="1"/>
  <c r="R1710" i="1" s="1"/>
  <c r="R1711" i="1" a="1"/>
  <c r="R1711" i="1" s="1"/>
  <c r="R1712" i="1" a="1"/>
  <c r="R1712" i="1" s="1"/>
  <c r="R1713" i="1" a="1"/>
  <c r="R1713" i="1" s="1"/>
  <c r="R1714" i="1" a="1"/>
  <c r="R1714" i="1" s="1"/>
  <c r="R1715" i="1" a="1"/>
  <c r="R1715" i="1" s="1"/>
  <c r="R1716" i="1" a="1"/>
  <c r="R1716" i="1" s="1"/>
  <c r="R1717" i="1" a="1"/>
  <c r="R1717" i="1" s="1"/>
  <c r="R1718" i="1" a="1"/>
  <c r="R1718" i="1" s="1"/>
  <c r="R1719" i="1" a="1"/>
  <c r="R1719" i="1" s="1"/>
  <c r="R1720" i="1" a="1"/>
  <c r="R1720" i="1" s="1"/>
  <c r="R1721" i="1" a="1"/>
  <c r="R1721" i="1" s="1"/>
  <c r="R1722" i="1" a="1"/>
  <c r="R1722" i="1" s="1"/>
  <c r="R1723" i="1" a="1"/>
  <c r="R1723" i="1" s="1"/>
  <c r="R1724" i="1" a="1"/>
  <c r="R1724" i="1" s="1"/>
  <c r="R1725" i="1" a="1"/>
  <c r="R1725" i="1" s="1"/>
  <c r="R1726" i="1" a="1"/>
  <c r="R1726" i="1" s="1"/>
  <c r="R1727" i="1" a="1"/>
  <c r="R1727" i="1" s="1"/>
  <c r="R1728" i="1" a="1"/>
  <c r="R1728" i="1" s="1"/>
  <c r="R1729" i="1" a="1"/>
  <c r="R1729" i="1" s="1"/>
  <c r="R1730" i="1" a="1"/>
  <c r="R1730" i="1" s="1"/>
  <c r="R1731" i="1" a="1"/>
  <c r="R1731" i="1" s="1"/>
  <c r="R1732" i="1" a="1"/>
  <c r="R1732" i="1" s="1"/>
  <c r="R1733" i="1" a="1"/>
  <c r="R1733" i="1" s="1"/>
  <c r="R1734" i="1" a="1"/>
  <c r="R1734" i="1" s="1"/>
  <c r="R1735" i="1" a="1"/>
  <c r="R1735" i="1" s="1"/>
  <c r="R1736" i="1" a="1"/>
  <c r="R1736" i="1" s="1"/>
  <c r="R1737" i="1" a="1"/>
  <c r="R1737" i="1" s="1"/>
  <c r="R1738" i="1" a="1"/>
  <c r="R1738" i="1" s="1"/>
  <c r="R1739" i="1" a="1"/>
  <c r="R1739" i="1" s="1"/>
  <c r="R1740" i="1" a="1"/>
  <c r="R1740" i="1" s="1"/>
  <c r="R1741" i="1" a="1"/>
  <c r="R1741" i="1" s="1"/>
  <c r="R1742" i="1" a="1"/>
  <c r="R1742" i="1" s="1"/>
  <c r="R1743" i="1" a="1"/>
  <c r="R1743" i="1" s="1"/>
  <c r="R1744" i="1" a="1"/>
  <c r="R1744" i="1" s="1"/>
  <c r="R1745" i="1" a="1"/>
  <c r="R1745" i="1" s="1"/>
  <c r="R1746" i="1" a="1"/>
  <c r="R1746" i="1"/>
  <c r="R1747" i="1" a="1"/>
  <c r="R1747" i="1" s="1"/>
  <c r="R1748" i="1" a="1"/>
  <c r="R1748" i="1" s="1"/>
  <c r="R1749" i="1" a="1"/>
  <c r="R1749" i="1" s="1"/>
  <c r="R1750" i="1" a="1"/>
  <c r="R1750" i="1" s="1"/>
  <c r="R1751" i="1" a="1"/>
  <c r="R1751" i="1" s="1"/>
  <c r="R1752" i="1" a="1"/>
  <c r="R1752" i="1" s="1"/>
  <c r="R1753" i="1" a="1"/>
  <c r="R1753" i="1" s="1"/>
  <c r="R1754" i="1" a="1"/>
  <c r="R1754" i="1" s="1"/>
  <c r="R1755" i="1" a="1"/>
  <c r="R1755" i="1" s="1"/>
  <c r="R1756" i="1" a="1"/>
  <c r="R1756" i="1" s="1"/>
  <c r="R1757" i="1" a="1"/>
  <c r="R1757" i="1" s="1"/>
  <c r="R1758" i="1" a="1"/>
  <c r="R1758" i="1"/>
  <c r="R1759" i="1" a="1"/>
  <c r="R1759" i="1" s="1"/>
  <c r="R1760" i="1" a="1"/>
  <c r="R1760" i="1" s="1"/>
  <c r="R1761" i="1" a="1"/>
  <c r="R1761" i="1" s="1"/>
  <c r="R1762" i="1" a="1"/>
  <c r="R1762" i="1" s="1"/>
  <c r="R1763" i="1" a="1"/>
  <c r="R1763" i="1" s="1"/>
  <c r="R1764" i="1" a="1"/>
  <c r="R1764" i="1" s="1"/>
  <c r="R1765" i="1" a="1"/>
  <c r="R1765" i="1" s="1"/>
  <c r="R1766" i="1" a="1"/>
  <c r="R1766" i="1" s="1"/>
  <c r="R1767" i="1" a="1"/>
  <c r="R1767" i="1" s="1"/>
  <c r="R1768" i="1" a="1"/>
  <c r="R1768" i="1" s="1"/>
  <c r="R1769" i="1" a="1"/>
  <c r="R1769" i="1" s="1"/>
  <c r="R1770" i="1" a="1"/>
  <c r="R1770" i="1" s="1"/>
  <c r="R1771" i="1" a="1"/>
  <c r="R1771" i="1" s="1"/>
  <c r="R1772" i="1" a="1"/>
  <c r="R1772" i="1" s="1"/>
  <c r="R1773" i="1" a="1"/>
  <c r="R1773" i="1" s="1"/>
  <c r="R1774" i="1" a="1"/>
  <c r="R1774" i="1" s="1"/>
  <c r="R1775" i="1" a="1"/>
  <c r="R1775" i="1" s="1"/>
  <c r="R1776" i="1" a="1"/>
  <c r="R1776" i="1" s="1"/>
  <c r="R1777" i="1" a="1"/>
  <c r="R1777" i="1" s="1"/>
  <c r="R1778" i="1" a="1"/>
  <c r="R1778" i="1" s="1"/>
  <c r="R1779" i="1" a="1"/>
  <c r="R1779" i="1" s="1"/>
  <c r="R1780" i="1" a="1"/>
  <c r="R1780" i="1" s="1"/>
  <c r="R1781" i="1" a="1"/>
  <c r="R1781" i="1" s="1"/>
  <c r="R1782" i="1" a="1"/>
  <c r="R1782" i="1" s="1"/>
  <c r="R1783" i="1" a="1"/>
  <c r="R1783" i="1" s="1"/>
  <c r="R1784" i="1" a="1"/>
  <c r="R1784" i="1" s="1"/>
  <c r="R1785" i="1" a="1"/>
  <c r="R1785" i="1" s="1"/>
  <c r="R1786" i="1" a="1"/>
  <c r="R1786" i="1" s="1"/>
  <c r="R1787" i="1" a="1"/>
  <c r="R1787" i="1" s="1"/>
  <c r="R1788" i="1" a="1"/>
  <c r="R1788" i="1" s="1"/>
  <c r="R1789" i="1" a="1"/>
  <c r="R1789" i="1" s="1"/>
  <c r="R1790" i="1" a="1"/>
  <c r="R1790" i="1" s="1"/>
  <c r="R1791" i="1" a="1"/>
  <c r="R1791" i="1" s="1"/>
  <c r="R1792" i="1" a="1"/>
  <c r="R1792" i="1" s="1"/>
  <c r="R1793" i="1" a="1"/>
  <c r="R1793" i="1" s="1"/>
  <c r="R1794" i="1" a="1"/>
  <c r="R1794" i="1"/>
  <c r="R1795" i="1" a="1"/>
  <c r="R1795" i="1" s="1"/>
  <c r="R1796" i="1" a="1"/>
  <c r="R1796" i="1" s="1"/>
  <c r="R1797" i="1" a="1"/>
  <c r="R1797" i="1" s="1"/>
  <c r="R1798" i="1" a="1"/>
  <c r="R1798" i="1" s="1"/>
  <c r="R1799" i="1" a="1"/>
  <c r="R1799" i="1" s="1"/>
  <c r="R1800" i="1" a="1"/>
  <c r="R1800" i="1" s="1"/>
  <c r="R1801" i="1" a="1"/>
  <c r="R1801" i="1"/>
  <c r="R1802" i="1" a="1"/>
  <c r="R1802" i="1" s="1"/>
  <c r="R1803" i="1" a="1"/>
  <c r="R1803" i="1" s="1"/>
  <c r="R1804" i="1" a="1"/>
  <c r="R1804" i="1" s="1"/>
  <c r="R1805" i="1" a="1"/>
  <c r="R1805" i="1" s="1"/>
  <c r="R1806" i="1" a="1"/>
  <c r="R1806" i="1" s="1"/>
  <c r="R1807" i="1" a="1"/>
  <c r="R1807" i="1" s="1"/>
  <c r="R1808" i="1" a="1"/>
  <c r="R1808" i="1" s="1"/>
  <c r="R1809" i="1" a="1"/>
  <c r="R1809" i="1" s="1"/>
  <c r="R1810" i="1" a="1"/>
  <c r="R1810" i="1" s="1"/>
  <c r="R1811" i="1" a="1"/>
  <c r="R1811" i="1"/>
  <c r="R1812" i="1" a="1"/>
  <c r="R1812" i="1" s="1"/>
  <c r="R1813" i="1" a="1"/>
  <c r="R1813" i="1" s="1"/>
  <c r="R1814" i="1" a="1"/>
  <c r="R1814" i="1" s="1"/>
  <c r="R1815" i="1" a="1"/>
  <c r="R1815" i="1" s="1"/>
  <c r="R1816" i="1" a="1"/>
  <c r="R1816" i="1" s="1"/>
  <c r="R1817" i="1" a="1"/>
  <c r="R1817" i="1"/>
  <c r="R1818" i="1" a="1"/>
  <c r="R1818" i="1" s="1"/>
  <c r="R1819" i="1" a="1"/>
  <c r="R1819" i="1" s="1"/>
  <c r="R1820" i="1" a="1"/>
  <c r="R1820" i="1" s="1"/>
  <c r="R1821" i="1" a="1"/>
  <c r="R1821" i="1" s="1"/>
  <c r="R1822" i="1" a="1"/>
  <c r="R1822" i="1" s="1"/>
  <c r="R1823" i="1" a="1"/>
  <c r="R1823" i="1" s="1"/>
  <c r="R1824" i="1" a="1"/>
  <c r="R1824" i="1" s="1"/>
  <c r="R1825" i="1" a="1"/>
  <c r="R1825" i="1" s="1"/>
  <c r="R1826" i="1" a="1"/>
  <c r="R1826" i="1" s="1"/>
  <c r="R1827" i="1" a="1"/>
  <c r="R1827" i="1" s="1"/>
  <c r="R1828" i="1" a="1"/>
  <c r="R1828" i="1" s="1"/>
  <c r="R1829" i="1" a="1"/>
  <c r="R1829" i="1" s="1"/>
  <c r="R1830" i="1" a="1"/>
  <c r="R1830" i="1" s="1"/>
  <c r="R1831" i="1" a="1"/>
  <c r="R1831" i="1" s="1"/>
  <c r="R1832" i="1" a="1"/>
  <c r="R1832" i="1" s="1"/>
  <c r="R1833" i="1" a="1"/>
  <c r="R1833" i="1" s="1"/>
  <c r="R1834" i="1" a="1"/>
  <c r="R1834" i="1" s="1"/>
  <c r="R1835" i="1" a="1"/>
  <c r="R1835" i="1" s="1"/>
  <c r="R1836" i="1" a="1"/>
  <c r="R1836" i="1" s="1"/>
  <c r="R1837" i="1" a="1"/>
  <c r="R1837" i="1" s="1"/>
  <c r="R1838" i="1" a="1"/>
  <c r="R1838" i="1" s="1"/>
  <c r="R1839" i="1" a="1"/>
  <c r="R1839" i="1" s="1"/>
  <c r="R1840" i="1" a="1"/>
  <c r="R1840" i="1" s="1"/>
  <c r="R1841" i="1" a="1"/>
  <c r="R1841" i="1" s="1"/>
  <c r="R1842" i="1" a="1"/>
  <c r="R1842" i="1" s="1"/>
  <c r="R1843" i="1" a="1"/>
  <c r="R1843" i="1" s="1"/>
  <c r="R1844" i="1" a="1"/>
  <c r="R1844" i="1" s="1"/>
  <c r="R1845" i="1" a="1"/>
  <c r="R1845" i="1" s="1"/>
  <c r="R1846" i="1" a="1"/>
  <c r="R1846" i="1" s="1"/>
  <c r="R1847" i="1" a="1"/>
  <c r="R1847" i="1" s="1"/>
  <c r="R1848" i="1" a="1"/>
  <c r="R1848" i="1" s="1"/>
  <c r="R1849" i="1" a="1"/>
  <c r="R1849" i="1" s="1"/>
  <c r="R1850" i="1" a="1"/>
  <c r="R1850" i="1" s="1"/>
  <c r="R1851" i="1" a="1"/>
  <c r="R1851" i="1" s="1"/>
  <c r="R1852" i="1" a="1"/>
  <c r="R1852" i="1" s="1"/>
  <c r="R1853" i="1" a="1"/>
  <c r="R1853" i="1"/>
  <c r="R1854" i="1" a="1"/>
  <c r="R1854" i="1" s="1"/>
  <c r="R1855" i="1" a="1"/>
  <c r="R1855" i="1" s="1"/>
  <c r="R1856" i="1" a="1"/>
  <c r="R1856" i="1" s="1"/>
  <c r="R1857" i="1" a="1"/>
  <c r="R1857" i="1" s="1"/>
  <c r="R1858" i="1" a="1"/>
  <c r="R1858" i="1" s="1"/>
  <c r="R1859" i="1" a="1"/>
  <c r="R1859" i="1" s="1"/>
  <c r="R1860" i="1" a="1"/>
  <c r="R1860" i="1" s="1"/>
  <c r="R1861" i="1" a="1"/>
  <c r="R1861" i="1" s="1"/>
  <c r="R1862" i="1" a="1"/>
  <c r="R1862" i="1" s="1"/>
  <c r="R1863" i="1" a="1"/>
  <c r="R1863" i="1" s="1"/>
  <c r="R1864" i="1" a="1"/>
  <c r="R1864" i="1" s="1"/>
  <c r="R1865" i="1" a="1"/>
  <c r="R1865" i="1" s="1"/>
  <c r="R1866" i="1" a="1"/>
  <c r="R1866" i="1" s="1"/>
  <c r="R1867" i="1" a="1"/>
  <c r="R1867" i="1" s="1"/>
  <c r="R1868" i="1" a="1"/>
  <c r="R1868" i="1" s="1"/>
  <c r="R1869" i="1" a="1"/>
  <c r="R1869" i="1" s="1"/>
  <c r="R1870" i="1" a="1"/>
  <c r="R1870" i="1" s="1"/>
  <c r="R1871" i="1" a="1"/>
  <c r="R1871" i="1" s="1"/>
  <c r="R1872" i="1" a="1"/>
  <c r="R1872" i="1" s="1"/>
  <c r="R1873" i="1" a="1"/>
  <c r="R1873" i="1" s="1"/>
  <c r="R1874" i="1" a="1"/>
  <c r="R1874" i="1" s="1"/>
  <c r="R1875" i="1" a="1"/>
  <c r="R1875" i="1" s="1"/>
  <c r="R1876" i="1" a="1"/>
  <c r="R1876" i="1" s="1"/>
  <c r="R1877" i="1" a="1"/>
  <c r="R1877" i="1" s="1"/>
  <c r="R1878" i="1" a="1"/>
  <c r="R1878" i="1" s="1"/>
  <c r="R1879" i="1" a="1"/>
  <c r="R1879" i="1" s="1"/>
  <c r="R1880" i="1" a="1"/>
  <c r="R1880" i="1" s="1"/>
  <c r="R1881" i="1" a="1"/>
  <c r="R1881" i="1" s="1"/>
  <c r="R1882" i="1" a="1"/>
  <c r="R1882" i="1" s="1"/>
  <c r="R1883" i="1" a="1"/>
  <c r="R1883" i="1" s="1"/>
  <c r="R1884" i="1" a="1"/>
  <c r="R1884" i="1" s="1"/>
  <c r="R1885" i="1" a="1"/>
  <c r="R1885" i="1"/>
  <c r="R1886" i="1" a="1"/>
  <c r="R1886" i="1" s="1"/>
  <c r="R1887" i="1" a="1"/>
  <c r="R1887" i="1" s="1"/>
  <c r="R1888" i="1" a="1"/>
  <c r="R1888" i="1" s="1"/>
  <c r="R1889" i="1" a="1"/>
  <c r="R1889" i="1"/>
  <c r="R1890" i="1" a="1"/>
  <c r="R1890" i="1" s="1"/>
  <c r="R1891" i="1" a="1"/>
  <c r="R1891" i="1" s="1"/>
  <c r="R1892" i="1" a="1"/>
  <c r="R1892" i="1" s="1"/>
  <c r="R1893" i="1" a="1"/>
  <c r="R1893" i="1" s="1"/>
  <c r="R1894" i="1" a="1"/>
  <c r="R1894" i="1" s="1"/>
  <c r="R1895" i="1" a="1"/>
  <c r="R1895" i="1" s="1"/>
  <c r="R1896" i="1" a="1"/>
  <c r="R1896" i="1" s="1"/>
  <c r="R1897" i="1" a="1"/>
  <c r="R1897" i="1" s="1"/>
  <c r="R1898" i="1" a="1"/>
  <c r="R1898" i="1" s="1"/>
  <c r="R1899" i="1" a="1"/>
  <c r="R1899" i="1" s="1"/>
  <c r="R1900" i="1" a="1"/>
  <c r="R1900" i="1" s="1"/>
  <c r="R1901" i="1" a="1"/>
  <c r="R1901" i="1" s="1"/>
  <c r="R1902" i="1" a="1"/>
  <c r="R1902" i="1" s="1"/>
  <c r="R1903" i="1" a="1"/>
  <c r="R1903" i="1" s="1"/>
  <c r="R1904" i="1" a="1"/>
  <c r="R1904" i="1" s="1"/>
  <c r="R1905" i="1" a="1"/>
  <c r="R1905" i="1" s="1"/>
  <c r="R1906" i="1" a="1"/>
  <c r="R1906" i="1" s="1"/>
  <c r="R1907" i="1" a="1"/>
  <c r="R1907" i="1" s="1"/>
  <c r="R1908" i="1" a="1"/>
  <c r="R1908" i="1" s="1"/>
  <c r="R1909" i="1" a="1"/>
  <c r="R1909" i="1" s="1"/>
  <c r="R1910" i="1" a="1"/>
  <c r="R1910" i="1" s="1"/>
  <c r="R1911" i="1" a="1"/>
  <c r="R1911" i="1" s="1"/>
  <c r="R1912" i="1" a="1"/>
  <c r="R1912" i="1" s="1"/>
  <c r="R1913" i="1" a="1"/>
  <c r="R1913" i="1" s="1"/>
  <c r="R1914" i="1" a="1"/>
  <c r="R1914" i="1" s="1"/>
  <c r="R1915" i="1" a="1"/>
  <c r="R1915" i="1" s="1"/>
  <c r="R1916" i="1" a="1"/>
  <c r="R1916" i="1" s="1"/>
  <c r="R1917" i="1" a="1"/>
  <c r="R1917" i="1" s="1"/>
  <c r="R1918" i="1" a="1"/>
  <c r="R1918" i="1" s="1"/>
  <c r="R1919" i="1" a="1"/>
  <c r="R1919" i="1" s="1"/>
  <c r="R1920" i="1" a="1"/>
  <c r="R1920" i="1" s="1"/>
  <c r="R1921" i="1" a="1"/>
  <c r="R1921" i="1" s="1"/>
  <c r="R1922" i="1" a="1"/>
  <c r="R1922" i="1" s="1"/>
  <c r="R1923" i="1" a="1"/>
  <c r="R1923" i="1" s="1"/>
  <c r="R1924" i="1" a="1"/>
  <c r="R1924" i="1" s="1"/>
  <c r="R1925" i="1" a="1"/>
  <c r="R1925" i="1" s="1"/>
  <c r="R1926" i="1" a="1"/>
  <c r="R1926" i="1" s="1"/>
  <c r="R1927" i="1" a="1"/>
  <c r="R1927" i="1" s="1"/>
  <c r="R1928" i="1" a="1"/>
  <c r="R1928" i="1" s="1"/>
  <c r="R1929" i="1" a="1"/>
  <c r="R1929" i="1" s="1"/>
  <c r="R1930" i="1" a="1"/>
  <c r="R1930" i="1" s="1"/>
  <c r="R1931" i="1" a="1"/>
  <c r="R1931" i="1" s="1"/>
  <c r="R1932" i="1" a="1"/>
  <c r="R1932" i="1" s="1"/>
  <c r="R1933" i="1" a="1"/>
  <c r="R1933" i="1"/>
  <c r="R1934" i="1" a="1"/>
  <c r="R1934" i="1" s="1"/>
  <c r="R1935" i="1" a="1"/>
  <c r="R1935" i="1" s="1"/>
  <c r="R1936" i="1" a="1"/>
  <c r="R1936" i="1" s="1"/>
  <c r="R1937" i="1" a="1"/>
  <c r="R1937" i="1" s="1"/>
  <c r="R1938" i="1" a="1"/>
  <c r="R1938" i="1" s="1"/>
  <c r="R1939" i="1" a="1"/>
  <c r="R1939" i="1" s="1"/>
  <c r="R1940" i="1" a="1"/>
  <c r="R1940" i="1" s="1"/>
  <c r="R1941" i="1" a="1"/>
  <c r="R1941" i="1" s="1"/>
  <c r="R1942" i="1" a="1"/>
  <c r="R1942" i="1" s="1"/>
  <c r="R1943" i="1" a="1"/>
  <c r="R1943" i="1" s="1"/>
  <c r="R1944" i="1" a="1"/>
  <c r="R1944" i="1" s="1"/>
  <c r="R1945" i="1" a="1"/>
  <c r="R1945" i="1" s="1"/>
  <c r="R1946" i="1" a="1"/>
  <c r="R1946" i="1" s="1"/>
  <c r="R1947" i="1" a="1"/>
  <c r="R1947" i="1" s="1"/>
  <c r="R1948" i="1" a="1"/>
  <c r="R1948" i="1" s="1"/>
  <c r="R1949" i="1" a="1"/>
  <c r="R1949" i="1" s="1"/>
  <c r="R1950" i="1" a="1"/>
  <c r="R1950" i="1" s="1"/>
  <c r="R1951" i="1" a="1"/>
  <c r="R1951" i="1" s="1"/>
  <c r="R1952" i="1" a="1"/>
  <c r="R1952" i="1" s="1"/>
  <c r="R1953" i="1" a="1"/>
  <c r="R1953" i="1" s="1"/>
  <c r="R1954" i="1" a="1"/>
  <c r="R1954" i="1" s="1"/>
  <c r="R1955" i="1" a="1"/>
  <c r="R1955" i="1" s="1"/>
  <c r="R1956" i="1" a="1"/>
  <c r="R1956" i="1" s="1"/>
  <c r="R1957" i="1" a="1"/>
  <c r="R1957" i="1" s="1"/>
  <c r="R1958" i="1" a="1"/>
  <c r="R1958" i="1" s="1"/>
  <c r="R1959" i="1" a="1"/>
  <c r="R1959" i="1" s="1"/>
  <c r="R1960" i="1" a="1"/>
  <c r="R1960" i="1" s="1"/>
  <c r="R1961" i="1" a="1"/>
  <c r="R1961" i="1" s="1"/>
  <c r="R1962" i="1" a="1"/>
  <c r="R1962" i="1" s="1"/>
  <c r="R1963" i="1" a="1"/>
  <c r="R1963" i="1" s="1"/>
  <c r="R1964" i="1" a="1"/>
  <c r="R1964" i="1" s="1"/>
  <c r="R1965" i="1" a="1"/>
  <c r="R1965" i="1" s="1"/>
  <c r="R1966" i="1" a="1"/>
  <c r="R1966" i="1" s="1"/>
  <c r="R1967" i="1" a="1"/>
  <c r="R1967" i="1" s="1"/>
  <c r="R1968" i="1" a="1"/>
  <c r="R1968" i="1" s="1"/>
  <c r="R1969" i="1" a="1"/>
  <c r="R1969" i="1" s="1"/>
  <c r="R1970" i="1" a="1"/>
  <c r="R1970" i="1" s="1"/>
  <c r="R1971" i="1" a="1"/>
  <c r="R1971" i="1" s="1"/>
  <c r="R1972" i="1" a="1"/>
  <c r="R1972" i="1" s="1"/>
  <c r="R1973" i="1" a="1"/>
  <c r="R1973" i="1" s="1"/>
  <c r="R1974" i="1" a="1"/>
  <c r="R1974" i="1" s="1"/>
  <c r="R1975" i="1" a="1"/>
  <c r="R1975" i="1" s="1"/>
  <c r="R1976" i="1" a="1"/>
  <c r="R1976" i="1" s="1"/>
  <c r="R1977" i="1" a="1"/>
  <c r="R1977" i="1" s="1"/>
  <c r="R1978" i="1" a="1"/>
  <c r="R1978" i="1" s="1"/>
  <c r="R1979" i="1" a="1"/>
  <c r="R1979" i="1" s="1"/>
  <c r="R1980" i="1" a="1"/>
  <c r="R1980" i="1" s="1"/>
  <c r="R1981" i="1" a="1"/>
  <c r="R1981" i="1" s="1"/>
  <c r="R1982" i="1" a="1"/>
  <c r="R1982" i="1" s="1"/>
  <c r="R1983" i="1" a="1"/>
  <c r="R1983" i="1" s="1"/>
  <c r="R1984" i="1" a="1"/>
  <c r="R1984" i="1" s="1"/>
  <c r="R1985" i="1" a="1"/>
  <c r="R1985" i="1" s="1"/>
  <c r="R1986" i="1" a="1"/>
  <c r="R1986" i="1" s="1"/>
  <c r="R1987" i="1" a="1"/>
  <c r="R1987" i="1" s="1"/>
  <c r="R1988" i="1" a="1"/>
  <c r="R1988" i="1" s="1"/>
  <c r="R1989" i="1" a="1"/>
  <c r="R1989" i="1" s="1"/>
  <c r="R1990" i="1" a="1"/>
  <c r="R1990" i="1" s="1"/>
  <c r="R1991" i="1" a="1"/>
  <c r="R1991" i="1" s="1"/>
  <c r="R1992" i="1" a="1"/>
  <c r="R1992" i="1" s="1"/>
  <c r="R1993" i="1" a="1"/>
  <c r="R1993" i="1" s="1"/>
  <c r="R1994" i="1" a="1"/>
  <c r="R1994" i="1" s="1"/>
  <c r="R1995" i="1" a="1"/>
  <c r="R1995" i="1" s="1"/>
  <c r="R1996" i="1" a="1"/>
  <c r="R1996" i="1" s="1"/>
  <c r="R1997" i="1" a="1"/>
  <c r="R1997" i="1" s="1"/>
  <c r="R1998" i="1" a="1"/>
  <c r="R1998" i="1" s="1"/>
  <c r="R1999" i="1" a="1"/>
  <c r="R1999" i="1" s="1"/>
  <c r="R2000" i="1" a="1"/>
  <c r="R2000" i="1" s="1"/>
  <c r="R2001" i="1" a="1"/>
  <c r="R2001" i="1" s="1"/>
  <c r="Q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202" i="1"/>
  <c r="Q203" i="1"/>
  <c r="Q204" i="1"/>
  <c r="Q205" i="1"/>
  <c r="Q206" i="1"/>
  <c r="Q207" i="1"/>
  <c r="Q208" i="1"/>
  <c r="Q209" i="1"/>
  <c r="Q210" i="1"/>
  <c r="Q211" i="1"/>
  <c r="Q212" i="1"/>
  <c r="Q213" i="1"/>
  <c r="Q214" i="1"/>
  <c r="Q215" i="1"/>
  <c r="Q216" i="1"/>
  <c r="Q217" i="1"/>
  <c r="Q218" i="1"/>
  <c r="Q219" i="1"/>
  <c r="Q220" i="1"/>
  <c r="Q221" i="1"/>
  <c r="Q222" i="1"/>
  <c r="Q223" i="1"/>
  <c r="Q224" i="1"/>
  <c r="Q225" i="1"/>
  <c r="Q226" i="1"/>
  <c r="Q227" i="1"/>
  <c r="Q228" i="1"/>
  <c r="Q229" i="1"/>
  <c r="Q230" i="1"/>
  <c r="Q231" i="1"/>
  <c r="Q232" i="1"/>
  <c r="Q233" i="1"/>
  <c r="Q234" i="1"/>
  <c r="Q235" i="1"/>
  <c r="Q236" i="1"/>
  <c r="Q237" i="1"/>
  <c r="Q238" i="1"/>
  <c r="Q239" i="1"/>
  <c r="Q240" i="1"/>
  <c r="Q241" i="1"/>
  <c r="Q242" i="1"/>
  <c r="Q243" i="1"/>
  <c r="Q244" i="1"/>
  <c r="Q245" i="1"/>
  <c r="Q246" i="1"/>
  <c r="Q247" i="1"/>
  <c r="Q248" i="1"/>
  <c r="Q249" i="1"/>
  <c r="Q250" i="1"/>
  <c r="Q251" i="1"/>
  <c r="Q252" i="1"/>
  <c r="Q253" i="1"/>
  <c r="Q254" i="1"/>
  <c r="Q255" i="1"/>
  <c r="Q256" i="1"/>
  <c r="Q257" i="1"/>
  <c r="Q258" i="1"/>
  <c r="Q259" i="1"/>
  <c r="Q260" i="1"/>
  <c r="Q261" i="1"/>
  <c r="Q262" i="1"/>
  <c r="Q263" i="1"/>
  <c r="Q264" i="1"/>
  <c r="Q265" i="1"/>
  <c r="Q266" i="1"/>
  <c r="Q267" i="1"/>
  <c r="Q268" i="1"/>
  <c r="Q269" i="1"/>
  <c r="Q270" i="1"/>
  <c r="Q271" i="1"/>
  <c r="Q272" i="1"/>
  <c r="Q273" i="1"/>
  <c r="Q274" i="1"/>
  <c r="Q275" i="1"/>
  <c r="Q276" i="1"/>
  <c r="Q277" i="1"/>
  <c r="Q278" i="1"/>
  <c r="Q279" i="1"/>
  <c r="Q280" i="1"/>
  <c r="Q281" i="1"/>
  <c r="Q282" i="1"/>
  <c r="Q283" i="1"/>
  <c r="Q284" i="1"/>
  <c r="Q285" i="1"/>
  <c r="Q286" i="1"/>
  <c r="Q287" i="1"/>
  <c r="Q288" i="1"/>
  <c r="Q289" i="1"/>
  <c r="Q290" i="1"/>
  <c r="Q291" i="1"/>
  <c r="Q292" i="1"/>
  <c r="Q293" i="1"/>
  <c r="Q294" i="1"/>
  <c r="Q295" i="1"/>
  <c r="Q296" i="1"/>
  <c r="Q297" i="1"/>
  <c r="Q298" i="1"/>
  <c r="Q299" i="1"/>
  <c r="Q300" i="1"/>
  <c r="Q301" i="1"/>
  <c r="Q302" i="1"/>
  <c r="Q303" i="1"/>
  <c r="Q304" i="1"/>
  <c r="Q305" i="1"/>
  <c r="Q306" i="1"/>
  <c r="Q307" i="1"/>
  <c r="Q308" i="1"/>
  <c r="Q309" i="1"/>
  <c r="Q310" i="1"/>
  <c r="Q311" i="1"/>
  <c r="Q312" i="1"/>
  <c r="Q313" i="1"/>
  <c r="Q314" i="1"/>
  <c r="Q315" i="1"/>
  <c r="Q316" i="1"/>
  <c r="Q317" i="1"/>
  <c r="Q318" i="1"/>
  <c r="Q319" i="1"/>
  <c r="Q320" i="1"/>
  <c r="Q321" i="1"/>
  <c r="Q322" i="1"/>
  <c r="Q323" i="1"/>
  <c r="Q324" i="1"/>
  <c r="Q325" i="1"/>
  <c r="Q326" i="1"/>
  <c r="Q327" i="1"/>
  <c r="Q328" i="1"/>
  <c r="Q329" i="1"/>
  <c r="Q330" i="1"/>
  <c r="Q331" i="1"/>
  <c r="Q332" i="1"/>
  <c r="Q333" i="1"/>
  <c r="Q334" i="1"/>
  <c r="Q335" i="1"/>
  <c r="Q336" i="1"/>
  <c r="Q337" i="1"/>
  <c r="Q338" i="1"/>
  <c r="Q339" i="1"/>
  <c r="Q340" i="1"/>
  <c r="Q341" i="1"/>
  <c r="Q342" i="1"/>
  <c r="Q343" i="1"/>
  <c r="Q344" i="1"/>
  <c r="Q345" i="1"/>
  <c r="Q346" i="1"/>
  <c r="Q347" i="1"/>
  <c r="Q348" i="1"/>
  <c r="Q349" i="1"/>
  <c r="Q350" i="1"/>
  <c r="Q351" i="1"/>
  <c r="Q352" i="1"/>
  <c r="Q353" i="1"/>
  <c r="Q354" i="1"/>
  <c r="Q355" i="1"/>
  <c r="Q356" i="1"/>
  <c r="Q357" i="1"/>
  <c r="Q358" i="1"/>
  <c r="Q359" i="1"/>
  <c r="Q360" i="1"/>
  <c r="Q361" i="1"/>
  <c r="Q362" i="1"/>
  <c r="Q363" i="1"/>
  <c r="Q364" i="1"/>
  <c r="Q365" i="1"/>
  <c r="Q366" i="1"/>
  <c r="Q367" i="1"/>
  <c r="Q368" i="1"/>
  <c r="Q369" i="1"/>
  <c r="Q370" i="1"/>
  <c r="Q371" i="1"/>
  <c r="Q372" i="1"/>
  <c r="Q373" i="1"/>
  <c r="Q374" i="1"/>
  <c r="Q375" i="1"/>
  <c r="Q376" i="1"/>
  <c r="Q377" i="1"/>
  <c r="Q378" i="1"/>
  <c r="Q379" i="1"/>
  <c r="Q380" i="1"/>
  <c r="Q381" i="1"/>
  <c r="Q382" i="1"/>
  <c r="Q383" i="1"/>
  <c r="Q384" i="1"/>
  <c r="Q385" i="1"/>
  <c r="Q386" i="1"/>
  <c r="Q387" i="1"/>
  <c r="Q388" i="1"/>
  <c r="Q389" i="1"/>
  <c r="Q390" i="1"/>
  <c r="Q391" i="1"/>
  <c r="Q392" i="1"/>
  <c r="Q393" i="1"/>
  <c r="Q394" i="1"/>
  <c r="Q395" i="1"/>
  <c r="Q396" i="1"/>
  <c r="Q397" i="1"/>
  <c r="Q398" i="1"/>
  <c r="Q399" i="1"/>
  <c r="Q400" i="1"/>
  <c r="Q401" i="1"/>
  <c r="Q402" i="1"/>
  <c r="Q403" i="1"/>
  <c r="Q404" i="1"/>
  <c r="Q405" i="1"/>
  <c r="Q406" i="1"/>
  <c r="Q407" i="1"/>
  <c r="Q408" i="1"/>
  <c r="Q409" i="1"/>
  <c r="Q410" i="1"/>
  <c r="Q411" i="1"/>
  <c r="Q412" i="1"/>
  <c r="Q413" i="1"/>
  <c r="Q414" i="1"/>
  <c r="Q415" i="1"/>
  <c r="Q416" i="1"/>
  <c r="Q417" i="1"/>
  <c r="Q418" i="1"/>
  <c r="Q419" i="1"/>
  <c r="Q420" i="1"/>
  <c r="Q421" i="1"/>
  <c r="Q422" i="1"/>
  <c r="Q423" i="1"/>
  <c r="Q424" i="1"/>
  <c r="Q425" i="1"/>
  <c r="Q426" i="1"/>
  <c r="Q427" i="1"/>
  <c r="Q428" i="1"/>
  <c r="Q429" i="1"/>
  <c r="Q430" i="1"/>
  <c r="Q431" i="1"/>
  <c r="Q432" i="1"/>
  <c r="Q433" i="1"/>
  <c r="Q434" i="1"/>
  <c r="Q435" i="1"/>
  <c r="Q436" i="1"/>
  <c r="Q437" i="1"/>
  <c r="Q438" i="1"/>
  <c r="Q439" i="1"/>
  <c r="Q440" i="1"/>
  <c r="Q441" i="1"/>
  <c r="Q442" i="1"/>
  <c r="Q443" i="1"/>
  <c r="Q444" i="1"/>
  <c r="Q445" i="1"/>
  <c r="Q446" i="1"/>
  <c r="Q447" i="1"/>
  <c r="Q448" i="1"/>
  <c r="Q449" i="1"/>
  <c r="Q450" i="1"/>
  <c r="Q451" i="1"/>
  <c r="Q452" i="1"/>
  <c r="Q453" i="1"/>
  <c r="Q454" i="1"/>
  <c r="Q455" i="1"/>
  <c r="Q456" i="1"/>
  <c r="Q457" i="1"/>
  <c r="Q458" i="1"/>
  <c r="Q459" i="1"/>
  <c r="Q460" i="1"/>
  <c r="Q461" i="1"/>
  <c r="Q462" i="1"/>
  <c r="Q463" i="1"/>
  <c r="Q464" i="1"/>
  <c r="Q465" i="1"/>
  <c r="Q466" i="1"/>
  <c r="Q467" i="1"/>
  <c r="Q468" i="1"/>
  <c r="Q469" i="1"/>
  <c r="Q470" i="1"/>
  <c r="Q471" i="1"/>
  <c r="Q472" i="1"/>
  <c r="Q473" i="1"/>
  <c r="Q474" i="1"/>
  <c r="Q475" i="1"/>
  <c r="Q476" i="1"/>
  <c r="Q477" i="1"/>
  <c r="Q478" i="1"/>
  <c r="Q479" i="1"/>
  <c r="Q480" i="1"/>
  <c r="Q481" i="1"/>
  <c r="Q482" i="1"/>
  <c r="Q483" i="1"/>
  <c r="Q484" i="1"/>
  <c r="Q485" i="1"/>
  <c r="Q486" i="1"/>
  <c r="Q487" i="1"/>
  <c r="Q488" i="1"/>
  <c r="Q489" i="1"/>
  <c r="Q490" i="1"/>
  <c r="Q491" i="1"/>
  <c r="Q492" i="1"/>
  <c r="Q493" i="1"/>
  <c r="Q494" i="1"/>
  <c r="Q495" i="1"/>
  <c r="Q496" i="1"/>
  <c r="Q497" i="1"/>
  <c r="Q498" i="1"/>
  <c r="Q499" i="1"/>
  <c r="Q500" i="1"/>
  <c r="Q501" i="1"/>
  <c r="Q502" i="1"/>
  <c r="Q503" i="1"/>
  <c r="Q504" i="1"/>
  <c r="Q505" i="1"/>
  <c r="Q506" i="1"/>
  <c r="Q507" i="1"/>
  <c r="Q508" i="1"/>
  <c r="Q509" i="1"/>
  <c r="Q510" i="1"/>
  <c r="Q511" i="1"/>
  <c r="Q512" i="1"/>
  <c r="Q513" i="1"/>
  <c r="Q514" i="1"/>
  <c r="Q515" i="1"/>
  <c r="Q516" i="1"/>
  <c r="Q517" i="1"/>
  <c r="Q518" i="1"/>
  <c r="Q519" i="1"/>
  <c r="Q520" i="1"/>
  <c r="Q521" i="1"/>
  <c r="Q522" i="1"/>
  <c r="Q523" i="1"/>
  <c r="Q524" i="1"/>
  <c r="Q525" i="1"/>
  <c r="Q526" i="1"/>
  <c r="Q527" i="1"/>
  <c r="Q528" i="1"/>
  <c r="Q529" i="1"/>
  <c r="Q530" i="1"/>
  <c r="Q531" i="1"/>
  <c r="Q532" i="1"/>
  <c r="Q533" i="1"/>
  <c r="Q534" i="1"/>
  <c r="Q535" i="1"/>
  <c r="Q536" i="1"/>
  <c r="Q537" i="1"/>
  <c r="Q538" i="1"/>
  <c r="Q539" i="1"/>
  <c r="Q540" i="1"/>
  <c r="Q541" i="1"/>
  <c r="Q542" i="1"/>
  <c r="Q543" i="1"/>
  <c r="Q544" i="1"/>
  <c r="Q545" i="1"/>
  <c r="Q546" i="1"/>
  <c r="Q547" i="1"/>
  <c r="Q548" i="1"/>
  <c r="Q549" i="1"/>
  <c r="Q550" i="1"/>
  <c r="Q551" i="1"/>
  <c r="Q552" i="1"/>
  <c r="Q553" i="1"/>
  <c r="Q554" i="1"/>
  <c r="Q555" i="1"/>
  <c r="Q556" i="1"/>
  <c r="Q557" i="1"/>
  <c r="Q558" i="1"/>
  <c r="Q559" i="1"/>
  <c r="Q560" i="1"/>
  <c r="Q561" i="1"/>
  <c r="Q562" i="1"/>
  <c r="Q563" i="1"/>
  <c r="Q564" i="1"/>
  <c r="Q565" i="1"/>
  <c r="Q566" i="1"/>
  <c r="Q567" i="1"/>
  <c r="Q568" i="1"/>
  <c r="Q569" i="1"/>
  <c r="Q570" i="1"/>
  <c r="Q571" i="1"/>
  <c r="Q572" i="1"/>
  <c r="Q573" i="1"/>
  <c r="Q574" i="1"/>
  <c r="Q575" i="1"/>
  <c r="Q576" i="1"/>
  <c r="Q577" i="1"/>
  <c r="Q578" i="1"/>
  <c r="Q579" i="1"/>
  <c r="Q580" i="1"/>
  <c r="Q581" i="1"/>
  <c r="Q582" i="1"/>
  <c r="Q583" i="1"/>
  <c r="Q584" i="1"/>
  <c r="Q585" i="1"/>
  <c r="Q586" i="1"/>
  <c r="Q587" i="1"/>
  <c r="Q588" i="1"/>
  <c r="Q589" i="1"/>
  <c r="Q590" i="1"/>
  <c r="Q591" i="1"/>
  <c r="Q592" i="1"/>
  <c r="Q593" i="1"/>
  <c r="Q594" i="1"/>
  <c r="Q595" i="1"/>
  <c r="Q596" i="1"/>
  <c r="Q597" i="1"/>
  <c r="Q598" i="1"/>
  <c r="Q599" i="1"/>
  <c r="Q600" i="1"/>
  <c r="Q601" i="1"/>
  <c r="Q602" i="1"/>
  <c r="Q603" i="1"/>
  <c r="Q604" i="1"/>
  <c r="Q605" i="1"/>
  <c r="Q606" i="1"/>
  <c r="Q607" i="1"/>
  <c r="Q608" i="1"/>
  <c r="Q609" i="1"/>
  <c r="Q610" i="1"/>
  <c r="Q611" i="1"/>
  <c r="Q612" i="1"/>
  <c r="Q613" i="1"/>
  <c r="Q614" i="1"/>
  <c r="Q615" i="1"/>
  <c r="Q616" i="1"/>
  <c r="Q617" i="1"/>
  <c r="Q618" i="1"/>
  <c r="Q619" i="1"/>
  <c r="Q620" i="1"/>
  <c r="Q621" i="1"/>
  <c r="Q622" i="1"/>
  <c r="Q623" i="1"/>
  <c r="Q624" i="1"/>
  <c r="Q625" i="1"/>
  <c r="Q626" i="1"/>
  <c r="Q627" i="1"/>
  <c r="Q628" i="1"/>
  <c r="Q629" i="1"/>
  <c r="Q630" i="1"/>
  <c r="Q631" i="1"/>
  <c r="Q632" i="1"/>
  <c r="Q633" i="1"/>
  <c r="Q634" i="1"/>
  <c r="Q635" i="1"/>
  <c r="Q636" i="1"/>
  <c r="Q637" i="1"/>
  <c r="Q638" i="1"/>
  <c r="Q639" i="1"/>
  <c r="Q640" i="1"/>
  <c r="Q641" i="1"/>
  <c r="Q642" i="1"/>
  <c r="Q643" i="1"/>
  <c r="Q644" i="1"/>
  <c r="Q645" i="1"/>
  <c r="Q646" i="1"/>
  <c r="Q647" i="1"/>
  <c r="Q648" i="1"/>
  <c r="Q649" i="1"/>
  <c r="Q650" i="1"/>
  <c r="Q651" i="1"/>
  <c r="Q652" i="1"/>
  <c r="Q653" i="1"/>
  <c r="Q654" i="1"/>
  <c r="Q655" i="1"/>
  <c r="Q656" i="1"/>
  <c r="Q657" i="1"/>
  <c r="Q658" i="1"/>
  <c r="Q659" i="1"/>
  <c r="Q660" i="1"/>
  <c r="Q661" i="1"/>
  <c r="Q662" i="1"/>
  <c r="Q663" i="1"/>
  <c r="Q664" i="1"/>
  <c r="Q665" i="1"/>
  <c r="Q666" i="1"/>
  <c r="Q667" i="1"/>
  <c r="Q668" i="1"/>
  <c r="Q669" i="1"/>
  <c r="Q670" i="1"/>
  <c r="Q671" i="1"/>
  <c r="Q672" i="1"/>
  <c r="Q673" i="1"/>
  <c r="Q674" i="1"/>
  <c r="Q675" i="1"/>
  <c r="Q676" i="1"/>
  <c r="Q677" i="1"/>
  <c r="Q678" i="1"/>
  <c r="Q679" i="1"/>
  <c r="Q680" i="1"/>
  <c r="Q681" i="1"/>
  <c r="Q682" i="1"/>
  <c r="Q683" i="1"/>
  <c r="Q684" i="1"/>
  <c r="Q685" i="1"/>
  <c r="Q686" i="1"/>
  <c r="Q687" i="1"/>
  <c r="Q688" i="1"/>
  <c r="Q689" i="1"/>
  <c r="Q690" i="1"/>
  <c r="Q691" i="1"/>
  <c r="Q692" i="1"/>
  <c r="Q693" i="1"/>
  <c r="Q694" i="1"/>
  <c r="Q695" i="1"/>
  <c r="Q696" i="1"/>
  <c r="Q697" i="1"/>
  <c r="Q698" i="1"/>
  <c r="Q699" i="1"/>
  <c r="Q700" i="1"/>
  <c r="Q701" i="1"/>
  <c r="Q702" i="1"/>
  <c r="Q703" i="1"/>
  <c r="Q704" i="1"/>
  <c r="Q705" i="1"/>
  <c r="Q706" i="1"/>
  <c r="Q707" i="1"/>
  <c r="Q708" i="1"/>
  <c r="Q709" i="1"/>
  <c r="Q710" i="1"/>
  <c r="Q711" i="1"/>
  <c r="Q712" i="1"/>
  <c r="Q713" i="1"/>
  <c r="Q714" i="1"/>
  <c r="Q715" i="1"/>
  <c r="Q716" i="1"/>
  <c r="Q717" i="1"/>
  <c r="Q718" i="1"/>
  <c r="Q719" i="1"/>
  <c r="Q720" i="1"/>
  <c r="Q721" i="1"/>
  <c r="Q722" i="1"/>
  <c r="Q723" i="1"/>
  <c r="Q724" i="1"/>
  <c r="Q725" i="1"/>
  <c r="Q726" i="1"/>
  <c r="Q727" i="1"/>
  <c r="Q728" i="1"/>
  <c r="Q729" i="1"/>
  <c r="Q730" i="1"/>
  <c r="Q731" i="1"/>
  <c r="Q732" i="1"/>
  <c r="Q733" i="1"/>
  <c r="Q734" i="1"/>
  <c r="Q735" i="1"/>
  <c r="Q736" i="1"/>
  <c r="Q737" i="1"/>
  <c r="Q738" i="1"/>
  <c r="Q739" i="1"/>
  <c r="Q740" i="1"/>
  <c r="Q741" i="1"/>
  <c r="Q742" i="1"/>
  <c r="Q743" i="1"/>
  <c r="Q744" i="1"/>
  <c r="Q745" i="1"/>
  <c r="Q746" i="1"/>
  <c r="Q747" i="1"/>
  <c r="Q748" i="1"/>
  <c r="Q749" i="1"/>
  <c r="Q750" i="1"/>
  <c r="Q751" i="1"/>
  <c r="Q752" i="1"/>
  <c r="Q753" i="1"/>
  <c r="Q754" i="1"/>
  <c r="Q755" i="1"/>
  <c r="Q756" i="1"/>
  <c r="Q757" i="1"/>
  <c r="Q758" i="1"/>
  <c r="Q759" i="1"/>
  <c r="Q760" i="1"/>
  <c r="Q761" i="1"/>
  <c r="Q762" i="1"/>
  <c r="Q763" i="1"/>
  <c r="Q764" i="1"/>
  <c r="Q765" i="1"/>
  <c r="Q766" i="1"/>
  <c r="Q767" i="1"/>
  <c r="Q768" i="1"/>
  <c r="Q769" i="1"/>
  <c r="Q770" i="1"/>
  <c r="Q771" i="1"/>
  <c r="Q772" i="1"/>
  <c r="Q773" i="1"/>
  <c r="Q774" i="1"/>
  <c r="Q775" i="1"/>
  <c r="Q776" i="1"/>
  <c r="Q777" i="1"/>
  <c r="Q778" i="1"/>
  <c r="Q779" i="1"/>
  <c r="Q780" i="1"/>
  <c r="Q781" i="1"/>
  <c r="Q782" i="1"/>
  <c r="Q783" i="1"/>
  <c r="Q784" i="1"/>
  <c r="Q785" i="1"/>
  <c r="Q786" i="1"/>
  <c r="Q787" i="1"/>
  <c r="Q788" i="1"/>
  <c r="Q789" i="1"/>
  <c r="Q790" i="1"/>
  <c r="Q791" i="1"/>
  <c r="Q792" i="1"/>
  <c r="Q793" i="1"/>
  <c r="Q794" i="1"/>
  <c r="Q795" i="1"/>
  <c r="Q796" i="1"/>
  <c r="Q797" i="1"/>
  <c r="Q798" i="1"/>
  <c r="Q799" i="1"/>
  <c r="Q800" i="1"/>
  <c r="Q801" i="1"/>
  <c r="Q802" i="1"/>
  <c r="Q803" i="1"/>
  <c r="Q804" i="1"/>
  <c r="Q805" i="1"/>
  <c r="Q806" i="1"/>
  <c r="Q807" i="1"/>
  <c r="Q808" i="1"/>
  <c r="Q809" i="1"/>
  <c r="Q810" i="1"/>
  <c r="Q811" i="1"/>
  <c r="Q812" i="1"/>
  <c r="Q813" i="1"/>
  <c r="Q814" i="1"/>
  <c r="Q815" i="1"/>
  <c r="Q816" i="1"/>
  <c r="Q817" i="1"/>
  <c r="Q818" i="1"/>
  <c r="Q819" i="1"/>
  <c r="Q820" i="1"/>
  <c r="Q821" i="1"/>
  <c r="Q822" i="1"/>
  <c r="Q823" i="1"/>
  <c r="Q824" i="1"/>
  <c r="Q825" i="1"/>
  <c r="Q826" i="1"/>
  <c r="Q827" i="1"/>
  <c r="Q828" i="1"/>
  <c r="Q829" i="1"/>
  <c r="Q830" i="1"/>
  <c r="Q831" i="1"/>
  <c r="Q832" i="1"/>
  <c r="Q833" i="1"/>
  <c r="Q834" i="1"/>
  <c r="Q835" i="1"/>
  <c r="Q836" i="1"/>
  <c r="Q837" i="1"/>
  <c r="Q838" i="1"/>
  <c r="Q839" i="1"/>
  <c r="Q840" i="1"/>
  <c r="Q841" i="1"/>
  <c r="Q842" i="1"/>
  <c r="Q843" i="1"/>
  <c r="Q844" i="1"/>
  <c r="Q845" i="1"/>
  <c r="Q846" i="1"/>
  <c r="Q847" i="1"/>
  <c r="Q848" i="1"/>
  <c r="Q849" i="1"/>
  <c r="Q850" i="1"/>
  <c r="Q851" i="1"/>
  <c r="Q852" i="1"/>
  <c r="Q853" i="1"/>
  <c r="Q854" i="1"/>
  <c r="Q855" i="1"/>
  <c r="Q856" i="1"/>
  <c r="Q857" i="1"/>
  <c r="Q858" i="1"/>
  <c r="Q859" i="1"/>
  <c r="Q860" i="1"/>
  <c r="Q861" i="1"/>
  <c r="Q862" i="1"/>
  <c r="Q863" i="1"/>
  <c r="Q864" i="1"/>
  <c r="Q865" i="1"/>
  <c r="Q866" i="1"/>
  <c r="Q867" i="1"/>
  <c r="Q868" i="1"/>
  <c r="Q869" i="1"/>
  <c r="Q870" i="1"/>
  <c r="Q871" i="1"/>
  <c r="Q872" i="1"/>
  <c r="Q873" i="1"/>
  <c r="Q874" i="1"/>
  <c r="Q875" i="1"/>
  <c r="Q876" i="1"/>
  <c r="Q877" i="1"/>
  <c r="Q878" i="1"/>
  <c r="Q879" i="1"/>
  <c r="Q880" i="1"/>
  <c r="Q881" i="1"/>
  <c r="Q882" i="1"/>
  <c r="Q883" i="1"/>
  <c r="Q884" i="1"/>
  <c r="Q885" i="1"/>
  <c r="Q886" i="1"/>
  <c r="Q887" i="1"/>
  <c r="Q888" i="1"/>
  <c r="Q889" i="1"/>
  <c r="Q890" i="1"/>
  <c r="Q891" i="1"/>
  <c r="Q892" i="1"/>
  <c r="Q893" i="1"/>
  <c r="Q894" i="1"/>
  <c r="Q895" i="1"/>
  <c r="Q896" i="1"/>
  <c r="Q897" i="1"/>
  <c r="Q898" i="1"/>
  <c r="Q899" i="1"/>
  <c r="Q900" i="1"/>
  <c r="Q901" i="1"/>
  <c r="Q902" i="1"/>
  <c r="Q903" i="1"/>
  <c r="Q904" i="1"/>
  <c r="Q905" i="1"/>
  <c r="Q906" i="1"/>
  <c r="Q907" i="1"/>
  <c r="Q908" i="1"/>
  <c r="Q909" i="1"/>
  <c r="Q910" i="1"/>
  <c r="Q911" i="1"/>
  <c r="Q912" i="1"/>
  <c r="Q913" i="1"/>
  <c r="Q914" i="1"/>
  <c r="Q915" i="1"/>
  <c r="Q916" i="1"/>
  <c r="Q917" i="1"/>
  <c r="Q918" i="1"/>
  <c r="Q919" i="1"/>
  <c r="Q920" i="1"/>
  <c r="Q921" i="1"/>
  <c r="Q922" i="1"/>
  <c r="Q923" i="1"/>
  <c r="Q924" i="1"/>
  <c r="Q925" i="1"/>
  <c r="Q926" i="1"/>
  <c r="Q927" i="1"/>
  <c r="Q928" i="1"/>
  <c r="Q929" i="1"/>
  <c r="Q930" i="1"/>
  <c r="Q931" i="1"/>
  <c r="Q932" i="1"/>
  <c r="Q933" i="1"/>
  <c r="Q934" i="1"/>
  <c r="Q935" i="1"/>
  <c r="Q936" i="1"/>
  <c r="Q937" i="1"/>
  <c r="Q938" i="1"/>
  <c r="Q939" i="1"/>
  <c r="Q940" i="1"/>
  <c r="Q941" i="1"/>
  <c r="Q942" i="1"/>
  <c r="Q943" i="1"/>
  <c r="Q944" i="1"/>
  <c r="Q945" i="1"/>
  <c r="Q946" i="1"/>
  <c r="Q947" i="1"/>
  <c r="Q948" i="1"/>
  <c r="Q949" i="1"/>
  <c r="Q950" i="1"/>
  <c r="Q951" i="1"/>
  <c r="Q952" i="1"/>
  <c r="Q953" i="1"/>
  <c r="Q954" i="1"/>
  <c r="Q955" i="1"/>
  <c r="Q956" i="1"/>
  <c r="Q957" i="1"/>
  <c r="Q958" i="1"/>
  <c r="Q959" i="1"/>
  <c r="Q960" i="1"/>
  <c r="Q961" i="1"/>
  <c r="Q962" i="1"/>
  <c r="Q963" i="1"/>
  <c r="Q964" i="1"/>
  <c r="Q965" i="1"/>
  <c r="Q966" i="1"/>
  <c r="Q967" i="1"/>
  <c r="Q968" i="1"/>
  <c r="Q969" i="1"/>
  <c r="Q970" i="1"/>
  <c r="Q971" i="1"/>
  <c r="Q972" i="1"/>
  <c r="Q973" i="1"/>
  <c r="Q974" i="1"/>
  <c r="Q975" i="1"/>
  <c r="Q976" i="1"/>
  <c r="Q977" i="1"/>
  <c r="Q978" i="1"/>
  <c r="Q979" i="1"/>
  <c r="Q980" i="1"/>
  <c r="Q981" i="1"/>
  <c r="Q982" i="1"/>
  <c r="Q983" i="1"/>
  <c r="Q984" i="1"/>
  <c r="Q985" i="1"/>
  <c r="Q986" i="1"/>
  <c r="Q987" i="1"/>
  <c r="Q988" i="1"/>
  <c r="Q989" i="1"/>
  <c r="Q990" i="1"/>
  <c r="Q991" i="1"/>
  <c r="Q992" i="1"/>
  <c r="Q993" i="1"/>
  <c r="Q994" i="1"/>
  <c r="Q995" i="1"/>
  <c r="Q996" i="1"/>
  <c r="Q997" i="1"/>
  <c r="Q998" i="1"/>
  <c r="Q999" i="1"/>
  <c r="Q1000" i="1"/>
  <c r="Q1001" i="1"/>
  <c r="Q1002" i="1"/>
  <c r="Q1003" i="1"/>
  <c r="Q1004" i="1"/>
  <c r="Q1005" i="1"/>
  <c r="Q1006" i="1"/>
  <c r="Q1007" i="1"/>
  <c r="Q1008" i="1"/>
  <c r="Q1009" i="1"/>
  <c r="Q1010" i="1"/>
  <c r="Q1011" i="1"/>
  <c r="Q1012" i="1"/>
  <c r="Q1013" i="1"/>
  <c r="Q1014" i="1"/>
  <c r="Q1015" i="1"/>
  <c r="Q1016" i="1"/>
  <c r="Q1017" i="1"/>
  <c r="Q1018" i="1"/>
  <c r="Q1019" i="1"/>
  <c r="Q1020" i="1"/>
  <c r="Q1021" i="1"/>
  <c r="Q1022" i="1"/>
  <c r="Q1023" i="1"/>
  <c r="Q1024" i="1"/>
  <c r="Q1025" i="1"/>
  <c r="Q1026" i="1"/>
  <c r="Q1027" i="1"/>
  <c r="Q1028" i="1"/>
  <c r="Q1029" i="1"/>
  <c r="Q1030" i="1"/>
  <c r="Q1031" i="1"/>
  <c r="Q1032" i="1"/>
  <c r="Q1033" i="1"/>
  <c r="Q1034" i="1"/>
  <c r="Q1035" i="1"/>
  <c r="Q1036" i="1"/>
  <c r="Q1037" i="1"/>
  <c r="Q1038" i="1"/>
  <c r="Q1039" i="1"/>
  <c r="Q1040" i="1"/>
  <c r="Q1041" i="1"/>
  <c r="Q1042" i="1"/>
  <c r="Q1043" i="1"/>
  <c r="Q1044" i="1"/>
  <c r="Q1045" i="1"/>
  <c r="Q1046" i="1"/>
  <c r="Q1047" i="1"/>
  <c r="Q1048" i="1"/>
  <c r="Q1049" i="1"/>
  <c r="Q1050" i="1"/>
  <c r="Q1051" i="1"/>
  <c r="Q1052" i="1"/>
  <c r="Q1053" i="1"/>
  <c r="Q1054" i="1"/>
  <c r="Q1055" i="1"/>
  <c r="Q1056" i="1"/>
  <c r="Q1057" i="1"/>
  <c r="Q1058" i="1"/>
  <c r="Q1059" i="1"/>
  <c r="Q1060" i="1"/>
  <c r="Q1061" i="1"/>
  <c r="Q1062" i="1"/>
  <c r="Q1063" i="1"/>
  <c r="Q1064" i="1"/>
  <c r="Q1065" i="1"/>
  <c r="Q1066" i="1"/>
  <c r="Q1067" i="1"/>
  <c r="Q1068" i="1"/>
  <c r="Q1069" i="1"/>
  <c r="Q1070" i="1"/>
  <c r="Q1071" i="1"/>
  <c r="Q1072" i="1"/>
  <c r="Q1073" i="1"/>
  <c r="Q1074" i="1"/>
  <c r="Q1075" i="1"/>
  <c r="Q1076" i="1"/>
  <c r="Q1077" i="1"/>
  <c r="Q1078" i="1"/>
  <c r="Q1079" i="1"/>
  <c r="Q1080" i="1"/>
  <c r="Q1081" i="1"/>
  <c r="Q1082" i="1"/>
  <c r="Q1083" i="1"/>
  <c r="Q1084" i="1"/>
  <c r="Q1085" i="1"/>
  <c r="Q1086" i="1"/>
  <c r="Q1087" i="1"/>
  <c r="Q1088" i="1"/>
  <c r="Q1089" i="1"/>
  <c r="Q1090" i="1"/>
  <c r="Q1091" i="1"/>
  <c r="Q1092" i="1"/>
  <c r="Q1093" i="1"/>
  <c r="Q1094" i="1"/>
  <c r="Q1095" i="1"/>
  <c r="Q1096" i="1"/>
  <c r="Q1097" i="1"/>
  <c r="Q1098" i="1"/>
  <c r="Q1099" i="1"/>
  <c r="Q1100" i="1"/>
  <c r="Q1101" i="1"/>
  <c r="Q1102" i="1"/>
  <c r="Q1103" i="1"/>
  <c r="Q1104" i="1"/>
  <c r="Q1105" i="1"/>
  <c r="Q1106" i="1"/>
  <c r="Q1107" i="1"/>
  <c r="Q1108" i="1"/>
  <c r="Q1109" i="1"/>
  <c r="Q1110" i="1"/>
  <c r="Q1111" i="1"/>
  <c r="Q1112" i="1"/>
  <c r="Q1113" i="1"/>
  <c r="Q1114" i="1"/>
  <c r="Q1115" i="1"/>
  <c r="Q1116" i="1"/>
  <c r="Q1117" i="1"/>
  <c r="Q1118" i="1"/>
  <c r="Q1119" i="1"/>
  <c r="Q1120" i="1"/>
  <c r="Q1121" i="1"/>
  <c r="Q1122" i="1"/>
  <c r="Q1123" i="1"/>
  <c r="Q1124" i="1"/>
  <c r="Q1125" i="1"/>
  <c r="Q1126" i="1"/>
  <c r="Q1127" i="1"/>
  <c r="Q1128" i="1"/>
  <c r="Q1129" i="1"/>
  <c r="Q1130" i="1"/>
  <c r="Q1131" i="1"/>
  <c r="Q1132" i="1"/>
  <c r="Q1133" i="1"/>
  <c r="Q1134" i="1"/>
  <c r="Q1135" i="1"/>
  <c r="Q1136" i="1"/>
  <c r="Q1137" i="1"/>
  <c r="Q1138" i="1"/>
  <c r="Q1139" i="1"/>
  <c r="Q1140" i="1"/>
  <c r="Q1141" i="1"/>
  <c r="Q1142" i="1"/>
  <c r="Q1143" i="1"/>
  <c r="Q1144" i="1"/>
  <c r="Q1145" i="1"/>
  <c r="Q1146" i="1"/>
  <c r="Q1147" i="1"/>
  <c r="Q1148" i="1"/>
  <c r="Q1149" i="1"/>
  <c r="Q1150" i="1"/>
  <c r="Q1151" i="1"/>
  <c r="Q1152" i="1"/>
  <c r="Q1153" i="1"/>
  <c r="Q1154" i="1"/>
  <c r="Q1155" i="1"/>
  <c r="Q1156" i="1"/>
  <c r="Q1157" i="1"/>
  <c r="Q1158" i="1"/>
  <c r="Q1159" i="1"/>
  <c r="Q1160" i="1"/>
  <c r="Q1161" i="1"/>
  <c r="Q1162" i="1"/>
  <c r="Q1163" i="1"/>
  <c r="Q1164" i="1"/>
  <c r="Q1165" i="1"/>
  <c r="Q1166" i="1"/>
  <c r="Q1167" i="1"/>
  <c r="Q1168" i="1"/>
  <c r="Q1169" i="1"/>
  <c r="Q1170" i="1"/>
  <c r="Q1171" i="1"/>
  <c r="Q1172" i="1"/>
  <c r="Q1173" i="1"/>
  <c r="Q1174" i="1"/>
  <c r="Q1175" i="1"/>
  <c r="Q1176" i="1"/>
  <c r="Q1177" i="1"/>
  <c r="Q1178" i="1"/>
  <c r="Q1179" i="1"/>
  <c r="Q1180" i="1"/>
  <c r="Q1181" i="1"/>
  <c r="Q1182" i="1"/>
  <c r="Q1183" i="1"/>
  <c r="Q1184" i="1"/>
  <c r="Q1185" i="1"/>
  <c r="Q1186" i="1"/>
  <c r="Q1187" i="1"/>
  <c r="Q1188" i="1"/>
  <c r="Q1189" i="1"/>
  <c r="Q1190" i="1"/>
  <c r="Q1191" i="1"/>
  <c r="Q1192" i="1"/>
  <c r="Q1193" i="1"/>
  <c r="Q1194" i="1"/>
  <c r="Q1195" i="1"/>
  <c r="Q1196" i="1"/>
  <c r="Q1197" i="1"/>
  <c r="Q1198" i="1"/>
  <c r="Q1199" i="1"/>
  <c r="Q1200" i="1"/>
  <c r="Q1201" i="1"/>
  <c r="Q1202" i="1"/>
  <c r="Q1203" i="1"/>
  <c r="Q1204" i="1"/>
  <c r="Q1205" i="1"/>
  <c r="Q1206" i="1"/>
  <c r="Q1207" i="1"/>
  <c r="Q1208" i="1"/>
  <c r="Q1209" i="1"/>
  <c r="Q1210" i="1"/>
  <c r="Q1211" i="1"/>
  <c r="Q1212" i="1"/>
  <c r="Q1213" i="1"/>
  <c r="Q1214" i="1"/>
  <c r="Q1215" i="1"/>
  <c r="Q1216" i="1"/>
  <c r="Q1217" i="1"/>
  <c r="Q1218" i="1"/>
  <c r="Q1219" i="1"/>
  <c r="Q1220" i="1"/>
  <c r="Q1221" i="1"/>
  <c r="Q1222" i="1"/>
  <c r="Q1223" i="1"/>
  <c r="Q1224" i="1"/>
  <c r="Q1225" i="1"/>
  <c r="Q1226" i="1"/>
  <c r="Q1227" i="1"/>
  <c r="Q1228" i="1"/>
  <c r="Q1229" i="1"/>
  <c r="Q1230" i="1"/>
  <c r="Q1231" i="1"/>
  <c r="Q1232" i="1"/>
  <c r="Q1233" i="1"/>
  <c r="Q1234" i="1"/>
  <c r="Q1235" i="1"/>
  <c r="Q1236" i="1"/>
  <c r="Q1237" i="1"/>
  <c r="Q1238" i="1"/>
  <c r="Q1239" i="1"/>
  <c r="Q1240" i="1"/>
  <c r="Q1241" i="1"/>
  <c r="Q1242" i="1"/>
  <c r="Q1243" i="1"/>
  <c r="Q1244" i="1"/>
  <c r="Q1245" i="1"/>
  <c r="Q1246" i="1"/>
  <c r="Q1247" i="1"/>
  <c r="Q1248" i="1"/>
  <c r="Q1249" i="1"/>
  <c r="Q1250" i="1"/>
  <c r="Q1251" i="1"/>
  <c r="Q1252" i="1"/>
  <c r="Q1253" i="1"/>
  <c r="Q1254" i="1"/>
  <c r="Q1255" i="1"/>
  <c r="Q1256" i="1"/>
  <c r="Q1257" i="1"/>
  <c r="Q1258" i="1"/>
  <c r="Q1259" i="1"/>
  <c r="Q1260" i="1"/>
  <c r="Q1261" i="1"/>
  <c r="Q1262" i="1"/>
  <c r="Q1263" i="1"/>
  <c r="Q1264" i="1"/>
  <c r="Q1265" i="1"/>
  <c r="Q1266" i="1"/>
  <c r="Q1267" i="1"/>
  <c r="Q1268" i="1"/>
  <c r="Q1269" i="1"/>
  <c r="Q1270" i="1"/>
  <c r="Q1271" i="1"/>
  <c r="Q1272" i="1"/>
  <c r="Q1273" i="1"/>
  <c r="Q1274" i="1"/>
  <c r="Q1275" i="1"/>
  <c r="Q1276" i="1"/>
  <c r="Q1277" i="1"/>
  <c r="Q1278" i="1"/>
  <c r="Q1279" i="1"/>
  <c r="Q1280" i="1"/>
  <c r="Q1281" i="1"/>
  <c r="Q1282" i="1"/>
  <c r="Q1283" i="1"/>
  <c r="Q1284" i="1"/>
  <c r="Q1285" i="1"/>
  <c r="Q1286" i="1"/>
  <c r="Q1287" i="1"/>
  <c r="Q1288" i="1"/>
  <c r="Q1289" i="1"/>
  <c r="Q1290" i="1"/>
  <c r="Q1291" i="1"/>
  <c r="Q1292" i="1"/>
  <c r="Q1293" i="1"/>
  <c r="Q1294" i="1"/>
  <c r="Q1295" i="1"/>
  <c r="Q1296" i="1"/>
  <c r="Q1297" i="1"/>
  <c r="Q1298" i="1"/>
  <c r="Q1299" i="1"/>
  <c r="Q1300" i="1"/>
  <c r="Q1301" i="1"/>
  <c r="Q1302" i="1"/>
  <c r="Q1303" i="1"/>
  <c r="Q1304" i="1"/>
  <c r="Q1305" i="1"/>
  <c r="Q1306" i="1"/>
  <c r="Q1307" i="1"/>
  <c r="Q1308" i="1"/>
  <c r="Q1309" i="1"/>
  <c r="Q1310" i="1"/>
  <c r="Q1311" i="1"/>
  <c r="Q1312" i="1"/>
  <c r="Q1313" i="1"/>
  <c r="Q1314" i="1"/>
  <c r="Q1315" i="1"/>
  <c r="Q1316" i="1"/>
  <c r="Q1317" i="1"/>
  <c r="Q1318" i="1"/>
  <c r="Q1319" i="1"/>
  <c r="Q1320" i="1"/>
  <c r="Q1321" i="1"/>
  <c r="Q1322" i="1"/>
  <c r="Q1323" i="1"/>
  <c r="Q1324" i="1"/>
  <c r="Q1325" i="1"/>
  <c r="Q1326" i="1"/>
  <c r="Q1327" i="1"/>
  <c r="Q1328" i="1"/>
  <c r="Q1329" i="1"/>
  <c r="Q1330" i="1"/>
  <c r="Q1331" i="1"/>
  <c r="Q1332" i="1"/>
  <c r="Q1333" i="1"/>
  <c r="Q1334" i="1"/>
  <c r="Q1335" i="1"/>
  <c r="Q1336" i="1"/>
  <c r="Q1337" i="1"/>
  <c r="Q1338" i="1"/>
  <c r="Q1339" i="1"/>
  <c r="Q1340" i="1"/>
  <c r="Q1341" i="1"/>
  <c r="Q1342" i="1"/>
  <c r="Q1343" i="1"/>
  <c r="Q1344" i="1"/>
  <c r="Q1345" i="1"/>
  <c r="Q1346" i="1"/>
  <c r="Q1347" i="1"/>
  <c r="Q1348" i="1"/>
  <c r="Q1349" i="1"/>
  <c r="Q1350" i="1"/>
  <c r="Q1351" i="1"/>
  <c r="Q1352" i="1"/>
  <c r="Q1353" i="1"/>
  <c r="Q1354" i="1"/>
  <c r="Q1355" i="1"/>
  <c r="Q1356" i="1"/>
  <c r="Q1357" i="1"/>
  <c r="Q1358" i="1"/>
  <c r="Q1359" i="1"/>
  <c r="Q1360" i="1"/>
  <c r="Q1361" i="1"/>
  <c r="Q1362" i="1"/>
  <c r="Q1363" i="1"/>
  <c r="Q1364" i="1"/>
  <c r="Q1365" i="1"/>
  <c r="Q1366" i="1"/>
  <c r="Q1367" i="1"/>
  <c r="Q1368" i="1"/>
  <c r="Q1369" i="1"/>
  <c r="Q1370" i="1"/>
  <c r="Q1371" i="1"/>
  <c r="Q1372" i="1"/>
  <c r="Q1373" i="1"/>
  <c r="Q1374" i="1"/>
  <c r="Q1375" i="1"/>
  <c r="Q1376" i="1"/>
  <c r="Q1377" i="1"/>
  <c r="Q1378" i="1"/>
  <c r="Q1379" i="1"/>
  <c r="Q1380" i="1"/>
  <c r="Q1381" i="1"/>
  <c r="Q1382" i="1"/>
  <c r="Q1383" i="1"/>
  <c r="Q1384" i="1"/>
  <c r="Q1385" i="1"/>
  <c r="Q1386" i="1"/>
  <c r="Q1387" i="1"/>
  <c r="Q1388" i="1"/>
  <c r="Q1389" i="1"/>
  <c r="Q1390" i="1"/>
  <c r="Q1391" i="1"/>
  <c r="Q1392" i="1"/>
  <c r="Q1393" i="1"/>
  <c r="Q1394" i="1"/>
  <c r="Q1395" i="1"/>
  <c r="Q1396" i="1"/>
  <c r="Q1397" i="1"/>
  <c r="Q1398" i="1"/>
  <c r="Q1399" i="1"/>
  <c r="Q1400" i="1"/>
  <c r="Q1401" i="1"/>
  <c r="Q1402" i="1"/>
  <c r="Q1403" i="1"/>
  <c r="Q1404" i="1"/>
  <c r="Q1405" i="1"/>
  <c r="Q1406" i="1"/>
  <c r="Q1407" i="1"/>
  <c r="Q1408" i="1"/>
  <c r="Q1409" i="1"/>
  <c r="Q1410" i="1"/>
  <c r="Q1411" i="1"/>
  <c r="Q1412" i="1"/>
  <c r="Q1413" i="1"/>
  <c r="Q1414" i="1"/>
  <c r="Q1415" i="1"/>
  <c r="Q1416" i="1"/>
  <c r="Q1417" i="1"/>
  <c r="Q1418" i="1"/>
  <c r="Q1419" i="1"/>
  <c r="Q1420" i="1"/>
  <c r="Q1421" i="1"/>
  <c r="Q1422" i="1"/>
  <c r="Q1423" i="1"/>
  <c r="Q1424" i="1"/>
  <c r="Q1425" i="1"/>
  <c r="Q1426" i="1"/>
  <c r="Q1427" i="1"/>
  <c r="Q1428" i="1"/>
  <c r="Q1429" i="1"/>
  <c r="Q1430" i="1"/>
  <c r="Q1431" i="1"/>
  <c r="Q1432" i="1"/>
  <c r="Q1433" i="1"/>
  <c r="Q1434" i="1"/>
  <c r="Q1435" i="1"/>
  <c r="Q1436" i="1"/>
  <c r="Q1437" i="1"/>
  <c r="Q1438" i="1"/>
  <c r="Q1439" i="1"/>
  <c r="Q1440" i="1"/>
  <c r="Q1441" i="1"/>
  <c r="Q1442" i="1"/>
  <c r="Q1443" i="1"/>
  <c r="Q1444" i="1"/>
  <c r="Q1445" i="1"/>
  <c r="Q1446" i="1"/>
  <c r="Q1447" i="1"/>
  <c r="Q1448" i="1"/>
  <c r="Q1449" i="1"/>
  <c r="Q1450" i="1"/>
  <c r="Q1451" i="1"/>
  <c r="Q1452" i="1"/>
  <c r="Q1453" i="1"/>
  <c r="Q1454" i="1"/>
  <c r="Q1455" i="1"/>
  <c r="Q1456" i="1"/>
  <c r="Q1457" i="1"/>
  <c r="Q1458" i="1"/>
  <c r="Q1459" i="1"/>
  <c r="Q1460" i="1"/>
  <c r="Q1461" i="1"/>
  <c r="Q1462" i="1"/>
  <c r="Q1463" i="1"/>
  <c r="Q1464" i="1"/>
  <c r="Q1465" i="1"/>
  <c r="Q1466" i="1"/>
  <c r="Q1467" i="1"/>
  <c r="Q1468" i="1"/>
  <c r="Q1469" i="1"/>
  <c r="Q1470" i="1"/>
  <c r="Q1471" i="1"/>
  <c r="Q1472" i="1"/>
  <c r="Q1473" i="1"/>
  <c r="Q1474" i="1"/>
  <c r="Q1475" i="1"/>
  <c r="Q1476" i="1"/>
  <c r="Q1477" i="1"/>
  <c r="Q1478" i="1"/>
  <c r="Q1479" i="1"/>
  <c r="Q1480" i="1"/>
  <c r="Q1481" i="1"/>
  <c r="Q1482" i="1"/>
  <c r="Q1483" i="1"/>
  <c r="Q1484" i="1"/>
  <c r="Q1485" i="1"/>
  <c r="Q1486" i="1"/>
  <c r="Q1487" i="1"/>
  <c r="Q1488" i="1"/>
  <c r="Q1489" i="1"/>
  <c r="Q1490" i="1"/>
  <c r="Q1491" i="1"/>
  <c r="Q1492" i="1"/>
  <c r="Q1493" i="1"/>
  <c r="Q1494" i="1"/>
  <c r="Q1495" i="1"/>
  <c r="Q1496" i="1"/>
  <c r="Q1497" i="1"/>
  <c r="Q1498" i="1"/>
  <c r="Q1499" i="1"/>
  <c r="Q1500" i="1"/>
  <c r="Q1501" i="1"/>
  <c r="Q1502" i="1"/>
  <c r="Q1503" i="1"/>
  <c r="Q1504" i="1"/>
  <c r="Q1505" i="1"/>
  <c r="Q1506" i="1"/>
  <c r="Q1507" i="1"/>
  <c r="Q1508" i="1"/>
  <c r="Q1509" i="1"/>
  <c r="Q1510" i="1"/>
  <c r="Q1511" i="1"/>
  <c r="Q1512" i="1"/>
  <c r="Q1513" i="1"/>
  <c r="Q1514" i="1"/>
  <c r="Q1515" i="1"/>
  <c r="Q1516" i="1"/>
  <c r="Q1517" i="1"/>
  <c r="Q1518" i="1"/>
  <c r="Q1519" i="1"/>
  <c r="Q1520" i="1"/>
  <c r="Q1521" i="1"/>
  <c r="Q1522" i="1"/>
  <c r="Q1523" i="1"/>
  <c r="Q1524" i="1"/>
  <c r="Q1525" i="1"/>
  <c r="Q1526" i="1"/>
  <c r="Q1527" i="1"/>
  <c r="Q1528" i="1"/>
  <c r="Q1529" i="1"/>
  <c r="Q1530" i="1"/>
  <c r="Q1531" i="1"/>
  <c r="Q1532" i="1"/>
  <c r="Q1533" i="1"/>
  <c r="Q1534" i="1"/>
  <c r="Q1535" i="1"/>
  <c r="Q1536" i="1"/>
  <c r="Q1537" i="1"/>
  <c r="Q1538" i="1"/>
  <c r="Q1539" i="1"/>
  <c r="Q1540" i="1"/>
  <c r="Q1541" i="1"/>
  <c r="Q1542" i="1"/>
  <c r="Q1543" i="1"/>
  <c r="Q1544" i="1"/>
  <c r="Q1545" i="1"/>
  <c r="Q1546" i="1"/>
  <c r="Q1547" i="1"/>
  <c r="Q1548" i="1"/>
  <c r="Q1549" i="1"/>
  <c r="Q1550" i="1"/>
  <c r="Q1551" i="1"/>
  <c r="Q1552" i="1"/>
  <c r="Q1553" i="1"/>
  <c r="Q1554" i="1"/>
  <c r="Q1555" i="1"/>
  <c r="Q1556" i="1"/>
  <c r="Q1557" i="1"/>
  <c r="Q1558" i="1"/>
  <c r="Q1559" i="1"/>
  <c r="Q1560" i="1"/>
  <c r="Q1561" i="1"/>
  <c r="Q1562" i="1"/>
  <c r="Q1563" i="1"/>
  <c r="Q1564" i="1"/>
  <c r="Q1565" i="1"/>
  <c r="Q1566" i="1"/>
  <c r="Q1567" i="1"/>
  <c r="Q1568" i="1"/>
  <c r="Q1569" i="1"/>
  <c r="Q1570" i="1"/>
  <c r="Q1571" i="1"/>
  <c r="Q1572" i="1"/>
  <c r="Q1573" i="1"/>
  <c r="Q1574" i="1"/>
  <c r="Q1575" i="1"/>
  <c r="Q1576" i="1"/>
  <c r="Q1577" i="1"/>
  <c r="Q1578" i="1"/>
  <c r="Q1579" i="1"/>
  <c r="Q1580" i="1"/>
  <c r="Q1581" i="1"/>
  <c r="Q1582" i="1"/>
  <c r="Q1583" i="1"/>
  <c r="Q1584" i="1"/>
  <c r="Q1585" i="1"/>
  <c r="Q1586" i="1"/>
  <c r="Q1587" i="1"/>
  <c r="Q1588" i="1"/>
  <c r="Q1589" i="1"/>
  <c r="Q1590" i="1"/>
  <c r="Q1591" i="1"/>
  <c r="Q1592" i="1"/>
  <c r="Q1593" i="1"/>
  <c r="Q1594" i="1"/>
  <c r="Q1595" i="1"/>
  <c r="Q1596" i="1"/>
  <c r="Q1597" i="1"/>
  <c r="Q1598" i="1"/>
  <c r="Q1599" i="1"/>
  <c r="Q1600" i="1"/>
  <c r="Q1601" i="1"/>
  <c r="Q1602" i="1"/>
  <c r="Q1603" i="1"/>
  <c r="Q1604" i="1"/>
  <c r="Q1605" i="1"/>
  <c r="Q1606" i="1"/>
  <c r="Q1607" i="1"/>
  <c r="Q1608" i="1"/>
  <c r="Q1609" i="1"/>
  <c r="Q1610" i="1"/>
  <c r="Q1611" i="1"/>
  <c r="Q1612" i="1"/>
  <c r="Q1613" i="1"/>
  <c r="Q1614" i="1"/>
  <c r="Q1615" i="1"/>
  <c r="Q1616" i="1"/>
  <c r="Q1617" i="1"/>
  <c r="Q1618" i="1"/>
  <c r="Q1619" i="1"/>
  <c r="Q1620" i="1"/>
  <c r="Q1621" i="1"/>
  <c r="Q1622" i="1"/>
  <c r="Q1623" i="1"/>
  <c r="Q1624" i="1"/>
  <c r="Q1625" i="1"/>
  <c r="Q1626" i="1"/>
  <c r="Q1627" i="1"/>
  <c r="Q1628" i="1"/>
  <c r="Q1629" i="1"/>
  <c r="Q1630" i="1"/>
  <c r="Q1631" i="1"/>
  <c r="Q1632" i="1"/>
  <c r="Q1633" i="1"/>
  <c r="Q1634" i="1"/>
  <c r="Q1635" i="1"/>
  <c r="Q1636" i="1"/>
  <c r="Q1637" i="1"/>
  <c r="Q1638" i="1"/>
  <c r="Q1639" i="1"/>
  <c r="Q1640" i="1"/>
  <c r="Q1641" i="1"/>
  <c r="Q1642" i="1"/>
  <c r="Q1643" i="1"/>
  <c r="Q1644" i="1"/>
  <c r="Q1645" i="1"/>
  <c r="Q1646" i="1"/>
  <c r="Q1647" i="1"/>
  <c r="Q1648" i="1"/>
  <c r="Q1649" i="1"/>
  <c r="Q1650" i="1"/>
  <c r="Q1651" i="1"/>
  <c r="Q1652" i="1"/>
  <c r="Q1653" i="1"/>
  <c r="Q1654" i="1"/>
  <c r="Q1655" i="1"/>
  <c r="Q1656" i="1"/>
  <c r="Q1657" i="1"/>
  <c r="Q1658" i="1"/>
  <c r="Q1659" i="1"/>
  <c r="Q1660" i="1"/>
  <c r="Q1661" i="1"/>
  <c r="Q1662" i="1"/>
  <c r="Q1663" i="1"/>
  <c r="Q1664" i="1"/>
  <c r="Q1665" i="1"/>
  <c r="Q1666" i="1"/>
  <c r="Q1667" i="1"/>
  <c r="Q1668" i="1"/>
  <c r="Q1669" i="1"/>
  <c r="Q1670" i="1"/>
  <c r="Q1671" i="1"/>
  <c r="Q1672" i="1"/>
  <c r="Q1673" i="1"/>
  <c r="Q1674" i="1"/>
  <c r="Q1675" i="1"/>
  <c r="Q1676" i="1"/>
  <c r="Q1677" i="1"/>
  <c r="Q1678" i="1"/>
  <c r="Q1679" i="1"/>
  <c r="Q1680" i="1"/>
  <c r="Q1681" i="1"/>
  <c r="Q1682" i="1"/>
  <c r="Q1683" i="1"/>
  <c r="Q1684" i="1"/>
  <c r="Q1685" i="1"/>
  <c r="Q1686" i="1"/>
  <c r="Q1687" i="1"/>
  <c r="Q1688" i="1"/>
  <c r="Q1689" i="1"/>
  <c r="Q1690" i="1"/>
  <c r="Q1691" i="1"/>
  <c r="Q1692" i="1"/>
  <c r="Q1693" i="1"/>
  <c r="Q1694" i="1"/>
  <c r="Q1695" i="1"/>
  <c r="Q1696" i="1"/>
  <c r="Q1697" i="1"/>
  <c r="Q1698" i="1"/>
  <c r="Q1699" i="1"/>
  <c r="Q1700" i="1"/>
  <c r="Q1701" i="1"/>
  <c r="Q1702" i="1"/>
  <c r="Q1703" i="1"/>
  <c r="Q1704" i="1"/>
  <c r="Q1705" i="1"/>
  <c r="Q1706" i="1"/>
  <c r="Q1707" i="1"/>
  <c r="Q1708" i="1"/>
  <c r="Q1709" i="1"/>
  <c r="Q1710" i="1"/>
  <c r="Q1711" i="1"/>
  <c r="Q1712" i="1"/>
  <c r="Q1713" i="1"/>
  <c r="Q1714" i="1"/>
  <c r="Q1715" i="1"/>
  <c r="Q1716" i="1"/>
  <c r="Q1717" i="1"/>
  <c r="Q1718" i="1"/>
  <c r="Q1719" i="1"/>
  <c r="Q1720" i="1"/>
  <c r="Q1721" i="1"/>
  <c r="Q1722" i="1"/>
  <c r="Q1723" i="1"/>
  <c r="Q1724" i="1"/>
  <c r="Q1725" i="1"/>
  <c r="Q1726" i="1"/>
  <c r="Q1727" i="1"/>
  <c r="Q1728" i="1"/>
  <c r="Q1729" i="1"/>
  <c r="Q1730" i="1"/>
  <c r="Q1731" i="1"/>
  <c r="Q1732" i="1"/>
  <c r="Q1733" i="1"/>
  <c r="Q1734" i="1"/>
  <c r="Q1735" i="1"/>
  <c r="Q1736" i="1"/>
  <c r="Q1737" i="1"/>
  <c r="Q1738" i="1"/>
  <c r="Q1739" i="1"/>
  <c r="Q1740" i="1"/>
  <c r="Q1741" i="1"/>
  <c r="Q1742" i="1"/>
  <c r="Q1743" i="1"/>
  <c r="Q1744" i="1"/>
  <c r="Q1745" i="1"/>
  <c r="Q1746" i="1"/>
  <c r="Q1747" i="1"/>
  <c r="Q1748" i="1"/>
  <c r="Q1749" i="1"/>
  <c r="Q1750" i="1"/>
  <c r="Q1751" i="1"/>
  <c r="Q1752" i="1"/>
  <c r="Q1753" i="1"/>
  <c r="Q1754" i="1"/>
  <c r="Q1755" i="1"/>
  <c r="Q1756" i="1"/>
  <c r="Q1757" i="1"/>
  <c r="Q1758" i="1"/>
  <c r="Q1759" i="1"/>
  <c r="Q1760" i="1"/>
  <c r="Q1761" i="1"/>
  <c r="Q1762" i="1"/>
  <c r="Q1763" i="1"/>
  <c r="Q1764" i="1"/>
  <c r="Q1765" i="1"/>
  <c r="Q1766" i="1"/>
  <c r="Q1767" i="1"/>
  <c r="Q1768" i="1"/>
  <c r="Q1769" i="1"/>
  <c r="Q1770" i="1"/>
  <c r="Q1771" i="1"/>
  <c r="Q1772" i="1"/>
  <c r="Q1773" i="1"/>
  <c r="Q1774" i="1"/>
  <c r="Q1775" i="1"/>
  <c r="Q1776" i="1"/>
  <c r="Q1777" i="1"/>
  <c r="Q1778" i="1"/>
  <c r="Q1779" i="1"/>
  <c r="Q1780" i="1"/>
  <c r="Q1781" i="1"/>
  <c r="Q1782" i="1"/>
  <c r="Q1783" i="1"/>
  <c r="Q1784" i="1"/>
  <c r="Q1785" i="1"/>
  <c r="Q1786" i="1"/>
  <c r="Q1787" i="1"/>
  <c r="Q1788" i="1"/>
  <c r="Q1789" i="1"/>
  <c r="Q1790" i="1"/>
  <c r="Q1791" i="1"/>
  <c r="Q1792" i="1"/>
  <c r="Q1793" i="1"/>
  <c r="Q1794" i="1"/>
  <c r="Q1795" i="1"/>
  <c r="Q1796" i="1"/>
  <c r="Q1797" i="1"/>
  <c r="Q1798" i="1"/>
  <c r="Q1799" i="1"/>
  <c r="Q1800" i="1"/>
  <c r="Q1801" i="1"/>
  <c r="Q1802" i="1"/>
  <c r="Q1803" i="1"/>
  <c r="Q1804" i="1"/>
  <c r="Q1805" i="1"/>
  <c r="Q1806" i="1"/>
  <c r="Q1807" i="1"/>
  <c r="Q1808" i="1"/>
  <c r="Q1809" i="1"/>
  <c r="Q1810" i="1"/>
  <c r="Q1811" i="1"/>
  <c r="Q1812" i="1"/>
  <c r="Q1813" i="1"/>
  <c r="Q1814" i="1"/>
  <c r="Q1815" i="1"/>
  <c r="Q1816" i="1"/>
  <c r="Q1817" i="1"/>
  <c r="Q1818" i="1"/>
  <c r="Q1819" i="1"/>
  <c r="Q1820" i="1"/>
  <c r="Q1821" i="1"/>
  <c r="Q1822" i="1"/>
  <c r="Q1823" i="1"/>
  <c r="Q1824" i="1"/>
  <c r="Q1825" i="1"/>
  <c r="Q1826" i="1"/>
  <c r="Q1827" i="1"/>
  <c r="Q1828" i="1"/>
  <c r="Q1829" i="1"/>
  <c r="Q1830" i="1"/>
  <c r="Q1831" i="1"/>
  <c r="Q1832" i="1"/>
  <c r="Q1833" i="1"/>
  <c r="Q1834" i="1"/>
  <c r="Q1835" i="1"/>
  <c r="Q1836" i="1"/>
  <c r="Q1837" i="1"/>
  <c r="Q1838" i="1"/>
  <c r="Q1839" i="1"/>
  <c r="Q1840" i="1"/>
  <c r="Q1841" i="1"/>
  <c r="Q1842" i="1"/>
  <c r="Q1843" i="1"/>
  <c r="Q1844" i="1"/>
  <c r="Q1845" i="1"/>
  <c r="Q1846" i="1"/>
  <c r="Q1847" i="1"/>
  <c r="Q1848" i="1"/>
  <c r="Q1849" i="1"/>
  <c r="Q1850" i="1"/>
  <c r="Q1851" i="1"/>
  <c r="Q1852" i="1"/>
  <c r="Q1853" i="1"/>
  <c r="Q1854" i="1"/>
  <c r="Q1855" i="1"/>
  <c r="Q1856" i="1"/>
  <c r="Q1857" i="1"/>
  <c r="Q1858" i="1"/>
  <c r="Q1859" i="1"/>
  <c r="Q1860" i="1"/>
  <c r="Q1861" i="1"/>
  <c r="Q1862" i="1"/>
  <c r="Q1863" i="1"/>
  <c r="Q1864" i="1"/>
  <c r="Q1865" i="1"/>
  <c r="Q1866" i="1"/>
  <c r="Q1867" i="1"/>
  <c r="Q1868" i="1"/>
  <c r="Q1869" i="1"/>
  <c r="Q1870" i="1"/>
  <c r="Q1871" i="1"/>
  <c r="Q1872" i="1"/>
  <c r="Q1873" i="1"/>
  <c r="Q1874" i="1"/>
  <c r="Q1875" i="1"/>
  <c r="Q1876" i="1"/>
  <c r="Q1877" i="1"/>
  <c r="Q1878" i="1"/>
  <c r="Q1879" i="1"/>
  <c r="Q1880" i="1"/>
  <c r="Q1881" i="1"/>
  <c r="Q1882" i="1"/>
  <c r="Q1883" i="1"/>
  <c r="Q1884" i="1"/>
  <c r="Q1885" i="1"/>
  <c r="Q1886" i="1"/>
  <c r="Q1887" i="1"/>
  <c r="Q1888" i="1"/>
  <c r="Q1889" i="1"/>
  <c r="Q1890" i="1"/>
  <c r="Q1891" i="1"/>
  <c r="Q1892" i="1"/>
  <c r="Q1893" i="1"/>
  <c r="Q1894" i="1"/>
  <c r="Q1895" i="1"/>
  <c r="Q1896" i="1"/>
  <c r="Q1897" i="1"/>
  <c r="Q1898" i="1"/>
  <c r="Q1899" i="1"/>
  <c r="Q1900" i="1"/>
  <c r="Q1901" i="1"/>
  <c r="Q1902" i="1"/>
  <c r="Q1903" i="1"/>
  <c r="Q1904" i="1"/>
  <c r="Q1905" i="1"/>
  <c r="Q1906" i="1"/>
  <c r="Q1907" i="1"/>
  <c r="Q1908" i="1"/>
  <c r="Q1909" i="1"/>
  <c r="Q1910" i="1"/>
  <c r="Q1911" i="1"/>
  <c r="Q1912" i="1"/>
  <c r="Q1913" i="1"/>
  <c r="Q1914" i="1"/>
  <c r="Q1915" i="1"/>
  <c r="Q1916" i="1"/>
  <c r="Q1917" i="1"/>
  <c r="Q1918" i="1"/>
  <c r="Q1919" i="1"/>
  <c r="Q1920" i="1"/>
  <c r="Q1921" i="1"/>
  <c r="Q1922" i="1"/>
  <c r="Q1923" i="1"/>
  <c r="Q1924" i="1"/>
  <c r="Q1925" i="1"/>
  <c r="Q1926" i="1"/>
  <c r="Q1927" i="1"/>
  <c r="Q1928" i="1"/>
  <c r="Q1929" i="1"/>
  <c r="Q1930" i="1"/>
  <c r="Q1931" i="1"/>
  <c r="Q1932" i="1"/>
  <c r="Q1933" i="1"/>
  <c r="Q1934" i="1"/>
  <c r="Q1935" i="1"/>
  <c r="Q1936" i="1"/>
  <c r="Q1937" i="1"/>
  <c r="Q1938" i="1"/>
  <c r="Q1939" i="1"/>
  <c r="Q1940" i="1"/>
  <c r="Q1941" i="1"/>
  <c r="Q1942" i="1"/>
  <c r="Q1943" i="1"/>
  <c r="Q1944" i="1"/>
  <c r="Q1945" i="1"/>
  <c r="Q1946" i="1"/>
  <c r="Q1947" i="1"/>
  <c r="Q1948" i="1"/>
  <c r="Q1949" i="1"/>
  <c r="Q1950" i="1"/>
  <c r="Q1951" i="1"/>
  <c r="Q1952" i="1"/>
  <c r="Q1953" i="1"/>
  <c r="Q1954" i="1"/>
  <c r="Q1955" i="1"/>
  <c r="Q1956" i="1"/>
  <c r="Q1957" i="1"/>
  <c r="Q1958" i="1"/>
  <c r="Q1959" i="1"/>
  <c r="Q1960" i="1"/>
  <c r="Q1961" i="1"/>
  <c r="Q1962" i="1"/>
  <c r="Q1963" i="1"/>
  <c r="Q1964" i="1"/>
  <c r="Q1965" i="1"/>
  <c r="Q1966" i="1"/>
  <c r="Q1967" i="1"/>
  <c r="Q1968" i="1"/>
  <c r="Q1969" i="1"/>
  <c r="Q1970" i="1"/>
  <c r="Q1971" i="1"/>
  <c r="Q1972" i="1"/>
  <c r="Q1973" i="1"/>
  <c r="Q1974" i="1"/>
  <c r="Q1975" i="1"/>
  <c r="Q1976" i="1"/>
  <c r="Q1977" i="1"/>
  <c r="Q1978" i="1"/>
  <c r="Q1979" i="1"/>
  <c r="Q1980" i="1"/>
  <c r="Q1981" i="1"/>
  <c r="Q1982" i="1"/>
  <c r="Q1983" i="1"/>
  <c r="Q1984" i="1"/>
  <c r="Q1985" i="1"/>
  <c r="Q1986" i="1"/>
  <c r="Q1987" i="1"/>
  <c r="Q1988" i="1"/>
  <c r="Q1989" i="1"/>
  <c r="Q1990" i="1"/>
  <c r="Q1991" i="1"/>
  <c r="Q1992" i="1"/>
  <c r="Q1993" i="1"/>
  <c r="Q1994" i="1"/>
  <c r="Q1995" i="1"/>
  <c r="Q1996" i="1"/>
  <c r="Q1997" i="1"/>
  <c r="Q1998" i="1"/>
  <c r="Q1999" i="1"/>
  <c r="Q2000" i="1"/>
  <c r="Q2001" i="1"/>
  <c r="V2" i="1"/>
  <c r="U2" i="1"/>
  <c r="T2" i="1"/>
  <c r="S2" i="1"/>
  <c r="R2" i="1" a="1"/>
  <c r="R2" i="1" s="1"/>
  <c r="Q2" i="1"/>
  <c r="H13" i="3"/>
  <c r="M11" i="5"/>
  <c r="G11" i="5"/>
  <c r="A11" i="5"/>
  <c r="S11" i="5"/>
  <c r="M6" i="5"/>
  <c r="G6" i="5"/>
  <c r="A6" i="5"/>
  <c r="S6" i="5" l="1"/>
  <c r="H16" i="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<sst xmlns="http://schemas.openxmlformats.org/spreadsheetml/2006/main" count="16157" uniqueCount="2133">
  <si>
    <t>Shipment_ID</t>
  </si>
  <si>
    <t>Order_Date</t>
  </si>
  <si>
    <t>Region</t>
  </si>
  <si>
    <t>City</t>
  </si>
  <si>
    <t>Handling_Hub</t>
  </si>
  <si>
    <t>Shipment_Type</t>
  </si>
  <si>
    <t>Delay_Issue_Type</t>
  </si>
  <si>
    <t>Issue_Severity</t>
  </si>
  <si>
    <t>Planned_TAT_Days</t>
  </si>
  <si>
    <t>Actual_TAT_Days</t>
  </si>
  <si>
    <t>Delay_Days</t>
  </si>
  <si>
    <t>SLA_Breached</t>
  </si>
  <si>
    <t>Backlog_Load</t>
  </si>
  <si>
    <t>Cost_Overrun</t>
  </si>
  <si>
    <t>Revenue_At_Risk</t>
  </si>
  <si>
    <t>SHP-30000</t>
  </si>
  <si>
    <t>SHP-30001</t>
  </si>
  <si>
    <t>SHP-30002</t>
  </si>
  <si>
    <t>SHP-30003</t>
  </si>
  <si>
    <t>SHP-30004</t>
  </si>
  <si>
    <t>SHP-30005</t>
  </si>
  <si>
    <t>SHP-30006</t>
  </si>
  <si>
    <t>SHP-30007</t>
  </si>
  <si>
    <t>SHP-30008</t>
  </si>
  <si>
    <t>SHP-30009</t>
  </si>
  <si>
    <t>SHP-30010</t>
  </si>
  <si>
    <t>SHP-30011</t>
  </si>
  <si>
    <t>SHP-30012</t>
  </si>
  <si>
    <t>SHP-30013</t>
  </si>
  <si>
    <t>SHP-30014</t>
  </si>
  <si>
    <t>SHP-30015</t>
  </si>
  <si>
    <t>SHP-30016</t>
  </si>
  <si>
    <t>SHP-30017</t>
  </si>
  <si>
    <t>SHP-30018</t>
  </si>
  <si>
    <t>SHP-30019</t>
  </si>
  <si>
    <t>SHP-30020</t>
  </si>
  <si>
    <t>SHP-30021</t>
  </si>
  <si>
    <t>SHP-30022</t>
  </si>
  <si>
    <t>SHP-30023</t>
  </si>
  <si>
    <t>SHP-30024</t>
  </si>
  <si>
    <t>SHP-30025</t>
  </si>
  <si>
    <t>SHP-30026</t>
  </si>
  <si>
    <t>SHP-30027</t>
  </si>
  <si>
    <t>SHP-30028</t>
  </si>
  <si>
    <t>SHP-30029</t>
  </si>
  <si>
    <t>SHP-30030</t>
  </si>
  <si>
    <t>SHP-30031</t>
  </si>
  <si>
    <t>SHP-30032</t>
  </si>
  <si>
    <t>SHP-30033</t>
  </si>
  <si>
    <t>SHP-30034</t>
  </si>
  <si>
    <t>SHP-30035</t>
  </si>
  <si>
    <t>SHP-30036</t>
  </si>
  <si>
    <t>SHP-30037</t>
  </si>
  <si>
    <t>SHP-30038</t>
  </si>
  <si>
    <t>SHP-30039</t>
  </si>
  <si>
    <t>SHP-30040</t>
  </si>
  <si>
    <t>SHP-30041</t>
  </si>
  <si>
    <t>SHP-30042</t>
  </si>
  <si>
    <t>SHP-30043</t>
  </si>
  <si>
    <t>SHP-30044</t>
  </si>
  <si>
    <t>SHP-30045</t>
  </si>
  <si>
    <t>SHP-30046</t>
  </si>
  <si>
    <t>SHP-30047</t>
  </si>
  <si>
    <t>SHP-30048</t>
  </si>
  <si>
    <t>SHP-30049</t>
  </si>
  <si>
    <t>SHP-30050</t>
  </si>
  <si>
    <t>SHP-30051</t>
  </si>
  <si>
    <t>SHP-30052</t>
  </si>
  <si>
    <t>SHP-30053</t>
  </si>
  <si>
    <t>SHP-30054</t>
  </si>
  <si>
    <t>SHP-30055</t>
  </si>
  <si>
    <t>SHP-30056</t>
  </si>
  <si>
    <t>SHP-30057</t>
  </si>
  <si>
    <t>SHP-30058</t>
  </si>
  <si>
    <t>SHP-30059</t>
  </si>
  <si>
    <t>SHP-30060</t>
  </si>
  <si>
    <t>SHP-30061</t>
  </si>
  <si>
    <t>SHP-30062</t>
  </si>
  <si>
    <t>SHP-30063</t>
  </si>
  <si>
    <t>SHP-30064</t>
  </si>
  <si>
    <t>SHP-30065</t>
  </si>
  <si>
    <t>SHP-30066</t>
  </si>
  <si>
    <t>SHP-30067</t>
  </si>
  <si>
    <t>SHP-30068</t>
  </si>
  <si>
    <t>SHP-30069</t>
  </si>
  <si>
    <t>SHP-30070</t>
  </si>
  <si>
    <t>SHP-30071</t>
  </si>
  <si>
    <t>SHP-30072</t>
  </si>
  <si>
    <t>SHP-30073</t>
  </si>
  <si>
    <t>SHP-30074</t>
  </si>
  <si>
    <t>SHP-30075</t>
  </si>
  <si>
    <t>SHP-30076</t>
  </si>
  <si>
    <t>SHP-30077</t>
  </si>
  <si>
    <t>SHP-30078</t>
  </si>
  <si>
    <t>SHP-30079</t>
  </si>
  <si>
    <t>SHP-30080</t>
  </si>
  <si>
    <t>SHP-30081</t>
  </si>
  <si>
    <t>SHP-30082</t>
  </si>
  <si>
    <t>SHP-30083</t>
  </si>
  <si>
    <t>SHP-30084</t>
  </si>
  <si>
    <t>SHP-30085</t>
  </si>
  <si>
    <t>SHP-30086</t>
  </si>
  <si>
    <t>SHP-30087</t>
  </si>
  <si>
    <t>SHP-30088</t>
  </si>
  <si>
    <t>SHP-30089</t>
  </si>
  <si>
    <t>SHP-30090</t>
  </si>
  <si>
    <t>SHP-30091</t>
  </si>
  <si>
    <t>SHP-30092</t>
  </si>
  <si>
    <t>SHP-30093</t>
  </si>
  <si>
    <t>SHP-30094</t>
  </si>
  <si>
    <t>SHP-30095</t>
  </si>
  <si>
    <t>SHP-30096</t>
  </si>
  <si>
    <t>SHP-30097</t>
  </si>
  <si>
    <t>SHP-30098</t>
  </si>
  <si>
    <t>SHP-30099</t>
  </si>
  <si>
    <t>SHP-30100</t>
  </si>
  <si>
    <t>SHP-30101</t>
  </si>
  <si>
    <t>SHP-30102</t>
  </si>
  <si>
    <t>SHP-30103</t>
  </si>
  <si>
    <t>SHP-30104</t>
  </si>
  <si>
    <t>SHP-30105</t>
  </si>
  <si>
    <t>SHP-30106</t>
  </si>
  <si>
    <t>SHP-30107</t>
  </si>
  <si>
    <t>SHP-30108</t>
  </si>
  <si>
    <t>SHP-30109</t>
  </si>
  <si>
    <t>SHP-30110</t>
  </si>
  <si>
    <t>SHP-30111</t>
  </si>
  <si>
    <t>SHP-30112</t>
  </si>
  <si>
    <t>SHP-30113</t>
  </si>
  <si>
    <t>SHP-30114</t>
  </si>
  <si>
    <t>SHP-30115</t>
  </si>
  <si>
    <t>SHP-30116</t>
  </si>
  <si>
    <t>SHP-30117</t>
  </si>
  <si>
    <t>SHP-30118</t>
  </si>
  <si>
    <t>SHP-30119</t>
  </si>
  <si>
    <t>SHP-30120</t>
  </si>
  <si>
    <t>SHP-30121</t>
  </si>
  <si>
    <t>SHP-30122</t>
  </si>
  <si>
    <t>SHP-30123</t>
  </si>
  <si>
    <t>SHP-30124</t>
  </si>
  <si>
    <t>SHP-30125</t>
  </si>
  <si>
    <t>SHP-30126</t>
  </si>
  <si>
    <t>SHP-30127</t>
  </si>
  <si>
    <t>SHP-30128</t>
  </si>
  <si>
    <t>SHP-30129</t>
  </si>
  <si>
    <t>SHP-30130</t>
  </si>
  <si>
    <t>SHP-30131</t>
  </si>
  <si>
    <t>SHP-30132</t>
  </si>
  <si>
    <t>SHP-30133</t>
  </si>
  <si>
    <t>SHP-30134</t>
  </si>
  <si>
    <t>SHP-30135</t>
  </si>
  <si>
    <t>SHP-30136</t>
  </si>
  <si>
    <t>SHP-30137</t>
  </si>
  <si>
    <t>SHP-30138</t>
  </si>
  <si>
    <t>SHP-30139</t>
  </si>
  <si>
    <t>SHP-30140</t>
  </si>
  <si>
    <t>SHP-30141</t>
  </si>
  <si>
    <t>SHP-30142</t>
  </si>
  <si>
    <t>SHP-30143</t>
  </si>
  <si>
    <t>SHP-30144</t>
  </si>
  <si>
    <t>SHP-30145</t>
  </si>
  <si>
    <t>SHP-30146</t>
  </si>
  <si>
    <t>SHP-30147</t>
  </si>
  <si>
    <t>SHP-30148</t>
  </si>
  <si>
    <t>SHP-30149</t>
  </si>
  <si>
    <t>SHP-30150</t>
  </si>
  <si>
    <t>SHP-30151</t>
  </si>
  <si>
    <t>SHP-30152</t>
  </si>
  <si>
    <t>SHP-30153</t>
  </si>
  <si>
    <t>SHP-30154</t>
  </si>
  <si>
    <t>SHP-30155</t>
  </si>
  <si>
    <t>SHP-30156</t>
  </si>
  <si>
    <t>SHP-30157</t>
  </si>
  <si>
    <t>SHP-30158</t>
  </si>
  <si>
    <t>SHP-30159</t>
  </si>
  <si>
    <t>SHP-30160</t>
  </si>
  <si>
    <t>SHP-30161</t>
  </si>
  <si>
    <t>SHP-30162</t>
  </si>
  <si>
    <t>SHP-30163</t>
  </si>
  <si>
    <t>SHP-30164</t>
  </si>
  <si>
    <t>SHP-30165</t>
  </si>
  <si>
    <t>SHP-30166</t>
  </si>
  <si>
    <t>SHP-30167</t>
  </si>
  <si>
    <t>SHP-30168</t>
  </si>
  <si>
    <t>SHP-30169</t>
  </si>
  <si>
    <t>SHP-30170</t>
  </si>
  <si>
    <t>SHP-30171</t>
  </si>
  <si>
    <t>SHP-30172</t>
  </si>
  <si>
    <t>SHP-30173</t>
  </si>
  <si>
    <t>SHP-30174</t>
  </si>
  <si>
    <t>SHP-30175</t>
  </si>
  <si>
    <t>SHP-30176</t>
  </si>
  <si>
    <t>SHP-30177</t>
  </si>
  <si>
    <t>SHP-30178</t>
  </si>
  <si>
    <t>SHP-30179</t>
  </si>
  <si>
    <t>SHP-30180</t>
  </si>
  <si>
    <t>SHP-30181</t>
  </si>
  <si>
    <t>SHP-30182</t>
  </si>
  <si>
    <t>SHP-30183</t>
  </si>
  <si>
    <t>SHP-30184</t>
  </si>
  <si>
    <t>SHP-30185</t>
  </si>
  <si>
    <t>SHP-30186</t>
  </si>
  <si>
    <t>SHP-30187</t>
  </si>
  <si>
    <t>SHP-30188</t>
  </si>
  <si>
    <t>SHP-30189</t>
  </si>
  <si>
    <t>SHP-30190</t>
  </si>
  <si>
    <t>SHP-30191</t>
  </si>
  <si>
    <t>SHP-30192</t>
  </si>
  <si>
    <t>SHP-30193</t>
  </si>
  <si>
    <t>SHP-30194</t>
  </si>
  <si>
    <t>SHP-30195</t>
  </si>
  <si>
    <t>SHP-30196</t>
  </si>
  <si>
    <t>SHP-30197</t>
  </si>
  <si>
    <t>SHP-30198</t>
  </si>
  <si>
    <t>SHP-30199</t>
  </si>
  <si>
    <t>SHP-30200</t>
  </si>
  <si>
    <t>SHP-30201</t>
  </si>
  <si>
    <t>SHP-30202</t>
  </si>
  <si>
    <t>SHP-30203</t>
  </si>
  <si>
    <t>SHP-30204</t>
  </si>
  <si>
    <t>SHP-30205</t>
  </si>
  <si>
    <t>SHP-30206</t>
  </si>
  <si>
    <t>SHP-30207</t>
  </si>
  <si>
    <t>SHP-30208</t>
  </si>
  <si>
    <t>SHP-30209</t>
  </si>
  <si>
    <t>SHP-30210</t>
  </si>
  <si>
    <t>SHP-30211</t>
  </si>
  <si>
    <t>SHP-30212</t>
  </si>
  <si>
    <t>SHP-30213</t>
  </si>
  <si>
    <t>SHP-30214</t>
  </si>
  <si>
    <t>SHP-30215</t>
  </si>
  <si>
    <t>SHP-30216</t>
  </si>
  <si>
    <t>SHP-30217</t>
  </si>
  <si>
    <t>SHP-30218</t>
  </si>
  <si>
    <t>SHP-30219</t>
  </si>
  <si>
    <t>SHP-30220</t>
  </si>
  <si>
    <t>SHP-30221</t>
  </si>
  <si>
    <t>SHP-30222</t>
  </si>
  <si>
    <t>SHP-30223</t>
  </si>
  <si>
    <t>SHP-30224</t>
  </si>
  <si>
    <t>SHP-30225</t>
  </si>
  <si>
    <t>SHP-30226</t>
  </si>
  <si>
    <t>SHP-30227</t>
  </si>
  <si>
    <t>SHP-30228</t>
  </si>
  <si>
    <t>SHP-30229</t>
  </si>
  <si>
    <t>SHP-30230</t>
  </si>
  <si>
    <t>SHP-30231</t>
  </si>
  <si>
    <t>SHP-30232</t>
  </si>
  <si>
    <t>SHP-30233</t>
  </si>
  <si>
    <t>SHP-30234</t>
  </si>
  <si>
    <t>SHP-30235</t>
  </si>
  <si>
    <t>SHP-30236</t>
  </si>
  <si>
    <t>SHP-30237</t>
  </si>
  <si>
    <t>SHP-30238</t>
  </si>
  <si>
    <t>SHP-30239</t>
  </si>
  <si>
    <t>SHP-30240</t>
  </si>
  <si>
    <t>SHP-30241</t>
  </si>
  <si>
    <t>SHP-30242</t>
  </si>
  <si>
    <t>SHP-30243</t>
  </si>
  <si>
    <t>SHP-30244</t>
  </si>
  <si>
    <t>SHP-30245</t>
  </si>
  <si>
    <t>SHP-30246</t>
  </si>
  <si>
    <t>SHP-30247</t>
  </si>
  <si>
    <t>SHP-30248</t>
  </si>
  <si>
    <t>SHP-30249</t>
  </si>
  <si>
    <t>SHP-30250</t>
  </si>
  <si>
    <t>SHP-30251</t>
  </si>
  <si>
    <t>SHP-30252</t>
  </si>
  <si>
    <t>SHP-30253</t>
  </si>
  <si>
    <t>SHP-30254</t>
  </si>
  <si>
    <t>SHP-30255</t>
  </si>
  <si>
    <t>SHP-30256</t>
  </si>
  <si>
    <t>SHP-30257</t>
  </si>
  <si>
    <t>SHP-30258</t>
  </si>
  <si>
    <t>SHP-30259</t>
  </si>
  <si>
    <t>SHP-30260</t>
  </si>
  <si>
    <t>SHP-30261</t>
  </si>
  <si>
    <t>SHP-30262</t>
  </si>
  <si>
    <t>SHP-30263</t>
  </si>
  <si>
    <t>SHP-30264</t>
  </si>
  <si>
    <t>SHP-30265</t>
  </si>
  <si>
    <t>SHP-30266</t>
  </si>
  <si>
    <t>SHP-30267</t>
  </si>
  <si>
    <t>SHP-30268</t>
  </si>
  <si>
    <t>SHP-30269</t>
  </si>
  <si>
    <t>SHP-30270</t>
  </si>
  <si>
    <t>SHP-30271</t>
  </si>
  <si>
    <t>SHP-30272</t>
  </si>
  <si>
    <t>SHP-30273</t>
  </si>
  <si>
    <t>SHP-30274</t>
  </si>
  <si>
    <t>SHP-30275</t>
  </si>
  <si>
    <t>SHP-30276</t>
  </si>
  <si>
    <t>SHP-30277</t>
  </si>
  <si>
    <t>SHP-30278</t>
  </si>
  <si>
    <t>SHP-30279</t>
  </si>
  <si>
    <t>SHP-30280</t>
  </si>
  <si>
    <t>SHP-30281</t>
  </si>
  <si>
    <t>SHP-30282</t>
  </si>
  <si>
    <t>SHP-30283</t>
  </si>
  <si>
    <t>SHP-30284</t>
  </si>
  <si>
    <t>SHP-30285</t>
  </si>
  <si>
    <t>SHP-30286</t>
  </si>
  <si>
    <t>SHP-30287</t>
  </si>
  <si>
    <t>SHP-30288</t>
  </si>
  <si>
    <t>SHP-30289</t>
  </si>
  <si>
    <t>SHP-30290</t>
  </si>
  <si>
    <t>SHP-30291</t>
  </si>
  <si>
    <t>SHP-30292</t>
  </si>
  <si>
    <t>SHP-30293</t>
  </si>
  <si>
    <t>SHP-30294</t>
  </si>
  <si>
    <t>SHP-30295</t>
  </si>
  <si>
    <t>SHP-30296</t>
  </si>
  <si>
    <t>SHP-30297</t>
  </si>
  <si>
    <t>SHP-30298</t>
  </si>
  <si>
    <t>SHP-30299</t>
  </si>
  <si>
    <t>SHP-30300</t>
  </si>
  <si>
    <t>SHP-30301</t>
  </si>
  <si>
    <t>SHP-30302</t>
  </si>
  <si>
    <t>SHP-30303</t>
  </si>
  <si>
    <t>SHP-30304</t>
  </si>
  <si>
    <t>SHP-30305</t>
  </si>
  <si>
    <t>SHP-30306</t>
  </si>
  <si>
    <t>SHP-30307</t>
  </si>
  <si>
    <t>SHP-30308</t>
  </si>
  <si>
    <t>SHP-30309</t>
  </si>
  <si>
    <t>SHP-30310</t>
  </si>
  <si>
    <t>SHP-30311</t>
  </si>
  <si>
    <t>SHP-30312</t>
  </si>
  <si>
    <t>SHP-30313</t>
  </si>
  <si>
    <t>SHP-30314</t>
  </si>
  <si>
    <t>SHP-30315</t>
  </si>
  <si>
    <t>SHP-30316</t>
  </si>
  <si>
    <t>SHP-30317</t>
  </si>
  <si>
    <t>SHP-30318</t>
  </si>
  <si>
    <t>SHP-30319</t>
  </si>
  <si>
    <t>SHP-30320</t>
  </si>
  <si>
    <t>SHP-30321</t>
  </si>
  <si>
    <t>SHP-30322</t>
  </si>
  <si>
    <t>SHP-30323</t>
  </si>
  <si>
    <t>SHP-30324</t>
  </si>
  <si>
    <t>SHP-30325</t>
  </si>
  <si>
    <t>SHP-30326</t>
  </si>
  <si>
    <t>SHP-30327</t>
  </si>
  <si>
    <t>SHP-30328</t>
  </si>
  <si>
    <t>SHP-30329</t>
  </si>
  <si>
    <t>SHP-30330</t>
  </si>
  <si>
    <t>SHP-30331</t>
  </si>
  <si>
    <t>SHP-30332</t>
  </si>
  <si>
    <t>SHP-30333</t>
  </si>
  <si>
    <t>SHP-30334</t>
  </si>
  <si>
    <t>SHP-30335</t>
  </si>
  <si>
    <t>SHP-30336</t>
  </si>
  <si>
    <t>SHP-30337</t>
  </si>
  <si>
    <t>SHP-30338</t>
  </si>
  <si>
    <t>SHP-30339</t>
  </si>
  <si>
    <t>SHP-30340</t>
  </si>
  <si>
    <t>SHP-30341</t>
  </si>
  <si>
    <t>SHP-30342</t>
  </si>
  <si>
    <t>SHP-30343</t>
  </si>
  <si>
    <t>SHP-30344</t>
  </si>
  <si>
    <t>SHP-30345</t>
  </si>
  <si>
    <t>SHP-30346</t>
  </si>
  <si>
    <t>SHP-30347</t>
  </si>
  <si>
    <t>SHP-30348</t>
  </si>
  <si>
    <t>SHP-30349</t>
  </si>
  <si>
    <t>SHP-30350</t>
  </si>
  <si>
    <t>SHP-30351</t>
  </si>
  <si>
    <t>SHP-30352</t>
  </si>
  <si>
    <t>SHP-30353</t>
  </si>
  <si>
    <t>SHP-30354</t>
  </si>
  <si>
    <t>SHP-30355</t>
  </si>
  <si>
    <t>SHP-30356</t>
  </si>
  <si>
    <t>SHP-30357</t>
  </si>
  <si>
    <t>SHP-30358</t>
  </si>
  <si>
    <t>SHP-30359</t>
  </si>
  <si>
    <t>SHP-30360</t>
  </si>
  <si>
    <t>SHP-30361</t>
  </si>
  <si>
    <t>SHP-30362</t>
  </si>
  <si>
    <t>SHP-30363</t>
  </si>
  <si>
    <t>SHP-30364</t>
  </si>
  <si>
    <t>SHP-30365</t>
  </si>
  <si>
    <t>SHP-30366</t>
  </si>
  <si>
    <t>SHP-30367</t>
  </si>
  <si>
    <t>SHP-30368</t>
  </si>
  <si>
    <t>SHP-30369</t>
  </si>
  <si>
    <t>SHP-30370</t>
  </si>
  <si>
    <t>SHP-30371</t>
  </si>
  <si>
    <t>SHP-30372</t>
  </si>
  <si>
    <t>SHP-30373</t>
  </si>
  <si>
    <t>SHP-30374</t>
  </si>
  <si>
    <t>SHP-30375</t>
  </si>
  <si>
    <t>SHP-30376</t>
  </si>
  <si>
    <t>SHP-30377</t>
  </si>
  <si>
    <t>SHP-30378</t>
  </si>
  <si>
    <t>SHP-30379</t>
  </si>
  <si>
    <t>SHP-30380</t>
  </si>
  <si>
    <t>SHP-30381</t>
  </si>
  <si>
    <t>SHP-30382</t>
  </si>
  <si>
    <t>SHP-30383</t>
  </si>
  <si>
    <t>SHP-30384</t>
  </si>
  <si>
    <t>SHP-30385</t>
  </si>
  <si>
    <t>SHP-30386</t>
  </si>
  <si>
    <t>SHP-30387</t>
  </si>
  <si>
    <t>SHP-30388</t>
  </si>
  <si>
    <t>SHP-30389</t>
  </si>
  <si>
    <t>SHP-30390</t>
  </si>
  <si>
    <t>SHP-30391</t>
  </si>
  <si>
    <t>SHP-30392</t>
  </si>
  <si>
    <t>SHP-30393</t>
  </si>
  <si>
    <t>SHP-30394</t>
  </si>
  <si>
    <t>SHP-30395</t>
  </si>
  <si>
    <t>SHP-30396</t>
  </si>
  <si>
    <t>SHP-30397</t>
  </si>
  <si>
    <t>SHP-30398</t>
  </si>
  <si>
    <t>SHP-30399</t>
  </si>
  <si>
    <t>SHP-30400</t>
  </si>
  <si>
    <t>SHP-30401</t>
  </si>
  <si>
    <t>SHP-30402</t>
  </si>
  <si>
    <t>SHP-30403</t>
  </si>
  <si>
    <t>SHP-30404</t>
  </si>
  <si>
    <t>SHP-30405</t>
  </si>
  <si>
    <t>SHP-30406</t>
  </si>
  <si>
    <t>SHP-30407</t>
  </si>
  <si>
    <t>SHP-30408</t>
  </si>
  <si>
    <t>SHP-30409</t>
  </si>
  <si>
    <t>SHP-30410</t>
  </si>
  <si>
    <t>SHP-30411</t>
  </si>
  <si>
    <t>SHP-30412</t>
  </si>
  <si>
    <t>SHP-30413</t>
  </si>
  <si>
    <t>SHP-30414</t>
  </si>
  <si>
    <t>SHP-30415</t>
  </si>
  <si>
    <t>SHP-30416</t>
  </si>
  <si>
    <t>SHP-30417</t>
  </si>
  <si>
    <t>SHP-30418</t>
  </si>
  <si>
    <t>SHP-30419</t>
  </si>
  <si>
    <t>SHP-30420</t>
  </si>
  <si>
    <t>SHP-30421</t>
  </si>
  <si>
    <t>SHP-30422</t>
  </si>
  <si>
    <t>SHP-30423</t>
  </si>
  <si>
    <t>SHP-30424</t>
  </si>
  <si>
    <t>SHP-30425</t>
  </si>
  <si>
    <t>SHP-30426</t>
  </si>
  <si>
    <t>SHP-30427</t>
  </si>
  <si>
    <t>SHP-30428</t>
  </si>
  <si>
    <t>SHP-30429</t>
  </si>
  <si>
    <t>SHP-30430</t>
  </si>
  <si>
    <t>SHP-30431</t>
  </si>
  <si>
    <t>SHP-30432</t>
  </si>
  <si>
    <t>SHP-30433</t>
  </si>
  <si>
    <t>SHP-30434</t>
  </si>
  <si>
    <t>SHP-30435</t>
  </si>
  <si>
    <t>SHP-30436</t>
  </si>
  <si>
    <t>SHP-30437</t>
  </si>
  <si>
    <t>SHP-30438</t>
  </si>
  <si>
    <t>SHP-30439</t>
  </si>
  <si>
    <t>SHP-30440</t>
  </si>
  <si>
    <t>SHP-30441</t>
  </si>
  <si>
    <t>SHP-30442</t>
  </si>
  <si>
    <t>SHP-30443</t>
  </si>
  <si>
    <t>SHP-30444</t>
  </si>
  <si>
    <t>SHP-30445</t>
  </si>
  <si>
    <t>SHP-30446</t>
  </si>
  <si>
    <t>SHP-30447</t>
  </si>
  <si>
    <t>SHP-30448</t>
  </si>
  <si>
    <t>SHP-30449</t>
  </si>
  <si>
    <t>SHP-30450</t>
  </si>
  <si>
    <t>SHP-30451</t>
  </si>
  <si>
    <t>SHP-30452</t>
  </si>
  <si>
    <t>SHP-30453</t>
  </si>
  <si>
    <t>SHP-30454</t>
  </si>
  <si>
    <t>SHP-30455</t>
  </si>
  <si>
    <t>SHP-30456</t>
  </si>
  <si>
    <t>SHP-30457</t>
  </si>
  <si>
    <t>SHP-30458</t>
  </si>
  <si>
    <t>SHP-30459</t>
  </si>
  <si>
    <t>SHP-30460</t>
  </si>
  <si>
    <t>SHP-30461</t>
  </si>
  <si>
    <t>SHP-30462</t>
  </si>
  <si>
    <t>SHP-30463</t>
  </si>
  <si>
    <t>SHP-30464</t>
  </si>
  <si>
    <t>SHP-30465</t>
  </si>
  <si>
    <t>SHP-30466</t>
  </si>
  <si>
    <t>SHP-30467</t>
  </si>
  <si>
    <t>SHP-30468</t>
  </si>
  <si>
    <t>SHP-30469</t>
  </si>
  <si>
    <t>SHP-30470</t>
  </si>
  <si>
    <t>SHP-30471</t>
  </si>
  <si>
    <t>SHP-30472</t>
  </si>
  <si>
    <t>SHP-30473</t>
  </si>
  <si>
    <t>SHP-30474</t>
  </si>
  <si>
    <t>SHP-30475</t>
  </si>
  <si>
    <t>SHP-30476</t>
  </si>
  <si>
    <t>SHP-30477</t>
  </si>
  <si>
    <t>SHP-30478</t>
  </si>
  <si>
    <t>SHP-30479</t>
  </si>
  <si>
    <t>SHP-30480</t>
  </si>
  <si>
    <t>SHP-30481</t>
  </si>
  <si>
    <t>SHP-30482</t>
  </si>
  <si>
    <t>SHP-30483</t>
  </si>
  <si>
    <t>SHP-30484</t>
  </si>
  <si>
    <t>SHP-30485</t>
  </si>
  <si>
    <t>SHP-30486</t>
  </si>
  <si>
    <t>SHP-30487</t>
  </si>
  <si>
    <t>SHP-30488</t>
  </si>
  <si>
    <t>SHP-30489</t>
  </si>
  <si>
    <t>SHP-30490</t>
  </si>
  <si>
    <t>SHP-30491</t>
  </si>
  <si>
    <t>SHP-30492</t>
  </si>
  <si>
    <t>SHP-30493</t>
  </si>
  <si>
    <t>SHP-30494</t>
  </si>
  <si>
    <t>SHP-30495</t>
  </si>
  <si>
    <t>SHP-30496</t>
  </si>
  <si>
    <t>SHP-30497</t>
  </si>
  <si>
    <t>SHP-30498</t>
  </si>
  <si>
    <t>SHP-30499</t>
  </si>
  <si>
    <t>SHP-30500</t>
  </si>
  <si>
    <t>SHP-30501</t>
  </si>
  <si>
    <t>SHP-30502</t>
  </si>
  <si>
    <t>SHP-30503</t>
  </si>
  <si>
    <t>SHP-30504</t>
  </si>
  <si>
    <t>SHP-30505</t>
  </si>
  <si>
    <t>SHP-30506</t>
  </si>
  <si>
    <t>SHP-30507</t>
  </si>
  <si>
    <t>SHP-30508</t>
  </si>
  <si>
    <t>SHP-30509</t>
  </si>
  <si>
    <t>SHP-30510</t>
  </si>
  <si>
    <t>SHP-30511</t>
  </si>
  <si>
    <t>SHP-30512</t>
  </si>
  <si>
    <t>SHP-30513</t>
  </si>
  <si>
    <t>SHP-30514</t>
  </si>
  <si>
    <t>SHP-30515</t>
  </si>
  <si>
    <t>SHP-30516</t>
  </si>
  <si>
    <t>SHP-30517</t>
  </si>
  <si>
    <t>SHP-30518</t>
  </si>
  <si>
    <t>SHP-30519</t>
  </si>
  <si>
    <t>SHP-30520</t>
  </si>
  <si>
    <t>SHP-30521</t>
  </si>
  <si>
    <t>SHP-30522</t>
  </si>
  <si>
    <t>SHP-30523</t>
  </si>
  <si>
    <t>SHP-30524</t>
  </si>
  <si>
    <t>SHP-30525</t>
  </si>
  <si>
    <t>SHP-30526</t>
  </si>
  <si>
    <t>SHP-30527</t>
  </si>
  <si>
    <t>SHP-30528</t>
  </si>
  <si>
    <t>SHP-30529</t>
  </si>
  <si>
    <t>SHP-30530</t>
  </si>
  <si>
    <t>SHP-30531</t>
  </si>
  <si>
    <t>SHP-30532</t>
  </si>
  <si>
    <t>SHP-30533</t>
  </si>
  <si>
    <t>SHP-30534</t>
  </si>
  <si>
    <t>SHP-30535</t>
  </si>
  <si>
    <t>SHP-30536</t>
  </si>
  <si>
    <t>SHP-30537</t>
  </si>
  <si>
    <t>SHP-30538</t>
  </si>
  <si>
    <t>SHP-30539</t>
  </si>
  <si>
    <t>SHP-30540</t>
  </si>
  <si>
    <t>SHP-30541</t>
  </si>
  <si>
    <t>SHP-30542</t>
  </si>
  <si>
    <t>SHP-30543</t>
  </si>
  <si>
    <t>SHP-30544</t>
  </si>
  <si>
    <t>SHP-30545</t>
  </si>
  <si>
    <t>SHP-30546</t>
  </si>
  <si>
    <t>SHP-30547</t>
  </si>
  <si>
    <t>SHP-30548</t>
  </si>
  <si>
    <t>SHP-30549</t>
  </si>
  <si>
    <t>SHP-30550</t>
  </si>
  <si>
    <t>SHP-30551</t>
  </si>
  <si>
    <t>SHP-30552</t>
  </si>
  <si>
    <t>SHP-30553</t>
  </si>
  <si>
    <t>SHP-30554</t>
  </si>
  <si>
    <t>SHP-30555</t>
  </si>
  <si>
    <t>SHP-30556</t>
  </si>
  <si>
    <t>SHP-30557</t>
  </si>
  <si>
    <t>SHP-30558</t>
  </si>
  <si>
    <t>SHP-30559</t>
  </si>
  <si>
    <t>SHP-30560</t>
  </si>
  <si>
    <t>SHP-30561</t>
  </si>
  <si>
    <t>SHP-30562</t>
  </si>
  <si>
    <t>SHP-30563</t>
  </si>
  <si>
    <t>SHP-30564</t>
  </si>
  <si>
    <t>SHP-30565</t>
  </si>
  <si>
    <t>SHP-30566</t>
  </si>
  <si>
    <t>SHP-30567</t>
  </si>
  <si>
    <t>SHP-30568</t>
  </si>
  <si>
    <t>SHP-30569</t>
  </si>
  <si>
    <t>SHP-30570</t>
  </si>
  <si>
    <t>SHP-30571</t>
  </si>
  <si>
    <t>SHP-30572</t>
  </si>
  <si>
    <t>SHP-30573</t>
  </si>
  <si>
    <t>SHP-30574</t>
  </si>
  <si>
    <t>SHP-30575</t>
  </si>
  <si>
    <t>SHP-30576</t>
  </si>
  <si>
    <t>SHP-30577</t>
  </si>
  <si>
    <t>SHP-30578</t>
  </si>
  <si>
    <t>SHP-30579</t>
  </si>
  <si>
    <t>SHP-30580</t>
  </si>
  <si>
    <t>SHP-30581</t>
  </si>
  <si>
    <t>SHP-30582</t>
  </si>
  <si>
    <t>SHP-30583</t>
  </si>
  <si>
    <t>SHP-30584</t>
  </si>
  <si>
    <t>SHP-30585</t>
  </si>
  <si>
    <t>SHP-30586</t>
  </si>
  <si>
    <t>SHP-30587</t>
  </si>
  <si>
    <t>SHP-30588</t>
  </si>
  <si>
    <t>SHP-30589</t>
  </si>
  <si>
    <t>SHP-30590</t>
  </si>
  <si>
    <t>SHP-30591</t>
  </si>
  <si>
    <t>SHP-30592</t>
  </si>
  <si>
    <t>SHP-30593</t>
  </si>
  <si>
    <t>SHP-30594</t>
  </si>
  <si>
    <t>SHP-30595</t>
  </si>
  <si>
    <t>SHP-30596</t>
  </si>
  <si>
    <t>SHP-30597</t>
  </si>
  <si>
    <t>SHP-30598</t>
  </si>
  <si>
    <t>SHP-30599</t>
  </si>
  <si>
    <t>SHP-30600</t>
  </si>
  <si>
    <t>SHP-30601</t>
  </si>
  <si>
    <t>SHP-30602</t>
  </si>
  <si>
    <t>SHP-30603</t>
  </si>
  <si>
    <t>SHP-30604</t>
  </si>
  <si>
    <t>SHP-30605</t>
  </si>
  <si>
    <t>SHP-30606</t>
  </si>
  <si>
    <t>SHP-30607</t>
  </si>
  <si>
    <t>SHP-30608</t>
  </si>
  <si>
    <t>SHP-30609</t>
  </si>
  <si>
    <t>SHP-30610</t>
  </si>
  <si>
    <t>SHP-30611</t>
  </si>
  <si>
    <t>SHP-30612</t>
  </si>
  <si>
    <t>SHP-30613</t>
  </si>
  <si>
    <t>SHP-30614</t>
  </si>
  <si>
    <t>SHP-30615</t>
  </si>
  <si>
    <t>SHP-30616</t>
  </si>
  <si>
    <t>SHP-30617</t>
  </si>
  <si>
    <t>SHP-30618</t>
  </si>
  <si>
    <t>SHP-30619</t>
  </si>
  <si>
    <t>SHP-30620</t>
  </si>
  <si>
    <t>SHP-30621</t>
  </si>
  <si>
    <t>SHP-30622</t>
  </si>
  <si>
    <t>SHP-30623</t>
  </si>
  <si>
    <t>SHP-30624</t>
  </si>
  <si>
    <t>SHP-30625</t>
  </si>
  <si>
    <t>SHP-30626</t>
  </si>
  <si>
    <t>SHP-30627</t>
  </si>
  <si>
    <t>SHP-30628</t>
  </si>
  <si>
    <t>SHP-30629</t>
  </si>
  <si>
    <t>SHP-30630</t>
  </si>
  <si>
    <t>SHP-30631</t>
  </si>
  <si>
    <t>SHP-30632</t>
  </si>
  <si>
    <t>SHP-30633</t>
  </si>
  <si>
    <t>SHP-30634</t>
  </si>
  <si>
    <t>SHP-30635</t>
  </si>
  <si>
    <t>SHP-30636</t>
  </si>
  <si>
    <t>SHP-30637</t>
  </si>
  <si>
    <t>SHP-30638</t>
  </si>
  <si>
    <t>SHP-30639</t>
  </si>
  <si>
    <t>SHP-30640</t>
  </si>
  <si>
    <t>SHP-30641</t>
  </si>
  <si>
    <t>SHP-30642</t>
  </si>
  <si>
    <t>SHP-30643</t>
  </si>
  <si>
    <t>SHP-30644</t>
  </si>
  <si>
    <t>SHP-30645</t>
  </si>
  <si>
    <t>SHP-30646</t>
  </si>
  <si>
    <t>SHP-30647</t>
  </si>
  <si>
    <t>SHP-30648</t>
  </si>
  <si>
    <t>SHP-30649</t>
  </si>
  <si>
    <t>SHP-30650</t>
  </si>
  <si>
    <t>SHP-30651</t>
  </si>
  <si>
    <t>SHP-30652</t>
  </si>
  <si>
    <t>SHP-30653</t>
  </si>
  <si>
    <t>SHP-30654</t>
  </si>
  <si>
    <t>SHP-30655</t>
  </si>
  <si>
    <t>SHP-30656</t>
  </si>
  <si>
    <t>SHP-30657</t>
  </si>
  <si>
    <t>SHP-30658</t>
  </si>
  <si>
    <t>SHP-30659</t>
  </si>
  <si>
    <t>SHP-30660</t>
  </si>
  <si>
    <t>SHP-30661</t>
  </si>
  <si>
    <t>SHP-30662</t>
  </si>
  <si>
    <t>SHP-30663</t>
  </si>
  <si>
    <t>SHP-30664</t>
  </si>
  <si>
    <t>SHP-30665</t>
  </si>
  <si>
    <t>SHP-30666</t>
  </si>
  <si>
    <t>SHP-30667</t>
  </si>
  <si>
    <t>SHP-30668</t>
  </si>
  <si>
    <t>SHP-30669</t>
  </si>
  <si>
    <t>SHP-30670</t>
  </si>
  <si>
    <t>SHP-30671</t>
  </si>
  <si>
    <t>SHP-30672</t>
  </si>
  <si>
    <t>SHP-30673</t>
  </si>
  <si>
    <t>SHP-30674</t>
  </si>
  <si>
    <t>SHP-30675</t>
  </si>
  <si>
    <t>SHP-30676</t>
  </si>
  <si>
    <t>SHP-30677</t>
  </si>
  <si>
    <t>SHP-30678</t>
  </si>
  <si>
    <t>SHP-30679</t>
  </si>
  <si>
    <t>SHP-30680</t>
  </si>
  <si>
    <t>SHP-30681</t>
  </si>
  <si>
    <t>SHP-30682</t>
  </si>
  <si>
    <t>SHP-30683</t>
  </si>
  <si>
    <t>SHP-30684</t>
  </si>
  <si>
    <t>SHP-30685</t>
  </si>
  <si>
    <t>SHP-30686</t>
  </si>
  <si>
    <t>SHP-30687</t>
  </si>
  <si>
    <t>SHP-30688</t>
  </si>
  <si>
    <t>SHP-30689</t>
  </si>
  <si>
    <t>SHP-30690</t>
  </si>
  <si>
    <t>SHP-30691</t>
  </si>
  <si>
    <t>SHP-30692</t>
  </si>
  <si>
    <t>SHP-30693</t>
  </si>
  <si>
    <t>SHP-30694</t>
  </si>
  <si>
    <t>SHP-30695</t>
  </si>
  <si>
    <t>SHP-30696</t>
  </si>
  <si>
    <t>SHP-30697</t>
  </si>
  <si>
    <t>SHP-30698</t>
  </si>
  <si>
    <t>SHP-30699</t>
  </si>
  <si>
    <t>SHP-30700</t>
  </si>
  <si>
    <t>SHP-30701</t>
  </si>
  <si>
    <t>SHP-30702</t>
  </si>
  <si>
    <t>SHP-30703</t>
  </si>
  <si>
    <t>SHP-30704</t>
  </si>
  <si>
    <t>SHP-30705</t>
  </si>
  <si>
    <t>SHP-30706</t>
  </si>
  <si>
    <t>SHP-30707</t>
  </si>
  <si>
    <t>SHP-30708</t>
  </si>
  <si>
    <t>SHP-30709</t>
  </si>
  <si>
    <t>SHP-30710</t>
  </si>
  <si>
    <t>SHP-30711</t>
  </si>
  <si>
    <t>SHP-30712</t>
  </si>
  <si>
    <t>SHP-30713</t>
  </si>
  <si>
    <t>SHP-30714</t>
  </si>
  <si>
    <t>SHP-30715</t>
  </si>
  <si>
    <t>SHP-30716</t>
  </si>
  <si>
    <t>SHP-30717</t>
  </si>
  <si>
    <t>SHP-30718</t>
  </si>
  <si>
    <t>SHP-30719</t>
  </si>
  <si>
    <t>SHP-30720</t>
  </si>
  <si>
    <t>SHP-30721</t>
  </si>
  <si>
    <t>SHP-30722</t>
  </si>
  <si>
    <t>SHP-30723</t>
  </si>
  <si>
    <t>SHP-30724</t>
  </si>
  <si>
    <t>SHP-30725</t>
  </si>
  <si>
    <t>SHP-30726</t>
  </si>
  <si>
    <t>SHP-30727</t>
  </si>
  <si>
    <t>SHP-30728</t>
  </si>
  <si>
    <t>SHP-30729</t>
  </si>
  <si>
    <t>SHP-30730</t>
  </si>
  <si>
    <t>SHP-30731</t>
  </si>
  <si>
    <t>SHP-30732</t>
  </si>
  <si>
    <t>SHP-30733</t>
  </si>
  <si>
    <t>SHP-30734</t>
  </si>
  <si>
    <t>SHP-30735</t>
  </si>
  <si>
    <t>SHP-30736</t>
  </si>
  <si>
    <t>SHP-30737</t>
  </si>
  <si>
    <t>SHP-30738</t>
  </si>
  <si>
    <t>SHP-30739</t>
  </si>
  <si>
    <t>SHP-30740</t>
  </si>
  <si>
    <t>SHP-30741</t>
  </si>
  <si>
    <t>SHP-30742</t>
  </si>
  <si>
    <t>SHP-30743</t>
  </si>
  <si>
    <t>SHP-30744</t>
  </si>
  <si>
    <t>SHP-30745</t>
  </si>
  <si>
    <t>SHP-30746</t>
  </si>
  <si>
    <t>SHP-30747</t>
  </si>
  <si>
    <t>SHP-30748</t>
  </si>
  <si>
    <t>SHP-30749</t>
  </si>
  <si>
    <t>SHP-30750</t>
  </si>
  <si>
    <t>SHP-30751</t>
  </si>
  <si>
    <t>SHP-30752</t>
  </si>
  <si>
    <t>SHP-30753</t>
  </si>
  <si>
    <t>SHP-30754</t>
  </si>
  <si>
    <t>SHP-30755</t>
  </si>
  <si>
    <t>SHP-30756</t>
  </si>
  <si>
    <t>SHP-30757</t>
  </si>
  <si>
    <t>SHP-30758</t>
  </si>
  <si>
    <t>SHP-30759</t>
  </si>
  <si>
    <t>SHP-30760</t>
  </si>
  <si>
    <t>SHP-30761</t>
  </si>
  <si>
    <t>SHP-30762</t>
  </si>
  <si>
    <t>SHP-30763</t>
  </si>
  <si>
    <t>SHP-30764</t>
  </si>
  <si>
    <t>SHP-30765</t>
  </si>
  <si>
    <t>SHP-30766</t>
  </si>
  <si>
    <t>SHP-30767</t>
  </si>
  <si>
    <t>SHP-30768</t>
  </si>
  <si>
    <t>SHP-30769</t>
  </si>
  <si>
    <t>SHP-30770</t>
  </si>
  <si>
    <t>SHP-30771</t>
  </si>
  <si>
    <t>SHP-30772</t>
  </si>
  <si>
    <t>SHP-30773</t>
  </si>
  <si>
    <t>SHP-30774</t>
  </si>
  <si>
    <t>SHP-30775</t>
  </si>
  <si>
    <t>SHP-30776</t>
  </si>
  <si>
    <t>SHP-30777</t>
  </si>
  <si>
    <t>SHP-30778</t>
  </si>
  <si>
    <t>SHP-30779</t>
  </si>
  <si>
    <t>SHP-30780</t>
  </si>
  <si>
    <t>SHP-30781</t>
  </si>
  <si>
    <t>SHP-30782</t>
  </si>
  <si>
    <t>SHP-30783</t>
  </si>
  <si>
    <t>SHP-30784</t>
  </si>
  <si>
    <t>SHP-30785</t>
  </si>
  <si>
    <t>SHP-30786</t>
  </si>
  <si>
    <t>SHP-30787</t>
  </si>
  <si>
    <t>SHP-30788</t>
  </si>
  <si>
    <t>SHP-30789</t>
  </si>
  <si>
    <t>SHP-30790</t>
  </si>
  <si>
    <t>SHP-30791</t>
  </si>
  <si>
    <t>SHP-30792</t>
  </si>
  <si>
    <t>SHP-30793</t>
  </si>
  <si>
    <t>SHP-30794</t>
  </si>
  <si>
    <t>SHP-30795</t>
  </si>
  <si>
    <t>SHP-30796</t>
  </si>
  <si>
    <t>SHP-30797</t>
  </si>
  <si>
    <t>SHP-30798</t>
  </si>
  <si>
    <t>SHP-30799</t>
  </si>
  <si>
    <t>SHP-30800</t>
  </si>
  <si>
    <t>SHP-30801</t>
  </si>
  <si>
    <t>SHP-30802</t>
  </si>
  <si>
    <t>SHP-30803</t>
  </si>
  <si>
    <t>SHP-30804</t>
  </si>
  <si>
    <t>SHP-30805</t>
  </si>
  <si>
    <t>SHP-30806</t>
  </si>
  <si>
    <t>SHP-30807</t>
  </si>
  <si>
    <t>SHP-30808</t>
  </si>
  <si>
    <t>SHP-30809</t>
  </si>
  <si>
    <t>SHP-30810</t>
  </si>
  <si>
    <t>SHP-30811</t>
  </si>
  <si>
    <t>SHP-30812</t>
  </si>
  <si>
    <t>SHP-30813</t>
  </si>
  <si>
    <t>SHP-30814</t>
  </si>
  <si>
    <t>SHP-30815</t>
  </si>
  <si>
    <t>SHP-30816</t>
  </si>
  <si>
    <t>SHP-30817</t>
  </si>
  <si>
    <t>SHP-30818</t>
  </si>
  <si>
    <t>SHP-30819</t>
  </si>
  <si>
    <t>SHP-30820</t>
  </si>
  <si>
    <t>SHP-30821</t>
  </si>
  <si>
    <t>SHP-30822</t>
  </si>
  <si>
    <t>SHP-30823</t>
  </si>
  <si>
    <t>SHP-30824</t>
  </si>
  <si>
    <t>SHP-30825</t>
  </si>
  <si>
    <t>SHP-30826</t>
  </si>
  <si>
    <t>SHP-30827</t>
  </si>
  <si>
    <t>SHP-30828</t>
  </si>
  <si>
    <t>SHP-30829</t>
  </si>
  <si>
    <t>SHP-30830</t>
  </si>
  <si>
    <t>SHP-30831</t>
  </si>
  <si>
    <t>SHP-30832</t>
  </si>
  <si>
    <t>SHP-30833</t>
  </si>
  <si>
    <t>SHP-30834</t>
  </si>
  <si>
    <t>SHP-30835</t>
  </si>
  <si>
    <t>SHP-30836</t>
  </si>
  <si>
    <t>SHP-30837</t>
  </si>
  <si>
    <t>SHP-30838</t>
  </si>
  <si>
    <t>SHP-30839</t>
  </si>
  <si>
    <t>SHP-30840</t>
  </si>
  <si>
    <t>SHP-30841</t>
  </si>
  <si>
    <t>SHP-30842</t>
  </si>
  <si>
    <t>SHP-30843</t>
  </si>
  <si>
    <t>SHP-30844</t>
  </si>
  <si>
    <t>SHP-30845</t>
  </si>
  <si>
    <t>SHP-30846</t>
  </si>
  <si>
    <t>SHP-30847</t>
  </si>
  <si>
    <t>SHP-30848</t>
  </si>
  <si>
    <t>SHP-30849</t>
  </si>
  <si>
    <t>SHP-30850</t>
  </si>
  <si>
    <t>SHP-30851</t>
  </si>
  <si>
    <t>SHP-30852</t>
  </si>
  <si>
    <t>SHP-30853</t>
  </si>
  <si>
    <t>SHP-30854</t>
  </si>
  <si>
    <t>SHP-30855</t>
  </si>
  <si>
    <t>SHP-30856</t>
  </si>
  <si>
    <t>SHP-30857</t>
  </si>
  <si>
    <t>SHP-30858</t>
  </si>
  <si>
    <t>SHP-30859</t>
  </si>
  <si>
    <t>SHP-30860</t>
  </si>
  <si>
    <t>SHP-30861</t>
  </si>
  <si>
    <t>SHP-30862</t>
  </si>
  <si>
    <t>SHP-30863</t>
  </si>
  <si>
    <t>SHP-30864</t>
  </si>
  <si>
    <t>SHP-30865</t>
  </si>
  <si>
    <t>SHP-30866</t>
  </si>
  <si>
    <t>SHP-30867</t>
  </si>
  <si>
    <t>SHP-30868</t>
  </si>
  <si>
    <t>SHP-30869</t>
  </si>
  <si>
    <t>SHP-30870</t>
  </si>
  <si>
    <t>SHP-30871</t>
  </si>
  <si>
    <t>SHP-30872</t>
  </si>
  <si>
    <t>SHP-30873</t>
  </si>
  <si>
    <t>SHP-30874</t>
  </si>
  <si>
    <t>SHP-30875</t>
  </si>
  <si>
    <t>SHP-30876</t>
  </si>
  <si>
    <t>SHP-30877</t>
  </si>
  <si>
    <t>SHP-30878</t>
  </si>
  <si>
    <t>SHP-30879</t>
  </si>
  <si>
    <t>SHP-30880</t>
  </si>
  <si>
    <t>SHP-30881</t>
  </si>
  <si>
    <t>SHP-30882</t>
  </si>
  <si>
    <t>SHP-30883</t>
  </si>
  <si>
    <t>SHP-30884</t>
  </si>
  <si>
    <t>SHP-30885</t>
  </si>
  <si>
    <t>SHP-30886</t>
  </si>
  <si>
    <t>SHP-30887</t>
  </si>
  <si>
    <t>SHP-30888</t>
  </si>
  <si>
    <t>SHP-30889</t>
  </si>
  <si>
    <t>SHP-30890</t>
  </si>
  <si>
    <t>SHP-30891</t>
  </si>
  <si>
    <t>SHP-30892</t>
  </si>
  <si>
    <t>SHP-30893</t>
  </si>
  <si>
    <t>SHP-30894</t>
  </si>
  <si>
    <t>SHP-30895</t>
  </si>
  <si>
    <t>SHP-30896</t>
  </si>
  <si>
    <t>SHP-30897</t>
  </si>
  <si>
    <t>SHP-30898</t>
  </si>
  <si>
    <t>SHP-30899</t>
  </si>
  <si>
    <t>SHP-30900</t>
  </si>
  <si>
    <t>SHP-30901</t>
  </si>
  <si>
    <t>SHP-30902</t>
  </si>
  <si>
    <t>SHP-30903</t>
  </si>
  <si>
    <t>SHP-30904</t>
  </si>
  <si>
    <t>SHP-30905</t>
  </si>
  <si>
    <t>SHP-30906</t>
  </si>
  <si>
    <t>SHP-30907</t>
  </si>
  <si>
    <t>SHP-30908</t>
  </si>
  <si>
    <t>SHP-30909</t>
  </si>
  <si>
    <t>SHP-30910</t>
  </si>
  <si>
    <t>SHP-30911</t>
  </si>
  <si>
    <t>SHP-30912</t>
  </si>
  <si>
    <t>SHP-30913</t>
  </si>
  <si>
    <t>SHP-30914</t>
  </si>
  <si>
    <t>SHP-30915</t>
  </si>
  <si>
    <t>SHP-30916</t>
  </si>
  <si>
    <t>SHP-30917</t>
  </si>
  <si>
    <t>SHP-30918</t>
  </si>
  <si>
    <t>SHP-30919</t>
  </si>
  <si>
    <t>SHP-30920</t>
  </si>
  <si>
    <t>SHP-30921</t>
  </si>
  <si>
    <t>SHP-30922</t>
  </si>
  <si>
    <t>SHP-30923</t>
  </si>
  <si>
    <t>SHP-30924</t>
  </si>
  <si>
    <t>SHP-30925</t>
  </si>
  <si>
    <t>SHP-30926</t>
  </si>
  <si>
    <t>SHP-30927</t>
  </si>
  <si>
    <t>SHP-30928</t>
  </si>
  <si>
    <t>SHP-30929</t>
  </si>
  <si>
    <t>SHP-30930</t>
  </si>
  <si>
    <t>SHP-30931</t>
  </si>
  <si>
    <t>SHP-30932</t>
  </si>
  <si>
    <t>SHP-30933</t>
  </si>
  <si>
    <t>SHP-30934</t>
  </si>
  <si>
    <t>SHP-30935</t>
  </si>
  <si>
    <t>SHP-30936</t>
  </si>
  <si>
    <t>SHP-30937</t>
  </si>
  <si>
    <t>SHP-30938</t>
  </si>
  <si>
    <t>SHP-30939</t>
  </si>
  <si>
    <t>SHP-30940</t>
  </si>
  <si>
    <t>SHP-30941</t>
  </si>
  <si>
    <t>SHP-30942</t>
  </si>
  <si>
    <t>SHP-30943</t>
  </si>
  <si>
    <t>SHP-30944</t>
  </si>
  <si>
    <t>SHP-30945</t>
  </si>
  <si>
    <t>SHP-30946</t>
  </si>
  <si>
    <t>SHP-30947</t>
  </si>
  <si>
    <t>SHP-30948</t>
  </si>
  <si>
    <t>SHP-30949</t>
  </si>
  <si>
    <t>SHP-30950</t>
  </si>
  <si>
    <t>SHP-30951</t>
  </si>
  <si>
    <t>SHP-30952</t>
  </si>
  <si>
    <t>SHP-30953</t>
  </si>
  <si>
    <t>SHP-30954</t>
  </si>
  <si>
    <t>SHP-30955</t>
  </si>
  <si>
    <t>SHP-30956</t>
  </si>
  <si>
    <t>SHP-30957</t>
  </si>
  <si>
    <t>SHP-30958</t>
  </si>
  <si>
    <t>SHP-30959</t>
  </si>
  <si>
    <t>SHP-30960</t>
  </si>
  <si>
    <t>SHP-30961</t>
  </si>
  <si>
    <t>SHP-30962</t>
  </si>
  <si>
    <t>SHP-30963</t>
  </si>
  <si>
    <t>SHP-30964</t>
  </si>
  <si>
    <t>SHP-30965</t>
  </si>
  <si>
    <t>SHP-30966</t>
  </si>
  <si>
    <t>SHP-30967</t>
  </si>
  <si>
    <t>SHP-30968</t>
  </si>
  <si>
    <t>SHP-30969</t>
  </si>
  <si>
    <t>SHP-30970</t>
  </si>
  <si>
    <t>SHP-30971</t>
  </si>
  <si>
    <t>SHP-30972</t>
  </si>
  <si>
    <t>SHP-30973</t>
  </si>
  <si>
    <t>SHP-30974</t>
  </si>
  <si>
    <t>SHP-30975</t>
  </si>
  <si>
    <t>SHP-30976</t>
  </si>
  <si>
    <t>SHP-30977</t>
  </si>
  <si>
    <t>SHP-30978</t>
  </si>
  <si>
    <t>SHP-30979</t>
  </si>
  <si>
    <t>SHP-30980</t>
  </si>
  <si>
    <t>SHP-30981</t>
  </si>
  <si>
    <t>SHP-30982</t>
  </si>
  <si>
    <t>SHP-30983</t>
  </si>
  <si>
    <t>SHP-30984</t>
  </si>
  <si>
    <t>SHP-30985</t>
  </si>
  <si>
    <t>SHP-30986</t>
  </si>
  <si>
    <t>SHP-30987</t>
  </si>
  <si>
    <t>SHP-30988</t>
  </si>
  <si>
    <t>SHP-30989</t>
  </si>
  <si>
    <t>SHP-30990</t>
  </si>
  <si>
    <t>SHP-30991</t>
  </si>
  <si>
    <t>SHP-30992</t>
  </si>
  <si>
    <t>SHP-30993</t>
  </si>
  <si>
    <t>SHP-30994</t>
  </si>
  <si>
    <t>SHP-30995</t>
  </si>
  <si>
    <t>SHP-30996</t>
  </si>
  <si>
    <t>SHP-30997</t>
  </si>
  <si>
    <t>SHP-30998</t>
  </si>
  <si>
    <t>SHP-30999</t>
  </si>
  <si>
    <t>SHP-31000</t>
  </si>
  <si>
    <t>SHP-31001</t>
  </si>
  <si>
    <t>SHP-31002</t>
  </si>
  <si>
    <t>SHP-31003</t>
  </si>
  <si>
    <t>SHP-31004</t>
  </si>
  <si>
    <t>SHP-31005</t>
  </si>
  <si>
    <t>SHP-31006</t>
  </si>
  <si>
    <t>SHP-31007</t>
  </si>
  <si>
    <t>SHP-31008</t>
  </si>
  <si>
    <t>SHP-31009</t>
  </si>
  <si>
    <t>SHP-31010</t>
  </si>
  <si>
    <t>SHP-31011</t>
  </si>
  <si>
    <t>SHP-31012</t>
  </si>
  <si>
    <t>SHP-31013</t>
  </si>
  <si>
    <t>SHP-31014</t>
  </si>
  <si>
    <t>SHP-31015</t>
  </si>
  <si>
    <t>SHP-31016</t>
  </si>
  <si>
    <t>SHP-31017</t>
  </si>
  <si>
    <t>SHP-31018</t>
  </si>
  <si>
    <t>SHP-31019</t>
  </si>
  <si>
    <t>SHP-31020</t>
  </si>
  <si>
    <t>SHP-31021</t>
  </si>
  <si>
    <t>SHP-31022</t>
  </si>
  <si>
    <t>SHP-31023</t>
  </si>
  <si>
    <t>SHP-31024</t>
  </si>
  <si>
    <t>SHP-31025</t>
  </si>
  <si>
    <t>SHP-31026</t>
  </si>
  <si>
    <t>SHP-31027</t>
  </si>
  <si>
    <t>SHP-31028</t>
  </si>
  <si>
    <t>SHP-31029</t>
  </si>
  <si>
    <t>SHP-31030</t>
  </si>
  <si>
    <t>SHP-31031</t>
  </si>
  <si>
    <t>SHP-31032</t>
  </si>
  <si>
    <t>SHP-31033</t>
  </si>
  <si>
    <t>SHP-31034</t>
  </si>
  <si>
    <t>SHP-31035</t>
  </si>
  <si>
    <t>SHP-31036</t>
  </si>
  <si>
    <t>SHP-31037</t>
  </si>
  <si>
    <t>SHP-31038</t>
  </si>
  <si>
    <t>SHP-31039</t>
  </si>
  <si>
    <t>SHP-31040</t>
  </si>
  <si>
    <t>SHP-31041</t>
  </si>
  <si>
    <t>SHP-31042</t>
  </si>
  <si>
    <t>SHP-31043</t>
  </si>
  <si>
    <t>SHP-31044</t>
  </si>
  <si>
    <t>SHP-31045</t>
  </si>
  <si>
    <t>SHP-31046</t>
  </si>
  <si>
    <t>SHP-31047</t>
  </si>
  <si>
    <t>SHP-31048</t>
  </si>
  <si>
    <t>SHP-31049</t>
  </si>
  <si>
    <t>SHP-31050</t>
  </si>
  <si>
    <t>SHP-31051</t>
  </si>
  <si>
    <t>SHP-31052</t>
  </si>
  <si>
    <t>SHP-31053</t>
  </si>
  <si>
    <t>SHP-31054</t>
  </si>
  <si>
    <t>SHP-31055</t>
  </si>
  <si>
    <t>SHP-31056</t>
  </si>
  <si>
    <t>SHP-31057</t>
  </si>
  <si>
    <t>SHP-31058</t>
  </si>
  <si>
    <t>SHP-31059</t>
  </si>
  <si>
    <t>SHP-31060</t>
  </si>
  <si>
    <t>SHP-31061</t>
  </si>
  <si>
    <t>SHP-31062</t>
  </si>
  <si>
    <t>SHP-31063</t>
  </si>
  <si>
    <t>SHP-31064</t>
  </si>
  <si>
    <t>SHP-31065</t>
  </si>
  <si>
    <t>SHP-31066</t>
  </si>
  <si>
    <t>SHP-31067</t>
  </si>
  <si>
    <t>SHP-31068</t>
  </si>
  <si>
    <t>SHP-31069</t>
  </si>
  <si>
    <t>SHP-31070</t>
  </si>
  <si>
    <t>SHP-31071</t>
  </si>
  <si>
    <t>SHP-31072</t>
  </si>
  <si>
    <t>SHP-31073</t>
  </si>
  <si>
    <t>SHP-31074</t>
  </si>
  <si>
    <t>SHP-31075</t>
  </si>
  <si>
    <t>SHP-31076</t>
  </si>
  <si>
    <t>SHP-31077</t>
  </si>
  <si>
    <t>SHP-31078</t>
  </si>
  <si>
    <t>SHP-31079</t>
  </si>
  <si>
    <t>SHP-31080</t>
  </si>
  <si>
    <t>SHP-31081</t>
  </si>
  <si>
    <t>SHP-31082</t>
  </si>
  <si>
    <t>SHP-31083</t>
  </si>
  <si>
    <t>SHP-31084</t>
  </si>
  <si>
    <t>SHP-31085</t>
  </si>
  <si>
    <t>SHP-31086</t>
  </si>
  <si>
    <t>SHP-31087</t>
  </si>
  <si>
    <t>SHP-31088</t>
  </si>
  <si>
    <t>SHP-31089</t>
  </si>
  <si>
    <t>SHP-31090</t>
  </si>
  <si>
    <t>SHP-31091</t>
  </si>
  <si>
    <t>SHP-31092</t>
  </si>
  <si>
    <t>SHP-31093</t>
  </si>
  <si>
    <t>SHP-31094</t>
  </si>
  <si>
    <t>SHP-31095</t>
  </si>
  <si>
    <t>SHP-31096</t>
  </si>
  <si>
    <t>SHP-31097</t>
  </si>
  <si>
    <t>SHP-31098</t>
  </si>
  <si>
    <t>SHP-31099</t>
  </si>
  <si>
    <t>SHP-31100</t>
  </si>
  <si>
    <t>SHP-31101</t>
  </si>
  <si>
    <t>SHP-31102</t>
  </si>
  <si>
    <t>SHP-31103</t>
  </si>
  <si>
    <t>SHP-31104</t>
  </si>
  <si>
    <t>SHP-31105</t>
  </si>
  <si>
    <t>SHP-31106</t>
  </si>
  <si>
    <t>SHP-31107</t>
  </si>
  <si>
    <t>SHP-31108</t>
  </si>
  <si>
    <t>SHP-31109</t>
  </si>
  <si>
    <t>SHP-31110</t>
  </si>
  <si>
    <t>SHP-31111</t>
  </si>
  <si>
    <t>SHP-31112</t>
  </si>
  <si>
    <t>SHP-31113</t>
  </si>
  <si>
    <t>SHP-31114</t>
  </si>
  <si>
    <t>SHP-31115</t>
  </si>
  <si>
    <t>SHP-31116</t>
  </si>
  <si>
    <t>SHP-31117</t>
  </si>
  <si>
    <t>SHP-31118</t>
  </si>
  <si>
    <t>SHP-31119</t>
  </si>
  <si>
    <t>SHP-31120</t>
  </si>
  <si>
    <t>SHP-31121</t>
  </si>
  <si>
    <t>SHP-31122</t>
  </si>
  <si>
    <t>SHP-31123</t>
  </si>
  <si>
    <t>SHP-31124</t>
  </si>
  <si>
    <t>SHP-31125</t>
  </si>
  <si>
    <t>SHP-31126</t>
  </si>
  <si>
    <t>SHP-31127</t>
  </si>
  <si>
    <t>SHP-31128</t>
  </si>
  <si>
    <t>SHP-31129</t>
  </si>
  <si>
    <t>SHP-31130</t>
  </si>
  <si>
    <t>SHP-31131</t>
  </si>
  <si>
    <t>SHP-31132</t>
  </si>
  <si>
    <t>SHP-31133</t>
  </si>
  <si>
    <t>SHP-31134</t>
  </si>
  <si>
    <t>SHP-31135</t>
  </si>
  <si>
    <t>SHP-31136</t>
  </si>
  <si>
    <t>SHP-31137</t>
  </si>
  <si>
    <t>SHP-31138</t>
  </si>
  <si>
    <t>SHP-31139</t>
  </si>
  <si>
    <t>SHP-31140</t>
  </si>
  <si>
    <t>SHP-31141</t>
  </si>
  <si>
    <t>SHP-31142</t>
  </si>
  <si>
    <t>SHP-31143</t>
  </si>
  <si>
    <t>SHP-31144</t>
  </si>
  <si>
    <t>SHP-31145</t>
  </si>
  <si>
    <t>SHP-31146</t>
  </si>
  <si>
    <t>SHP-31147</t>
  </si>
  <si>
    <t>SHP-31148</t>
  </si>
  <si>
    <t>SHP-31149</t>
  </si>
  <si>
    <t>SHP-31150</t>
  </si>
  <si>
    <t>SHP-31151</t>
  </si>
  <si>
    <t>SHP-31152</t>
  </si>
  <si>
    <t>SHP-31153</t>
  </si>
  <si>
    <t>SHP-31154</t>
  </si>
  <si>
    <t>SHP-31155</t>
  </si>
  <si>
    <t>SHP-31156</t>
  </si>
  <si>
    <t>SHP-31157</t>
  </si>
  <si>
    <t>SHP-31158</t>
  </si>
  <si>
    <t>SHP-31159</t>
  </si>
  <si>
    <t>SHP-31160</t>
  </si>
  <si>
    <t>SHP-31161</t>
  </si>
  <si>
    <t>SHP-31162</t>
  </si>
  <si>
    <t>SHP-31163</t>
  </si>
  <si>
    <t>SHP-31164</t>
  </si>
  <si>
    <t>SHP-31165</t>
  </si>
  <si>
    <t>SHP-31166</t>
  </si>
  <si>
    <t>SHP-31167</t>
  </si>
  <si>
    <t>SHP-31168</t>
  </si>
  <si>
    <t>SHP-31169</t>
  </si>
  <si>
    <t>SHP-31170</t>
  </si>
  <si>
    <t>SHP-31171</t>
  </si>
  <si>
    <t>SHP-31172</t>
  </si>
  <si>
    <t>SHP-31173</t>
  </si>
  <si>
    <t>SHP-31174</t>
  </si>
  <si>
    <t>SHP-31175</t>
  </si>
  <si>
    <t>SHP-31176</t>
  </si>
  <si>
    <t>SHP-31177</t>
  </si>
  <si>
    <t>SHP-31178</t>
  </si>
  <si>
    <t>SHP-31179</t>
  </si>
  <si>
    <t>SHP-31180</t>
  </si>
  <si>
    <t>SHP-31181</t>
  </si>
  <si>
    <t>SHP-31182</t>
  </si>
  <si>
    <t>SHP-31183</t>
  </si>
  <si>
    <t>SHP-31184</t>
  </si>
  <si>
    <t>SHP-31185</t>
  </si>
  <si>
    <t>SHP-31186</t>
  </si>
  <si>
    <t>SHP-31187</t>
  </si>
  <si>
    <t>SHP-31188</t>
  </si>
  <si>
    <t>SHP-31189</t>
  </si>
  <si>
    <t>SHP-31190</t>
  </si>
  <si>
    <t>SHP-31191</t>
  </si>
  <si>
    <t>SHP-31192</t>
  </si>
  <si>
    <t>SHP-31193</t>
  </si>
  <si>
    <t>SHP-31194</t>
  </si>
  <si>
    <t>SHP-31195</t>
  </si>
  <si>
    <t>SHP-31196</t>
  </si>
  <si>
    <t>SHP-31197</t>
  </si>
  <si>
    <t>SHP-31198</t>
  </si>
  <si>
    <t>SHP-31199</t>
  </si>
  <si>
    <t>SHP-31200</t>
  </si>
  <si>
    <t>SHP-31201</t>
  </si>
  <si>
    <t>SHP-31202</t>
  </si>
  <si>
    <t>SHP-31203</t>
  </si>
  <si>
    <t>SHP-31204</t>
  </si>
  <si>
    <t>SHP-31205</t>
  </si>
  <si>
    <t>SHP-31206</t>
  </si>
  <si>
    <t>SHP-31207</t>
  </si>
  <si>
    <t>SHP-31208</t>
  </si>
  <si>
    <t>SHP-31209</t>
  </si>
  <si>
    <t>SHP-31210</t>
  </si>
  <si>
    <t>SHP-31211</t>
  </si>
  <si>
    <t>SHP-31212</t>
  </si>
  <si>
    <t>SHP-31213</t>
  </si>
  <si>
    <t>SHP-31214</t>
  </si>
  <si>
    <t>SHP-31215</t>
  </si>
  <si>
    <t>SHP-31216</t>
  </si>
  <si>
    <t>SHP-31217</t>
  </si>
  <si>
    <t>SHP-31218</t>
  </si>
  <si>
    <t>SHP-31219</t>
  </si>
  <si>
    <t>SHP-31220</t>
  </si>
  <si>
    <t>SHP-31221</t>
  </si>
  <si>
    <t>SHP-31222</t>
  </si>
  <si>
    <t>SHP-31223</t>
  </si>
  <si>
    <t>SHP-31224</t>
  </si>
  <si>
    <t>SHP-31225</t>
  </si>
  <si>
    <t>SHP-31226</t>
  </si>
  <si>
    <t>SHP-31227</t>
  </si>
  <si>
    <t>SHP-31228</t>
  </si>
  <si>
    <t>SHP-31229</t>
  </si>
  <si>
    <t>SHP-31230</t>
  </si>
  <si>
    <t>SHP-31231</t>
  </si>
  <si>
    <t>SHP-31232</t>
  </si>
  <si>
    <t>SHP-31233</t>
  </si>
  <si>
    <t>SHP-31234</t>
  </si>
  <si>
    <t>SHP-31235</t>
  </si>
  <si>
    <t>SHP-31236</t>
  </si>
  <si>
    <t>SHP-31237</t>
  </si>
  <si>
    <t>SHP-31238</t>
  </si>
  <si>
    <t>SHP-31239</t>
  </si>
  <si>
    <t>SHP-31240</t>
  </si>
  <si>
    <t>SHP-31241</t>
  </si>
  <si>
    <t>SHP-31242</t>
  </si>
  <si>
    <t>SHP-31243</t>
  </si>
  <si>
    <t>SHP-31244</t>
  </si>
  <si>
    <t>SHP-31245</t>
  </si>
  <si>
    <t>SHP-31246</t>
  </si>
  <si>
    <t>SHP-31247</t>
  </si>
  <si>
    <t>SHP-31248</t>
  </si>
  <si>
    <t>SHP-31249</t>
  </si>
  <si>
    <t>SHP-31250</t>
  </si>
  <si>
    <t>SHP-31251</t>
  </si>
  <si>
    <t>SHP-31252</t>
  </si>
  <si>
    <t>SHP-31253</t>
  </si>
  <si>
    <t>SHP-31254</t>
  </si>
  <si>
    <t>SHP-31255</t>
  </si>
  <si>
    <t>SHP-31256</t>
  </si>
  <si>
    <t>SHP-31257</t>
  </si>
  <si>
    <t>SHP-31258</t>
  </si>
  <si>
    <t>SHP-31259</t>
  </si>
  <si>
    <t>SHP-31260</t>
  </si>
  <si>
    <t>SHP-31261</t>
  </si>
  <si>
    <t>SHP-31262</t>
  </si>
  <si>
    <t>SHP-31263</t>
  </si>
  <si>
    <t>SHP-31264</t>
  </si>
  <si>
    <t>SHP-31265</t>
  </si>
  <si>
    <t>SHP-31266</t>
  </si>
  <si>
    <t>SHP-31267</t>
  </si>
  <si>
    <t>SHP-31268</t>
  </si>
  <si>
    <t>SHP-31269</t>
  </si>
  <si>
    <t>SHP-31270</t>
  </si>
  <si>
    <t>SHP-31271</t>
  </si>
  <si>
    <t>SHP-31272</t>
  </si>
  <si>
    <t>SHP-31273</t>
  </si>
  <si>
    <t>SHP-31274</t>
  </si>
  <si>
    <t>SHP-31275</t>
  </si>
  <si>
    <t>SHP-31276</t>
  </si>
  <si>
    <t>SHP-31277</t>
  </si>
  <si>
    <t>SHP-31278</t>
  </si>
  <si>
    <t>SHP-31279</t>
  </si>
  <si>
    <t>SHP-31280</t>
  </si>
  <si>
    <t>SHP-31281</t>
  </si>
  <si>
    <t>SHP-31282</t>
  </si>
  <si>
    <t>SHP-31283</t>
  </si>
  <si>
    <t>SHP-31284</t>
  </si>
  <si>
    <t>SHP-31285</t>
  </si>
  <si>
    <t>SHP-31286</t>
  </si>
  <si>
    <t>SHP-31287</t>
  </si>
  <si>
    <t>SHP-31288</t>
  </si>
  <si>
    <t>SHP-31289</t>
  </si>
  <si>
    <t>SHP-31290</t>
  </si>
  <si>
    <t>SHP-31291</t>
  </si>
  <si>
    <t>SHP-31292</t>
  </si>
  <si>
    <t>SHP-31293</t>
  </si>
  <si>
    <t>SHP-31294</t>
  </si>
  <si>
    <t>SHP-31295</t>
  </si>
  <si>
    <t>SHP-31296</t>
  </si>
  <si>
    <t>SHP-31297</t>
  </si>
  <si>
    <t>SHP-31298</t>
  </si>
  <si>
    <t>SHP-31299</t>
  </si>
  <si>
    <t>SHP-31300</t>
  </si>
  <si>
    <t>SHP-31301</t>
  </si>
  <si>
    <t>SHP-31302</t>
  </si>
  <si>
    <t>SHP-31303</t>
  </si>
  <si>
    <t>SHP-31304</t>
  </si>
  <si>
    <t>SHP-31305</t>
  </si>
  <si>
    <t>SHP-31306</t>
  </si>
  <si>
    <t>SHP-31307</t>
  </si>
  <si>
    <t>SHP-31308</t>
  </si>
  <si>
    <t>SHP-31309</t>
  </si>
  <si>
    <t>SHP-31310</t>
  </si>
  <si>
    <t>SHP-31311</t>
  </si>
  <si>
    <t>SHP-31312</t>
  </si>
  <si>
    <t>SHP-31313</t>
  </si>
  <si>
    <t>SHP-31314</t>
  </si>
  <si>
    <t>SHP-31315</t>
  </si>
  <si>
    <t>SHP-31316</t>
  </si>
  <si>
    <t>SHP-31317</t>
  </si>
  <si>
    <t>SHP-31318</t>
  </si>
  <si>
    <t>SHP-31319</t>
  </si>
  <si>
    <t>SHP-31320</t>
  </si>
  <si>
    <t>SHP-31321</t>
  </si>
  <si>
    <t>SHP-31322</t>
  </si>
  <si>
    <t>SHP-31323</t>
  </si>
  <si>
    <t>SHP-31324</t>
  </si>
  <si>
    <t>SHP-31325</t>
  </si>
  <si>
    <t>SHP-31326</t>
  </si>
  <si>
    <t>SHP-31327</t>
  </si>
  <si>
    <t>SHP-31328</t>
  </si>
  <si>
    <t>SHP-31329</t>
  </si>
  <si>
    <t>SHP-31330</t>
  </si>
  <si>
    <t>SHP-31331</t>
  </si>
  <si>
    <t>SHP-31332</t>
  </si>
  <si>
    <t>SHP-31333</t>
  </si>
  <si>
    <t>SHP-31334</t>
  </si>
  <si>
    <t>SHP-31335</t>
  </si>
  <si>
    <t>SHP-31336</t>
  </si>
  <si>
    <t>SHP-31337</t>
  </si>
  <si>
    <t>SHP-31338</t>
  </si>
  <si>
    <t>SHP-31339</t>
  </si>
  <si>
    <t>SHP-31340</t>
  </si>
  <si>
    <t>SHP-31341</t>
  </si>
  <si>
    <t>SHP-31342</t>
  </si>
  <si>
    <t>SHP-31343</t>
  </si>
  <si>
    <t>SHP-31344</t>
  </si>
  <si>
    <t>SHP-31345</t>
  </si>
  <si>
    <t>SHP-31346</t>
  </si>
  <si>
    <t>SHP-31347</t>
  </si>
  <si>
    <t>SHP-31348</t>
  </si>
  <si>
    <t>SHP-31349</t>
  </si>
  <si>
    <t>SHP-31350</t>
  </si>
  <si>
    <t>SHP-31351</t>
  </si>
  <si>
    <t>SHP-31352</t>
  </si>
  <si>
    <t>SHP-31353</t>
  </si>
  <si>
    <t>SHP-31354</t>
  </si>
  <si>
    <t>SHP-31355</t>
  </si>
  <si>
    <t>SHP-31356</t>
  </si>
  <si>
    <t>SHP-31357</t>
  </si>
  <si>
    <t>SHP-31358</t>
  </si>
  <si>
    <t>SHP-31359</t>
  </si>
  <si>
    <t>SHP-31360</t>
  </si>
  <si>
    <t>SHP-31361</t>
  </si>
  <si>
    <t>SHP-31362</t>
  </si>
  <si>
    <t>SHP-31363</t>
  </si>
  <si>
    <t>SHP-31364</t>
  </si>
  <si>
    <t>SHP-31365</t>
  </si>
  <si>
    <t>SHP-31366</t>
  </si>
  <si>
    <t>SHP-31367</t>
  </si>
  <si>
    <t>SHP-31368</t>
  </si>
  <si>
    <t>SHP-31369</t>
  </si>
  <si>
    <t>SHP-31370</t>
  </si>
  <si>
    <t>SHP-31371</t>
  </si>
  <si>
    <t>SHP-31372</t>
  </si>
  <si>
    <t>SHP-31373</t>
  </si>
  <si>
    <t>SHP-31374</t>
  </si>
  <si>
    <t>SHP-31375</t>
  </si>
  <si>
    <t>SHP-31376</t>
  </si>
  <si>
    <t>SHP-31377</t>
  </si>
  <si>
    <t>SHP-31378</t>
  </si>
  <si>
    <t>SHP-31379</t>
  </si>
  <si>
    <t>SHP-31380</t>
  </si>
  <si>
    <t>SHP-31381</t>
  </si>
  <si>
    <t>SHP-31382</t>
  </si>
  <si>
    <t>SHP-31383</t>
  </si>
  <si>
    <t>SHP-31384</t>
  </si>
  <si>
    <t>SHP-31385</t>
  </si>
  <si>
    <t>SHP-31386</t>
  </si>
  <si>
    <t>SHP-31387</t>
  </si>
  <si>
    <t>SHP-31388</t>
  </si>
  <si>
    <t>SHP-31389</t>
  </si>
  <si>
    <t>SHP-31390</t>
  </si>
  <si>
    <t>SHP-31391</t>
  </si>
  <si>
    <t>SHP-31392</t>
  </si>
  <si>
    <t>SHP-31393</t>
  </si>
  <si>
    <t>SHP-31394</t>
  </si>
  <si>
    <t>SHP-31395</t>
  </si>
  <si>
    <t>SHP-31396</t>
  </si>
  <si>
    <t>SHP-31397</t>
  </si>
  <si>
    <t>SHP-31398</t>
  </si>
  <si>
    <t>SHP-31399</t>
  </si>
  <si>
    <t>SHP-31400</t>
  </si>
  <si>
    <t>SHP-31401</t>
  </si>
  <si>
    <t>SHP-31402</t>
  </si>
  <si>
    <t>SHP-31403</t>
  </si>
  <si>
    <t>SHP-31404</t>
  </si>
  <si>
    <t>SHP-31405</t>
  </si>
  <si>
    <t>SHP-31406</t>
  </si>
  <si>
    <t>SHP-31407</t>
  </si>
  <si>
    <t>SHP-31408</t>
  </si>
  <si>
    <t>SHP-31409</t>
  </si>
  <si>
    <t>SHP-31410</t>
  </si>
  <si>
    <t>SHP-31411</t>
  </si>
  <si>
    <t>SHP-31412</t>
  </si>
  <si>
    <t>SHP-31413</t>
  </si>
  <si>
    <t>SHP-31414</t>
  </si>
  <si>
    <t>SHP-31415</t>
  </si>
  <si>
    <t>SHP-31416</t>
  </si>
  <si>
    <t>SHP-31417</t>
  </si>
  <si>
    <t>SHP-31418</t>
  </si>
  <si>
    <t>SHP-31419</t>
  </si>
  <si>
    <t>SHP-31420</t>
  </si>
  <si>
    <t>SHP-31421</t>
  </si>
  <si>
    <t>SHP-31422</t>
  </si>
  <si>
    <t>SHP-31423</t>
  </si>
  <si>
    <t>SHP-31424</t>
  </si>
  <si>
    <t>SHP-31425</t>
  </si>
  <si>
    <t>SHP-31426</t>
  </si>
  <si>
    <t>SHP-31427</t>
  </si>
  <si>
    <t>SHP-31428</t>
  </si>
  <si>
    <t>SHP-31429</t>
  </si>
  <si>
    <t>SHP-31430</t>
  </si>
  <si>
    <t>SHP-31431</t>
  </si>
  <si>
    <t>SHP-31432</t>
  </si>
  <si>
    <t>SHP-31433</t>
  </si>
  <si>
    <t>SHP-31434</t>
  </si>
  <si>
    <t>SHP-31435</t>
  </si>
  <si>
    <t>SHP-31436</t>
  </si>
  <si>
    <t>SHP-31437</t>
  </si>
  <si>
    <t>SHP-31438</t>
  </si>
  <si>
    <t>SHP-31439</t>
  </si>
  <si>
    <t>SHP-31440</t>
  </si>
  <si>
    <t>SHP-31441</t>
  </si>
  <si>
    <t>SHP-31442</t>
  </si>
  <si>
    <t>SHP-31443</t>
  </si>
  <si>
    <t>SHP-31444</t>
  </si>
  <si>
    <t>SHP-31445</t>
  </si>
  <si>
    <t>SHP-31446</t>
  </si>
  <si>
    <t>SHP-31447</t>
  </si>
  <si>
    <t>SHP-31448</t>
  </si>
  <si>
    <t>SHP-31449</t>
  </si>
  <si>
    <t>SHP-31450</t>
  </si>
  <si>
    <t>SHP-31451</t>
  </si>
  <si>
    <t>SHP-31452</t>
  </si>
  <si>
    <t>SHP-31453</t>
  </si>
  <si>
    <t>SHP-31454</t>
  </si>
  <si>
    <t>SHP-31455</t>
  </si>
  <si>
    <t>SHP-31456</t>
  </si>
  <si>
    <t>SHP-31457</t>
  </si>
  <si>
    <t>SHP-31458</t>
  </si>
  <si>
    <t>SHP-31459</t>
  </si>
  <si>
    <t>SHP-31460</t>
  </si>
  <si>
    <t>SHP-31461</t>
  </si>
  <si>
    <t>SHP-31462</t>
  </si>
  <si>
    <t>SHP-31463</t>
  </si>
  <si>
    <t>SHP-31464</t>
  </si>
  <si>
    <t>SHP-31465</t>
  </si>
  <si>
    <t>SHP-31466</t>
  </si>
  <si>
    <t>SHP-31467</t>
  </si>
  <si>
    <t>SHP-31468</t>
  </si>
  <si>
    <t>SHP-31469</t>
  </si>
  <si>
    <t>SHP-31470</t>
  </si>
  <si>
    <t>SHP-31471</t>
  </si>
  <si>
    <t>SHP-31472</t>
  </si>
  <si>
    <t>SHP-31473</t>
  </si>
  <si>
    <t>SHP-31474</t>
  </si>
  <si>
    <t>SHP-31475</t>
  </si>
  <si>
    <t>SHP-31476</t>
  </si>
  <si>
    <t>SHP-31477</t>
  </si>
  <si>
    <t>SHP-31478</t>
  </si>
  <si>
    <t>SHP-31479</t>
  </si>
  <si>
    <t>SHP-31480</t>
  </si>
  <si>
    <t>SHP-31481</t>
  </si>
  <si>
    <t>SHP-31482</t>
  </si>
  <si>
    <t>SHP-31483</t>
  </si>
  <si>
    <t>SHP-31484</t>
  </si>
  <si>
    <t>SHP-31485</t>
  </si>
  <si>
    <t>SHP-31486</t>
  </si>
  <si>
    <t>SHP-31487</t>
  </si>
  <si>
    <t>SHP-31488</t>
  </si>
  <si>
    <t>SHP-31489</t>
  </si>
  <si>
    <t>SHP-31490</t>
  </si>
  <si>
    <t>SHP-31491</t>
  </si>
  <si>
    <t>SHP-31492</t>
  </si>
  <si>
    <t>SHP-31493</t>
  </si>
  <si>
    <t>SHP-31494</t>
  </si>
  <si>
    <t>SHP-31495</t>
  </si>
  <si>
    <t>SHP-31496</t>
  </si>
  <si>
    <t>SHP-31497</t>
  </si>
  <si>
    <t>SHP-31498</t>
  </si>
  <si>
    <t>SHP-31499</t>
  </si>
  <si>
    <t>SHP-31500</t>
  </si>
  <si>
    <t>SHP-31501</t>
  </si>
  <si>
    <t>SHP-31502</t>
  </si>
  <si>
    <t>SHP-31503</t>
  </si>
  <si>
    <t>SHP-31504</t>
  </si>
  <si>
    <t>SHP-31505</t>
  </si>
  <si>
    <t>SHP-31506</t>
  </si>
  <si>
    <t>SHP-31507</t>
  </si>
  <si>
    <t>SHP-31508</t>
  </si>
  <si>
    <t>SHP-31509</t>
  </si>
  <si>
    <t>SHP-31510</t>
  </si>
  <si>
    <t>SHP-31511</t>
  </si>
  <si>
    <t>SHP-31512</t>
  </si>
  <si>
    <t>SHP-31513</t>
  </si>
  <si>
    <t>SHP-31514</t>
  </si>
  <si>
    <t>SHP-31515</t>
  </si>
  <si>
    <t>SHP-31516</t>
  </si>
  <si>
    <t>SHP-31517</t>
  </si>
  <si>
    <t>SHP-31518</t>
  </si>
  <si>
    <t>SHP-31519</t>
  </si>
  <si>
    <t>SHP-31520</t>
  </si>
  <si>
    <t>SHP-31521</t>
  </si>
  <si>
    <t>SHP-31522</t>
  </si>
  <si>
    <t>SHP-31523</t>
  </si>
  <si>
    <t>SHP-31524</t>
  </si>
  <si>
    <t>SHP-31525</t>
  </si>
  <si>
    <t>SHP-31526</t>
  </si>
  <si>
    <t>SHP-31527</t>
  </si>
  <si>
    <t>SHP-31528</t>
  </si>
  <si>
    <t>SHP-31529</t>
  </si>
  <si>
    <t>SHP-31530</t>
  </si>
  <si>
    <t>SHP-31531</t>
  </si>
  <si>
    <t>SHP-31532</t>
  </si>
  <si>
    <t>SHP-31533</t>
  </si>
  <si>
    <t>SHP-31534</t>
  </si>
  <si>
    <t>SHP-31535</t>
  </si>
  <si>
    <t>SHP-31536</t>
  </si>
  <si>
    <t>SHP-31537</t>
  </si>
  <si>
    <t>SHP-31538</t>
  </si>
  <si>
    <t>SHP-31539</t>
  </si>
  <si>
    <t>SHP-31540</t>
  </si>
  <si>
    <t>SHP-31541</t>
  </si>
  <si>
    <t>SHP-31542</t>
  </si>
  <si>
    <t>SHP-31543</t>
  </si>
  <si>
    <t>SHP-31544</t>
  </si>
  <si>
    <t>SHP-31545</t>
  </si>
  <si>
    <t>SHP-31546</t>
  </si>
  <si>
    <t>SHP-31547</t>
  </si>
  <si>
    <t>SHP-31548</t>
  </si>
  <si>
    <t>SHP-31549</t>
  </si>
  <si>
    <t>SHP-31550</t>
  </si>
  <si>
    <t>SHP-31551</t>
  </si>
  <si>
    <t>SHP-31552</t>
  </si>
  <si>
    <t>SHP-31553</t>
  </si>
  <si>
    <t>SHP-31554</t>
  </si>
  <si>
    <t>SHP-31555</t>
  </si>
  <si>
    <t>SHP-31556</t>
  </si>
  <si>
    <t>SHP-31557</t>
  </si>
  <si>
    <t>SHP-31558</t>
  </si>
  <si>
    <t>SHP-31559</t>
  </si>
  <si>
    <t>SHP-31560</t>
  </si>
  <si>
    <t>SHP-31561</t>
  </si>
  <si>
    <t>SHP-31562</t>
  </si>
  <si>
    <t>SHP-31563</t>
  </si>
  <si>
    <t>SHP-31564</t>
  </si>
  <si>
    <t>SHP-31565</t>
  </si>
  <si>
    <t>SHP-31566</t>
  </si>
  <si>
    <t>SHP-31567</t>
  </si>
  <si>
    <t>SHP-31568</t>
  </si>
  <si>
    <t>SHP-31569</t>
  </si>
  <si>
    <t>SHP-31570</t>
  </si>
  <si>
    <t>SHP-31571</t>
  </si>
  <si>
    <t>SHP-31572</t>
  </si>
  <si>
    <t>SHP-31573</t>
  </si>
  <si>
    <t>SHP-31574</t>
  </si>
  <si>
    <t>SHP-31575</t>
  </si>
  <si>
    <t>SHP-31576</t>
  </si>
  <si>
    <t>SHP-31577</t>
  </si>
  <si>
    <t>SHP-31578</t>
  </si>
  <si>
    <t>SHP-31579</t>
  </si>
  <si>
    <t>SHP-31580</t>
  </si>
  <si>
    <t>SHP-31581</t>
  </si>
  <si>
    <t>SHP-31582</t>
  </si>
  <si>
    <t>SHP-31583</t>
  </si>
  <si>
    <t>SHP-31584</t>
  </si>
  <si>
    <t>SHP-31585</t>
  </si>
  <si>
    <t>SHP-31586</t>
  </si>
  <si>
    <t>SHP-31587</t>
  </si>
  <si>
    <t>SHP-31588</t>
  </si>
  <si>
    <t>SHP-31589</t>
  </si>
  <si>
    <t>SHP-31590</t>
  </si>
  <si>
    <t>SHP-31591</t>
  </si>
  <si>
    <t>SHP-31592</t>
  </si>
  <si>
    <t>SHP-31593</t>
  </si>
  <si>
    <t>SHP-31594</t>
  </si>
  <si>
    <t>SHP-31595</t>
  </si>
  <si>
    <t>SHP-31596</t>
  </si>
  <si>
    <t>SHP-31597</t>
  </si>
  <si>
    <t>SHP-31598</t>
  </si>
  <si>
    <t>SHP-31599</t>
  </si>
  <si>
    <t>SHP-31600</t>
  </si>
  <si>
    <t>SHP-31601</t>
  </si>
  <si>
    <t>SHP-31602</t>
  </si>
  <si>
    <t>SHP-31603</t>
  </si>
  <si>
    <t>SHP-31604</t>
  </si>
  <si>
    <t>SHP-31605</t>
  </si>
  <si>
    <t>SHP-31606</t>
  </si>
  <si>
    <t>SHP-31607</t>
  </si>
  <si>
    <t>SHP-31608</t>
  </si>
  <si>
    <t>SHP-31609</t>
  </si>
  <si>
    <t>SHP-31610</t>
  </si>
  <si>
    <t>SHP-31611</t>
  </si>
  <si>
    <t>SHP-31612</t>
  </si>
  <si>
    <t>SHP-31613</t>
  </si>
  <si>
    <t>SHP-31614</t>
  </si>
  <si>
    <t>SHP-31615</t>
  </si>
  <si>
    <t>SHP-31616</t>
  </si>
  <si>
    <t>SHP-31617</t>
  </si>
  <si>
    <t>SHP-31618</t>
  </si>
  <si>
    <t>SHP-31619</t>
  </si>
  <si>
    <t>SHP-31620</t>
  </si>
  <si>
    <t>SHP-31621</t>
  </si>
  <si>
    <t>SHP-31622</t>
  </si>
  <si>
    <t>SHP-31623</t>
  </si>
  <si>
    <t>SHP-31624</t>
  </si>
  <si>
    <t>SHP-31625</t>
  </si>
  <si>
    <t>SHP-31626</t>
  </si>
  <si>
    <t>SHP-31627</t>
  </si>
  <si>
    <t>SHP-31628</t>
  </si>
  <si>
    <t>SHP-31629</t>
  </si>
  <si>
    <t>SHP-31630</t>
  </si>
  <si>
    <t>SHP-31631</t>
  </si>
  <si>
    <t>SHP-31632</t>
  </si>
  <si>
    <t>SHP-31633</t>
  </si>
  <si>
    <t>SHP-31634</t>
  </si>
  <si>
    <t>SHP-31635</t>
  </si>
  <si>
    <t>SHP-31636</t>
  </si>
  <si>
    <t>SHP-31637</t>
  </si>
  <si>
    <t>SHP-31638</t>
  </si>
  <si>
    <t>SHP-31639</t>
  </si>
  <si>
    <t>SHP-31640</t>
  </si>
  <si>
    <t>SHP-31641</t>
  </si>
  <si>
    <t>SHP-31642</t>
  </si>
  <si>
    <t>SHP-31643</t>
  </si>
  <si>
    <t>SHP-31644</t>
  </si>
  <si>
    <t>SHP-31645</t>
  </si>
  <si>
    <t>SHP-31646</t>
  </si>
  <si>
    <t>SHP-31647</t>
  </si>
  <si>
    <t>SHP-31648</t>
  </si>
  <si>
    <t>SHP-31649</t>
  </si>
  <si>
    <t>SHP-31650</t>
  </si>
  <si>
    <t>SHP-31651</t>
  </si>
  <si>
    <t>SHP-31652</t>
  </si>
  <si>
    <t>SHP-31653</t>
  </si>
  <si>
    <t>SHP-31654</t>
  </si>
  <si>
    <t>SHP-31655</t>
  </si>
  <si>
    <t>SHP-31656</t>
  </si>
  <si>
    <t>SHP-31657</t>
  </si>
  <si>
    <t>SHP-31658</t>
  </si>
  <si>
    <t>SHP-31659</t>
  </si>
  <si>
    <t>SHP-31660</t>
  </si>
  <si>
    <t>SHP-31661</t>
  </si>
  <si>
    <t>SHP-31662</t>
  </si>
  <si>
    <t>SHP-31663</t>
  </si>
  <si>
    <t>SHP-31664</t>
  </si>
  <si>
    <t>SHP-31665</t>
  </si>
  <si>
    <t>SHP-31666</t>
  </si>
  <si>
    <t>SHP-31667</t>
  </si>
  <si>
    <t>SHP-31668</t>
  </si>
  <si>
    <t>SHP-31669</t>
  </si>
  <si>
    <t>SHP-31670</t>
  </si>
  <si>
    <t>SHP-31671</t>
  </si>
  <si>
    <t>SHP-31672</t>
  </si>
  <si>
    <t>SHP-31673</t>
  </si>
  <si>
    <t>SHP-31674</t>
  </si>
  <si>
    <t>SHP-31675</t>
  </si>
  <si>
    <t>SHP-31676</t>
  </si>
  <si>
    <t>SHP-31677</t>
  </si>
  <si>
    <t>SHP-31678</t>
  </si>
  <si>
    <t>SHP-31679</t>
  </si>
  <si>
    <t>SHP-31680</t>
  </si>
  <si>
    <t>SHP-31681</t>
  </si>
  <si>
    <t>SHP-31682</t>
  </si>
  <si>
    <t>SHP-31683</t>
  </si>
  <si>
    <t>SHP-31684</t>
  </si>
  <si>
    <t>SHP-31685</t>
  </si>
  <si>
    <t>SHP-31686</t>
  </si>
  <si>
    <t>SHP-31687</t>
  </si>
  <si>
    <t>SHP-31688</t>
  </si>
  <si>
    <t>SHP-31689</t>
  </si>
  <si>
    <t>SHP-31690</t>
  </si>
  <si>
    <t>SHP-31691</t>
  </si>
  <si>
    <t>SHP-31692</t>
  </si>
  <si>
    <t>SHP-31693</t>
  </si>
  <si>
    <t>SHP-31694</t>
  </si>
  <si>
    <t>SHP-31695</t>
  </si>
  <si>
    <t>SHP-31696</t>
  </si>
  <si>
    <t>SHP-31697</t>
  </si>
  <si>
    <t>SHP-31698</t>
  </si>
  <si>
    <t>SHP-31699</t>
  </si>
  <si>
    <t>SHP-31700</t>
  </si>
  <si>
    <t>SHP-31701</t>
  </si>
  <si>
    <t>SHP-31702</t>
  </si>
  <si>
    <t>SHP-31703</t>
  </si>
  <si>
    <t>SHP-31704</t>
  </si>
  <si>
    <t>SHP-31705</t>
  </si>
  <si>
    <t>SHP-31706</t>
  </si>
  <si>
    <t>SHP-31707</t>
  </si>
  <si>
    <t>SHP-31708</t>
  </si>
  <si>
    <t>SHP-31709</t>
  </si>
  <si>
    <t>SHP-31710</t>
  </si>
  <si>
    <t>SHP-31711</t>
  </si>
  <si>
    <t>SHP-31712</t>
  </si>
  <si>
    <t>SHP-31713</t>
  </si>
  <si>
    <t>SHP-31714</t>
  </si>
  <si>
    <t>SHP-31715</t>
  </si>
  <si>
    <t>SHP-31716</t>
  </si>
  <si>
    <t>SHP-31717</t>
  </si>
  <si>
    <t>SHP-31718</t>
  </si>
  <si>
    <t>SHP-31719</t>
  </si>
  <si>
    <t>SHP-31720</t>
  </si>
  <si>
    <t>SHP-31721</t>
  </si>
  <si>
    <t>SHP-31722</t>
  </si>
  <si>
    <t>SHP-31723</t>
  </si>
  <si>
    <t>SHP-31724</t>
  </si>
  <si>
    <t>SHP-31725</t>
  </si>
  <si>
    <t>SHP-31726</t>
  </si>
  <si>
    <t>SHP-31727</t>
  </si>
  <si>
    <t>SHP-31728</t>
  </si>
  <si>
    <t>SHP-31729</t>
  </si>
  <si>
    <t>SHP-31730</t>
  </si>
  <si>
    <t>SHP-31731</t>
  </si>
  <si>
    <t>SHP-31732</t>
  </si>
  <si>
    <t>SHP-31733</t>
  </si>
  <si>
    <t>SHP-31734</t>
  </si>
  <si>
    <t>SHP-31735</t>
  </si>
  <si>
    <t>SHP-31736</t>
  </si>
  <si>
    <t>SHP-31737</t>
  </si>
  <si>
    <t>SHP-31738</t>
  </si>
  <si>
    <t>SHP-31739</t>
  </si>
  <si>
    <t>SHP-31740</t>
  </si>
  <si>
    <t>SHP-31741</t>
  </si>
  <si>
    <t>SHP-31742</t>
  </si>
  <si>
    <t>SHP-31743</t>
  </si>
  <si>
    <t>SHP-31744</t>
  </si>
  <si>
    <t>SHP-31745</t>
  </si>
  <si>
    <t>SHP-31746</t>
  </si>
  <si>
    <t>SHP-31747</t>
  </si>
  <si>
    <t>SHP-31748</t>
  </si>
  <si>
    <t>SHP-31749</t>
  </si>
  <si>
    <t>SHP-31750</t>
  </si>
  <si>
    <t>SHP-31751</t>
  </si>
  <si>
    <t>SHP-31752</t>
  </si>
  <si>
    <t>SHP-31753</t>
  </si>
  <si>
    <t>SHP-31754</t>
  </si>
  <si>
    <t>SHP-31755</t>
  </si>
  <si>
    <t>SHP-31756</t>
  </si>
  <si>
    <t>SHP-31757</t>
  </si>
  <si>
    <t>SHP-31758</t>
  </si>
  <si>
    <t>SHP-31759</t>
  </si>
  <si>
    <t>SHP-31760</t>
  </si>
  <si>
    <t>SHP-31761</t>
  </si>
  <si>
    <t>SHP-31762</t>
  </si>
  <si>
    <t>SHP-31763</t>
  </si>
  <si>
    <t>SHP-31764</t>
  </si>
  <si>
    <t>SHP-31765</t>
  </si>
  <si>
    <t>SHP-31766</t>
  </si>
  <si>
    <t>SHP-31767</t>
  </si>
  <si>
    <t>SHP-31768</t>
  </si>
  <si>
    <t>SHP-31769</t>
  </si>
  <si>
    <t>SHP-31770</t>
  </si>
  <si>
    <t>SHP-31771</t>
  </si>
  <si>
    <t>SHP-31772</t>
  </si>
  <si>
    <t>SHP-31773</t>
  </si>
  <si>
    <t>SHP-31774</t>
  </si>
  <si>
    <t>SHP-31775</t>
  </si>
  <si>
    <t>SHP-31776</t>
  </si>
  <si>
    <t>SHP-31777</t>
  </si>
  <si>
    <t>SHP-31778</t>
  </si>
  <si>
    <t>SHP-31779</t>
  </si>
  <si>
    <t>SHP-31780</t>
  </si>
  <si>
    <t>SHP-31781</t>
  </si>
  <si>
    <t>SHP-31782</t>
  </si>
  <si>
    <t>SHP-31783</t>
  </si>
  <si>
    <t>SHP-31784</t>
  </si>
  <si>
    <t>SHP-31785</t>
  </si>
  <si>
    <t>SHP-31786</t>
  </si>
  <si>
    <t>SHP-31787</t>
  </si>
  <si>
    <t>SHP-31788</t>
  </si>
  <si>
    <t>SHP-31789</t>
  </si>
  <si>
    <t>SHP-31790</t>
  </si>
  <si>
    <t>SHP-31791</t>
  </si>
  <si>
    <t>SHP-31792</t>
  </si>
  <si>
    <t>SHP-31793</t>
  </si>
  <si>
    <t>SHP-31794</t>
  </si>
  <si>
    <t>SHP-31795</t>
  </si>
  <si>
    <t>SHP-31796</t>
  </si>
  <si>
    <t>SHP-31797</t>
  </si>
  <si>
    <t>SHP-31798</t>
  </si>
  <si>
    <t>SHP-31799</t>
  </si>
  <si>
    <t>SHP-31800</t>
  </si>
  <si>
    <t>SHP-31801</t>
  </si>
  <si>
    <t>SHP-31802</t>
  </si>
  <si>
    <t>SHP-31803</t>
  </si>
  <si>
    <t>SHP-31804</t>
  </si>
  <si>
    <t>SHP-31805</t>
  </si>
  <si>
    <t>SHP-31806</t>
  </si>
  <si>
    <t>SHP-31807</t>
  </si>
  <si>
    <t>SHP-31808</t>
  </si>
  <si>
    <t>SHP-31809</t>
  </si>
  <si>
    <t>SHP-31810</t>
  </si>
  <si>
    <t>SHP-31811</t>
  </si>
  <si>
    <t>SHP-31812</t>
  </si>
  <si>
    <t>SHP-31813</t>
  </si>
  <si>
    <t>SHP-31814</t>
  </si>
  <si>
    <t>SHP-31815</t>
  </si>
  <si>
    <t>SHP-31816</t>
  </si>
  <si>
    <t>SHP-31817</t>
  </si>
  <si>
    <t>SHP-31818</t>
  </si>
  <si>
    <t>SHP-31819</t>
  </si>
  <si>
    <t>SHP-31820</t>
  </si>
  <si>
    <t>SHP-31821</t>
  </si>
  <si>
    <t>SHP-31822</t>
  </si>
  <si>
    <t>SHP-31823</t>
  </si>
  <si>
    <t>SHP-31824</t>
  </si>
  <si>
    <t>SHP-31825</t>
  </si>
  <si>
    <t>SHP-31826</t>
  </si>
  <si>
    <t>SHP-31827</t>
  </si>
  <si>
    <t>SHP-31828</t>
  </si>
  <si>
    <t>SHP-31829</t>
  </si>
  <si>
    <t>SHP-31830</t>
  </si>
  <si>
    <t>SHP-31831</t>
  </si>
  <si>
    <t>SHP-31832</t>
  </si>
  <si>
    <t>SHP-31833</t>
  </si>
  <si>
    <t>SHP-31834</t>
  </si>
  <si>
    <t>SHP-31835</t>
  </si>
  <si>
    <t>SHP-31836</t>
  </si>
  <si>
    <t>SHP-31837</t>
  </si>
  <si>
    <t>SHP-31838</t>
  </si>
  <si>
    <t>SHP-31839</t>
  </si>
  <si>
    <t>SHP-31840</t>
  </si>
  <si>
    <t>SHP-31841</t>
  </si>
  <si>
    <t>SHP-31842</t>
  </si>
  <si>
    <t>SHP-31843</t>
  </si>
  <si>
    <t>SHP-31844</t>
  </si>
  <si>
    <t>SHP-31845</t>
  </si>
  <si>
    <t>SHP-31846</t>
  </si>
  <si>
    <t>SHP-31847</t>
  </si>
  <si>
    <t>SHP-31848</t>
  </si>
  <si>
    <t>SHP-31849</t>
  </si>
  <si>
    <t>SHP-31850</t>
  </si>
  <si>
    <t>SHP-31851</t>
  </si>
  <si>
    <t>SHP-31852</t>
  </si>
  <si>
    <t>SHP-31853</t>
  </si>
  <si>
    <t>SHP-31854</t>
  </si>
  <si>
    <t>SHP-31855</t>
  </si>
  <si>
    <t>SHP-31856</t>
  </si>
  <si>
    <t>SHP-31857</t>
  </si>
  <si>
    <t>SHP-31858</t>
  </si>
  <si>
    <t>SHP-31859</t>
  </si>
  <si>
    <t>SHP-31860</t>
  </si>
  <si>
    <t>SHP-31861</t>
  </si>
  <si>
    <t>SHP-31862</t>
  </si>
  <si>
    <t>SHP-31863</t>
  </si>
  <si>
    <t>SHP-31864</t>
  </si>
  <si>
    <t>SHP-31865</t>
  </si>
  <si>
    <t>SHP-31866</t>
  </si>
  <si>
    <t>SHP-31867</t>
  </si>
  <si>
    <t>SHP-31868</t>
  </si>
  <si>
    <t>SHP-31869</t>
  </si>
  <si>
    <t>SHP-31870</t>
  </si>
  <si>
    <t>SHP-31871</t>
  </si>
  <si>
    <t>SHP-31872</t>
  </si>
  <si>
    <t>SHP-31873</t>
  </si>
  <si>
    <t>SHP-31874</t>
  </si>
  <si>
    <t>SHP-31875</t>
  </si>
  <si>
    <t>SHP-31876</t>
  </si>
  <si>
    <t>SHP-31877</t>
  </si>
  <si>
    <t>SHP-31878</t>
  </si>
  <si>
    <t>SHP-31879</t>
  </si>
  <si>
    <t>SHP-31880</t>
  </si>
  <si>
    <t>SHP-31881</t>
  </si>
  <si>
    <t>SHP-31882</t>
  </si>
  <si>
    <t>SHP-31883</t>
  </si>
  <si>
    <t>SHP-31884</t>
  </si>
  <si>
    <t>SHP-31885</t>
  </si>
  <si>
    <t>SHP-31886</t>
  </si>
  <si>
    <t>SHP-31887</t>
  </si>
  <si>
    <t>SHP-31888</t>
  </si>
  <si>
    <t>SHP-31889</t>
  </si>
  <si>
    <t>SHP-31890</t>
  </si>
  <si>
    <t>SHP-31891</t>
  </si>
  <si>
    <t>SHP-31892</t>
  </si>
  <si>
    <t>SHP-31893</t>
  </si>
  <si>
    <t>SHP-31894</t>
  </si>
  <si>
    <t>SHP-31895</t>
  </si>
  <si>
    <t>SHP-31896</t>
  </si>
  <si>
    <t>SHP-31897</t>
  </si>
  <si>
    <t>SHP-31898</t>
  </si>
  <si>
    <t>SHP-31899</t>
  </si>
  <si>
    <t>SHP-31900</t>
  </si>
  <si>
    <t>SHP-31901</t>
  </si>
  <si>
    <t>SHP-31902</t>
  </si>
  <si>
    <t>SHP-31903</t>
  </si>
  <si>
    <t>SHP-31904</t>
  </si>
  <si>
    <t>SHP-31905</t>
  </si>
  <si>
    <t>SHP-31906</t>
  </si>
  <si>
    <t>SHP-31907</t>
  </si>
  <si>
    <t>SHP-31908</t>
  </si>
  <si>
    <t>SHP-31909</t>
  </si>
  <si>
    <t>SHP-31910</t>
  </si>
  <si>
    <t>SHP-31911</t>
  </si>
  <si>
    <t>SHP-31912</t>
  </si>
  <si>
    <t>SHP-31913</t>
  </si>
  <si>
    <t>SHP-31914</t>
  </si>
  <si>
    <t>SHP-31915</t>
  </si>
  <si>
    <t>SHP-31916</t>
  </si>
  <si>
    <t>SHP-31917</t>
  </si>
  <si>
    <t>SHP-31918</t>
  </si>
  <si>
    <t>SHP-31919</t>
  </si>
  <si>
    <t>SHP-31920</t>
  </si>
  <si>
    <t>SHP-31921</t>
  </si>
  <si>
    <t>SHP-31922</t>
  </si>
  <si>
    <t>SHP-31923</t>
  </si>
  <si>
    <t>SHP-31924</t>
  </si>
  <si>
    <t>SHP-31925</t>
  </si>
  <si>
    <t>SHP-31926</t>
  </si>
  <si>
    <t>SHP-31927</t>
  </si>
  <si>
    <t>SHP-31928</t>
  </si>
  <si>
    <t>SHP-31929</t>
  </si>
  <si>
    <t>SHP-31930</t>
  </si>
  <si>
    <t>SHP-31931</t>
  </si>
  <si>
    <t>SHP-31932</t>
  </si>
  <si>
    <t>SHP-31933</t>
  </si>
  <si>
    <t>SHP-31934</t>
  </si>
  <si>
    <t>SHP-31935</t>
  </si>
  <si>
    <t>SHP-31936</t>
  </si>
  <si>
    <t>SHP-31937</t>
  </si>
  <si>
    <t>SHP-31938</t>
  </si>
  <si>
    <t>SHP-31939</t>
  </si>
  <si>
    <t>SHP-31940</t>
  </si>
  <si>
    <t>SHP-31941</t>
  </si>
  <si>
    <t>SHP-31942</t>
  </si>
  <si>
    <t>SHP-31943</t>
  </si>
  <si>
    <t>SHP-31944</t>
  </si>
  <si>
    <t>SHP-31945</t>
  </si>
  <si>
    <t>SHP-31946</t>
  </si>
  <si>
    <t>SHP-31947</t>
  </si>
  <si>
    <t>SHP-31948</t>
  </si>
  <si>
    <t>SHP-31949</t>
  </si>
  <si>
    <t>SHP-31950</t>
  </si>
  <si>
    <t>SHP-31951</t>
  </si>
  <si>
    <t>SHP-31952</t>
  </si>
  <si>
    <t>SHP-31953</t>
  </si>
  <si>
    <t>SHP-31954</t>
  </si>
  <si>
    <t>SHP-31955</t>
  </si>
  <si>
    <t>SHP-31956</t>
  </si>
  <si>
    <t>SHP-31957</t>
  </si>
  <si>
    <t>SHP-31958</t>
  </si>
  <si>
    <t>SHP-31959</t>
  </si>
  <si>
    <t>SHP-31960</t>
  </si>
  <si>
    <t>SHP-31961</t>
  </si>
  <si>
    <t>SHP-31962</t>
  </si>
  <si>
    <t>SHP-31963</t>
  </si>
  <si>
    <t>SHP-31964</t>
  </si>
  <si>
    <t>SHP-31965</t>
  </si>
  <si>
    <t>SHP-31966</t>
  </si>
  <si>
    <t>SHP-31967</t>
  </si>
  <si>
    <t>SHP-31968</t>
  </si>
  <si>
    <t>SHP-31969</t>
  </si>
  <si>
    <t>SHP-31970</t>
  </si>
  <si>
    <t>SHP-31971</t>
  </si>
  <si>
    <t>SHP-31972</t>
  </si>
  <si>
    <t>SHP-31973</t>
  </si>
  <si>
    <t>SHP-31974</t>
  </si>
  <si>
    <t>SHP-31975</t>
  </si>
  <si>
    <t>SHP-31976</t>
  </si>
  <si>
    <t>SHP-31977</t>
  </si>
  <si>
    <t>SHP-31978</t>
  </si>
  <si>
    <t>SHP-31979</t>
  </si>
  <si>
    <t>SHP-31980</t>
  </si>
  <si>
    <t>SHP-31981</t>
  </si>
  <si>
    <t>SHP-31982</t>
  </si>
  <si>
    <t>SHP-31983</t>
  </si>
  <si>
    <t>SHP-31984</t>
  </si>
  <si>
    <t>SHP-31985</t>
  </si>
  <si>
    <t>SHP-31986</t>
  </si>
  <si>
    <t>SHP-31987</t>
  </si>
  <si>
    <t>SHP-31988</t>
  </si>
  <si>
    <t>SHP-31989</t>
  </si>
  <si>
    <t>SHP-31990</t>
  </si>
  <si>
    <t>SHP-31991</t>
  </si>
  <si>
    <t>SHP-31992</t>
  </si>
  <si>
    <t>SHP-31993</t>
  </si>
  <si>
    <t>SHP-31994</t>
  </si>
  <si>
    <t>SHP-31995</t>
  </si>
  <si>
    <t>SHP-31996</t>
  </si>
  <si>
    <t>SHP-31997</t>
  </si>
  <si>
    <t>SHP-31998</t>
  </si>
  <si>
    <t>SHP-31999</t>
  </si>
  <si>
    <t>South</t>
  </si>
  <si>
    <t>East</t>
  </si>
  <si>
    <t>North</t>
  </si>
  <si>
    <t>West</t>
  </si>
  <si>
    <t>Chennai</t>
  </si>
  <si>
    <t>Bengaluru</t>
  </si>
  <si>
    <t>Kolkata</t>
  </si>
  <si>
    <t>Noida</t>
  </si>
  <si>
    <t>Delhi</t>
  </si>
  <si>
    <t>Pune</t>
  </si>
  <si>
    <t>Bhubaneswar</t>
  </si>
  <si>
    <t>Mumbai</t>
  </si>
  <si>
    <t>Central Hub</t>
  </si>
  <si>
    <t>Local Hub</t>
  </si>
  <si>
    <t>Regional Hub</t>
  </si>
  <si>
    <t>Express</t>
  </si>
  <si>
    <t>Standard</t>
  </si>
  <si>
    <t>Critical</t>
  </si>
  <si>
    <t>Weather</t>
  </si>
  <si>
    <t>System</t>
  </si>
  <si>
    <t>Routing</t>
  </si>
  <si>
    <t>Documentation</t>
  </si>
  <si>
    <t>Capacity</t>
  </si>
  <si>
    <t>Low</t>
  </si>
  <si>
    <t>Medium</t>
  </si>
  <si>
    <t>High</t>
  </si>
  <si>
    <t>Yes</t>
  </si>
  <si>
    <t>No</t>
  </si>
  <si>
    <t>SLA_Complaint</t>
  </si>
  <si>
    <t>Delay_Flag</t>
  </si>
  <si>
    <t>Delay_Severity</t>
  </si>
  <si>
    <t>Revenue_Risk_per _Day</t>
  </si>
  <si>
    <t>Cost_Overrun_per_Day</t>
  </si>
  <si>
    <t>Date_Year</t>
  </si>
  <si>
    <t>Date_Month</t>
  </si>
  <si>
    <t>Operations Efficiency &amp; SLA Performance Analysis</t>
  </si>
  <si>
    <t xml:space="preserve">The company is facing increasing delivery delays and SLA breaches across regions and hubs.  </t>
  </si>
  <si>
    <t>These delays are driving cost overruns, backlog accumulation, and revenue at risk.</t>
  </si>
  <si>
    <t>Management lacks visibility into whether delays are driven by capacity issues, operational failures, shipment criticality, or external disruptions.</t>
  </si>
  <si>
    <t>Business Questions</t>
  </si>
  <si>
    <t>Do Central Hubs reduce delays or amplify backlog?</t>
  </si>
  <si>
    <t>Are Critical shipments breaching SLA more than Standard ones?</t>
  </si>
  <si>
    <t>Which issue types cause the highest revenue at risk per delay day?</t>
  </si>
  <si>
    <t>Is backlog load a leading indicator of SLA breach?</t>
  </si>
  <si>
    <t>Which regions absorb cost overruns most inefficiently?</t>
  </si>
  <si>
    <t>Which issue types cause the most severe delays?</t>
  </si>
  <si>
    <t>Is backlog load correlated with SLA breaches?</t>
  </si>
  <si>
    <t>KPIs</t>
  </si>
  <si>
    <t>Total Shipments</t>
  </si>
  <si>
    <t>SLA Compliance %</t>
  </si>
  <si>
    <t>SLA Breach %</t>
  </si>
  <si>
    <t>Average Planned TAT</t>
  </si>
  <si>
    <t>Average Actual TAT</t>
  </si>
  <si>
    <t>Average Delay Days</t>
  </si>
  <si>
    <t>Total Cost Overrun</t>
  </si>
  <si>
    <t>Total Revenue at Risk</t>
  </si>
  <si>
    <t>Data cleaning and preparation record</t>
  </si>
  <si>
    <t>Removing time stamp from Order_date, since all shipments have 00:00:00</t>
  </si>
  <si>
    <t>Added column SLA_compliance to check % of orders being on time.</t>
  </si>
  <si>
    <t>Added column Delay_Flag, Delay_Severity,Revenue_Risk_per_day, Cost_Overrun_per_day</t>
  </si>
  <si>
    <t xml:space="preserve">Delay_severity is measured as </t>
  </si>
  <si>
    <t>Meaning</t>
  </si>
  <si>
    <t>Definitions</t>
  </si>
  <si>
    <t>Count of Shipment_ID</t>
  </si>
  <si>
    <t>SLA-Service level agreement</t>
  </si>
  <si>
    <t>% of shipment with SLA_Breached="No"</t>
  </si>
  <si>
    <t>TAT- Turnover Time</t>
  </si>
  <si>
    <t>100-SLA Compliance %</t>
  </si>
  <si>
    <t>SLA Breach- TAT&gt;SLA</t>
  </si>
  <si>
    <t>Average of Planned TAT Days</t>
  </si>
  <si>
    <t>Average of Actual_TAT_Days</t>
  </si>
  <si>
    <t>Success Looks Like</t>
  </si>
  <si>
    <t>Average of Delay_Days</t>
  </si>
  <si>
    <t>Lower SLA Breach</t>
  </si>
  <si>
    <t>Sum of Cost_Overrun</t>
  </si>
  <si>
    <t>Lower Actual TAT</t>
  </si>
  <si>
    <t>Sum of Revenue_at_Risk</t>
  </si>
  <si>
    <t>Increased Revenue and Profit</t>
  </si>
  <si>
    <t>On Time = 0 days</t>
  </si>
  <si>
    <t>Minor = 1–2 days</t>
  </si>
  <si>
    <t>Major = 3–5 days</t>
  </si>
  <si>
    <t>Severe = &gt;5 days</t>
  </si>
  <si>
    <t>Grand Total</t>
  </si>
  <si>
    <t>Count of SLA_Breached</t>
  </si>
  <si>
    <t>Sum of Backlog_Load</t>
  </si>
  <si>
    <t>Sum of Revenue_Risk_per _Day</t>
  </si>
  <si>
    <t>Sum of Revenue_At_Risk</t>
  </si>
  <si>
    <t>Average of Planned_TAT_Days</t>
  </si>
  <si>
    <t>Sum of SLA_Complaint</t>
  </si>
  <si>
    <t>Breach_flag</t>
  </si>
  <si>
    <t>Sum of Breach_flag</t>
  </si>
  <si>
    <t>On daily basis Standard shipments are putting more than 1Cr of Revenue (nearly 50% of total Risk Revenue) at Risk.</t>
  </si>
  <si>
    <t>Average of Revenue_Risk_per _Day</t>
  </si>
  <si>
    <t>Regional Hub, being midway between Local and Central, is unable to meet requirements. Hence, SLA is High.</t>
  </si>
  <si>
    <t>SLA Complaince is critically low (10.55%). Indicating systemic inefficiency and operational failures.</t>
  </si>
  <si>
    <t>WIth Highest SLA Breaches(40.3%) and backlog load (2.23L), Regional Hub is performing under congestion.</t>
  </si>
  <si>
    <t>Regional Hub has high breach rate and backlog load. Hence, it’s a capacity issue rather than operational inefficiency.</t>
  </si>
  <si>
    <t>Frequency of delays is main driver of Revenue Risk and not issue severity per incident.</t>
  </si>
  <si>
    <t>Key Insights</t>
  </si>
  <si>
    <t>Systemic SLA Breakdown</t>
  </si>
  <si>
    <t>Hub Capacity Imbalance</t>
  </si>
  <si>
    <t>Strategic Prioritization</t>
  </si>
  <si>
    <t>ARRD-Average Revenue at Risk Per Day</t>
  </si>
  <si>
    <t>Suggesting external factors and structural problem is hurting more than internal errors.</t>
  </si>
  <si>
    <t>Standard shipments accounts for more than 50% of total SLA Breaches, Hence, its not a operational stress.</t>
  </si>
  <si>
    <t>ARRD is similar across issue types (2.9k), But Capacity, Routing and Weather are Highest Risk Contributor.</t>
  </si>
  <si>
    <t>Root Cause Hpyotheses</t>
  </si>
  <si>
    <t>Standard shipments are delayed due to Critical Type being given more priority and resource allocation</t>
  </si>
  <si>
    <t>Recommendations</t>
  </si>
  <si>
    <t>Recommendation | KPI Impact | Priority | Owner</t>
  </si>
  <si>
    <r>
      <t xml:space="preserve">Segregate Shipments Types and Monitor Standard Type separately (Due to High Volume) | Actual TAT Days </t>
    </r>
    <r>
      <rPr>
        <sz val="11"/>
        <color theme="1"/>
        <rFont val="Aptos Narrow"/>
        <charset val="1"/>
      </rPr>
      <t>↓ SLA Breach % ↓ | High | Ops Head</t>
    </r>
  </si>
  <si>
    <r>
      <t xml:space="preserve">Re-route excess load to Central Hub or Add more resources (Vehicles, Manpower) | Delay Days </t>
    </r>
    <r>
      <rPr>
        <sz val="11"/>
        <color theme="1"/>
        <rFont val="Aptos Narrow"/>
      </rPr>
      <t xml:space="preserve">↓ Backlog Load ↓ Cost Overrun </t>
    </r>
    <r>
      <rPr>
        <sz val="11"/>
        <color theme="1"/>
        <rFont val="Aptos Narrow"/>
        <charset val="1"/>
      </rPr>
      <t>↓</t>
    </r>
    <r>
      <rPr>
        <sz val="11.75"/>
        <color theme="1"/>
        <rFont val="Aptos Narrow"/>
      </rPr>
      <t xml:space="preserve"> </t>
    </r>
    <r>
      <rPr>
        <sz val="11"/>
        <color theme="1"/>
        <rFont val="Aptos Narrow"/>
      </rPr>
      <t>| High | Ops Head</t>
    </r>
  </si>
  <si>
    <r>
      <t xml:space="preserve">Build buffer capacity for Regional Hub and Pre Plan for Weather changes | ARRD </t>
    </r>
    <r>
      <rPr>
        <sz val="11"/>
        <color theme="1"/>
        <rFont val="Aptos Narrow"/>
        <charset val="1"/>
      </rPr>
      <t>↓</t>
    </r>
    <r>
      <rPr>
        <sz val="11"/>
        <color theme="1"/>
        <rFont val="Calibri"/>
        <family val="2"/>
        <scheme val="minor"/>
      </rPr>
      <t xml:space="preserve"> Average Actual TAT Days </t>
    </r>
    <r>
      <rPr>
        <sz val="11"/>
        <color theme="1"/>
        <rFont val="Aptos Narrow"/>
        <charset val="1"/>
      </rPr>
      <t xml:space="preserve">↓ | Medium </t>
    </r>
    <r>
      <rPr>
        <sz val="11"/>
        <color theme="1"/>
        <rFont val="Calibri"/>
        <family val="2"/>
        <scheme val="minor"/>
      </rPr>
      <t>| Ops Head</t>
    </r>
  </si>
  <si>
    <t>Actual TAT Days is met by Planned SLA. Hence, SLA Breach % Reduced.</t>
  </si>
  <si>
    <t>Hubs operating at balanced capacity with contingency planning in advance</t>
  </si>
  <si>
    <t>Revenue at Risk per Day is reduced and Cost Overrun is lower, Adding to overall Profit.</t>
  </si>
  <si>
    <r>
      <t xml:space="preserve">Recalibrate SLA commitments based on capacity analysis to meet Planned TAT or Increase SLA to realistic level(3-4 days) | SLA compliance % </t>
    </r>
    <r>
      <rPr>
        <sz val="11"/>
        <color theme="1"/>
        <rFont val="Aptos Narrow"/>
      </rPr>
      <t>↑ Revenue at Risk ↓ | High | Ops Head</t>
    </r>
  </si>
  <si>
    <t>Logistics SLA Monitoring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</si>
</sst>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 #,##0.00_ ;_ * \-#,##0.00_ ;_ * &quot;-&quot;??_ ;_ @_ "/>
    <numFmt numFmtId="164" formatCode="_ * #,##0_ ;_ * \-#,##0_ ;_ * &quot;-&quot;??_ ;_ @_ "/>
  </numFmts>
  <fonts count="11">
    <font>
      <sz val="11"/>
      <color theme="1"/>
      <name val="Calibri"/>
      <family val="2"/>
      <scheme val="minor"/>
    </font>
    <font>
      <b/>
      <sz val="11"/>
      <color theme="1"/>
      <name val="Calibri"/>
      <family val="2"/>
      <scheme val="minor"/>
    </font>
    <font>
      <sz val="11"/>
      <color theme="1"/>
      <name val="Calibri"/>
      <family val="2"/>
      <scheme val="minor"/>
    </font>
    <font>
      <strike/>
      <sz val="11"/>
      <color theme="1"/>
      <name val="Calibri"/>
      <family val="2"/>
      <scheme val="minor"/>
    </font>
    <font>
      <sz val="20"/>
      <color theme="1"/>
      <name val="Calibri"/>
      <family val="2"/>
      <scheme val="minor"/>
    </font>
    <font>
      <b/>
      <sz val="14"/>
      <color theme="1"/>
      <name val="Calibri"/>
      <family val="2"/>
      <scheme val="minor"/>
    </font>
    <font>
      <b/>
      <sz val="12"/>
      <color theme="1"/>
      <name val="Calibri"/>
      <family val="2"/>
      <scheme val="minor"/>
    </font>
    <font>
      <sz val="11"/>
      <color theme="1"/>
      <name val="Aptos Narrow"/>
    </font>
    <font>
      <sz val="11"/>
      <color theme="1"/>
      <name val="Aptos Narrow"/>
      <charset val="1"/>
    </font>
    <font>
      <sz val="11.75"/>
      <color theme="1"/>
      <name val="Aptos Narrow"/>
    </font>
    <font>
      <b/>
      <sz val="24"/>
      <color theme="1"/>
      <name val="Calibri"/>
      <family val="2"/>
      <scheme val="minor"/>
    </font>
  </fonts>
  <fills count="8">
    <fill>
      <patternFill patternType="none"/>
    </fill>
    <fill>
      <patternFill patternType="gray125"/>
    </fill>
    <fill>
      <patternFill patternType="solid">
        <fgColor theme="9" tint="0.59999389629810485"/>
        <bgColor indexed="64"/>
      </patternFill>
    </fill>
    <fill>
      <patternFill patternType="solid">
        <fgColor theme="6" tint="0.59999389629810485"/>
        <bgColor indexed="64"/>
      </patternFill>
    </fill>
    <fill>
      <patternFill patternType="solid">
        <fgColor rgb="FFFF99FF"/>
        <bgColor indexed="64"/>
      </patternFill>
    </fill>
    <fill>
      <patternFill patternType="solid">
        <fgColor theme="4" tint="0.59999389629810485"/>
        <bgColor indexed="64"/>
      </patternFill>
    </fill>
    <fill>
      <patternFill patternType="solid">
        <fgColor theme="9" tint="-0.249977111117893"/>
        <bgColor indexed="64"/>
      </patternFill>
    </fill>
    <fill>
      <patternFill patternType="solid">
        <fgColor rgb="FFCC99FF"/>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3">
    <xf numFmtId="0" fontId="0" fillId="0" borderId="0"/>
    <xf numFmtId="9" fontId="2" fillId="0" borderId="0" applyFont="0" applyFill="0" applyBorder="0" applyAlignment="0" applyProtection="0"/>
    <xf numFmtId="43" fontId="2" fillId="0" borderId="0" applyFont="0" applyFill="0" applyBorder="0" applyAlignment="0" applyProtection="0"/>
  </cellStyleXfs>
  <cellXfs count="34">
    <xf numFmtId="0" fontId="0" fillId="0" borderId="0" xfId="0"/>
    <xf numFmtId="0" fontId="1" fillId="0" borderId="1" xfId="0" applyFont="1" applyBorder="1" applyAlignment="1">
      <alignment horizontal="center" vertical="top"/>
    </xf>
    <xf numFmtId="0" fontId="1" fillId="0" borderId="2" xfId="0" applyFont="1" applyFill="1" applyBorder="1" applyAlignment="1">
      <alignment horizontal="center" vertical="top"/>
    </xf>
    <xf numFmtId="14" fontId="1" fillId="0" borderId="1" xfId="0" applyNumberFormat="1" applyFont="1" applyBorder="1" applyAlignment="1">
      <alignment horizontal="center" vertical="top"/>
    </xf>
    <xf numFmtId="14" fontId="0" fillId="0" borderId="0" xfId="0" applyNumberFormat="1"/>
    <xf numFmtId="0" fontId="1" fillId="0" borderId="0" xfId="0" applyFont="1"/>
    <xf numFmtId="0" fontId="0" fillId="0" borderId="0" xfId="0" pivotButton="1"/>
    <xf numFmtId="0" fontId="0" fillId="0" borderId="0" xfId="0" applyAlignment="1">
      <alignment horizontal="left"/>
    </xf>
    <xf numFmtId="0" fontId="0" fillId="0" borderId="0" xfId="0" applyNumberFormat="1"/>
    <xf numFmtId="10" fontId="0" fillId="0" borderId="0" xfId="0" applyNumberFormat="1"/>
    <xf numFmtId="164" fontId="0" fillId="0" borderId="0" xfId="0" applyNumberFormat="1"/>
    <xf numFmtId="0" fontId="0" fillId="0" borderId="0" xfId="0"/>
    <xf numFmtId="1" fontId="1" fillId="0" borderId="2" xfId="0" applyNumberFormat="1" applyFont="1" applyFill="1" applyBorder="1" applyAlignment="1">
      <alignment horizontal="center" vertical="top"/>
    </xf>
    <xf numFmtId="1" fontId="0" fillId="0" borderId="0" xfId="0" applyNumberFormat="1"/>
    <xf numFmtId="10" fontId="0" fillId="0" borderId="0" xfId="1" applyNumberFormat="1" applyFont="1"/>
    <xf numFmtId="0" fontId="0" fillId="0" borderId="0" xfId="0"/>
    <xf numFmtId="0" fontId="0" fillId="0" borderId="0" xfId="0" applyAlignment="1"/>
    <xf numFmtId="10" fontId="0" fillId="0" borderId="0" xfId="1" applyNumberFormat="1" applyFont="1" applyAlignment="1"/>
    <xf numFmtId="10" fontId="0" fillId="0" borderId="0" xfId="0" applyNumberFormat="1" applyAlignment="1"/>
    <xf numFmtId="164" fontId="0" fillId="0" borderId="0" xfId="2" applyNumberFormat="1" applyFont="1" applyAlignment="1"/>
    <xf numFmtId="0" fontId="0" fillId="0" borderId="0" xfId="0"/>
    <xf numFmtId="0" fontId="3" fillId="0" borderId="0" xfId="0" applyFont="1"/>
    <xf numFmtId="0" fontId="0" fillId="0" borderId="0" xfId="0"/>
    <xf numFmtId="0" fontId="6" fillId="0" borderId="0" xfId="0" applyFont="1"/>
    <xf numFmtId="0" fontId="0" fillId="0" borderId="0" xfId="0"/>
    <xf numFmtId="0" fontId="5" fillId="7" borderId="0" xfId="0" applyFont="1" applyFill="1" applyBorder="1" applyAlignment="1">
      <alignment horizontal="center"/>
    </xf>
    <xf numFmtId="0" fontId="10" fillId="7" borderId="0" xfId="0" applyFont="1" applyFill="1" applyBorder="1" applyAlignment="1">
      <alignment horizontal="center"/>
    </xf>
    <xf numFmtId="10" fontId="4" fillId="5" borderId="0" xfId="1" applyNumberFormat="1" applyFont="1" applyFill="1" applyBorder="1" applyAlignment="1">
      <alignment horizontal="center" vertical="center"/>
    </xf>
    <xf numFmtId="43" fontId="4" fillId="2" borderId="0" xfId="2" applyFont="1" applyFill="1" applyBorder="1" applyAlignment="1">
      <alignment horizontal="center" vertical="center"/>
    </xf>
    <xf numFmtId="164" fontId="4" fillId="6" borderId="0" xfId="2" applyNumberFormat="1" applyFont="1" applyFill="1" applyBorder="1" applyAlignment="1">
      <alignment horizontal="right" vertical="center" indent="1"/>
    </xf>
    <xf numFmtId="164" fontId="4" fillId="3" borderId="0" xfId="2" applyNumberFormat="1" applyFont="1" applyFill="1" applyBorder="1" applyAlignment="1">
      <alignment horizontal="center" vertical="center"/>
    </xf>
    <xf numFmtId="0" fontId="6" fillId="4" borderId="0" xfId="0" applyFont="1" applyFill="1" applyAlignment="1">
      <alignment horizontal="center"/>
    </xf>
    <xf numFmtId="0" fontId="5" fillId="4" borderId="0" xfId="0" applyFont="1" applyFill="1" applyAlignment="1">
      <alignment horizontal="center"/>
    </xf>
    <xf numFmtId="0" fontId="1" fillId="0" borderId="0" xfId="0" applyFont="1" applyAlignment="1">
      <alignment horizontal="center"/>
    </xf>
  </cellXfs>
  <cellStyles count="3">
    <cellStyle name="Comma" xfId="2" builtinId="3"/>
    <cellStyle name="Normal" xfId="0" builtinId="0"/>
    <cellStyle name="Percent" xfId="1" builtinId="5"/>
  </cellStyles>
  <dxfs count="8">
    <dxf>
      <numFmt numFmtId="164" formatCode="_ * #,##0_ ;_ * \-#,##0_ ;_ * &quot;-&quot;??_ ;_ @_ "/>
    </dxf>
    <dxf>
      <numFmt numFmtId="164" formatCode="_ * #,##0_ ;_ * \-#,##0_ ;_ * &quot;-&quot;??_ ;_ @_ "/>
    </dxf>
    <dxf>
      <numFmt numFmtId="0" formatCode="General"/>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s>
  <tableStyles count="0" defaultTableStyle="TableStyleMedium9" defaultPivotStyle="PivotStyleLight16"/>
  <colors>
    <mruColors>
      <color rgb="FFCC99FF"/>
      <color rgb="FFFF99FF"/>
      <color rgb="FFCC66FF"/>
      <color rgb="FFCC00FF"/>
      <color rgb="FFFF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sheetMetadata" Target="metadata.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[Logistics_Ops_Portfolio_Project_2.xlsx]Pivot_Calculations!Hub SLA Breach</c:name>
    <c:fmtId val="6"/>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Regional</a:t>
            </a:r>
            <a:r>
              <a:rPr lang="en-US" baseline="0"/>
              <a:t> Hub Shows Highest SLA Breach %</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9525">
              <a:solidFill>
                <a:schemeClr val="accent4"/>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Pivot_Calculations!$B$5</c:f>
              <c:strCache>
                <c:ptCount val="1"/>
                <c:pt idx="0">
                  <c:v>Total</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Pivot_Calculations!$A$6:$A$9</c:f>
              <c:strCache>
                <c:ptCount val="3"/>
                <c:pt idx="0">
                  <c:v>Central Hub</c:v>
                </c:pt>
                <c:pt idx="1">
                  <c:v>Local Hub</c:v>
                </c:pt>
                <c:pt idx="2">
                  <c:v>Regional Hub</c:v>
                </c:pt>
              </c:strCache>
            </c:strRef>
          </c:cat>
          <c:val>
            <c:numRef>
              <c:f>Pivot_Calculations!$B$6:$B$9</c:f>
              <c:numCache>
                <c:formatCode>0.00%</c:formatCode>
                <c:ptCount val="3"/>
                <c:pt idx="0">
                  <c:v>0.3095</c:v>
                </c:pt>
                <c:pt idx="1">
                  <c:v>0.28749999999999998</c:v>
                </c:pt>
                <c:pt idx="2">
                  <c:v>0.40300000000000002</c:v>
                </c:pt>
              </c:numCache>
            </c:numRef>
          </c:val>
          <c:extLst>
            <c:ext xmlns:c16="http://schemas.microsoft.com/office/drawing/2014/chart" uri="{C3380CC4-5D6E-409C-BE32-E72D297353CC}">
              <c16:uniqueId val="{00000000-35E6-4686-86D5-FF7B72B67FDF}"/>
            </c:ext>
          </c:extLst>
        </c:ser>
        <c:dLbls>
          <c:dLblPos val="outEnd"/>
          <c:showLegendKey val="0"/>
          <c:showVal val="1"/>
          <c:showCatName val="0"/>
          <c:showSerName val="0"/>
          <c:showPercent val="0"/>
          <c:showBubbleSize val="0"/>
        </c:dLbls>
        <c:gapWidth val="100"/>
        <c:overlap val="-24"/>
        <c:axId val="654081568"/>
        <c:axId val="654080128"/>
      </c:barChart>
      <c:catAx>
        <c:axId val="65408156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4080128"/>
        <c:crosses val="autoZero"/>
        <c:auto val="1"/>
        <c:lblAlgn val="ctr"/>
        <c:lblOffset val="100"/>
        <c:noMultiLvlLbl val="0"/>
      </c:catAx>
      <c:valAx>
        <c:axId val="654080128"/>
        <c:scaling>
          <c:orientation val="minMax"/>
        </c:scaling>
        <c:delete val="1"/>
        <c:axPos val="l"/>
        <c:numFmt formatCode="0.00%" sourceLinked="1"/>
        <c:majorTickMark val="none"/>
        <c:minorTickMark val="none"/>
        <c:tickLblPos val="nextTo"/>
        <c:crossAx val="6540815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[Logistics_Ops_Portfolio_Project_2.xlsx]Pivot_Calculations!Delay Issue Avg R Risk per Day</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ARRD is similar across issue types. Hence, Frequency drives more risk than severity</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4"/>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Pivot_Calculations!$H$5</c:f>
              <c:strCache>
                <c:ptCount val="1"/>
                <c:pt idx="0">
                  <c:v>Total</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Pivot_Calculations!$G$6:$G$11</c:f>
              <c:strCache>
                <c:ptCount val="5"/>
                <c:pt idx="0">
                  <c:v>Capacity</c:v>
                </c:pt>
                <c:pt idx="1">
                  <c:v>Documentation</c:v>
                </c:pt>
                <c:pt idx="2">
                  <c:v>Routing</c:v>
                </c:pt>
                <c:pt idx="3">
                  <c:v>System</c:v>
                </c:pt>
                <c:pt idx="4">
                  <c:v>Weather</c:v>
                </c:pt>
              </c:strCache>
            </c:strRef>
          </c:cat>
          <c:val>
            <c:numRef>
              <c:f>Pivot_Calculations!$H$6:$H$11</c:f>
              <c:numCache>
                <c:formatCode>_ * #,##0_ ;_ * \-#,##0_ ;_ * "-"??_ ;_ @_ </c:formatCode>
                <c:ptCount val="5"/>
                <c:pt idx="0">
                  <c:v>2980.6450304259633</c:v>
                </c:pt>
                <c:pt idx="1">
                  <c:v>2815.5689149560117</c:v>
                </c:pt>
                <c:pt idx="2">
                  <c:v>2991.1574803149606</c:v>
                </c:pt>
                <c:pt idx="3">
                  <c:v>2989.4013377926422</c:v>
                </c:pt>
                <c:pt idx="4">
                  <c:v>2888.6769547325102</c:v>
                </c:pt>
              </c:numCache>
            </c:numRef>
          </c:val>
          <c:smooth val="0"/>
          <c:extLst>
            <c:ext xmlns:c16="http://schemas.microsoft.com/office/drawing/2014/chart" uri="{C3380CC4-5D6E-409C-BE32-E72D297353CC}">
              <c16:uniqueId val="{00000000-91A1-43F0-B097-927CA6FE418D}"/>
            </c:ext>
          </c:extLst>
        </c:ser>
        <c:dLbls>
          <c:dLblPos val="t"/>
          <c:showLegendKey val="0"/>
          <c:showVal val="1"/>
          <c:showCatName val="0"/>
          <c:showSerName val="0"/>
          <c:showPercent val="0"/>
          <c:showBubbleSize val="0"/>
        </c:dLbls>
        <c:marker val="1"/>
        <c:smooth val="0"/>
        <c:axId val="103508112"/>
        <c:axId val="103509072"/>
      </c:lineChart>
      <c:catAx>
        <c:axId val="1035081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509072"/>
        <c:crosses val="autoZero"/>
        <c:auto val="1"/>
        <c:lblAlgn val="ctr"/>
        <c:lblOffset val="100"/>
        <c:noMultiLvlLbl val="0"/>
      </c:catAx>
      <c:valAx>
        <c:axId val="103509072"/>
        <c:scaling>
          <c:orientation val="minMax"/>
        </c:scaling>
        <c:delete val="1"/>
        <c:axPos val="l"/>
        <c:numFmt formatCode="_ * #,##0_ ;_ * \-#,##0_ ;_ * &quot;-&quot;??_ ;_ @_ " sourceLinked="1"/>
        <c:majorTickMark val="none"/>
        <c:minorTickMark val="none"/>
        <c:tickLblPos val="nextTo"/>
        <c:crossAx val="1035081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[Logistics_Ops_Portfolio_Project_2.xlsx]Pivot_Calculations!Ship Type R Risk per Day</c:name>
    <c:fmtId val="5"/>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US"/>
              <a:t>Standard type has Revenue Leakage Daily</a:t>
            </a:r>
          </a:p>
        </c:rich>
      </c:tx>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ln w="38100" cap="rnd">
            <a:solidFill>
              <a:schemeClr val="accent4"/>
            </a:solidFill>
            <a:round/>
          </a:ln>
          <a:effectLst/>
        </c:spPr>
        <c:marker>
          <c:symbol val="circle"/>
          <c:size val="8"/>
          <c:spPr>
            <a:solidFill>
              <a:schemeClr val="accent4"/>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Pivot_Calculations!$E$11</c:f>
              <c:strCache>
                <c:ptCount val="1"/>
                <c:pt idx="0">
                  <c:v>Total</c:v>
                </c:pt>
              </c:strCache>
            </c:strRef>
          </c:tx>
          <c:spPr>
            <a:ln w="38100" cap="rnd">
              <a:solidFill>
                <a:schemeClr val="accent4"/>
              </a:solidFill>
              <a:round/>
            </a:ln>
            <a:effectLst/>
          </c:spPr>
          <c:marker>
            <c:symbol val="circle"/>
            <c:size val="8"/>
            <c:spPr>
              <a:solidFill>
                <a:schemeClr val="accent4"/>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Pivot_Calculations!$D$12:$D$15</c:f>
              <c:strCache>
                <c:ptCount val="3"/>
                <c:pt idx="0">
                  <c:v>Critical</c:v>
                </c:pt>
                <c:pt idx="1">
                  <c:v>Express</c:v>
                </c:pt>
                <c:pt idx="2">
                  <c:v>Standard</c:v>
                </c:pt>
              </c:strCache>
            </c:strRef>
          </c:cat>
          <c:val>
            <c:numRef>
              <c:f>Pivot_Calculations!$E$12:$E$15</c:f>
              <c:numCache>
                <c:formatCode>_ * #,##0_ ;_ * \-#,##0_ ;_ * "-"??_ ;_ @_ </c:formatCode>
                <c:ptCount val="3"/>
                <c:pt idx="0">
                  <c:v>1261730</c:v>
                </c:pt>
                <c:pt idx="1">
                  <c:v>1721547</c:v>
                </c:pt>
                <c:pt idx="2">
                  <c:v>2883649</c:v>
                </c:pt>
              </c:numCache>
            </c:numRef>
          </c:val>
          <c:smooth val="0"/>
          <c:extLst>
            <c:ext xmlns:c16="http://schemas.microsoft.com/office/drawing/2014/chart" uri="{C3380CC4-5D6E-409C-BE32-E72D297353CC}">
              <c16:uniqueId val="{00000000-A614-4D85-92B4-1F08A1C25754}"/>
            </c:ext>
          </c:extLst>
        </c:ser>
        <c:dLbls>
          <c:dLblPos val="ctr"/>
          <c:showLegendKey val="0"/>
          <c:showVal val="1"/>
          <c:showCatName val="0"/>
          <c:showSerName val="0"/>
          <c:showPercent val="0"/>
          <c:showBubbleSize val="0"/>
        </c:dLbls>
        <c:marker val="1"/>
        <c:smooth val="0"/>
        <c:axId val="654513232"/>
        <c:axId val="654514192"/>
      </c:lineChart>
      <c:catAx>
        <c:axId val="6545132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654514192"/>
        <c:crosses val="autoZero"/>
        <c:auto val="1"/>
        <c:lblAlgn val="ctr"/>
        <c:lblOffset val="100"/>
        <c:noMultiLvlLbl val="0"/>
      </c:catAx>
      <c:valAx>
        <c:axId val="654514192"/>
        <c:scaling>
          <c:orientation val="minMax"/>
        </c:scaling>
        <c:delete val="1"/>
        <c:axPos val="l"/>
        <c:numFmt formatCode="_ * #,##0_ ;_ * \-#,##0_ ;_ * &quot;-&quot;??_ ;_ @_ " sourceLinked="1"/>
        <c:majorTickMark val="none"/>
        <c:minorTickMark val="none"/>
        <c:tickLblPos val="nextTo"/>
        <c:crossAx val="6545132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[Logistics_Ops_Portfolio_Project_2.xlsx]Pivot_Calculations!Ship Type R Risk </c:name>
    <c:fmtId val="5"/>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Standard</a:t>
            </a:r>
            <a:r>
              <a:rPr lang="en-US" baseline="0"/>
              <a:t> Shipments Drive Highest Revenue Risk </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diamond"/>
          <c:size val="5"/>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9525">
              <a:solidFill>
                <a:schemeClr val="accent4"/>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Pivot_Calculations!$E$17</c:f>
              <c:strCache>
                <c:ptCount val="1"/>
                <c:pt idx="0">
                  <c:v>Total</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Pivot_Calculations!$D$18:$D$21</c:f>
              <c:strCache>
                <c:ptCount val="3"/>
                <c:pt idx="0">
                  <c:v>Critical</c:v>
                </c:pt>
                <c:pt idx="1">
                  <c:v>Express</c:v>
                </c:pt>
                <c:pt idx="2">
                  <c:v>Standard</c:v>
                </c:pt>
              </c:strCache>
            </c:strRef>
          </c:cat>
          <c:val>
            <c:numRef>
              <c:f>Pivot_Calculations!$E$18:$E$21</c:f>
              <c:numCache>
                <c:formatCode>_ * #,##0_ ;_ * \-#,##0_ ;_ * "-"??_ ;_ @_ </c:formatCode>
                <c:ptCount val="3"/>
                <c:pt idx="0">
                  <c:v>5737726</c:v>
                </c:pt>
                <c:pt idx="1">
                  <c:v>6057451</c:v>
                </c:pt>
                <c:pt idx="2">
                  <c:v>10046968</c:v>
                </c:pt>
              </c:numCache>
            </c:numRef>
          </c:val>
          <c:extLst>
            <c:ext xmlns:c16="http://schemas.microsoft.com/office/drawing/2014/chart" uri="{C3380CC4-5D6E-409C-BE32-E72D297353CC}">
              <c16:uniqueId val="{00000000-0B28-49A8-9BB7-68266AB06C96}"/>
            </c:ext>
          </c:extLst>
        </c:ser>
        <c:dLbls>
          <c:dLblPos val="outEnd"/>
          <c:showLegendKey val="0"/>
          <c:showVal val="1"/>
          <c:showCatName val="0"/>
          <c:showSerName val="0"/>
          <c:showPercent val="0"/>
          <c:showBubbleSize val="0"/>
        </c:dLbls>
        <c:gapWidth val="115"/>
        <c:overlap val="-20"/>
        <c:axId val="655034576"/>
        <c:axId val="655032656"/>
      </c:barChart>
      <c:catAx>
        <c:axId val="655034576"/>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5032656"/>
        <c:crosses val="autoZero"/>
        <c:auto val="1"/>
        <c:lblAlgn val="ctr"/>
        <c:lblOffset val="100"/>
        <c:noMultiLvlLbl val="0"/>
      </c:catAx>
      <c:valAx>
        <c:axId val="655032656"/>
        <c:scaling>
          <c:orientation val="minMax"/>
        </c:scaling>
        <c:delete val="1"/>
        <c:axPos val="b"/>
        <c:numFmt formatCode="_ * #,##0_ ;_ * \-#,##0_ ;_ * &quot;-&quot;??_ ;_ @_ " sourceLinked="1"/>
        <c:majorTickMark val="none"/>
        <c:minorTickMark val="none"/>
        <c:tickLblPos val="nextTo"/>
        <c:crossAx val="6550345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7">
  <a:schemeClr val="accent4"/>
</cs:colorStyle>
</file>

<file path=xl/charts/colors2.xml><?xml version="1.0" encoding="utf-8"?>
<cs:colorStyle xmlns:cs="http://schemas.microsoft.com/office/drawing/2012/chartStyle" xmlns:a="http://schemas.openxmlformats.org/drawingml/2006/main" meth="withinLinear" id="17">
  <a:schemeClr val="accent4"/>
</cs:colorStyle>
</file>

<file path=xl/charts/colors3.xml><?xml version="1.0" encoding="utf-8"?>
<cs:colorStyle xmlns:cs="http://schemas.microsoft.com/office/drawing/2012/chartStyle" xmlns:a="http://schemas.openxmlformats.org/drawingml/2006/main" meth="withinLinear" id="17">
  <a:schemeClr val="accent4"/>
</cs:colorStyle>
</file>

<file path=xl/charts/colors4.xml><?xml version="1.0" encoding="utf-8"?>
<cs:colorStyle xmlns:cs="http://schemas.microsoft.com/office/drawing/2012/chartStyle" xmlns:a="http://schemas.openxmlformats.org/drawingml/2006/main" meth="withinLinear" id="17">
  <a:schemeClr val="accent4"/>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3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14</xdr:row>
      <xdr:rowOff>7938</xdr:rowOff>
    </xdr:from>
    <xdr:to>
      <xdr:col>8</xdr:col>
      <xdr:colOff>363538</xdr:colOff>
      <xdr:row>29</xdr:row>
      <xdr:rowOff>160494</xdr:rowOff>
    </xdr:to>
    <xdr:graphicFrame macro="">
      <xdr:nvGraphicFramePr>
        <xdr:cNvPr id="2" name="Chart 1">
          <a:extLst>
            <a:ext uri="{FF2B5EF4-FFF2-40B4-BE49-F238E27FC236}">
              <a16:creationId xmlns:a16="http://schemas.microsoft.com/office/drawing/2014/main" id="{BA0A74BE-3E8A-40BF-B45D-5FFD493ED8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477560</xdr:colOff>
      <xdr:row>29</xdr:row>
      <xdr:rowOff>0</xdr:rowOff>
    </xdr:from>
    <xdr:to>
      <xdr:col>21</xdr:col>
      <xdr:colOff>23605</xdr:colOff>
      <xdr:row>46</xdr:row>
      <xdr:rowOff>8698</xdr:rowOff>
    </xdr:to>
    <xdr:graphicFrame macro="">
      <xdr:nvGraphicFramePr>
        <xdr:cNvPr id="4" name="Chart 3">
          <a:extLst>
            <a:ext uri="{FF2B5EF4-FFF2-40B4-BE49-F238E27FC236}">
              <a16:creationId xmlns:a16="http://schemas.microsoft.com/office/drawing/2014/main" id="{3675A162-02CE-4980-BF04-0487A61A19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452550</xdr:colOff>
      <xdr:row>14</xdr:row>
      <xdr:rowOff>12521</xdr:rowOff>
    </xdr:from>
    <xdr:to>
      <xdr:col>21</xdr:col>
      <xdr:colOff>249</xdr:colOff>
      <xdr:row>28</xdr:row>
      <xdr:rowOff>125605</xdr:rowOff>
    </xdr:to>
    <xdr:graphicFrame macro="">
      <xdr:nvGraphicFramePr>
        <xdr:cNvPr id="5" name="Chart 4">
          <a:extLst>
            <a:ext uri="{FF2B5EF4-FFF2-40B4-BE49-F238E27FC236}">
              <a16:creationId xmlns:a16="http://schemas.microsoft.com/office/drawing/2014/main" id="{2DEB7473-A3C5-43D2-9F3F-D6FB17E100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8</xdr:col>
      <xdr:colOff>414868</xdr:colOff>
      <xdr:row>14</xdr:row>
      <xdr:rowOff>16926</xdr:rowOff>
    </xdr:from>
    <xdr:to>
      <xdr:col>11</xdr:col>
      <xdr:colOff>419279</xdr:colOff>
      <xdr:row>22</xdr:row>
      <xdr:rowOff>38793</xdr:rowOff>
    </xdr:to>
    <mc:AlternateContent xmlns:mc="http://schemas.openxmlformats.org/markup-compatibility/2006" xmlns:a14="http://schemas.microsoft.com/office/drawing/2010/main">
      <mc:Choice Requires="a14">
        <xdr:graphicFrame macro="">
          <xdr:nvGraphicFramePr>
            <xdr:cNvPr id="6" name="Region">
              <a:extLst>
                <a:ext uri="{FF2B5EF4-FFF2-40B4-BE49-F238E27FC236}">
                  <a16:creationId xmlns:a16="http://schemas.microsoft.com/office/drawing/2014/main" id="{D709CD43-C2E8-45CB-8DE8-05DD2C5E476C}"/>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5256743" y="2616457"/>
              <a:ext cx="1820114" cy="152999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409154</xdr:colOff>
      <xdr:row>22</xdr:row>
      <xdr:rowOff>85082</xdr:rowOff>
    </xdr:from>
    <xdr:to>
      <xdr:col>11</xdr:col>
      <xdr:colOff>423625</xdr:colOff>
      <xdr:row>29</xdr:row>
      <xdr:rowOff>84157</xdr:rowOff>
    </xdr:to>
    <mc:AlternateContent xmlns:mc="http://schemas.openxmlformats.org/markup-compatibility/2006" xmlns:a14="http://schemas.microsoft.com/office/drawing/2010/main">
      <mc:Choice Requires="a14">
        <xdr:graphicFrame macro="">
          <xdr:nvGraphicFramePr>
            <xdr:cNvPr id="7" name="Handling_Hub">
              <a:extLst>
                <a:ext uri="{FF2B5EF4-FFF2-40B4-BE49-F238E27FC236}">
                  <a16:creationId xmlns:a16="http://schemas.microsoft.com/office/drawing/2014/main" id="{A907726D-6BF8-4D49-ABA4-08C02970EC98}"/>
                </a:ext>
              </a:extLst>
            </xdr:cNvPr>
            <xdr:cNvGraphicFramePr/>
          </xdr:nvGraphicFramePr>
          <xdr:xfrm>
            <a:off x="0" y="0"/>
            <a:ext cx="0" cy="0"/>
          </xdr:xfrm>
          <a:graphic>
            <a:graphicData uri="http://schemas.microsoft.com/office/drawing/2010/slicer">
              <sle:slicer xmlns:sle="http://schemas.microsoft.com/office/drawing/2010/slicer" name="Handling_Hub"/>
            </a:graphicData>
          </a:graphic>
        </xdr:graphicFrame>
      </mc:Choice>
      <mc:Fallback xmlns="">
        <xdr:sp macro="" textlink="">
          <xdr:nvSpPr>
            <xdr:cNvPr id="0" name=""/>
            <xdr:cNvSpPr>
              <a:spLocks noTextEdit="1"/>
            </xdr:cNvSpPr>
          </xdr:nvSpPr>
          <xdr:spPr>
            <a:xfrm>
              <a:off x="5319821" y="4201999"/>
              <a:ext cx="1855971" cy="125849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423060</xdr:colOff>
      <xdr:row>29</xdr:row>
      <xdr:rowOff>111975</xdr:rowOff>
    </xdr:from>
    <xdr:to>
      <xdr:col>11</xdr:col>
      <xdr:colOff>427206</xdr:colOff>
      <xdr:row>36</xdr:row>
      <xdr:rowOff>68108</xdr:rowOff>
    </xdr:to>
    <mc:AlternateContent xmlns:mc="http://schemas.openxmlformats.org/markup-compatibility/2006" xmlns:a14="http://schemas.microsoft.com/office/drawing/2010/main">
      <mc:Choice Requires="a14">
        <xdr:graphicFrame macro="">
          <xdr:nvGraphicFramePr>
            <xdr:cNvPr id="8" name="Shipment_Type">
              <a:extLst>
                <a:ext uri="{FF2B5EF4-FFF2-40B4-BE49-F238E27FC236}">
                  <a16:creationId xmlns:a16="http://schemas.microsoft.com/office/drawing/2014/main" id="{92253279-C560-4C05-B74A-F2CB7FFDC248}"/>
                </a:ext>
              </a:extLst>
            </xdr:cNvPr>
            <xdr:cNvGraphicFramePr/>
          </xdr:nvGraphicFramePr>
          <xdr:xfrm>
            <a:off x="0" y="0"/>
            <a:ext cx="0" cy="0"/>
          </xdr:xfrm>
          <a:graphic>
            <a:graphicData uri="http://schemas.microsoft.com/office/drawing/2010/slicer">
              <sle:slicer xmlns:sle="http://schemas.microsoft.com/office/drawing/2010/slicer" name="Shipment_Type"/>
            </a:graphicData>
          </a:graphic>
        </xdr:graphicFrame>
      </mc:Choice>
      <mc:Fallback xmlns="">
        <xdr:sp macro="" textlink="">
          <xdr:nvSpPr>
            <xdr:cNvPr id="0" name=""/>
            <xdr:cNvSpPr>
              <a:spLocks noTextEdit="1"/>
            </xdr:cNvSpPr>
          </xdr:nvSpPr>
          <xdr:spPr>
            <a:xfrm>
              <a:off x="5333727" y="5488308"/>
              <a:ext cx="1845646" cy="121555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413490</xdr:colOff>
      <xdr:row>36</xdr:row>
      <xdr:rowOff>115861</xdr:rowOff>
    </xdr:from>
    <xdr:to>
      <xdr:col>11</xdr:col>
      <xdr:colOff>412927</xdr:colOff>
      <xdr:row>46</xdr:row>
      <xdr:rowOff>116694</xdr:rowOff>
    </xdr:to>
    <mc:AlternateContent xmlns:mc="http://schemas.openxmlformats.org/markup-compatibility/2006" xmlns:a14="http://schemas.microsoft.com/office/drawing/2010/main">
      <mc:Choice Requires="a14">
        <xdr:graphicFrame macro="">
          <xdr:nvGraphicFramePr>
            <xdr:cNvPr id="9" name="Delay_Issue_Type">
              <a:extLst>
                <a:ext uri="{FF2B5EF4-FFF2-40B4-BE49-F238E27FC236}">
                  <a16:creationId xmlns:a16="http://schemas.microsoft.com/office/drawing/2014/main" id="{E548055A-693B-427F-8EFE-F416CD7D162E}"/>
                </a:ext>
              </a:extLst>
            </xdr:cNvPr>
            <xdr:cNvGraphicFramePr/>
          </xdr:nvGraphicFramePr>
          <xdr:xfrm>
            <a:off x="0" y="0"/>
            <a:ext cx="0" cy="0"/>
          </xdr:xfrm>
          <a:graphic>
            <a:graphicData uri="http://schemas.microsoft.com/office/drawing/2010/slicer">
              <sle:slicer xmlns:sle="http://schemas.microsoft.com/office/drawing/2010/slicer" name="Delay_Issue_Type"/>
            </a:graphicData>
          </a:graphic>
        </xdr:graphicFrame>
      </mc:Choice>
      <mc:Fallback xmlns="">
        <xdr:sp macro="" textlink="">
          <xdr:nvSpPr>
            <xdr:cNvPr id="0" name=""/>
            <xdr:cNvSpPr>
              <a:spLocks noTextEdit="1"/>
            </xdr:cNvSpPr>
          </xdr:nvSpPr>
          <xdr:spPr>
            <a:xfrm>
              <a:off x="5324157" y="6751611"/>
              <a:ext cx="1840937" cy="1800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30</xdr:row>
      <xdr:rowOff>33338</xdr:rowOff>
    </xdr:from>
    <xdr:to>
      <xdr:col>8</xdr:col>
      <xdr:colOff>355600</xdr:colOff>
      <xdr:row>46</xdr:row>
      <xdr:rowOff>46180</xdr:rowOff>
    </xdr:to>
    <xdr:graphicFrame macro="">
      <xdr:nvGraphicFramePr>
        <xdr:cNvPr id="10" name="Chart 9">
          <a:extLst>
            <a:ext uri="{FF2B5EF4-FFF2-40B4-BE49-F238E27FC236}">
              <a16:creationId xmlns:a16="http://schemas.microsoft.com/office/drawing/2014/main" id="{536231F4-FE34-4059-A0A7-90ACFF985F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oumya das" refreshedDate="46067.691497800923" createdVersion="8" refreshedVersion="8" minRefreshableVersion="3" recordCount="2000" xr:uid="{EB20A9EE-91EA-412D-9C42-531C95DC1015}">
  <cacheSource type="worksheet">
    <worksheetSource ref="A1:W2001" sheet="Raw_Data"/>
  </cacheSource>
  <cacheFields count="23">
    <cacheField name="Shipment_ID" numFmtId="0">
      <sharedItems/>
    </cacheField>
    <cacheField name="Order_Date" numFmtId="14">
      <sharedItems containsSemiMixedTypes="0" containsNonDate="0" containsDate="1" containsString="0" minDate="2024-01-01T00:00:00" maxDate="2024-12-31T00:00:00"/>
    </cacheField>
    <cacheField name="Region" numFmtId="0">
      <sharedItems/>
    </cacheField>
    <cacheField name="City" numFmtId="0">
      <sharedItems/>
    </cacheField>
    <cacheField name="Handling_Hub" numFmtId="0">
      <sharedItems/>
    </cacheField>
    <cacheField name="Shipment_Type" numFmtId="0">
      <sharedItems/>
    </cacheField>
    <cacheField name="Delay_Issue_Type" numFmtId="0">
      <sharedItems/>
    </cacheField>
    <cacheField name="Issue_Severity" numFmtId="0">
      <sharedItems/>
    </cacheField>
    <cacheField name="Planned_TAT_Days" numFmtId="0">
      <sharedItems containsSemiMixedTypes="0" containsString="0" containsNumber="1" containsInteger="1" minValue="1" maxValue="5"/>
    </cacheField>
    <cacheField name="Actual_TAT_Days" numFmtId="0">
      <sharedItems containsSemiMixedTypes="0" containsString="0" containsNumber="1" containsInteger="1" minValue="1" maxValue="14"/>
    </cacheField>
    <cacheField name="Delay_Days" numFmtId="0">
      <sharedItems containsSemiMixedTypes="0" containsString="0" containsNumber="1" containsInteger="1" minValue="0" maxValue="10"/>
    </cacheField>
    <cacheField name="SLA_Breached" numFmtId="0">
      <sharedItems/>
    </cacheField>
    <cacheField name="Backlog_Load" numFmtId="0">
      <sharedItems containsSemiMixedTypes="0" containsString="0" containsNumber="1" containsInteger="1" minValue="50" maxValue="499"/>
    </cacheField>
    <cacheField name="Cost_Overrun" numFmtId="0">
      <sharedItems containsSemiMixedTypes="0" containsString="0" containsNumber="1" containsInteger="1" minValue="0" maxValue="20050"/>
    </cacheField>
    <cacheField name="Revenue_At_Risk" numFmtId="0">
      <sharedItems containsSemiMixedTypes="0" containsString="0" containsNumber="1" containsInteger="1" minValue="0" maxValue="47160"/>
    </cacheField>
    <cacheField name="SLA_Complaint" numFmtId="1">
      <sharedItems containsSemiMixedTypes="0" containsString="0" containsNumber="1" containsInteger="1" minValue="0" maxValue="1"/>
    </cacheField>
    <cacheField name="Delay_Flag" numFmtId="0">
      <sharedItems/>
    </cacheField>
    <cacheField name="Delay_Severity" numFmtId="0">
      <sharedItems/>
    </cacheField>
    <cacheField name="Revenue_Risk_per _Day" numFmtId="0">
      <sharedItems containsSemiMixedTypes="0" containsString="0" containsNumber="1" containsInteger="1" minValue="0" maxValue="4999"/>
    </cacheField>
    <cacheField name="Cost_Overrun_per_Day" numFmtId="0">
      <sharedItems containsSemiMixedTypes="0" containsString="0" containsNumber="1" containsInteger="1" minValue="0" maxValue="2499"/>
    </cacheField>
    <cacheField name="Date_Year" numFmtId="0">
      <sharedItems containsSemiMixedTypes="0" containsString="0" containsNumber="1" containsInteger="1" minValue="2024" maxValue="2024"/>
    </cacheField>
    <cacheField name="Date_Month" numFmtId="0">
      <sharedItems containsSemiMixedTypes="0" containsString="0" containsNumber="1" containsInteger="1" minValue="1" maxValue="12"/>
    </cacheField>
    <cacheField name="Breach_flag" numFmtId="0">
      <sharedItems containsSemiMixedTypes="0" containsString="0" containsNumber="1" containsInteger="1" minValue="0" maxValue="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oumya das" refreshedDate="46067.692689351854" createdVersion="8" refreshedVersion="8" minRefreshableVersion="3" recordCount="2000" xr:uid="{4703E0B5-FA02-48CA-87D5-CD4536605A5D}">
  <cacheSource type="worksheet">
    <worksheetSource ref="A1:V2001" sheet="Raw_Data"/>
  </cacheSource>
  <cacheFields count="22">
    <cacheField name="Shipment_ID" numFmtId="0">
      <sharedItems/>
    </cacheField>
    <cacheField name="Order_Date" numFmtId="14">
      <sharedItems containsSemiMixedTypes="0" containsNonDate="0" containsDate="1" containsString="0" minDate="2024-01-01T00:00:00" maxDate="2024-12-31T00:00:00"/>
    </cacheField>
    <cacheField name="Region" numFmtId="0">
      <sharedItems count="4">
        <s v="South"/>
        <s v="East"/>
        <s v="North"/>
        <s v="West"/>
      </sharedItems>
    </cacheField>
    <cacheField name="City" numFmtId="0">
      <sharedItems/>
    </cacheField>
    <cacheField name="Handling_Hub" numFmtId="0">
      <sharedItems count="3">
        <s v="Central Hub"/>
        <s v="Local Hub"/>
        <s v="Regional Hub"/>
      </sharedItems>
    </cacheField>
    <cacheField name="Shipment_Type" numFmtId="0">
      <sharedItems count="3">
        <s v="Express"/>
        <s v="Standard"/>
        <s v="Critical"/>
      </sharedItems>
    </cacheField>
    <cacheField name="Delay_Issue_Type" numFmtId="0">
      <sharedItems count="5">
        <s v="Weather"/>
        <s v="System"/>
        <s v="Routing"/>
        <s v="Documentation"/>
        <s v="Capacity"/>
      </sharedItems>
    </cacheField>
    <cacheField name="Issue_Severity" numFmtId="0">
      <sharedItems/>
    </cacheField>
    <cacheField name="Planned_TAT_Days" numFmtId="0">
      <sharedItems containsSemiMixedTypes="0" containsString="0" containsNumber="1" containsInteger="1" minValue="1" maxValue="5"/>
    </cacheField>
    <cacheField name="Actual_TAT_Days" numFmtId="0">
      <sharedItems containsSemiMixedTypes="0" containsString="0" containsNumber="1" containsInteger="1" minValue="1" maxValue="14"/>
    </cacheField>
    <cacheField name="Delay_Days" numFmtId="0">
      <sharedItems containsSemiMixedTypes="0" containsString="0" containsNumber="1" containsInteger="1" minValue="0" maxValue="10"/>
    </cacheField>
    <cacheField name="SLA_Breached" numFmtId="0">
      <sharedItems/>
    </cacheField>
    <cacheField name="Backlog_Load" numFmtId="0">
      <sharedItems containsSemiMixedTypes="0" containsString="0" containsNumber="1" containsInteger="1" minValue="50" maxValue="499"/>
    </cacheField>
    <cacheField name="Cost_Overrun" numFmtId="0">
      <sharedItems containsSemiMixedTypes="0" containsString="0" containsNumber="1" containsInteger="1" minValue="0" maxValue="20050"/>
    </cacheField>
    <cacheField name="Revenue_At_Risk" numFmtId="0">
      <sharedItems containsSemiMixedTypes="0" containsString="0" containsNumber="1" containsInteger="1" minValue="0" maxValue="47160"/>
    </cacheField>
    <cacheField name="SLA_Complaint" numFmtId="1">
      <sharedItems containsSemiMixedTypes="0" containsString="0" containsNumber="1" containsInteger="1" minValue="0" maxValue="1"/>
    </cacheField>
    <cacheField name="Delay_Flag" numFmtId="0">
      <sharedItems/>
    </cacheField>
    <cacheField name="Delay_Severity" numFmtId="0">
      <sharedItems/>
    </cacheField>
    <cacheField name="Revenue_Risk_per _Day" numFmtId="0">
      <sharedItems containsSemiMixedTypes="0" containsString="0" containsNumber="1" containsInteger="1" minValue="0" maxValue="4999"/>
    </cacheField>
    <cacheField name="Cost_Overrun_per_Day" numFmtId="0">
      <sharedItems containsSemiMixedTypes="0" containsString="0" containsNumber="1" containsInteger="1" minValue="0" maxValue="2499"/>
    </cacheField>
    <cacheField name="Date_Year" numFmtId="0">
      <sharedItems containsSemiMixedTypes="0" containsString="0" containsNumber="1" containsInteger="1" minValue="2024" maxValue="2024"/>
    </cacheField>
    <cacheField name="Date_Month" numFmtId="0">
      <sharedItems containsSemiMixedTypes="0" containsString="0" containsNumber="1" containsInteger="1" minValue="1" maxValue="12"/>
    </cacheField>
  </cacheFields>
  <extLst>
    <ext xmlns:x14="http://schemas.microsoft.com/office/spreadsheetml/2009/9/main" uri="{725AE2AE-9491-48be-B2B4-4EB974FC3084}">
      <x14:pivotCacheDefinition pivotCacheId="19889172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s v="SHP-30000"/>
    <d v="2024-08-29T00:00:00"/>
    <s v="South"/>
    <s v="Chennai"/>
    <s v="Central Hub"/>
    <s v="Express"/>
    <s v="Weather"/>
    <s v="Low"/>
    <n v="2"/>
    <n v="6"/>
    <n v="4"/>
    <s v="Yes"/>
    <n v="367"/>
    <n v="8308"/>
    <n v="6932"/>
    <n v="0"/>
    <s v="No"/>
    <s v="Major"/>
    <n v="1733"/>
    <n v="2077"/>
    <n v="2024"/>
    <n v="8"/>
    <n v="1"/>
  </r>
  <r>
    <s v="SHP-30001"/>
    <d v="2024-07-23T00:00:00"/>
    <s v="South"/>
    <s v="Bengaluru"/>
    <s v="Local Hub"/>
    <s v="Standard"/>
    <s v="Weather"/>
    <s v="Medium"/>
    <n v="3"/>
    <n v="8"/>
    <n v="5"/>
    <s v="Yes"/>
    <n v="279"/>
    <n v="5370"/>
    <n v="14890"/>
    <n v="0"/>
    <s v="No"/>
    <s v="Major"/>
    <n v="2978"/>
    <n v="1074"/>
    <n v="2024"/>
    <n v="7"/>
    <n v="1"/>
  </r>
  <r>
    <s v="SHP-30002"/>
    <d v="2024-09-05T00:00:00"/>
    <s v="East"/>
    <s v="Kolkata"/>
    <s v="Regional Hub"/>
    <s v="Critical"/>
    <s v="System"/>
    <s v="High"/>
    <n v="1"/>
    <n v="8"/>
    <n v="7"/>
    <s v="Yes"/>
    <n v="321"/>
    <n v="16044"/>
    <n v="16506"/>
    <n v="0"/>
    <s v="No"/>
    <s v="Severe"/>
    <n v="2358"/>
    <n v="2292"/>
    <n v="2024"/>
    <n v="9"/>
    <n v="1"/>
  </r>
  <r>
    <s v="SHP-30003"/>
    <d v="2024-11-28T00:00:00"/>
    <s v="North"/>
    <s v="Noida"/>
    <s v="Regional Hub"/>
    <s v="Express"/>
    <s v="Weather"/>
    <s v="Medium"/>
    <n v="2"/>
    <n v="6"/>
    <n v="4"/>
    <s v="Yes"/>
    <n v="280"/>
    <n v="6884"/>
    <n v="11760"/>
    <n v="0"/>
    <s v="No"/>
    <s v="Major"/>
    <n v="2940"/>
    <n v="1721"/>
    <n v="2024"/>
    <n v="11"/>
    <n v="1"/>
  </r>
  <r>
    <s v="SHP-30004"/>
    <d v="2024-11-18T00:00:00"/>
    <s v="East"/>
    <s v="Kolkata"/>
    <s v="Local Hub"/>
    <s v="Express"/>
    <s v="Routing"/>
    <s v="Medium"/>
    <n v="2"/>
    <n v="3"/>
    <n v="1"/>
    <s v="Yes"/>
    <n v="58"/>
    <n v="2394"/>
    <n v="4163"/>
    <n v="0"/>
    <s v="No"/>
    <s v="Minor"/>
    <n v="4163"/>
    <n v="2394"/>
    <n v="2024"/>
    <n v="11"/>
    <n v="1"/>
  </r>
  <r>
    <s v="SHP-30005"/>
    <d v="2024-01-06T00:00:00"/>
    <s v="East"/>
    <s v="Kolkata"/>
    <s v="Central Hub"/>
    <s v="Standard"/>
    <s v="Documentation"/>
    <s v="Low"/>
    <n v="3"/>
    <n v="8"/>
    <n v="5"/>
    <s v="Yes"/>
    <n v="304"/>
    <n v="10880"/>
    <n v="10720"/>
    <n v="0"/>
    <s v="No"/>
    <s v="Major"/>
    <n v="2144"/>
    <n v="2176"/>
    <n v="2024"/>
    <n v="1"/>
    <n v="1"/>
  </r>
  <r>
    <s v="SHP-30006"/>
    <d v="2024-01-02T00:00:00"/>
    <s v="East"/>
    <s v="Kolkata"/>
    <s v="Regional Hub"/>
    <s v="Critical"/>
    <s v="Documentation"/>
    <s v="Medium"/>
    <n v="2"/>
    <n v="4"/>
    <n v="2"/>
    <s v="Yes"/>
    <n v="244"/>
    <n v="2284"/>
    <n v="9804"/>
    <n v="0"/>
    <s v="No"/>
    <s v="Minor"/>
    <n v="4902"/>
    <n v="1142"/>
    <n v="2024"/>
    <n v="1"/>
    <n v="1"/>
  </r>
  <r>
    <s v="SHP-30007"/>
    <d v="2024-02-03T00:00:00"/>
    <s v="South"/>
    <s v="Chennai"/>
    <s v="Central Hub"/>
    <s v="Critical"/>
    <s v="Documentation"/>
    <s v="Low"/>
    <n v="2"/>
    <n v="8"/>
    <n v="6"/>
    <s v="Yes"/>
    <n v="295"/>
    <n v="12042"/>
    <n v="13446"/>
    <n v="0"/>
    <s v="No"/>
    <s v="Severe"/>
    <n v="2241"/>
    <n v="2007"/>
    <n v="2024"/>
    <n v="2"/>
    <n v="1"/>
  </r>
  <r>
    <s v="SHP-30008"/>
    <d v="2024-04-04T00:00:00"/>
    <s v="North"/>
    <s v="Delhi"/>
    <s v="Central Hub"/>
    <s v="Standard"/>
    <s v="Weather"/>
    <s v="Medium"/>
    <n v="2"/>
    <n v="6"/>
    <n v="4"/>
    <s v="Yes"/>
    <n v="458"/>
    <n v="6020"/>
    <n v="15380"/>
    <n v="0"/>
    <s v="No"/>
    <s v="Major"/>
    <n v="3845"/>
    <n v="1505"/>
    <n v="2024"/>
    <n v="4"/>
    <n v="1"/>
  </r>
  <r>
    <s v="SHP-30009"/>
    <d v="2024-11-25T00:00:00"/>
    <s v="South"/>
    <s v="Bengaluru"/>
    <s v="Regional Hub"/>
    <s v="Express"/>
    <s v="System"/>
    <s v="Low"/>
    <n v="1"/>
    <n v="1"/>
    <n v="0"/>
    <s v="No"/>
    <n v="84"/>
    <n v="0"/>
    <n v="0"/>
    <n v="1"/>
    <s v="No"/>
    <s v="On Time"/>
    <n v="0"/>
    <n v="0"/>
    <n v="2024"/>
    <n v="11"/>
    <n v="0"/>
  </r>
  <r>
    <s v="SHP-30010"/>
    <d v="2024-06-30T00:00:00"/>
    <s v="North"/>
    <s v="Delhi"/>
    <s v="Regional Hub"/>
    <s v="Express"/>
    <s v="Capacity"/>
    <s v="Low"/>
    <n v="2"/>
    <n v="7"/>
    <n v="5"/>
    <s v="Yes"/>
    <n v="313"/>
    <n v="7360"/>
    <n v="14340"/>
    <n v="0"/>
    <s v="No"/>
    <s v="Major"/>
    <n v="2868"/>
    <n v="1472"/>
    <n v="2024"/>
    <n v="6"/>
    <n v="1"/>
  </r>
  <r>
    <s v="SHP-30011"/>
    <d v="2024-12-23T00:00:00"/>
    <s v="South"/>
    <s v="Chennai"/>
    <s v="Central Hub"/>
    <s v="Critical"/>
    <s v="System"/>
    <s v="Low"/>
    <n v="1"/>
    <n v="5"/>
    <n v="4"/>
    <s v="Yes"/>
    <n v="260"/>
    <n v="7656"/>
    <n v="15408"/>
    <n v="0"/>
    <s v="No"/>
    <s v="Major"/>
    <n v="3852"/>
    <n v="1914"/>
    <n v="2024"/>
    <n v="12"/>
    <n v="1"/>
  </r>
  <r>
    <s v="SHP-30012"/>
    <d v="2024-12-23T00:00:00"/>
    <s v="West"/>
    <s v="Pune"/>
    <s v="Regional Hub"/>
    <s v="Critical"/>
    <s v="Documentation"/>
    <s v="Low"/>
    <n v="1"/>
    <n v="7"/>
    <n v="6"/>
    <s v="Yes"/>
    <n v="252"/>
    <n v="6228"/>
    <n v="27300"/>
    <n v="0"/>
    <s v="No"/>
    <s v="Severe"/>
    <n v="4550"/>
    <n v="1038"/>
    <n v="2024"/>
    <n v="12"/>
    <n v="1"/>
  </r>
  <r>
    <s v="SHP-30013"/>
    <d v="2024-05-19T00:00:00"/>
    <s v="South"/>
    <s v="Bengaluru"/>
    <s v="Central Hub"/>
    <s v="Express"/>
    <s v="Documentation"/>
    <s v="Low"/>
    <n v="5"/>
    <n v="10"/>
    <n v="5"/>
    <s v="Yes"/>
    <n v="150"/>
    <n v="5495"/>
    <n v="23825"/>
    <n v="0"/>
    <s v="No"/>
    <s v="Major"/>
    <n v="4765"/>
    <n v="1099"/>
    <n v="2024"/>
    <n v="5"/>
    <n v="1"/>
  </r>
  <r>
    <s v="SHP-30014"/>
    <d v="2024-04-30T00:00:00"/>
    <s v="East"/>
    <s v="Bhubaneswar"/>
    <s v="Local Hub"/>
    <s v="Standard"/>
    <s v="System"/>
    <s v="Medium"/>
    <n v="1"/>
    <n v="5"/>
    <n v="4"/>
    <s v="Yes"/>
    <n v="483"/>
    <n v="9676"/>
    <n v="15652"/>
    <n v="0"/>
    <s v="No"/>
    <s v="Major"/>
    <n v="3913"/>
    <n v="2419"/>
    <n v="2024"/>
    <n v="4"/>
    <n v="1"/>
  </r>
  <r>
    <s v="SHP-30015"/>
    <d v="2024-05-18T00:00:00"/>
    <s v="West"/>
    <s v="Mumbai"/>
    <s v="Central Hub"/>
    <s v="Express"/>
    <s v="Routing"/>
    <s v="High"/>
    <n v="2"/>
    <n v="8"/>
    <n v="6"/>
    <s v="Yes"/>
    <n v="242"/>
    <n v="4902"/>
    <n v="28974"/>
    <n v="0"/>
    <s v="No"/>
    <s v="Severe"/>
    <n v="4829"/>
    <n v="817"/>
    <n v="2024"/>
    <n v="5"/>
    <n v="1"/>
  </r>
  <r>
    <s v="SHP-30016"/>
    <d v="2024-07-30T00:00:00"/>
    <s v="South"/>
    <s v="Bengaluru"/>
    <s v="Regional Hub"/>
    <s v="Standard"/>
    <s v="Documentation"/>
    <s v="Medium"/>
    <n v="2"/>
    <n v="5"/>
    <n v="3"/>
    <s v="Yes"/>
    <n v="345"/>
    <n v="5691"/>
    <n v="5631"/>
    <n v="0"/>
    <s v="No"/>
    <s v="Major"/>
    <n v="1877"/>
    <n v="1897"/>
    <n v="2024"/>
    <n v="7"/>
    <n v="1"/>
  </r>
  <r>
    <s v="SHP-30017"/>
    <d v="2024-04-11T00:00:00"/>
    <s v="North"/>
    <s v="Delhi"/>
    <s v="Central Hub"/>
    <s v="Standard"/>
    <s v="Routing"/>
    <s v="Low"/>
    <n v="1"/>
    <n v="2"/>
    <n v="1"/>
    <s v="Yes"/>
    <n v="394"/>
    <n v="1003"/>
    <n v="2609"/>
    <n v="0"/>
    <s v="No"/>
    <s v="Minor"/>
    <n v="2609"/>
    <n v="1003"/>
    <n v="2024"/>
    <n v="4"/>
    <n v="1"/>
  </r>
  <r>
    <s v="SHP-30018"/>
    <d v="2024-05-09T00:00:00"/>
    <s v="East"/>
    <s v="Bhubaneswar"/>
    <s v="Central Hub"/>
    <s v="Standard"/>
    <s v="Routing"/>
    <s v="Low"/>
    <n v="2"/>
    <n v="4"/>
    <n v="2"/>
    <s v="Yes"/>
    <n v="198"/>
    <n v="3546"/>
    <n v="3440"/>
    <n v="0"/>
    <s v="No"/>
    <s v="Minor"/>
    <n v="1720"/>
    <n v="1773"/>
    <n v="2024"/>
    <n v="5"/>
    <n v="1"/>
  </r>
  <r>
    <s v="SHP-30019"/>
    <d v="2024-02-24T00:00:00"/>
    <s v="West"/>
    <s v="Mumbai"/>
    <s v="Local Hub"/>
    <s v="Standard"/>
    <s v="Documentation"/>
    <s v="High"/>
    <n v="5"/>
    <n v="8"/>
    <n v="3"/>
    <s v="Yes"/>
    <n v="123"/>
    <n v="6765"/>
    <n v="14151"/>
    <n v="0"/>
    <s v="No"/>
    <s v="Major"/>
    <n v="4717"/>
    <n v="2255"/>
    <n v="2024"/>
    <n v="2"/>
    <n v="1"/>
  </r>
  <r>
    <s v="SHP-30020"/>
    <d v="2024-10-29T00:00:00"/>
    <s v="North"/>
    <s v="Delhi"/>
    <s v="Central Hub"/>
    <s v="Critical"/>
    <s v="Documentation"/>
    <s v="Low"/>
    <n v="1"/>
    <n v="3"/>
    <n v="2"/>
    <s v="Yes"/>
    <n v="382"/>
    <n v="4590"/>
    <n v="9860"/>
    <n v="0"/>
    <s v="No"/>
    <s v="Minor"/>
    <n v="4930"/>
    <n v="2295"/>
    <n v="2024"/>
    <n v="10"/>
    <n v="1"/>
  </r>
  <r>
    <s v="SHP-30021"/>
    <d v="2024-01-22T00:00:00"/>
    <s v="South"/>
    <s v="Chennai"/>
    <s v="Local Hub"/>
    <s v="Critical"/>
    <s v="Routing"/>
    <s v="Low"/>
    <n v="2"/>
    <n v="8"/>
    <n v="6"/>
    <s v="Yes"/>
    <n v="69"/>
    <n v="8328"/>
    <n v="10182"/>
    <n v="0"/>
    <s v="No"/>
    <s v="Severe"/>
    <n v="1697"/>
    <n v="1388"/>
    <n v="2024"/>
    <n v="1"/>
    <n v="1"/>
  </r>
  <r>
    <s v="SHP-30022"/>
    <d v="2024-07-01T00:00:00"/>
    <s v="West"/>
    <s v="Pune"/>
    <s v="Central Hub"/>
    <s v="Standard"/>
    <s v="Capacity"/>
    <s v="Low"/>
    <n v="1"/>
    <n v="4"/>
    <n v="3"/>
    <s v="Yes"/>
    <n v="172"/>
    <n v="2889"/>
    <n v="14880"/>
    <n v="0"/>
    <s v="No"/>
    <s v="Major"/>
    <n v="4960"/>
    <n v="963"/>
    <n v="2024"/>
    <n v="7"/>
    <n v="1"/>
  </r>
  <r>
    <s v="SHP-30023"/>
    <d v="2024-04-15T00:00:00"/>
    <s v="East"/>
    <s v="Kolkata"/>
    <s v="Regional Hub"/>
    <s v="Standard"/>
    <s v="Documentation"/>
    <s v="Low"/>
    <n v="2"/>
    <n v="3"/>
    <n v="1"/>
    <s v="Yes"/>
    <n v="268"/>
    <n v="2172"/>
    <n v="4872"/>
    <n v="0"/>
    <s v="No"/>
    <s v="Minor"/>
    <n v="4872"/>
    <n v="2172"/>
    <n v="2024"/>
    <n v="4"/>
    <n v="1"/>
  </r>
  <r>
    <s v="SHP-30024"/>
    <d v="2024-02-01T00:00:00"/>
    <s v="South"/>
    <s v="Bengaluru"/>
    <s v="Local Hub"/>
    <s v="Express"/>
    <s v="Weather"/>
    <s v="Low"/>
    <n v="2"/>
    <n v="2"/>
    <n v="0"/>
    <s v="No"/>
    <n v="479"/>
    <n v="0"/>
    <n v="0"/>
    <n v="1"/>
    <s v="No"/>
    <s v="On Time"/>
    <n v="0"/>
    <n v="0"/>
    <n v="2024"/>
    <n v="2"/>
    <n v="0"/>
  </r>
  <r>
    <s v="SHP-30025"/>
    <d v="2024-10-09T00:00:00"/>
    <s v="West"/>
    <s v="Mumbai"/>
    <s v="Local Hub"/>
    <s v="Standard"/>
    <s v="Capacity"/>
    <s v="Medium"/>
    <n v="1"/>
    <n v="1"/>
    <n v="0"/>
    <s v="No"/>
    <n v="207"/>
    <n v="0"/>
    <n v="0"/>
    <n v="1"/>
    <s v="No"/>
    <s v="On Time"/>
    <n v="0"/>
    <n v="0"/>
    <n v="2024"/>
    <n v="10"/>
    <n v="0"/>
  </r>
  <r>
    <s v="SHP-30026"/>
    <d v="2024-10-15T00:00:00"/>
    <s v="South"/>
    <s v="Chennai"/>
    <s v="Central Hub"/>
    <s v="Critical"/>
    <s v="System"/>
    <s v="High"/>
    <n v="2"/>
    <n v="7"/>
    <n v="5"/>
    <s v="Yes"/>
    <n v="238"/>
    <n v="9550"/>
    <n v="20660"/>
    <n v="0"/>
    <s v="No"/>
    <s v="Major"/>
    <n v="4132"/>
    <n v="1910"/>
    <n v="2024"/>
    <n v="10"/>
    <n v="1"/>
  </r>
  <r>
    <s v="SHP-30027"/>
    <d v="2024-11-21T00:00:00"/>
    <s v="North"/>
    <s v="Delhi"/>
    <s v="Local Hub"/>
    <s v="Express"/>
    <s v="System"/>
    <s v="Medium"/>
    <n v="1"/>
    <n v="4"/>
    <n v="3"/>
    <s v="Yes"/>
    <n v="201"/>
    <n v="6954"/>
    <n v="11721"/>
    <n v="0"/>
    <s v="No"/>
    <s v="Major"/>
    <n v="3907"/>
    <n v="2318"/>
    <n v="2024"/>
    <n v="11"/>
    <n v="1"/>
  </r>
  <r>
    <s v="SHP-30028"/>
    <d v="2024-01-06T00:00:00"/>
    <s v="South"/>
    <s v="Chennai"/>
    <s v="Regional Hub"/>
    <s v="Express"/>
    <s v="Weather"/>
    <s v="Low"/>
    <n v="2"/>
    <n v="2"/>
    <n v="0"/>
    <s v="No"/>
    <n v="384"/>
    <n v="0"/>
    <n v="0"/>
    <n v="1"/>
    <s v="No"/>
    <s v="On Time"/>
    <n v="0"/>
    <n v="0"/>
    <n v="2024"/>
    <n v="1"/>
    <n v="0"/>
  </r>
  <r>
    <s v="SHP-30029"/>
    <d v="2024-07-11T00:00:00"/>
    <s v="West"/>
    <s v="Pune"/>
    <s v="Regional Hub"/>
    <s v="Standard"/>
    <s v="Weather"/>
    <s v="Medium"/>
    <n v="1"/>
    <n v="5"/>
    <n v="4"/>
    <s v="Yes"/>
    <n v="417"/>
    <n v="9352"/>
    <n v="10920"/>
    <n v="0"/>
    <s v="No"/>
    <s v="Major"/>
    <n v="2730"/>
    <n v="2338"/>
    <n v="2024"/>
    <n v="7"/>
    <n v="1"/>
  </r>
  <r>
    <s v="SHP-30030"/>
    <d v="2024-11-20T00:00:00"/>
    <s v="West"/>
    <s v="Pune"/>
    <s v="Regional Hub"/>
    <s v="Express"/>
    <s v="Capacity"/>
    <s v="Medium"/>
    <n v="1"/>
    <n v="6"/>
    <n v="5"/>
    <s v="Yes"/>
    <n v="229"/>
    <n v="10745"/>
    <n v="7820"/>
    <n v="0"/>
    <s v="No"/>
    <s v="Major"/>
    <n v="1564"/>
    <n v="2149"/>
    <n v="2024"/>
    <n v="11"/>
    <n v="1"/>
  </r>
  <r>
    <s v="SHP-30031"/>
    <d v="2024-02-17T00:00:00"/>
    <s v="East"/>
    <s v="Bhubaneswar"/>
    <s v="Regional Hub"/>
    <s v="Express"/>
    <s v="Routing"/>
    <s v="Low"/>
    <n v="2"/>
    <n v="5"/>
    <n v="3"/>
    <s v="Yes"/>
    <n v="221"/>
    <n v="5715"/>
    <n v="11727"/>
    <n v="0"/>
    <s v="No"/>
    <s v="Major"/>
    <n v="3909"/>
    <n v="1905"/>
    <n v="2024"/>
    <n v="2"/>
    <n v="1"/>
  </r>
  <r>
    <s v="SHP-30032"/>
    <d v="2024-02-10T00:00:00"/>
    <s v="South"/>
    <s v="Chennai"/>
    <s v="Central Hub"/>
    <s v="Express"/>
    <s v="Capacity"/>
    <s v="Medium"/>
    <n v="1"/>
    <n v="1"/>
    <n v="0"/>
    <s v="No"/>
    <n v="193"/>
    <n v="0"/>
    <n v="0"/>
    <n v="1"/>
    <s v="No"/>
    <s v="On Time"/>
    <n v="0"/>
    <n v="0"/>
    <n v="2024"/>
    <n v="2"/>
    <n v="0"/>
  </r>
  <r>
    <s v="SHP-30033"/>
    <d v="2024-08-26T00:00:00"/>
    <s v="North"/>
    <s v="Noida"/>
    <s v="Local Hub"/>
    <s v="Standard"/>
    <s v="Weather"/>
    <s v="Medium"/>
    <n v="1"/>
    <n v="5"/>
    <n v="4"/>
    <s v="Yes"/>
    <n v="316"/>
    <n v="6800"/>
    <n v="6392"/>
    <n v="0"/>
    <s v="No"/>
    <s v="Major"/>
    <n v="1598"/>
    <n v="1700"/>
    <n v="2024"/>
    <n v="8"/>
    <n v="1"/>
  </r>
  <r>
    <s v="SHP-30034"/>
    <d v="2024-02-18T00:00:00"/>
    <s v="South"/>
    <s v="Bengaluru"/>
    <s v="Regional Hub"/>
    <s v="Express"/>
    <s v="Capacity"/>
    <s v="High"/>
    <n v="3"/>
    <n v="8"/>
    <n v="5"/>
    <s v="Yes"/>
    <n v="352"/>
    <n v="12250"/>
    <n v="17535"/>
    <n v="0"/>
    <s v="No"/>
    <s v="Major"/>
    <n v="3507"/>
    <n v="2450"/>
    <n v="2024"/>
    <n v="2"/>
    <n v="1"/>
  </r>
  <r>
    <s v="SHP-30035"/>
    <d v="2024-02-01T00:00:00"/>
    <s v="West"/>
    <s v="Pune"/>
    <s v="Local Hub"/>
    <s v="Express"/>
    <s v="Capacity"/>
    <s v="Medium"/>
    <n v="1"/>
    <n v="2"/>
    <n v="1"/>
    <s v="Yes"/>
    <n v="311"/>
    <n v="977"/>
    <n v="2622"/>
    <n v="0"/>
    <s v="No"/>
    <s v="Minor"/>
    <n v="2622"/>
    <n v="977"/>
    <n v="2024"/>
    <n v="2"/>
    <n v="1"/>
  </r>
  <r>
    <s v="SHP-30036"/>
    <d v="2024-04-27T00:00:00"/>
    <s v="West"/>
    <s v="Mumbai"/>
    <s v="Regional Hub"/>
    <s v="Standard"/>
    <s v="Capacity"/>
    <s v="Low"/>
    <n v="1"/>
    <n v="4"/>
    <n v="3"/>
    <s v="Yes"/>
    <n v="155"/>
    <n v="6852"/>
    <n v="8940"/>
    <n v="0"/>
    <s v="No"/>
    <s v="Major"/>
    <n v="2980"/>
    <n v="2284"/>
    <n v="2024"/>
    <n v="4"/>
    <n v="1"/>
  </r>
  <r>
    <s v="SHP-30037"/>
    <d v="2024-01-21T00:00:00"/>
    <s v="South"/>
    <s v="Bengaluru"/>
    <s v="Regional Hub"/>
    <s v="Standard"/>
    <s v="Weather"/>
    <s v="Low"/>
    <n v="1"/>
    <n v="5"/>
    <n v="4"/>
    <s v="Yes"/>
    <n v="471"/>
    <n v="5892"/>
    <n v="15604"/>
    <n v="0"/>
    <s v="No"/>
    <s v="Major"/>
    <n v="3901"/>
    <n v="1473"/>
    <n v="2024"/>
    <n v="1"/>
    <n v="1"/>
  </r>
  <r>
    <s v="SHP-30038"/>
    <d v="2024-08-31T00:00:00"/>
    <s v="South"/>
    <s v="Chennai"/>
    <s v="Central Hub"/>
    <s v="Express"/>
    <s v="Weather"/>
    <s v="Low"/>
    <n v="5"/>
    <n v="5"/>
    <n v="0"/>
    <s v="No"/>
    <n v="391"/>
    <n v="0"/>
    <n v="0"/>
    <n v="1"/>
    <s v="No"/>
    <s v="On Time"/>
    <n v="0"/>
    <n v="0"/>
    <n v="2024"/>
    <n v="8"/>
    <n v="0"/>
  </r>
  <r>
    <s v="SHP-30039"/>
    <d v="2024-09-01T00:00:00"/>
    <s v="South"/>
    <s v="Chennai"/>
    <s v="Local Hub"/>
    <s v="Express"/>
    <s v="Weather"/>
    <s v="Medium"/>
    <n v="1"/>
    <n v="4"/>
    <n v="3"/>
    <s v="Yes"/>
    <n v="323"/>
    <n v="5844"/>
    <n v="12129"/>
    <n v="0"/>
    <s v="No"/>
    <s v="Major"/>
    <n v="4043"/>
    <n v="1948"/>
    <n v="2024"/>
    <n v="9"/>
    <n v="1"/>
  </r>
  <r>
    <s v="SHP-30040"/>
    <d v="2024-11-26T00:00:00"/>
    <s v="East"/>
    <s v="Kolkata"/>
    <s v="Central Hub"/>
    <s v="Critical"/>
    <s v="System"/>
    <s v="High"/>
    <n v="3"/>
    <n v="9"/>
    <n v="6"/>
    <s v="Yes"/>
    <n v="481"/>
    <n v="13422"/>
    <n v="13776"/>
    <n v="0"/>
    <s v="No"/>
    <s v="Severe"/>
    <n v="2296"/>
    <n v="2237"/>
    <n v="2024"/>
    <n v="11"/>
    <n v="1"/>
  </r>
  <r>
    <s v="SHP-30041"/>
    <d v="2024-08-02T00:00:00"/>
    <s v="West"/>
    <s v="Pune"/>
    <s v="Local Hub"/>
    <s v="Standard"/>
    <s v="Capacity"/>
    <s v="Medium"/>
    <n v="5"/>
    <n v="6"/>
    <n v="1"/>
    <s v="Yes"/>
    <n v="419"/>
    <n v="1279"/>
    <n v="1848"/>
    <n v="0"/>
    <s v="No"/>
    <s v="Minor"/>
    <n v="1848"/>
    <n v="1279"/>
    <n v="2024"/>
    <n v="8"/>
    <n v="1"/>
  </r>
  <r>
    <s v="SHP-30042"/>
    <d v="2024-08-23T00:00:00"/>
    <s v="South"/>
    <s v="Bengaluru"/>
    <s v="Local Hub"/>
    <s v="Express"/>
    <s v="System"/>
    <s v="High"/>
    <n v="1"/>
    <n v="3"/>
    <n v="2"/>
    <s v="Yes"/>
    <n v="290"/>
    <n v="2902"/>
    <n v="6922"/>
    <n v="0"/>
    <s v="No"/>
    <s v="Minor"/>
    <n v="3461"/>
    <n v="1451"/>
    <n v="2024"/>
    <n v="8"/>
    <n v="1"/>
  </r>
  <r>
    <s v="SHP-30043"/>
    <d v="2024-12-30T00:00:00"/>
    <s v="West"/>
    <s v="Mumbai"/>
    <s v="Central Hub"/>
    <s v="Express"/>
    <s v="Routing"/>
    <s v="Low"/>
    <n v="1"/>
    <n v="6"/>
    <n v="5"/>
    <s v="Yes"/>
    <n v="200"/>
    <n v="6120"/>
    <n v="16210"/>
    <n v="0"/>
    <s v="No"/>
    <s v="Major"/>
    <n v="3242"/>
    <n v="1224"/>
    <n v="2024"/>
    <n v="12"/>
    <n v="1"/>
  </r>
  <r>
    <s v="SHP-30044"/>
    <d v="2024-06-03T00:00:00"/>
    <s v="West"/>
    <s v="Pune"/>
    <s v="Central Hub"/>
    <s v="Standard"/>
    <s v="Capacity"/>
    <s v="Low"/>
    <n v="1"/>
    <n v="1"/>
    <n v="0"/>
    <s v="No"/>
    <n v="231"/>
    <n v="0"/>
    <n v="0"/>
    <n v="1"/>
    <s v="No"/>
    <s v="On Time"/>
    <n v="0"/>
    <n v="0"/>
    <n v="2024"/>
    <n v="6"/>
    <n v="0"/>
  </r>
  <r>
    <s v="SHP-30045"/>
    <d v="2024-09-02T00:00:00"/>
    <s v="West"/>
    <s v="Mumbai"/>
    <s v="Local Hub"/>
    <s v="Express"/>
    <s v="System"/>
    <s v="High"/>
    <n v="2"/>
    <n v="9"/>
    <n v="7"/>
    <s v="Yes"/>
    <n v="208"/>
    <n v="10843"/>
    <n v="21378"/>
    <n v="0"/>
    <s v="No"/>
    <s v="Severe"/>
    <n v="3054"/>
    <n v="1549"/>
    <n v="2024"/>
    <n v="9"/>
    <n v="1"/>
  </r>
  <r>
    <s v="SHP-30046"/>
    <d v="2024-04-28T00:00:00"/>
    <s v="South"/>
    <s v="Bengaluru"/>
    <s v="Central Hub"/>
    <s v="Standard"/>
    <s v="Routing"/>
    <s v="Low"/>
    <n v="3"/>
    <n v="3"/>
    <n v="0"/>
    <s v="No"/>
    <n v="405"/>
    <n v="0"/>
    <n v="0"/>
    <n v="1"/>
    <s v="No"/>
    <s v="On Time"/>
    <n v="0"/>
    <n v="0"/>
    <n v="2024"/>
    <n v="4"/>
    <n v="0"/>
  </r>
  <r>
    <s v="SHP-30047"/>
    <d v="2024-01-14T00:00:00"/>
    <s v="West"/>
    <s v="Mumbai"/>
    <s v="Local Hub"/>
    <s v="Standard"/>
    <s v="Weather"/>
    <s v="Low"/>
    <n v="5"/>
    <n v="6"/>
    <n v="1"/>
    <s v="Yes"/>
    <n v="228"/>
    <n v="1769"/>
    <n v="3887"/>
    <n v="0"/>
    <s v="No"/>
    <s v="Minor"/>
    <n v="3887"/>
    <n v="1769"/>
    <n v="2024"/>
    <n v="1"/>
    <n v="1"/>
  </r>
  <r>
    <s v="SHP-30048"/>
    <d v="2024-06-22T00:00:00"/>
    <s v="North"/>
    <s v="Noida"/>
    <s v="Regional Hub"/>
    <s v="Standard"/>
    <s v="Routing"/>
    <s v="High"/>
    <n v="2"/>
    <n v="10"/>
    <n v="8"/>
    <s v="Yes"/>
    <n v="390"/>
    <n v="9112"/>
    <n v="24704"/>
    <n v="0"/>
    <s v="No"/>
    <s v="Severe"/>
    <n v="3088"/>
    <n v="1139"/>
    <n v="2024"/>
    <n v="6"/>
    <n v="1"/>
  </r>
  <r>
    <s v="SHP-30049"/>
    <d v="2024-01-11T00:00:00"/>
    <s v="North"/>
    <s v="Delhi"/>
    <s v="Central Hub"/>
    <s v="Standard"/>
    <s v="Documentation"/>
    <s v="High"/>
    <n v="1"/>
    <n v="4"/>
    <n v="3"/>
    <s v="Yes"/>
    <n v="480"/>
    <n v="3267"/>
    <n v="5055"/>
    <n v="0"/>
    <s v="No"/>
    <s v="Major"/>
    <n v="1685"/>
    <n v="1089"/>
    <n v="2024"/>
    <n v="1"/>
    <n v="1"/>
  </r>
  <r>
    <s v="SHP-30050"/>
    <d v="2024-07-23T00:00:00"/>
    <s v="South"/>
    <s v="Chennai"/>
    <s v="Regional Hub"/>
    <s v="Standard"/>
    <s v="Capacity"/>
    <s v="Medium"/>
    <n v="3"/>
    <n v="5"/>
    <n v="2"/>
    <s v="Yes"/>
    <n v="256"/>
    <n v="4054"/>
    <n v="3308"/>
    <n v="0"/>
    <s v="No"/>
    <s v="Minor"/>
    <n v="1654"/>
    <n v="2027"/>
    <n v="2024"/>
    <n v="7"/>
    <n v="1"/>
  </r>
  <r>
    <s v="SHP-30051"/>
    <d v="2024-04-19T00:00:00"/>
    <s v="East"/>
    <s v="Kolkata"/>
    <s v="Regional Hub"/>
    <s v="Standard"/>
    <s v="Documentation"/>
    <s v="Medium"/>
    <n v="5"/>
    <n v="5"/>
    <n v="0"/>
    <s v="No"/>
    <n v="308"/>
    <n v="0"/>
    <n v="0"/>
    <n v="1"/>
    <s v="No"/>
    <s v="On Time"/>
    <n v="0"/>
    <n v="0"/>
    <n v="2024"/>
    <n v="4"/>
    <n v="0"/>
  </r>
  <r>
    <s v="SHP-30052"/>
    <d v="2024-04-10T00:00:00"/>
    <s v="North"/>
    <s v="Delhi"/>
    <s v="Local Hub"/>
    <s v="Express"/>
    <s v="System"/>
    <s v="Low"/>
    <n v="1"/>
    <n v="3"/>
    <n v="2"/>
    <s v="Yes"/>
    <n v="474"/>
    <n v="3032"/>
    <n v="6858"/>
    <n v="0"/>
    <s v="No"/>
    <s v="Minor"/>
    <n v="3429"/>
    <n v="1516"/>
    <n v="2024"/>
    <n v="4"/>
    <n v="1"/>
  </r>
  <r>
    <s v="SHP-30053"/>
    <d v="2024-08-27T00:00:00"/>
    <s v="West"/>
    <s v="Mumbai"/>
    <s v="Local Hub"/>
    <s v="Critical"/>
    <s v="Documentation"/>
    <s v="Low"/>
    <n v="5"/>
    <n v="8"/>
    <n v="3"/>
    <s v="Yes"/>
    <n v="225"/>
    <n v="6054"/>
    <n v="6375"/>
    <n v="0"/>
    <s v="No"/>
    <s v="Major"/>
    <n v="2125"/>
    <n v="2018"/>
    <n v="2024"/>
    <n v="8"/>
    <n v="1"/>
  </r>
  <r>
    <s v="SHP-30054"/>
    <d v="2024-08-16T00:00:00"/>
    <s v="North"/>
    <s v="Delhi"/>
    <s v="Regional Hub"/>
    <s v="Express"/>
    <s v="Capacity"/>
    <s v="Low"/>
    <n v="1"/>
    <n v="5"/>
    <n v="4"/>
    <s v="Yes"/>
    <n v="494"/>
    <n v="7012"/>
    <n v="13092"/>
    <n v="0"/>
    <s v="No"/>
    <s v="Major"/>
    <n v="3273"/>
    <n v="1753"/>
    <n v="2024"/>
    <n v="8"/>
    <n v="1"/>
  </r>
  <r>
    <s v="SHP-30055"/>
    <d v="2024-04-14T00:00:00"/>
    <s v="East"/>
    <s v="Bhubaneswar"/>
    <s v="Regional Hub"/>
    <s v="Express"/>
    <s v="Routing"/>
    <s v="Medium"/>
    <n v="3"/>
    <n v="6"/>
    <n v="3"/>
    <s v="Yes"/>
    <n v="234"/>
    <n v="6030"/>
    <n v="10908"/>
    <n v="0"/>
    <s v="No"/>
    <s v="Major"/>
    <n v="3636"/>
    <n v="2010"/>
    <n v="2024"/>
    <n v="4"/>
    <n v="1"/>
  </r>
  <r>
    <s v="SHP-30056"/>
    <d v="2024-10-11T00:00:00"/>
    <s v="North"/>
    <s v="Delhi"/>
    <s v="Regional Hub"/>
    <s v="Standard"/>
    <s v="Routing"/>
    <s v="Medium"/>
    <n v="1"/>
    <n v="4"/>
    <n v="3"/>
    <s v="Yes"/>
    <n v="402"/>
    <n v="7362"/>
    <n v="11295"/>
    <n v="0"/>
    <s v="No"/>
    <s v="Major"/>
    <n v="3765"/>
    <n v="2454"/>
    <n v="2024"/>
    <n v="10"/>
    <n v="1"/>
  </r>
  <r>
    <s v="SHP-30057"/>
    <d v="2024-04-30T00:00:00"/>
    <s v="West"/>
    <s v="Pune"/>
    <s v="Local Hub"/>
    <s v="Express"/>
    <s v="Documentation"/>
    <s v="Low"/>
    <n v="1"/>
    <n v="5"/>
    <n v="4"/>
    <s v="Yes"/>
    <n v="471"/>
    <n v="7544"/>
    <n v="13516"/>
    <n v="0"/>
    <s v="No"/>
    <s v="Major"/>
    <n v="3379"/>
    <n v="1886"/>
    <n v="2024"/>
    <n v="4"/>
    <n v="1"/>
  </r>
  <r>
    <s v="SHP-30058"/>
    <d v="2024-10-28T00:00:00"/>
    <s v="East"/>
    <s v="Bhubaneswar"/>
    <s v="Central Hub"/>
    <s v="Critical"/>
    <s v="Routing"/>
    <s v="Medium"/>
    <n v="1"/>
    <n v="2"/>
    <n v="1"/>
    <s v="Yes"/>
    <n v="382"/>
    <n v="2450"/>
    <n v="3025"/>
    <n v="0"/>
    <s v="No"/>
    <s v="Minor"/>
    <n v="3025"/>
    <n v="2450"/>
    <n v="2024"/>
    <n v="10"/>
    <n v="1"/>
  </r>
  <r>
    <s v="SHP-30059"/>
    <d v="2024-07-08T00:00:00"/>
    <s v="West"/>
    <s v="Pune"/>
    <s v="Central Hub"/>
    <s v="Critical"/>
    <s v="Weather"/>
    <s v="Medium"/>
    <n v="3"/>
    <n v="8"/>
    <n v="5"/>
    <s v="Yes"/>
    <n v="328"/>
    <n v="6070"/>
    <n v="22065"/>
    <n v="0"/>
    <s v="No"/>
    <s v="Major"/>
    <n v="4413"/>
    <n v="1214"/>
    <n v="2024"/>
    <n v="7"/>
    <n v="1"/>
  </r>
  <r>
    <s v="SHP-30060"/>
    <d v="2024-08-13T00:00:00"/>
    <s v="South"/>
    <s v="Chennai"/>
    <s v="Central Hub"/>
    <s v="Standard"/>
    <s v="System"/>
    <s v="High"/>
    <n v="2"/>
    <n v="7"/>
    <n v="5"/>
    <s v="Yes"/>
    <n v="166"/>
    <n v="11280"/>
    <n v="8600"/>
    <n v="0"/>
    <s v="No"/>
    <s v="Major"/>
    <n v="1720"/>
    <n v="2256"/>
    <n v="2024"/>
    <n v="8"/>
    <n v="1"/>
  </r>
  <r>
    <s v="SHP-30061"/>
    <d v="2024-07-24T00:00:00"/>
    <s v="East"/>
    <s v="Bhubaneswar"/>
    <s v="Central Hub"/>
    <s v="Standard"/>
    <s v="System"/>
    <s v="High"/>
    <n v="2"/>
    <n v="9"/>
    <n v="7"/>
    <s v="Yes"/>
    <n v="498"/>
    <n v="7966"/>
    <n v="24871"/>
    <n v="0"/>
    <s v="No"/>
    <s v="Severe"/>
    <n v="3553"/>
    <n v="1138"/>
    <n v="2024"/>
    <n v="7"/>
    <n v="1"/>
  </r>
  <r>
    <s v="SHP-30062"/>
    <d v="2024-09-21T00:00:00"/>
    <s v="West"/>
    <s v="Pune"/>
    <s v="Regional Hub"/>
    <s v="Standard"/>
    <s v="Weather"/>
    <s v="Low"/>
    <n v="2"/>
    <n v="3"/>
    <n v="1"/>
    <s v="Yes"/>
    <n v="481"/>
    <n v="1006"/>
    <n v="4261"/>
    <n v="0"/>
    <s v="No"/>
    <s v="Minor"/>
    <n v="4261"/>
    <n v="1006"/>
    <n v="2024"/>
    <n v="9"/>
    <n v="1"/>
  </r>
  <r>
    <s v="SHP-30063"/>
    <d v="2024-11-15T00:00:00"/>
    <s v="West"/>
    <s v="Mumbai"/>
    <s v="Regional Hub"/>
    <s v="Standard"/>
    <s v="Capacity"/>
    <s v="Low"/>
    <n v="3"/>
    <n v="4"/>
    <n v="1"/>
    <s v="Yes"/>
    <n v="185"/>
    <n v="1917"/>
    <n v="3470"/>
    <n v="0"/>
    <s v="No"/>
    <s v="Minor"/>
    <n v="3470"/>
    <n v="1917"/>
    <n v="2024"/>
    <n v="11"/>
    <n v="1"/>
  </r>
  <r>
    <s v="SHP-30064"/>
    <d v="2024-12-01T00:00:00"/>
    <s v="South"/>
    <s v="Chennai"/>
    <s v="Local Hub"/>
    <s v="Standard"/>
    <s v="Capacity"/>
    <s v="Low"/>
    <n v="3"/>
    <n v="6"/>
    <n v="3"/>
    <s v="Yes"/>
    <n v="61"/>
    <n v="5772"/>
    <n v="4914"/>
    <n v="0"/>
    <s v="No"/>
    <s v="Major"/>
    <n v="1638"/>
    <n v="1924"/>
    <n v="2024"/>
    <n v="12"/>
    <n v="1"/>
  </r>
  <r>
    <s v="SHP-30065"/>
    <d v="2024-07-06T00:00:00"/>
    <s v="East"/>
    <s v="Kolkata"/>
    <s v="Regional Hub"/>
    <s v="Standard"/>
    <s v="Documentation"/>
    <s v="Low"/>
    <n v="2"/>
    <n v="2"/>
    <n v="0"/>
    <s v="No"/>
    <n v="164"/>
    <n v="0"/>
    <n v="0"/>
    <n v="1"/>
    <s v="No"/>
    <s v="On Time"/>
    <n v="0"/>
    <n v="0"/>
    <n v="2024"/>
    <n v="7"/>
    <n v="0"/>
  </r>
  <r>
    <s v="SHP-30066"/>
    <d v="2024-06-17T00:00:00"/>
    <s v="West"/>
    <s v="Pune"/>
    <s v="Regional Hub"/>
    <s v="Standard"/>
    <s v="Capacity"/>
    <s v="Low"/>
    <n v="1"/>
    <n v="1"/>
    <n v="0"/>
    <s v="No"/>
    <n v="408"/>
    <n v="0"/>
    <n v="0"/>
    <n v="1"/>
    <s v="No"/>
    <s v="On Time"/>
    <n v="0"/>
    <n v="0"/>
    <n v="2024"/>
    <n v="6"/>
    <n v="0"/>
  </r>
  <r>
    <s v="SHP-30067"/>
    <d v="2024-11-16T00:00:00"/>
    <s v="North"/>
    <s v="Delhi"/>
    <s v="Local Hub"/>
    <s v="Standard"/>
    <s v="System"/>
    <s v="Medium"/>
    <n v="1"/>
    <n v="6"/>
    <n v="5"/>
    <s v="Yes"/>
    <n v="213"/>
    <n v="11715"/>
    <n v="19880"/>
    <n v="0"/>
    <s v="No"/>
    <s v="Major"/>
    <n v="3976"/>
    <n v="2343"/>
    <n v="2024"/>
    <n v="11"/>
    <n v="1"/>
  </r>
  <r>
    <s v="SHP-30068"/>
    <d v="2024-09-20T00:00:00"/>
    <s v="North"/>
    <s v="Delhi"/>
    <s v="Central Hub"/>
    <s v="Critical"/>
    <s v="Weather"/>
    <s v="High"/>
    <n v="2"/>
    <n v="10"/>
    <n v="8"/>
    <s v="Yes"/>
    <n v="338"/>
    <n v="11024"/>
    <n v="26040"/>
    <n v="0"/>
    <s v="No"/>
    <s v="Severe"/>
    <n v="3255"/>
    <n v="1378"/>
    <n v="2024"/>
    <n v="9"/>
    <n v="1"/>
  </r>
  <r>
    <s v="SHP-30069"/>
    <d v="2024-02-13T00:00:00"/>
    <s v="South"/>
    <s v="Chennai"/>
    <s v="Regional Hub"/>
    <s v="Standard"/>
    <s v="Weather"/>
    <s v="Low"/>
    <n v="2"/>
    <n v="2"/>
    <n v="0"/>
    <s v="No"/>
    <n v="361"/>
    <n v="0"/>
    <n v="0"/>
    <n v="1"/>
    <s v="No"/>
    <s v="On Time"/>
    <n v="0"/>
    <n v="0"/>
    <n v="2024"/>
    <n v="2"/>
    <n v="0"/>
  </r>
  <r>
    <s v="SHP-30070"/>
    <d v="2024-04-18T00:00:00"/>
    <s v="East"/>
    <s v="Bhubaneswar"/>
    <s v="Regional Hub"/>
    <s v="Standard"/>
    <s v="Routing"/>
    <s v="Low"/>
    <n v="3"/>
    <n v="8"/>
    <n v="5"/>
    <s v="Yes"/>
    <n v="482"/>
    <n v="12275"/>
    <n v="22645"/>
    <n v="0"/>
    <s v="No"/>
    <s v="Major"/>
    <n v="4529"/>
    <n v="2455"/>
    <n v="2024"/>
    <n v="4"/>
    <n v="1"/>
  </r>
  <r>
    <s v="SHP-30071"/>
    <d v="2024-03-11T00:00:00"/>
    <s v="West"/>
    <s v="Mumbai"/>
    <s v="Regional Hub"/>
    <s v="Standard"/>
    <s v="Weather"/>
    <s v="Low"/>
    <n v="2"/>
    <n v="3"/>
    <n v="1"/>
    <s v="Yes"/>
    <n v="191"/>
    <n v="2464"/>
    <n v="2140"/>
    <n v="0"/>
    <s v="No"/>
    <s v="Minor"/>
    <n v="2140"/>
    <n v="2464"/>
    <n v="2024"/>
    <n v="3"/>
    <n v="1"/>
  </r>
  <r>
    <s v="SHP-30072"/>
    <d v="2024-06-07T00:00:00"/>
    <s v="East"/>
    <s v="Bhubaneswar"/>
    <s v="Local Hub"/>
    <s v="Critical"/>
    <s v="Capacity"/>
    <s v="High"/>
    <n v="2"/>
    <n v="9"/>
    <n v="7"/>
    <s v="Yes"/>
    <n v="175"/>
    <n v="14315"/>
    <n v="23324"/>
    <n v="0"/>
    <s v="No"/>
    <s v="Severe"/>
    <n v="3332"/>
    <n v="2045"/>
    <n v="2024"/>
    <n v="6"/>
    <n v="1"/>
  </r>
  <r>
    <s v="SHP-30073"/>
    <d v="2024-03-28T00:00:00"/>
    <s v="South"/>
    <s v="Bengaluru"/>
    <s v="Regional Hub"/>
    <s v="Critical"/>
    <s v="Weather"/>
    <s v="Low"/>
    <n v="2"/>
    <n v="6"/>
    <n v="4"/>
    <s v="Yes"/>
    <n v="367"/>
    <n v="8916"/>
    <n v="8040"/>
    <n v="0"/>
    <s v="No"/>
    <s v="Major"/>
    <n v="2010"/>
    <n v="2229"/>
    <n v="2024"/>
    <n v="3"/>
    <n v="1"/>
  </r>
  <r>
    <s v="SHP-30074"/>
    <d v="2024-10-24T00:00:00"/>
    <s v="East"/>
    <s v="Bhubaneswar"/>
    <s v="Central Hub"/>
    <s v="Standard"/>
    <s v="System"/>
    <s v="Low"/>
    <n v="2"/>
    <n v="6"/>
    <n v="4"/>
    <s v="Yes"/>
    <n v="257"/>
    <n v="8584"/>
    <n v="11836"/>
    <n v="0"/>
    <s v="No"/>
    <s v="Major"/>
    <n v="2959"/>
    <n v="2146"/>
    <n v="2024"/>
    <n v="10"/>
    <n v="1"/>
  </r>
  <r>
    <s v="SHP-30075"/>
    <d v="2024-10-28T00:00:00"/>
    <s v="North"/>
    <s v="Noida"/>
    <s v="Local Hub"/>
    <s v="Standard"/>
    <s v="Capacity"/>
    <s v="Medium"/>
    <n v="2"/>
    <n v="3"/>
    <n v="1"/>
    <s v="Yes"/>
    <n v="183"/>
    <n v="855"/>
    <n v="3502"/>
    <n v="0"/>
    <s v="No"/>
    <s v="Minor"/>
    <n v="3502"/>
    <n v="855"/>
    <n v="2024"/>
    <n v="10"/>
    <n v="1"/>
  </r>
  <r>
    <s v="SHP-30076"/>
    <d v="2024-01-14T00:00:00"/>
    <s v="South"/>
    <s v="Chennai"/>
    <s v="Central Hub"/>
    <s v="Express"/>
    <s v="Capacity"/>
    <s v="Medium"/>
    <n v="3"/>
    <n v="6"/>
    <n v="3"/>
    <s v="Yes"/>
    <n v="67"/>
    <n v="6783"/>
    <n v="14445"/>
    <n v="0"/>
    <s v="No"/>
    <s v="Major"/>
    <n v="4815"/>
    <n v="2261"/>
    <n v="2024"/>
    <n v="1"/>
    <n v="1"/>
  </r>
  <r>
    <s v="SHP-30077"/>
    <d v="2024-03-08T00:00:00"/>
    <s v="North"/>
    <s v="Delhi"/>
    <s v="Central Hub"/>
    <s v="Standard"/>
    <s v="Capacity"/>
    <s v="Medium"/>
    <n v="2"/>
    <n v="3"/>
    <n v="1"/>
    <s v="Yes"/>
    <n v="291"/>
    <n v="1443"/>
    <n v="3124"/>
    <n v="0"/>
    <s v="No"/>
    <s v="Minor"/>
    <n v="3124"/>
    <n v="1443"/>
    <n v="2024"/>
    <n v="3"/>
    <n v="1"/>
  </r>
  <r>
    <s v="SHP-30078"/>
    <d v="2024-09-24T00:00:00"/>
    <s v="East"/>
    <s v="Bhubaneswar"/>
    <s v="Local Hub"/>
    <s v="Standard"/>
    <s v="Capacity"/>
    <s v="Medium"/>
    <n v="2"/>
    <n v="5"/>
    <n v="3"/>
    <s v="Yes"/>
    <n v="152"/>
    <n v="3903"/>
    <n v="9981"/>
    <n v="0"/>
    <s v="No"/>
    <s v="Major"/>
    <n v="3327"/>
    <n v="1301"/>
    <n v="2024"/>
    <n v="9"/>
    <n v="1"/>
  </r>
  <r>
    <s v="SHP-30079"/>
    <d v="2024-05-25T00:00:00"/>
    <s v="South"/>
    <s v="Chennai"/>
    <s v="Regional Hub"/>
    <s v="Standard"/>
    <s v="Capacity"/>
    <s v="Low"/>
    <n v="5"/>
    <n v="6"/>
    <n v="1"/>
    <s v="Yes"/>
    <n v="62"/>
    <n v="1979"/>
    <n v="2485"/>
    <n v="0"/>
    <s v="No"/>
    <s v="Minor"/>
    <n v="2485"/>
    <n v="1979"/>
    <n v="2024"/>
    <n v="5"/>
    <n v="1"/>
  </r>
  <r>
    <s v="SHP-30080"/>
    <d v="2024-09-27T00:00:00"/>
    <s v="North"/>
    <s v="Noida"/>
    <s v="Local Hub"/>
    <s v="Standard"/>
    <s v="Weather"/>
    <s v="Low"/>
    <n v="1"/>
    <n v="1"/>
    <n v="0"/>
    <s v="No"/>
    <n v="246"/>
    <n v="0"/>
    <n v="0"/>
    <n v="1"/>
    <s v="No"/>
    <s v="On Time"/>
    <n v="0"/>
    <n v="0"/>
    <n v="2024"/>
    <n v="9"/>
    <n v="0"/>
  </r>
  <r>
    <s v="SHP-30081"/>
    <d v="2024-05-30T00:00:00"/>
    <s v="South"/>
    <s v="Chennai"/>
    <s v="Central Hub"/>
    <s v="Standard"/>
    <s v="Capacity"/>
    <s v="Low"/>
    <n v="3"/>
    <n v="3"/>
    <n v="0"/>
    <s v="No"/>
    <n v="173"/>
    <n v="0"/>
    <n v="0"/>
    <n v="1"/>
    <s v="No"/>
    <s v="On Time"/>
    <n v="0"/>
    <n v="0"/>
    <n v="2024"/>
    <n v="5"/>
    <n v="0"/>
  </r>
  <r>
    <s v="SHP-30082"/>
    <d v="2024-03-15T00:00:00"/>
    <s v="East"/>
    <s v="Bhubaneswar"/>
    <s v="Local Hub"/>
    <s v="Standard"/>
    <s v="Documentation"/>
    <s v="Low"/>
    <n v="5"/>
    <n v="6"/>
    <n v="1"/>
    <s v="Yes"/>
    <n v="281"/>
    <n v="1460"/>
    <n v="3295"/>
    <n v="0"/>
    <s v="No"/>
    <s v="Minor"/>
    <n v="3295"/>
    <n v="1460"/>
    <n v="2024"/>
    <n v="3"/>
    <n v="1"/>
  </r>
  <r>
    <s v="SHP-30083"/>
    <d v="2024-05-22T00:00:00"/>
    <s v="East"/>
    <s v="Bhubaneswar"/>
    <s v="Regional Hub"/>
    <s v="Critical"/>
    <s v="System"/>
    <s v="Low"/>
    <n v="1"/>
    <n v="5"/>
    <n v="4"/>
    <s v="Yes"/>
    <n v="353"/>
    <n v="3684"/>
    <n v="15556"/>
    <n v="0"/>
    <s v="No"/>
    <s v="Major"/>
    <n v="3889"/>
    <n v="921"/>
    <n v="2024"/>
    <n v="5"/>
    <n v="1"/>
  </r>
  <r>
    <s v="SHP-30084"/>
    <d v="2024-04-27T00:00:00"/>
    <s v="West"/>
    <s v="Mumbai"/>
    <s v="Regional Hub"/>
    <s v="Standard"/>
    <s v="Capacity"/>
    <s v="Medium"/>
    <n v="3"/>
    <n v="4"/>
    <n v="1"/>
    <s v="Yes"/>
    <n v="485"/>
    <n v="1724"/>
    <n v="4759"/>
    <n v="0"/>
    <s v="No"/>
    <s v="Minor"/>
    <n v="4759"/>
    <n v="1724"/>
    <n v="2024"/>
    <n v="4"/>
    <n v="1"/>
  </r>
  <r>
    <s v="SHP-30085"/>
    <d v="2024-06-17T00:00:00"/>
    <s v="South"/>
    <s v="Chennai"/>
    <s v="Regional Hub"/>
    <s v="Standard"/>
    <s v="Weather"/>
    <s v="High"/>
    <n v="1"/>
    <n v="4"/>
    <n v="3"/>
    <s v="Yes"/>
    <n v="403"/>
    <n v="2553"/>
    <n v="10854"/>
    <n v="0"/>
    <s v="No"/>
    <s v="Major"/>
    <n v="3618"/>
    <n v="851"/>
    <n v="2024"/>
    <n v="6"/>
    <n v="1"/>
  </r>
  <r>
    <s v="SHP-30086"/>
    <d v="2024-10-14T00:00:00"/>
    <s v="West"/>
    <s v="Mumbai"/>
    <s v="Central Hub"/>
    <s v="Standard"/>
    <s v="Documentation"/>
    <s v="High"/>
    <n v="1"/>
    <n v="4"/>
    <n v="3"/>
    <s v="Yes"/>
    <n v="106"/>
    <n v="6138"/>
    <n v="12897"/>
    <n v="0"/>
    <s v="No"/>
    <s v="Major"/>
    <n v="4299"/>
    <n v="2046"/>
    <n v="2024"/>
    <n v="10"/>
    <n v="1"/>
  </r>
  <r>
    <s v="SHP-30087"/>
    <d v="2024-04-08T00:00:00"/>
    <s v="West"/>
    <s v="Pune"/>
    <s v="Local Hub"/>
    <s v="Express"/>
    <s v="Weather"/>
    <s v="Medium"/>
    <n v="5"/>
    <n v="7"/>
    <n v="2"/>
    <s v="Yes"/>
    <n v="313"/>
    <n v="3414"/>
    <n v="6668"/>
    <n v="0"/>
    <s v="No"/>
    <s v="Minor"/>
    <n v="3334"/>
    <n v="1707"/>
    <n v="2024"/>
    <n v="4"/>
    <n v="1"/>
  </r>
  <r>
    <s v="SHP-30088"/>
    <d v="2024-04-10T00:00:00"/>
    <s v="West"/>
    <s v="Pune"/>
    <s v="Central Hub"/>
    <s v="Standard"/>
    <s v="Routing"/>
    <s v="Low"/>
    <n v="1"/>
    <n v="5"/>
    <n v="4"/>
    <s v="Yes"/>
    <n v="140"/>
    <n v="6844"/>
    <n v="8800"/>
    <n v="0"/>
    <s v="No"/>
    <s v="Major"/>
    <n v="2200"/>
    <n v="1711"/>
    <n v="2024"/>
    <n v="4"/>
    <n v="1"/>
  </r>
  <r>
    <s v="SHP-30089"/>
    <d v="2024-10-01T00:00:00"/>
    <s v="East"/>
    <s v="Bhubaneswar"/>
    <s v="Central Hub"/>
    <s v="Express"/>
    <s v="Routing"/>
    <s v="Medium"/>
    <n v="5"/>
    <n v="6"/>
    <n v="1"/>
    <s v="Yes"/>
    <n v="381"/>
    <n v="1641"/>
    <n v="2196"/>
    <n v="0"/>
    <s v="No"/>
    <s v="Minor"/>
    <n v="2196"/>
    <n v="1641"/>
    <n v="2024"/>
    <n v="10"/>
    <n v="1"/>
  </r>
  <r>
    <s v="SHP-30090"/>
    <d v="2024-03-23T00:00:00"/>
    <s v="East"/>
    <s v="Kolkata"/>
    <s v="Local Hub"/>
    <s v="Critical"/>
    <s v="Capacity"/>
    <s v="Low"/>
    <n v="5"/>
    <n v="9"/>
    <n v="4"/>
    <s v="Yes"/>
    <n v="106"/>
    <n v="8128"/>
    <n v="6996"/>
    <n v="0"/>
    <s v="No"/>
    <s v="Major"/>
    <n v="1749"/>
    <n v="2032"/>
    <n v="2024"/>
    <n v="3"/>
    <n v="1"/>
  </r>
  <r>
    <s v="SHP-30091"/>
    <d v="2024-05-06T00:00:00"/>
    <s v="West"/>
    <s v="Mumbai"/>
    <s v="Local Hub"/>
    <s v="Standard"/>
    <s v="System"/>
    <s v="Medium"/>
    <n v="1"/>
    <n v="1"/>
    <n v="0"/>
    <s v="No"/>
    <n v="136"/>
    <n v="0"/>
    <n v="0"/>
    <n v="1"/>
    <s v="No"/>
    <s v="On Time"/>
    <n v="0"/>
    <n v="0"/>
    <n v="2024"/>
    <n v="5"/>
    <n v="0"/>
  </r>
  <r>
    <s v="SHP-30092"/>
    <d v="2024-06-10T00:00:00"/>
    <s v="East"/>
    <s v="Kolkata"/>
    <s v="Regional Hub"/>
    <s v="Critical"/>
    <s v="Capacity"/>
    <s v="Low"/>
    <n v="2"/>
    <n v="4"/>
    <n v="2"/>
    <s v="Yes"/>
    <n v="408"/>
    <n v="4622"/>
    <n v="9848"/>
    <n v="0"/>
    <s v="No"/>
    <s v="Minor"/>
    <n v="4924"/>
    <n v="2311"/>
    <n v="2024"/>
    <n v="6"/>
    <n v="1"/>
  </r>
  <r>
    <s v="SHP-30093"/>
    <d v="2024-07-29T00:00:00"/>
    <s v="North"/>
    <s v="Noida"/>
    <s v="Local Hub"/>
    <s v="Express"/>
    <s v="Weather"/>
    <s v="High"/>
    <n v="1"/>
    <n v="7"/>
    <n v="6"/>
    <s v="Yes"/>
    <n v="427"/>
    <n v="10458"/>
    <n v="9732"/>
    <n v="0"/>
    <s v="No"/>
    <s v="Severe"/>
    <n v="1622"/>
    <n v="1743"/>
    <n v="2024"/>
    <n v="7"/>
    <n v="1"/>
  </r>
  <r>
    <s v="SHP-30094"/>
    <d v="2024-06-11T00:00:00"/>
    <s v="South"/>
    <s v="Bengaluru"/>
    <s v="Central Hub"/>
    <s v="Express"/>
    <s v="System"/>
    <s v="High"/>
    <n v="2"/>
    <n v="9"/>
    <n v="7"/>
    <s v="Yes"/>
    <n v="288"/>
    <n v="6643"/>
    <n v="11760"/>
    <n v="0"/>
    <s v="No"/>
    <s v="Severe"/>
    <n v="1680"/>
    <n v="949"/>
    <n v="2024"/>
    <n v="6"/>
    <n v="1"/>
  </r>
  <r>
    <s v="SHP-30095"/>
    <d v="2024-05-24T00:00:00"/>
    <s v="North"/>
    <s v="Noida"/>
    <s v="Regional Hub"/>
    <s v="Express"/>
    <s v="System"/>
    <s v="Low"/>
    <n v="1"/>
    <n v="3"/>
    <n v="2"/>
    <s v="Yes"/>
    <n v="243"/>
    <n v="3982"/>
    <n v="8816"/>
    <n v="0"/>
    <s v="No"/>
    <s v="Minor"/>
    <n v="4408"/>
    <n v="1991"/>
    <n v="2024"/>
    <n v="5"/>
    <n v="1"/>
  </r>
  <r>
    <s v="SHP-30096"/>
    <d v="2024-06-03T00:00:00"/>
    <s v="South"/>
    <s v="Chennai"/>
    <s v="Regional Hub"/>
    <s v="Standard"/>
    <s v="System"/>
    <s v="High"/>
    <n v="2"/>
    <n v="10"/>
    <n v="8"/>
    <s v="Yes"/>
    <n v="132"/>
    <n v="14864"/>
    <n v="39752"/>
    <n v="0"/>
    <s v="No"/>
    <s v="Severe"/>
    <n v="4969"/>
    <n v="1858"/>
    <n v="2024"/>
    <n v="6"/>
    <n v="1"/>
  </r>
  <r>
    <s v="SHP-30097"/>
    <d v="2024-11-17T00:00:00"/>
    <s v="South"/>
    <s v="Bengaluru"/>
    <s v="Central Hub"/>
    <s v="Critical"/>
    <s v="Weather"/>
    <s v="High"/>
    <n v="1"/>
    <n v="9"/>
    <n v="8"/>
    <s v="Yes"/>
    <n v="242"/>
    <n v="13552"/>
    <n v="19040"/>
    <n v="0"/>
    <s v="No"/>
    <s v="Severe"/>
    <n v="2380"/>
    <n v="1694"/>
    <n v="2024"/>
    <n v="11"/>
    <n v="1"/>
  </r>
  <r>
    <s v="SHP-30098"/>
    <d v="2024-12-09T00:00:00"/>
    <s v="West"/>
    <s v="Pune"/>
    <s v="Regional Hub"/>
    <s v="Standard"/>
    <s v="Documentation"/>
    <s v="Medium"/>
    <n v="2"/>
    <n v="6"/>
    <n v="4"/>
    <s v="Yes"/>
    <n v="409"/>
    <n v="3352"/>
    <n v="13228"/>
    <n v="0"/>
    <s v="No"/>
    <s v="Major"/>
    <n v="3307"/>
    <n v="838"/>
    <n v="2024"/>
    <n v="12"/>
    <n v="1"/>
  </r>
  <r>
    <s v="SHP-30099"/>
    <d v="2024-05-29T00:00:00"/>
    <s v="West"/>
    <s v="Mumbai"/>
    <s v="Local Hub"/>
    <s v="Standard"/>
    <s v="System"/>
    <s v="Low"/>
    <n v="1"/>
    <n v="4"/>
    <n v="3"/>
    <s v="Yes"/>
    <n v="312"/>
    <n v="7461"/>
    <n v="5787"/>
    <n v="0"/>
    <s v="No"/>
    <s v="Major"/>
    <n v="1929"/>
    <n v="2487"/>
    <n v="2024"/>
    <n v="5"/>
    <n v="1"/>
  </r>
  <r>
    <s v="SHP-30100"/>
    <d v="2024-10-04T00:00:00"/>
    <s v="East"/>
    <s v="Bhubaneswar"/>
    <s v="Central Hub"/>
    <s v="Critical"/>
    <s v="System"/>
    <s v="Medium"/>
    <n v="3"/>
    <n v="9"/>
    <n v="6"/>
    <s v="Yes"/>
    <n v="247"/>
    <n v="10572"/>
    <n v="15714"/>
    <n v="0"/>
    <s v="No"/>
    <s v="Severe"/>
    <n v="2619"/>
    <n v="1762"/>
    <n v="2024"/>
    <n v="10"/>
    <n v="1"/>
  </r>
  <r>
    <s v="SHP-30101"/>
    <d v="2024-01-28T00:00:00"/>
    <s v="North"/>
    <s v="Delhi"/>
    <s v="Central Hub"/>
    <s v="Standard"/>
    <s v="Documentation"/>
    <s v="High"/>
    <n v="2"/>
    <n v="9"/>
    <n v="7"/>
    <s v="Yes"/>
    <n v="226"/>
    <n v="13405"/>
    <n v="25739"/>
    <n v="0"/>
    <s v="No"/>
    <s v="Severe"/>
    <n v="3677"/>
    <n v="1915"/>
    <n v="2024"/>
    <n v="1"/>
    <n v="1"/>
  </r>
  <r>
    <s v="SHP-30102"/>
    <d v="2024-01-04T00:00:00"/>
    <s v="North"/>
    <s v="Noida"/>
    <s v="Regional Hub"/>
    <s v="Express"/>
    <s v="Documentation"/>
    <s v="Medium"/>
    <n v="2"/>
    <n v="7"/>
    <n v="5"/>
    <s v="Yes"/>
    <n v="209"/>
    <n v="11215"/>
    <n v="10470"/>
    <n v="0"/>
    <s v="No"/>
    <s v="Major"/>
    <n v="2094"/>
    <n v="2243"/>
    <n v="2024"/>
    <n v="1"/>
    <n v="1"/>
  </r>
  <r>
    <s v="SHP-30103"/>
    <d v="2024-03-31T00:00:00"/>
    <s v="South"/>
    <s v="Bengaluru"/>
    <s v="Regional Hub"/>
    <s v="Standard"/>
    <s v="Weather"/>
    <s v="High"/>
    <n v="2"/>
    <n v="6"/>
    <n v="4"/>
    <s v="Yes"/>
    <n v="137"/>
    <n v="7148"/>
    <n v="19856"/>
    <n v="0"/>
    <s v="No"/>
    <s v="Major"/>
    <n v="4964"/>
    <n v="1787"/>
    <n v="2024"/>
    <n v="3"/>
    <n v="1"/>
  </r>
  <r>
    <s v="SHP-30104"/>
    <d v="2024-09-18T00:00:00"/>
    <s v="East"/>
    <s v="Bhubaneswar"/>
    <s v="Regional Hub"/>
    <s v="Express"/>
    <s v="System"/>
    <s v="Low"/>
    <n v="2"/>
    <n v="2"/>
    <n v="0"/>
    <s v="No"/>
    <n v="113"/>
    <n v="0"/>
    <n v="0"/>
    <n v="1"/>
    <s v="No"/>
    <s v="On Time"/>
    <n v="0"/>
    <n v="0"/>
    <n v="2024"/>
    <n v="9"/>
    <n v="0"/>
  </r>
  <r>
    <s v="SHP-30105"/>
    <d v="2024-11-06T00:00:00"/>
    <s v="North"/>
    <s v="Delhi"/>
    <s v="Local Hub"/>
    <s v="Standard"/>
    <s v="Documentation"/>
    <s v="High"/>
    <n v="1"/>
    <n v="4"/>
    <n v="3"/>
    <s v="Yes"/>
    <n v="265"/>
    <n v="6753"/>
    <n v="7485"/>
    <n v="0"/>
    <s v="No"/>
    <s v="Major"/>
    <n v="2495"/>
    <n v="2251"/>
    <n v="2024"/>
    <n v="11"/>
    <n v="1"/>
  </r>
  <r>
    <s v="SHP-30106"/>
    <d v="2024-12-12T00:00:00"/>
    <s v="South"/>
    <s v="Chennai"/>
    <s v="Local Hub"/>
    <s v="Express"/>
    <s v="System"/>
    <s v="High"/>
    <n v="2"/>
    <n v="8"/>
    <n v="6"/>
    <s v="Yes"/>
    <n v="184"/>
    <n v="7806"/>
    <n v="19488"/>
    <n v="0"/>
    <s v="No"/>
    <s v="Severe"/>
    <n v="3248"/>
    <n v="1301"/>
    <n v="2024"/>
    <n v="12"/>
    <n v="1"/>
  </r>
  <r>
    <s v="SHP-30107"/>
    <d v="2024-08-04T00:00:00"/>
    <s v="East"/>
    <s v="Kolkata"/>
    <s v="Regional Hub"/>
    <s v="Standard"/>
    <s v="Weather"/>
    <s v="Low"/>
    <n v="3"/>
    <n v="8"/>
    <n v="5"/>
    <s v="Yes"/>
    <n v="329"/>
    <n v="10720"/>
    <n v="12835"/>
    <n v="0"/>
    <s v="No"/>
    <s v="Major"/>
    <n v="2567"/>
    <n v="2144"/>
    <n v="2024"/>
    <n v="8"/>
    <n v="1"/>
  </r>
  <r>
    <s v="SHP-30108"/>
    <d v="2024-06-10T00:00:00"/>
    <s v="West"/>
    <s v="Pune"/>
    <s v="Regional Hub"/>
    <s v="Standard"/>
    <s v="Weather"/>
    <s v="Low"/>
    <n v="2"/>
    <n v="7"/>
    <n v="5"/>
    <s v="Yes"/>
    <n v="200"/>
    <n v="11560"/>
    <n v="10805"/>
    <n v="0"/>
    <s v="No"/>
    <s v="Major"/>
    <n v="2161"/>
    <n v="2312"/>
    <n v="2024"/>
    <n v="6"/>
    <n v="1"/>
  </r>
  <r>
    <s v="SHP-30109"/>
    <d v="2024-03-20T00:00:00"/>
    <s v="West"/>
    <s v="Mumbai"/>
    <s v="Central Hub"/>
    <s v="Critical"/>
    <s v="System"/>
    <s v="Low"/>
    <n v="5"/>
    <n v="6"/>
    <n v="1"/>
    <s v="Yes"/>
    <n v="366"/>
    <n v="1431"/>
    <n v="3401"/>
    <n v="0"/>
    <s v="No"/>
    <s v="Minor"/>
    <n v="3401"/>
    <n v="1431"/>
    <n v="2024"/>
    <n v="3"/>
    <n v="1"/>
  </r>
  <r>
    <s v="SHP-30110"/>
    <d v="2024-02-20T00:00:00"/>
    <s v="West"/>
    <s v="Pune"/>
    <s v="Local Hub"/>
    <s v="Standard"/>
    <s v="Weather"/>
    <s v="Medium"/>
    <n v="2"/>
    <n v="7"/>
    <n v="5"/>
    <s v="Yes"/>
    <n v="346"/>
    <n v="4920"/>
    <n v="21435"/>
    <n v="0"/>
    <s v="No"/>
    <s v="Major"/>
    <n v="4287"/>
    <n v="984"/>
    <n v="2024"/>
    <n v="2"/>
    <n v="1"/>
  </r>
  <r>
    <s v="SHP-30111"/>
    <d v="2024-04-18T00:00:00"/>
    <s v="West"/>
    <s v="Pune"/>
    <s v="Local Hub"/>
    <s v="Express"/>
    <s v="Weather"/>
    <s v="Low"/>
    <n v="2"/>
    <n v="2"/>
    <n v="0"/>
    <s v="No"/>
    <n v="437"/>
    <n v="0"/>
    <n v="0"/>
    <n v="1"/>
    <s v="No"/>
    <s v="On Time"/>
    <n v="0"/>
    <n v="0"/>
    <n v="2024"/>
    <n v="4"/>
    <n v="0"/>
  </r>
  <r>
    <s v="SHP-30112"/>
    <d v="2024-04-27T00:00:00"/>
    <s v="North"/>
    <s v="Delhi"/>
    <s v="Regional Hub"/>
    <s v="Standard"/>
    <s v="System"/>
    <s v="High"/>
    <n v="1"/>
    <n v="4"/>
    <n v="3"/>
    <s v="Yes"/>
    <n v="68"/>
    <n v="3549"/>
    <n v="14508"/>
    <n v="0"/>
    <s v="No"/>
    <s v="Major"/>
    <n v="4836"/>
    <n v="1183"/>
    <n v="2024"/>
    <n v="4"/>
    <n v="1"/>
  </r>
  <r>
    <s v="SHP-30113"/>
    <d v="2024-03-03T00:00:00"/>
    <s v="North"/>
    <s v="Delhi"/>
    <s v="Local Hub"/>
    <s v="Standard"/>
    <s v="Documentation"/>
    <s v="Medium"/>
    <n v="2"/>
    <n v="5"/>
    <n v="3"/>
    <s v="Yes"/>
    <n v="375"/>
    <n v="2829"/>
    <n v="6312"/>
    <n v="0"/>
    <s v="No"/>
    <s v="Major"/>
    <n v="2104"/>
    <n v="943"/>
    <n v="2024"/>
    <n v="3"/>
    <n v="1"/>
  </r>
  <r>
    <s v="SHP-30114"/>
    <d v="2024-08-04T00:00:00"/>
    <s v="East"/>
    <s v="Bhubaneswar"/>
    <s v="Regional Hub"/>
    <s v="Express"/>
    <s v="System"/>
    <s v="Low"/>
    <n v="1"/>
    <n v="5"/>
    <n v="4"/>
    <s v="Yes"/>
    <n v="71"/>
    <n v="9128"/>
    <n v="9760"/>
    <n v="0"/>
    <s v="No"/>
    <s v="Major"/>
    <n v="2440"/>
    <n v="2282"/>
    <n v="2024"/>
    <n v="8"/>
    <n v="1"/>
  </r>
  <r>
    <s v="SHP-30115"/>
    <d v="2024-09-24T00:00:00"/>
    <s v="South"/>
    <s v="Bengaluru"/>
    <s v="Regional Hub"/>
    <s v="Express"/>
    <s v="Weather"/>
    <s v="Medium"/>
    <n v="1"/>
    <n v="3"/>
    <n v="2"/>
    <s v="Yes"/>
    <n v="141"/>
    <n v="4998"/>
    <n v="9812"/>
    <n v="0"/>
    <s v="No"/>
    <s v="Minor"/>
    <n v="4906"/>
    <n v="2499"/>
    <n v="2024"/>
    <n v="9"/>
    <n v="1"/>
  </r>
  <r>
    <s v="SHP-30116"/>
    <d v="2024-04-06T00:00:00"/>
    <s v="North"/>
    <s v="Delhi"/>
    <s v="Regional Hub"/>
    <s v="Express"/>
    <s v="Capacity"/>
    <s v="Low"/>
    <n v="2"/>
    <n v="5"/>
    <n v="3"/>
    <s v="Yes"/>
    <n v="411"/>
    <n v="6813"/>
    <n v="12582"/>
    <n v="0"/>
    <s v="No"/>
    <s v="Major"/>
    <n v="4194"/>
    <n v="2271"/>
    <n v="2024"/>
    <n v="4"/>
    <n v="1"/>
  </r>
  <r>
    <s v="SHP-30117"/>
    <d v="2024-08-15T00:00:00"/>
    <s v="North"/>
    <s v="Noida"/>
    <s v="Regional Hub"/>
    <s v="Express"/>
    <s v="Capacity"/>
    <s v="Low"/>
    <n v="3"/>
    <n v="8"/>
    <n v="5"/>
    <s v="Yes"/>
    <n v="462"/>
    <n v="9045"/>
    <n v="11930"/>
    <n v="0"/>
    <s v="No"/>
    <s v="Major"/>
    <n v="2386"/>
    <n v="1809"/>
    <n v="2024"/>
    <n v="8"/>
    <n v="1"/>
  </r>
  <r>
    <s v="SHP-30118"/>
    <d v="2024-05-24T00:00:00"/>
    <s v="West"/>
    <s v="Mumbai"/>
    <s v="Local Hub"/>
    <s v="Express"/>
    <s v="System"/>
    <s v="Medium"/>
    <n v="2"/>
    <n v="5"/>
    <n v="3"/>
    <s v="Yes"/>
    <n v="148"/>
    <n v="3144"/>
    <n v="13635"/>
    <n v="0"/>
    <s v="No"/>
    <s v="Major"/>
    <n v="4545"/>
    <n v="1048"/>
    <n v="2024"/>
    <n v="5"/>
    <n v="1"/>
  </r>
  <r>
    <s v="SHP-30119"/>
    <d v="2024-01-22T00:00:00"/>
    <s v="South"/>
    <s v="Bengaluru"/>
    <s v="Regional Hub"/>
    <s v="Express"/>
    <s v="Weather"/>
    <s v="Medium"/>
    <n v="3"/>
    <n v="6"/>
    <n v="3"/>
    <s v="Yes"/>
    <n v="188"/>
    <n v="6684"/>
    <n v="9876"/>
    <n v="0"/>
    <s v="No"/>
    <s v="Major"/>
    <n v="3292"/>
    <n v="2228"/>
    <n v="2024"/>
    <n v="1"/>
    <n v="1"/>
  </r>
  <r>
    <s v="SHP-30120"/>
    <d v="2024-08-04T00:00:00"/>
    <s v="South"/>
    <s v="Chennai"/>
    <s v="Regional Hub"/>
    <s v="Critical"/>
    <s v="Routing"/>
    <s v="Low"/>
    <n v="1"/>
    <n v="4"/>
    <n v="3"/>
    <s v="Yes"/>
    <n v="375"/>
    <n v="5589"/>
    <n v="9411"/>
    <n v="0"/>
    <s v="No"/>
    <s v="Major"/>
    <n v="3137"/>
    <n v="1863"/>
    <n v="2024"/>
    <n v="8"/>
    <n v="1"/>
  </r>
  <r>
    <s v="SHP-30121"/>
    <d v="2024-01-29T00:00:00"/>
    <s v="South"/>
    <s v="Chennai"/>
    <s v="Local Hub"/>
    <s v="Critical"/>
    <s v="System"/>
    <s v="Low"/>
    <n v="1"/>
    <n v="5"/>
    <n v="4"/>
    <s v="Yes"/>
    <n v="169"/>
    <n v="7096"/>
    <n v="7992"/>
    <n v="0"/>
    <s v="No"/>
    <s v="Major"/>
    <n v="1998"/>
    <n v="1774"/>
    <n v="2024"/>
    <n v="1"/>
    <n v="1"/>
  </r>
  <r>
    <s v="SHP-30122"/>
    <d v="2024-07-24T00:00:00"/>
    <s v="East"/>
    <s v="Bhubaneswar"/>
    <s v="Central Hub"/>
    <s v="Express"/>
    <s v="Routing"/>
    <s v="Low"/>
    <n v="3"/>
    <n v="3"/>
    <n v="0"/>
    <s v="No"/>
    <n v="415"/>
    <n v="0"/>
    <n v="0"/>
    <n v="1"/>
    <s v="No"/>
    <s v="On Time"/>
    <n v="0"/>
    <n v="0"/>
    <n v="2024"/>
    <n v="7"/>
    <n v="0"/>
  </r>
  <r>
    <s v="SHP-30123"/>
    <d v="2024-05-10T00:00:00"/>
    <s v="East"/>
    <s v="Kolkata"/>
    <s v="Central Hub"/>
    <s v="Express"/>
    <s v="Capacity"/>
    <s v="Low"/>
    <n v="1"/>
    <n v="1"/>
    <n v="0"/>
    <s v="No"/>
    <n v="384"/>
    <n v="0"/>
    <n v="0"/>
    <n v="1"/>
    <s v="No"/>
    <s v="On Time"/>
    <n v="0"/>
    <n v="0"/>
    <n v="2024"/>
    <n v="5"/>
    <n v="0"/>
  </r>
  <r>
    <s v="SHP-30124"/>
    <d v="2024-04-14T00:00:00"/>
    <s v="North"/>
    <s v="Noida"/>
    <s v="Central Hub"/>
    <s v="Express"/>
    <s v="Capacity"/>
    <s v="High"/>
    <n v="1"/>
    <n v="8"/>
    <n v="7"/>
    <s v="Yes"/>
    <n v="137"/>
    <n v="5719"/>
    <n v="26831"/>
    <n v="0"/>
    <s v="No"/>
    <s v="Severe"/>
    <n v="3833"/>
    <n v="817"/>
    <n v="2024"/>
    <n v="4"/>
    <n v="1"/>
  </r>
  <r>
    <s v="SHP-30125"/>
    <d v="2024-07-14T00:00:00"/>
    <s v="West"/>
    <s v="Mumbai"/>
    <s v="Regional Hub"/>
    <s v="Standard"/>
    <s v="Weather"/>
    <s v="Medium"/>
    <n v="3"/>
    <n v="8"/>
    <n v="5"/>
    <s v="Yes"/>
    <n v="408"/>
    <n v="9145"/>
    <n v="14825"/>
    <n v="0"/>
    <s v="No"/>
    <s v="Major"/>
    <n v="2965"/>
    <n v="1829"/>
    <n v="2024"/>
    <n v="7"/>
    <n v="1"/>
  </r>
  <r>
    <s v="SHP-30126"/>
    <d v="2024-10-29T00:00:00"/>
    <s v="West"/>
    <s v="Mumbai"/>
    <s v="Central Hub"/>
    <s v="Standard"/>
    <s v="Routing"/>
    <s v="Medium"/>
    <n v="5"/>
    <n v="8"/>
    <n v="3"/>
    <s v="Yes"/>
    <n v="356"/>
    <n v="4986"/>
    <n v="12483"/>
    <n v="0"/>
    <s v="No"/>
    <s v="Major"/>
    <n v="4161"/>
    <n v="1662"/>
    <n v="2024"/>
    <n v="10"/>
    <n v="1"/>
  </r>
  <r>
    <s v="SHP-30127"/>
    <d v="2024-01-11T00:00:00"/>
    <s v="North"/>
    <s v="Delhi"/>
    <s v="Regional Hub"/>
    <s v="Express"/>
    <s v="System"/>
    <s v="Medium"/>
    <n v="1"/>
    <n v="6"/>
    <n v="5"/>
    <s v="Yes"/>
    <n v="198"/>
    <n v="6270"/>
    <n v="14595"/>
    <n v="0"/>
    <s v="No"/>
    <s v="Major"/>
    <n v="2919"/>
    <n v="1254"/>
    <n v="2024"/>
    <n v="1"/>
    <n v="1"/>
  </r>
  <r>
    <s v="SHP-30128"/>
    <d v="2024-11-20T00:00:00"/>
    <s v="South"/>
    <s v="Bengaluru"/>
    <s v="Central Hub"/>
    <s v="Critical"/>
    <s v="Routing"/>
    <s v="Low"/>
    <n v="2"/>
    <n v="5"/>
    <n v="3"/>
    <s v="Yes"/>
    <n v="459"/>
    <n v="5850"/>
    <n v="9744"/>
    <n v="0"/>
    <s v="No"/>
    <s v="Major"/>
    <n v="3248"/>
    <n v="1950"/>
    <n v="2024"/>
    <n v="11"/>
    <n v="1"/>
  </r>
  <r>
    <s v="SHP-30129"/>
    <d v="2024-07-26T00:00:00"/>
    <s v="North"/>
    <s v="Noida"/>
    <s v="Regional Hub"/>
    <s v="Express"/>
    <s v="Capacity"/>
    <s v="Low"/>
    <n v="3"/>
    <n v="6"/>
    <n v="3"/>
    <s v="Yes"/>
    <n v="496"/>
    <n v="5592"/>
    <n v="12102"/>
    <n v="0"/>
    <s v="No"/>
    <s v="Major"/>
    <n v="4034"/>
    <n v="1864"/>
    <n v="2024"/>
    <n v="7"/>
    <n v="1"/>
  </r>
  <r>
    <s v="SHP-30130"/>
    <d v="2024-01-24T00:00:00"/>
    <s v="North"/>
    <s v="Delhi"/>
    <s v="Local Hub"/>
    <s v="Standard"/>
    <s v="Weather"/>
    <s v="Medium"/>
    <n v="1"/>
    <n v="3"/>
    <n v="2"/>
    <s v="Yes"/>
    <n v="89"/>
    <n v="4626"/>
    <n v="6408"/>
    <n v="0"/>
    <s v="No"/>
    <s v="Minor"/>
    <n v="3204"/>
    <n v="2313"/>
    <n v="2024"/>
    <n v="1"/>
    <n v="1"/>
  </r>
  <r>
    <s v="SHP-30131"/>
    <d v="2024-05-20T00:00:00"/>
    <s v="West"/>
    <s v="Pune"/>
    <s v="Regional Hub"/>
    <s v="Express"/>
    <s v="System"/>
    <s v="High"/>
    <n v="2"/>
    <n v="9"/>
    <n v="7"/>
    <s v="Yes"/>
    <n v="58"/>
    <n v="13412"/>
    <n v="15673"/>
    <n v="0"/>
    <s v="No"/>
    <s v="Severe"/>
    <n v="2239"/>
    <n v="1916"/>
    <n v="2024"/>
    <n v="5"/>
    <n v="1"/>
  </r>
  <r>
    <s v="SHP-30132"/>
    <d v="2024-03-23T00:00:00"/>
    <s v="North"/>
    <s v="Delhi"/>
    <s v="Central Hub"/>
    <s v="Critical"/>
    <s v="Routing"/>
    <s v="High"/>
    <n v="3"/>
    <n v="11"/>
    <n v="8"/>
    <s v="Yes"/>
    <n v="273"/>
    <n v="18600"/>
    <n v="38832"/>
    <n v="0"/>
    <s v="No"/>
    <s v="Severe"/>
    <n v="4854"/>
    <n v="2325"/>
    <n v="2024"/>
    <n v="3"/>
    <n v="1"/>
  </r>
  <r>
    <s v="SHP-30133"/>
    <d v="2024-06-26T00:00:00"/>
    <s v="South"/>
    <s v="Chennai"/>
    <s v="Central Hub"/>
    <s v="Express"/>
    <s v="Routing"/>
    <s v="Low"/>
    <n v="1"/>
    <n v="4"/>
    <n v="3"/>
    <s v="Yes"/>
    <n v="243"/>
    <n v="3570"/>
    <n v="5001"/>
    <n v="0"/>
    <s v="No"/>
    <s v="Major"/>
    <n v="1667"/>
    <n v="1190"/>
    <n v="2024"/>
    <n v="6"/>
    <n v="1"/>
  </r>
  <r>
    <s v="SHP-30134"/>
    <d v="2024-03-12T00:00:00"/>
    <s v="East"/>
    <s v="Kolkata"/>
    <s v="Regional Hub"/>
    <s v="Critical"/>
    <s v="Documentation"/>
    <s v="Low"/>
    <n v="2"/>
    <n v="4"/>
    <n v="2"/>
    <s v="Yes"/>
    <n v="465"/>
    <n v="2498"/>
    <n v="9136"/>
    <n v="0"/>
    <s v="No"/>
    <s v="Minor"/>
    <n v="4568"/>
    <n v="1249"/>
    <n v="2024"/>
    <n v="3"/>
    <n v="1"/>
  </r>
  <r>
    <s v="SHP-30135"/>
    <d v="2024-02-27T00:00:00"/>
    <s v="North"/>
    <s v="Delhi"/>
    <s v="Regional Hub"/>
    <s v="Standard"/>
    <s v="Routing"/>
    <s v="Medium"/>
    <n v="3"/>
    <n v="4"/>
    <n v="1"/>
    <s v="Yes"/>
    <n v="295"/>
    <n v="1576"/>
    <n v="2003"/>
    <n v="0"/>
    <s v="No"/>
    <s v="Minor"/>
    <n v="2003"/>
    <n v="1576"/>
    <n v="2024"/>
    <n v="2"/>
    <n v="1"/>
  </r>
  <r>
    <s v="SHP-30136"/>
    <d v="2024-01-16T00:00:00"/>
    <s v="East"/>
    <s v="Bhubaneswar"/>
    <s v="Regional Hub"/>
    <s v="Express"/>
    <s v="Weather"/>
    <s v="Low"/>
    <n v="2"/>
    <n v="3"/>
    <n v="1"/>
    <s v="Yes"/>
    <n v="391"/>
    <n v="2140"/>
    <n v="4852"/>
    <n v="0"/>
    <s v="No"/>
    <s v="Minor"/>
    <n v="4852"/>
    <n v="2140"/>
    <n v="2024"/>
    <n v="1"/>
    <n v="1"/>
  </r>
  <r>
    <s v="SHP-30137"/>
    <d v="2024-04-23T00:00:00"/>
    <s v="North"/>
    <s v="Noida"/>
    <s v="Central Hub"/>
    <s v="Critical"/>
    <s v="Weather"/>
    <s v="Medium"/>
    <n v="1"/>
    <n v="3"/>
    <n v="2"/>
    <s v="Yes"/>
    <n v="224"/>
    <n v="4554"/>
    <n v="8066"/>
    <n v="0"/>
    <s v="No"/>
    <s v="Minor"/>
    <n v="4033"/>
    <n v="2277"/>
    <n v="2024"/>
    <n v="4"/>
    <n v="1"/>
  </r>
  <r>
    <s v="SHP-30138"/>
    <d v="2024-09-09T00:00:00"/>
    <s v="West"/>
    <s v="Pune"/>
    <s v="Regional Hub"/>
    <s v="Standard"/>
    <s v="Weather"/>
    <s v="Low"/>
    <n v="1"/>
    <n v="1"/>
    <n v="0"/>
    <s v="No"/>
    <n v="339"/>
    <n v="0"/>
    <n v="0"/>
    <n v="1"/>
    <s v="No"/>
    <s v="On Time"/>
    <n v="0"/>
    <n v="0"/>
    <n v="2024"/>
    <n v="9"/>
    <n v="0"/>
  </r>
  <r>
    <s v="SHP-30139"/>
    <d v="2024-12-22T00:00:00"/>
    <s v="South"/>
    <s v="Bengaluru"/>
    <s v="Local Hub"/>
    <s v="Standard"/>
    <s v="Routing"/>
    <s v="Low"/>
    <n v="2"/>
    <n v="4"/>
    <n v="2"/>
    <s v="Yes"/>
    <n v="455"/>
    <n v="4456"/>
    <n v="7708"/>
    <n v="0"/>
    <s v="No"/>
    <s v="Minor"/>
    <n v="3854"/>
    <n v="2228"/>
    <n v="2024"/>
    <n v="12"/>
    <n v="1"/>
  </r>
  <r>
    <s v="SHP-30140"/>
    <d v="2024-11-21T00:00:00"/>
    <s v="West"/>
    <s v="Pune"/>
    <s v="Regional Hub"/>
    <s v="Express"/>
    <s v="Documentation"/>
    <s v="Medium"/>
    <n v="2"/>
    <n v="4"/>
    <n v="2"/>
    <s v="Yes"/>
    <n v="340"/>
    <n v="2092"/>
    <n v="5198"/>
    <n v="0"/>
    <s v="No"/>
    <s v="Minor"/>
    <n v="2599"/>
    <n v="1046"/>
    <n v="2024"/>
    <n v="11"/>
    <n v="1"/>
  </r>
  <r>
    <s v="SHP-30141"/>
    <d v="2024-02-22T00:00:00"/>
    <s v="East"/>
    <s v="Bhubaneswar"/>
    <s v="Local Hub"/>
    <s v="Standard"/>
    <s v="System"/>
    <s v="Medium"/>
    <n v="1"/>
    <n v="5"/>
    <n v="4"/>
    <s v="Yes"/>
    <n v="177"/>
    <n v="7604"/>
    <n v="17100"/>
    <n v="0"/>
    <s v="No"/>
    <s v="Major"/>
    <n v="4275"/>
    <n v="1901"/>
    <n v="2024"/>
    <n v="2"/>
    <n v="1"/>
  </r>
  <r>
    <s v="SHP-30142"/>
    <d v="2024-05-16T00:00:00"/>
    <s v="West"/>
    <s v="Pune"/>
    <s v="Regional Hub"/>
    <s v="Standard"/>
    <s v="Weather"/>
    <s v="High"/>
    <n v="3"/>
    <n v="8"/>
    <n v="5"/>
    <s v="Yes"/>
    <n v="397"/>
    <n v="9200"/>
    <n v="15095"/>
    <n v="0"/>
    <s v="No"/>
    <s v="Major"/>
    <n v="3019"/>
    <n v="1840"/>
    <n v="2024"/>
    <n v="5"/>
    <n v="1"/>
  </r>
  <r>
    <s v="SHP-30143"/>
    <d v="2024-11-24T00:00:00"/>
    <s v="North"/>
    <s v="Delhi"/>
    <s v="Central Hub"/>
    <s v="Critical"/>
    <s v="System"/>
    <s v="Medium"/>
    <n v="3"/>
    <n v="7"/>
    <n v="4"/>
    <s v="Yes"/>
    <n v="283"/>
    <n v="8404"/>
    <n v="11596"/>
    <n v="0"/>
    <s v="No"/>
    <s v="Major"/>
    <n v="2899"/>
    <n v="2101"/>
    <n v="2024"/>
    <n v="11"/>
    <n v="1"/>
  </r>
  <r>
    <s v="SHP-30144"/>
    <d v="2024-12-25T00:00:00"/>
    <s v="East"/>
    <s v="Bhubaneswar"/>
    <s v="Regional Hub"/>
    <s v="Standard"/>
    <s v="Routing"/>
    <s v="Medium"/>
    <n v="1"/>
    <n v="1"/>
    <n v="0"/>
    <s v="No"/>
    <n v="130"/>
    <n v="0"/>
    <n v="0"/>
    <n v="1"/>
    <s v="No"/>
    <s v="On Time"/>
    <n v="0"/>
    <n v="0"/>
    <n v="2024"/>
    <n v="12"/>
    <n v="0"/>
  </r>
  <r>
    <s v="SHP-30145"/>
    <d v="2024-09-24T00:00:00"/>
    <s v="South"/>
    <s v="Chennai"/>
    <s v="Local Hub"/>
    <s v="Standard"/>
    <s v="Documentation"/>
    <s v="Low"/>
    <n v="2"/>
    <n v="2"/>
    <n v="0"/>
    <s v="No"/>
    <n v="421"/>
    <n v="0"/>
    <n v="0"/>
    <n v="1"/>
    <s v="No"/>
    <s v="On Time"/>
    <n v="0"/>
    <n v="0"/>
    <n v="2024"/>
    <n v="9"/>
    <n v="0"/>
  </r>
  <r>
    <s v="SHP-30146"/>
    <d v="2024-10-03T00:00:00"/>
    <s v="West"/>
    <s v="Pune"/>
    <s v="Local Hub"/>
    <s v="Standard"/>
    <s v="Routing"/>
    <s v="Medium"/>
    <n v="3"/>
    <n v="7"/>
    <n v="4"/>
    <s v="Yes"/>
    <n v="238"/>
    <n v="7972"/>
    <n v="14152"/>
    <n v="0"/>
    <s v="No"/>
    <s v="Major"/>
    <n v="3538"/>
    <n v="1993"/>
    <n v="2024"/>
    <n v="10"/>
    <n v="1"/>
  </r>
  <r>
    <s v="SHP-30147"/>
    <d v="2024-01-15T00:00:00"/>
    <s v="West"/>
    <s v="Mumbai"/>
    <s v="Regional Hub"/>
    <s v="Express"/>
    <s v="Capacity"/>
    <s v="Low"/>
    <n v="2"/>
    <n v="6"/>
    <n v="4"/>
    <s v="Yes"/>
    <n v="407"/>
    <n v="6324"/>
    <n v="17728"/>
    <n v="0"/>
    <s v="No"/>
    <s v="Major"/>
    <n v="4432"/>
    <n v="1581"/>
    <n v="2024"/>
    <n v="1"/>
    <n v="1"/>
  </r>
  <r>
    <s v="SHP-30148"/>
    <d v="2024-05-16T00:00:00"/>
    <s v="South"/>
    <s v="Bengaluru"/>
    <s v="Local Hub"/>
    <s v="Critical"/>
    <s v="Weather"/>
    <s v="Medium"/>
    <n v="2"/>
    <n v="9"/>
    <n v="7"/>
    <s v="Yes"/>
    <n v="377"/>
    <n v="16205"/>
    <n v="13531"/>
    <n v="0"/>
    <s v="No"/>
    <s v="Severe"/>
    <n v="1933"/>
    <n v="2315"/>
    <n v="2024"/>
    <n v="5"/>
    <n v="1"/>
  </r>
  <r>
    <s v="SHP-30149"/>
    <d v="2024-01-26T00:00:00"/>
    <s v="East"/>
    <s v="Bhubaneswar"/>
    <s v="Central Hub"/>
    <s v="Express"/>
    <s v="Weather"/>
    <s v="Medium"/>
    <n v="1"/>
    <n v="2"/>
    <n v="1"/>
    <s v="Yes"/>
    <n v="299"/>
    <n v="1560"/>
    <n v="3487"/>
    <n v="0"/>
    <s v="No"/>
    <s v="Minor"/>
    <n v="3487"/>
    <n v="1560"/>
    <n v="2024"/>
    <n v="1"/>
    <n v="1"/>
  </r>
  <r>
    <s v="SHP-30150"/>
    <d v="2024-11-13T00:00:00"/>
    <s v="North"/>
    <s v="Delhi"/>
    <s v="Regional Hub"/>
    <s v="Standard"/>
    <s v="Capacity"/>
    <s v="Low"/>
    <n v="2"/>
    <n v="5"/>
    <n v="3"/>
    <s v="Yes"/>
    <n v="221"/>
    <n v="4506"/>
    <n v="10392"/>
    <n v="0"/>
    <s v="No"/>
    <s v="Major"/>
    <n v="3464"/>
    <n v="1502"/>
    <n v="2024"/>
    <n v="11"/>
    <n v="1"/>
  </r>
  <r>
    <s v="SHP-30151"/>
    <d v="2024-09-16T00:00:00"/>
    <s v="East"/>
    <s v="Kolkata"/>
    <s v="Local Hub"/>
    <s v="Standard"/>
    <s v="Capacity"/>
    <s v="High"/>
    <n v="2"/>
    <n v="9"/>
    <n v="7"/>
    <s v="Yes"/>
    <n v="114"/>
    <n v="6762"/>
    <n v="26082"/>
    <n v="0"/>
    <s v="No"/>
    <s v="Severe"/>
    <n v="3726"/>
    <n v="966"/>
    <n v="2024"/>
    <n v="9"/>
    <n v="1"/>
  </r>
  <r>
    <s v="SHP-30152"/>
    <d v="2024-09-29T00:00:00"/>
    <s v="West"/>
    <s v="Mumbai"/>
    <s v="Local Hub"/>
    <s v="Express"/>
    <s v="Routing"/>
    <s v="Medium"/>
    <n v="3"/>
    <n v="4"/>
    <n v="1"/>
    <s v="Yes"/>
    <n v="283"/>
    <n v="2175"/>
    <n v="3477"/>
    <n v="0"/>
    <s v="No"/>
    <s v="Minor"/>
    <n v="3477"/>
    <n v="2175"/>
    <n v="2024"/>
    <n v="9"/>
    <n v="1"/>
  </r>
  <r>
    <s v="SHP-30153"/>
    <d v="2024-07-16T00:00:00"/>
    <s v="East"/>
    <s v="Kolkata"/>
    <s v="Regional Hub"/>
    <s v="Express"/>
    <s v="Weather"/>
    <s v="Medium"/>
    <n v="3"/>
    <n v="8"/>
    <n v="5"/>
    <s v="Yes"/>
    <n v="292"/>
    <n v="7570"/>
    <n v="20735"/>
    <n v="0"/>
    <s v="No"/>
    <s v="Major"/>
    <n v="4147"/>
    <n v="1514"/>
    <n v="2024"/>
    <n v="7"/>
    <n v="1"/>
  </r>
  <r>
    <s v="SHP-30154"/>
    <d v="2024-05-10T00:00:00"/>
    <s v="West"/>
    <s v="Mumbai"/>
    <s v="Central Hub"/>
    <s v="Standard"/>
    <s v="Weather"/>
    <s v="Medium"/>
    <n v="1"/>
    <n v="1"/>
    <n v="0"/>
    <s v="No"/>
    <n v="371"/>
    <n v="0"/>
    <n v="0"/>
    <n v="1"/>
    <s v="No"/>
    <s v="On Time"/>
    <n v="0"/>
    <n v="0"/>
    <n v="2024"/>
    <n v="5"/>
    <n v="0"/>
  </r>
  <r>
    <s v="SHP-30155"/>
    <d v="2024-02-23T00:00:00"/>
    <s v="South"/>
    <s v="Chennai"/>
    <s v="Local Hub"/>
    <s v="Express"/>
    <s v="System"/>
    <s v="High"/>
    <n v="1"/>
    <n v="4"/>
    <n v="3"/>
    <s v="Yes"/>
    <n v="393"/>
    <n v="6699"/>
    <n v="12633"/>
    <n v="0"/>
    <s v="No"/>
    <s v="Major"/>
    <n v="4211"/>
    <n v="2233"/>
    <n v="2024"/>
    <n v="2"/>
    <n v="1"/>
  </r>
  <r>
    <s v="SHP-30156"/>
    <d v="2024-12-17T00:00:00"/>
    <s v="South"/>
    <s v="Bengaluru"/>
    <s v="Local Hub"/>
    <s v="Express"/>
    <s v="Weather"/>
    <s v="Low"/>
    <n v="2"/>
    <n v="6"/>
    <n v="4"/>
    <s v="Yes"/>
    <n v="462"/>
    <n v="8856"/>
    <n v="8880"/>
    <n v="0"/>
    <s v="No"/>
    <s v="Major"/>
    <n v="2220"/>
    <n v="2214"/>
    <n v="2024"/>
    <n v="12"/>
    <n v="1"/>
  </r>
  <r>
    <s v="SHP-30157"/>
    <d v="2024-12-08T00:00:00"/>
    <s v="South"/>
    <s v="Chennai"/>
    <s v="Central Hub"/>
    <s v="Standard"/>
    <s v="System"/>
    <s v="Low"/>
    <n v="5"/>
    <n v="9"/>
    <n v="4"/>
    <s v="Yes"/>
    <n v="477"/>
    <n v="6520"/>
    <n v="10372"/>
    <n v="0"/>
    <s v="No"/>
    <s v="Major"/>
    <n v="2593"/>
    <n v="1630"/>
    <n v="2024"/>
    <n v="12"/>
    <n v="1"/>
  </r>
  <r>
    <s v="SHP-30158"/>
    <d v="2024-09-16T00:00:00"/>
    <s v="East"/>
    <s v="Bhubaneswar"/>
    <s v="Regional Hub"/>
    <s v="Express"/>
    <s v="Weather"/>
    <s v="Low"/>
    <n v="1"/>
    <n v="6"/>
    <n v="5"/>
    <s v="Yes"/>
    <n v="127"/>
    <n v="6110"/>
    <n v="21880"/>
    <n v="0"/>
    <s v="No"/>
    <s v="Major"/>
    <n v="4376"/>
    <n v="1222"/>
    <n v="2024"/>
    <n v="9"/>
    <n v="1"/>
  </r>
  <r>
    <s v="SHP-30159"/>
    <d v="2024-02-04T00:00:00"/>
    <s v="North"/>
    <s v="Noida"/>
    <s v="Regional Hub"/>
    <s v="Standard"/>
    <s v="Routing"/>
    <s v="Low"/>
    <n v="3"/>
    <n v="7"/>
    <n v="4"/>
    <s v="Yes"/>
    <n v="200"/>
    <n v="6428"/>
    <n v="7544"/>
    <n v="0"/>
    <s v="No"/>
    <s v="Major"/>
    <n v="1886"/>
    <n v="1607"/>
    <n v="2024"/>
    <n v="2"/>
    <n v="1"/>
  </r>
  <r>
    <s v="SHP-30160"/>
    <d v="2024-03-26T00:00:00"/>
    <s v="South"/>
    <s v="Chennai"/>
    <s v="Regional Hub"/>
    <s v="Express"/>
    <s v="Routing"/>
    <s v="High"/>
    <n v="2"/>
    <n v="8"/>
    <n v="6"/>
    <s v="Yes"/>
    <n v="455"/>
    <n v="11442"/>
    <n v="24336"/>
    <n v="0"/>
    <s v="No"/>
    <s v="Severe"/>
    <n v="4056"/>
    <n v="1907"/>
    <n v="2024"/>
    <n v="3"/>
    <n v="1"/>
  </r>
  <r>
    <s v="SHP-30161"/>
    <d v="2024-05-21T00:00:00"/>
    <s v="South"/>
    <s v="Chennai"/>
    <s v="Local Hub"/>
    <s v="Express"/>
    <s v="Documentation"/>
    <s v="Medium"/>
    <n v="3"/>
    <n v="5"/>
    <n v="2"/>
    <s v="Yes"/>
    <n v="77"/>
    <n v="3602"/>
    <n v="3188"/>
    <n v="0"/>
    <s v="No"/>
    <s v="Minor"/>
    <n v="1594"/>
    <n v="1801"/>
    <n v="2024"/>
    <n v="5"/>
    <n v="1"/>
  </r>
  <r>
    <s v="SHP-30162"/>
    <d v="2024-11-25T00:00:00"/>
    <s v="East"/>
    <s v="Bhubaneswar"/>
    <s v="Local Hub"/>
    <s v="Express"/>
    <s v="System"/>
    <s v="Medium"/>
    <n v="1"/>
    <n v="3"/>
    <n v="2"/>
    <s v="Yes"/>
    <n v="218"/>
    <n v="4658"/>
    <n v="8612"/>
    <n v="0"/>
    <s v="No"/>
    <s v="Minor"/>
    <n v="4306"/>
    <n v="2329"/>
    <n v="2024"/>
    <n v="11"/>
    <n v="1"/>
  </r>
  <r>
    <s v="SHP-30163"/>
    <d v="2024-11-08T00:00:00"/>
    <s v="West"/>
    <s v="Mumbai"/>
    <s v="Central Hub"/>
    <s v="Standard"/>
    <s v="Capacity"/>
    <s v="Medium"/>
    <n v="3"/>
    <n v="4"/>
    <n v="1"/>
    <s v="Yes"/>
    <n v="59"/>
    <n v="1083"/>
    <n v="2235"/>
    <n v="0"/>
    <s v="No"/>
    <s v="Minor"/>
    <n v="2235"/>
    <n v="1083"/>
    <n v="2024"/>
    <n v="11"/>
    <n v="1"/>
  </r>
  <r>
    <s v="SHP-30164"/>
    <d v="2024-09-16T00:00:00"/>
    <s v="North"/>
    <s v="Delhi"/>
    <s v="Local Hub"/>
    <s v="Express"/>
    <s v="Weather"/>
    <s v="Low"/>
    <n v="2"/>
    <n v="2"/>
    <n v="0"/>
    <s v="No"/>
    <n v="430"/>
    <n v="0"/>
    <n v="0"/>
    <n v="1"/>
    <s v="No"/>
    <s v="On Time"/>
    <n v="0"/>
    <n v="0"/>
    <n v="2024"/>
    <n v="9"/>
    <n v="0"/>
  </r>
  <r>
    <s v="SHP-30165"/>
    <d v="2024-06-20T00:00:00"/>
    <s v="North"/>
    <s v="Delhi"/>
    <s v="Regional Hub"/>
    <s v="Express"/>
    <s v="Documentation"/>
    <s v="Low"/>
    <n v="2"/>
    <n v="4"/>
    <n v="2"/>
    <s v="Yes"/>
    <n v="76"/>
    <n v="4116"/>
    <n v="4210"/>
    <n v="0"/>
    <s v="No"/>
    <s v="Minor"/>
    <n v="2105"/>
    <n v="2058"/>
    <n v="2024"/>
    <n v="6"/>
    <n v="1"/>
  </r>
  <r>
    <s v="SHP-30166"/>
    <d v="2024-03-08T00:00:00"/>
    <s v="East"/>
    <s v="Kolkata"/>
    <s v="Central Hub"/>
    <s v="Standard"/>
    <s v="Documentation"/>
    <s v="Low"/>
    <n v="1"/>
    <n v="2"/>
    <n v="1"/>
    <s v="Yes"/>
    <n v="253"/>
    <n v="1056"/>
    <n v="4713"/>
    <n v="0"/>
    <s v="No"/>
    <s v="Minor"/>
    <n v="4713"/>
    <n v="1056"/>
    <n v="2024"/>
    <n v="3"/>
    <n v="1"/>
  </r>
  <r>
    <s v="SHP-30167"/>
    <d v="2024-08-25T00:00:00"/>
    <s v="West"/>
    <s v="Pune"/>
    <s v="Central Hub"/>
    <s v="Express"/>
    <s v="Weather"/>
    <s v="High"/>
    <n v="1"/>
    <n v="7"/>
    <n v="6"/>
    <s v="Yes"/>
    <n v="316"/>
    <n v="8238"/>
    <n v="23670"/>
    <n v="0"/>
    <s v="No"/>
    <s v="Severe"/>
    <n v="3945"/>
    <n v="1373"/>
    <n v="2024"/>
    <n v="8"/>
    <n v="1"/>
  </r>
  <r>
    <s v="SHP-30168"/>
    <d v="2024-09-16T00:00:00"/>
    <s v="North"/>
    <s v="Noida"/>
    <s v="Local Hub"/>
    <s v="Standard"/>
    <s v="Weather"/>
    <s v="High"/>
    <n v="1"/>
    <n v="9"/>
    <n v="8"/>
    <s v="Yes"/>
    <n v="216"/>
    <n v="11920"/>
    <n v="19704"/>
    <n v="0"/>
    <s v="No"/>
    <s v="Severe"/>
    <n v="2463"/>
    <n v="1490"/>
    <n v="2024"/>
    <n v="9"/>
    <n v="1"/>
  </r>
  <r>
    <s v="SHP-30169"/>
    <d v="2024-09-21T00:00:00"/>
    <s v="South"/>
    <s v="Chennai"/>
    <s v="Regional Hub"/>
    <s v="Standard"/>
    <s v="System"/>
    <s v="Low"/>
    <n v="2"/>
    <n v="4"/>
    <n v="2"/>
    <s v="Yes"/>
    <n v="125"/>
    <n v="1698"/>
    <n v="6644"/>
    <n v="0"/>
    <s v="No"/>
    <s v="Minor"/>
    <n v="3322"/>
    <n v="849"/>
    <n v="2024"/>
    <n v="9"/>
    <n v="1"/>
  </r>
  <r>
    <s v="SHP-30170"/>
    <d v="2024-03-23T00:00:00"/>
    <s v="West"/>
    <s v="Pune"/>
    <s v="Local Hub"/>
    <s v="Critical"/>
    <s v="Capacity"/>
    <s v="Medium"/>
    <n v="5"/>
    <n v="11"/>
    <n v="6"/>
    <s v="Yes"/>
    <n v="158"/>
    <n v="6918"/>
    <n v="15510"/>
    <n v="0"/>
    <s v="No"/>
    <s v="Severe"/>
    <n v="2585"/>
    <n v="1153"/>
    <n v="2024"/>
    <n v="3"/>
    <n v="1"/>
  </r>
  <r>
    <s v="SHP-30171"/>
    <d v="2024-11-15T00:00:00"/>
    <s v="North"/>
    <s v="Delhi"/>
    <s v="Regional Hub"/>
    <s v="Standard"/>
    <s v="Routing"/>
    <s v="High"/>
    <n v="2"/>
    <n v="8"/>
    <n v="6"/>
    <s v="Yes"/>
    <n v="228"/>
    <n v="9618"/>
    <n v="24834"/>
    <n v="0"/>
    <s v="No"/>
    <s v="Severe"/>
    <n v="4139"/>
    <n v="1603"/>
    <n v="2024"/>
    <n v="11"/>
    <n v="1"/>
  </r>
  <r>
    <s v="SHP-30172"/>
    <d v="2024-12-20T00:00:00"/>
    <s v="North"/>
    <s v="Noida"/>
    <s v="Central Hub"/>
    <s v="Critical"/>
    <s v="Capacity"/>
    <s v="Low"/>
    <n v="2"/>
    <n v="5"/>
    <n v="3"/>
    <s v="Yes"/>
    <n v="241"/>
    <n v="2493"/>
    <n v="11193"/>
    <n v="0"/>
    <s v="No"/>
    <s v="Major"/>
    <n v="3731"/>
    <n v="831"/>
    <n v="2024"/>
    <n v="12"/>
    <n v="1"/>
  </r>
  <r>
    <s v="SHP-30173"/>
    <d v="2024-11-24T00:00:00"/>
    <s v="South"/>
    <s v="Chennai"/>
    <s v="Regional Hub"/>
    <s v="Standard"/>
    <s v="Capacity"/>
    <s v="Medium"/>
    <n v="1"/>
    <n v="5"/>
    <n v="4"/>
    <s v="Yes"/>
    <n v="76"/>
    <n v="4664"/>
    <n v="11600"/>
    <n v="0"/>
    <s v="No"/>
    <s v="Major"/>
    <n v="2900"/>
    <n v="1166"/>
    <n v="2024"/>
    <n v="11"/>
    <n v="1"/>
  </r>
  <r>
    <s v="SHP-30174"/>
    <d v="2024-07-05T00:00:00"/>
    <s v="West"/>
    <s v="Mumbai"/>
    <s v="Regional Hub"/>
    <s v="Standard"/>
    <s v="Capacity"/>
    <s v="Medium"/>
    <n v="3"/>
    <n v="4"/>
    <n v="1"/>
    <s v="Yes"/>
    <n v="58"/>
    <n v="2146"/>
    <n v="2038"/>
    <n v="0"/>
    <s v="No"/>
    <s v="Minor"/>
    <n v="2038"/>
    <n v="2146"/>
    <n v="2024"/>
    <n v="7"/>
    <n v="1"/>
  </r>
  <r>
    <s v="SHP-30175"/>
    <d v="2024-11-06T00:00:00"/>
    <s v="East"/>
    <s v="Kolkata"/>
    <s v="Regional Hub"/>
    <s v="Standard"/>
    <s v="Weather"/>
    <s v="Medium"/>
    <n v="1"/>
    <n v="5"/>
    <n v="4"/>
    <s v="Yes"/>
    <n v="315"/>
    <n v="7176"/>
    <n v="17884"/>
    <n v="0"/>
    <s v="No"/>
    <s v="Major"/>
    <n v="4471"/>
    <n v="1794"/>
    <n v="2024"/>
    <n v="11"/>
    <n v="1"/>
  </r>
  <r>
    <s v="SHP-30176"/>
    <d v="2024-04-25T00:00:00"/>
    <s v="South"/>
    <s v="Bengaluru"/>
    <s v="Local Hub"/>
    <s v="Critical"/>
    <s v="Documentation"/>
    <s v="Low"/>
    <n v="3"/>
    <n v="7"/>
    <n v="4"/>
    <s v="Yes"/>
    <n v="360"/>
    <n v="8412"/>
    <n v="7360"/>
    <n v="0"/>
    <s v="No"/>
    <s v="Major"/>
    <n v="1840"/>
    <n v="2103"/>
    <n v="2024"/>
    <n v="4"/>
    <n v="1"/>
  </r>
  <r>
    <s v="SHP-30177"/>
    <d v="2024-01-31T00:00:00"/>
    <s v="South"/>
    <s v="Bengaluru"/>
    <s v="Local Hub"/>
    <s v="Standard"/>
    <s v="System"/>
    <s v="Medium"/>
    <n v="1"/>
    <n v="3"/>
    <n v="2"/>
    <s v="Yes"/>
    <n v="276"/>
    <n v="3676"/>
    <n v="8324"/>
    <n v="0"/>
    <s v="No"/>
    <s v="Minor"/>
    <n v="4162"/>
    <n v="1838"/>
    <n v="2024"/>
    <n v="1"/>
    <n v="1"/>
  </r>
  <r>
    <s v="SHP-30178"/>
    <d v="2024-08-22T00:00:00"/>
    <s v="South"/>
    <s v="Chennai"/>
    <s v="Central Hub"/>
    <s v="Express"/>
    <s v="Weather"/>
    <s v="Medium"/>
    <n v="3"/>
    <n v="4"/>
    <n v="1"/>
    <s v="Yes"/>
    <n v="446"/>
    <n v="1603"/>
    <n v="2452"/>
    <n v="0"/>
    <s v="No"/>
    <s v="Minor"/>
    <n v="2452"/>
    <n v="1603"/>
    <n v="2024"/>
    <n v="8"/>
    <n v="1"/>
  </r>
  <r>
    <s v="SHP-30179"/>
    <d v="2024-07-13T00:00:00"/>
    <s v="North"/>
    <s v="Delhi"/>
    <s v="Regional Hub"/>
    <s v="Standard"/>
    <s v="Routing"/>
    <s v="High"/>
    <n v="1"/>
    <n v="8"/>
    <n v="7"/>
    <s v="Yes"/>
    <n v="260"/>
    <n v="16590"/>
    <n v="13398"/>
    <n v="0"/>
    <s v="No"/>
    <s v="Severe"/>
    <n v="1914"/>
    <n v="2370"/>
    <n v="2024"/>
    <n v="7"/>
    <n v="1"/>
  </r>
  <r>
    <s v="SHP-30180"/>
    <d v="2024-07-04T00:00:00"/>
    <s v="South"/>
    <s v="Bengaluru"/>
    <s v="Central Hub"/>
    <s v="Express"/>
    <s v="Routing"/>
    <s v="Medium"/>
    <n v="3"/>
    <n v="4"/>
    <n v="1"/>
    <s v="Yes"/>
    <n v="155"/>
    <n v="2087"/>
    <n v="2343"/>
    <n v="0"/>
    <s v="No"/>
    <s v="Minor"/>
    <n v="2343"/>
    <n v="2087"/>
    <n v="2024"/>
    <n v="7"/>
    <n v="1"/>
  </r>
  <r>
    <s v="SHP-30181"/>
    <d v="2024-08-21T00:00:00"/>
    <s v="West"/>
    <s v="Mumbai"/>
    <s v="Regional Hub"/>
    <s v="Critical"/>
    <s v="Routing"/>
    <s v="Low"/>
    <n v="3"/>
    <n v="6"/>
    <n v="3"/>
    <s v="Yes"/>
    <n v="482"/>
    <n v="2613"/>
    <n v="4641"/>
    <n v="0"/>
    <s v="No"/>
    <s v="Major"/>
    <n v="1547"/>
    <n v="871"/>
    <n v="2024"/>
    <n v="8"/>
    <n v="1"/>
  </r>
  <r>
    <s v="SHP-30182"/>
    <d v="2024-04-28T00:00:00"/>
    <s v="South"/>
    <s v="Bengaluru"/>
    <s v="Central Hub"/>
    <s v="Standard"/>
    <s v="Capacity"/>
    <s v="Low"/>
    <n v="3"/>
    <n v="7"/>
    <n v="4"/>
    <s v="Yes"/>
    <n v="331"/>
    <n v="3700"/>
    <n v="15000"/>
    <n v="0"/>
    <s v="No"/>
    <s v="Major"/>
    <n v="3750"/>
    <n v="925"/>
    <n v="2024"/>
    <n v="4"/>
    <n v="1"/>
  </r>
  <r>
    <s v="SHP-30183"/>
    <d v="2024-06-17T00:00:00"/>
    <s v="South"/>
    <s v="Bengaluru"/>
    <s v="Local Hub"/>
    <s v="Express"/>
    <s v="Capacity"/>
    <s v="Low"/>
    <n v="1"/>
    <n v="3"/>
    <n v="2"/>
    <s v="Yes"/>
    <n v="246"/>
    <n v="2290"/>
    <n v="9690"/>
    <n v="0"/>
    <s v="No"/>
    <s v="Minor"/>
    <n v="4845"/>
    <n v="1145"/>
    <n v="2024"/>
    <n v="6"/>
    <n v="1"/>
  </r>
  <r>
    <s v="SHP-30184"/>
    <d v="2024-09-28T00:00:00"/>
    <s v="East"/>
    <s v="Kolkata"/>
    <s v="Regional Hub"/>
    <s v="Standard"/>
    <s v="Routing"/>
    <s v="Low"/>
    <n v="3"/>
    <n v="7"/>
    <n v="4"/>
    <s v="Yes"/>
    <n v="390"/>
    <n v="7368"/>
    <n v="9924"/>
    <n v="0"/>
    <s v="No"/>
    <s v="Major"/>
    <n v="2481"/>
    <n v="1842"/>
    <n v="2024"/>
    <n v="9"/>
    <n v="1"/>
  </r>
  <r>
    <s v="SHP-30185"/>
    <d v="2024-11-22T00:00:00"/>
    <s v="North"/>
    <s v="Delhi"/>
    <s v="Regional Hub"/>
    <s v="Standard"/>
    <s v="System"/>
    <s v="High"/>
    <n v="2"/>
    <n v="7"/>
    <n v="5"/>
    <s v="Yes"/>
    <n v="398"/>
    <n v="6340"/>
    <n v="18625"/>
    <n v="0"/>
    <s v="No"/>
    <s v="Major"/>
    <n v="3725"/>
    <n v="1268"/>
    <n v="2024"/>
    <n v="11"/>
    <n v="1"/>
  </r>
  <r>
    <s v="SHP-30186"/>
    <d v="2024-05-05T00:00:00"/>
    <s v="South"/>
    <s v="Bengaluru"/>
    <s v="Local Hub"/>
    <s v="Standard"/>
    <s v="Documentation"/>
    <s v="Low"/>
    <n v="2"/>
    <n v="5"/>
    <n v="3"/>
    <s v="Yes"/>
    <n v="345"/>
    <n v="2511"/>
    <n v="13005"/>
    <n v="0"/>
    <s v="No"/>
    <s v="Major"/>
    <n v="4335"/>
    <n v="837"/>
    <n v="2024"/>
    <n v="5"/>
    <n v="1"/>
  </r>
  <r>
    <s v="SHP-30187"/>
    <d v="2024-09-19T00:00:00"/>
    <s v="North"/>
    <s v="Delhi"/>
    <s v="Local Hub"/>
    <s v="Standard"/>
    <s v="Routing"/>
    <s v="High"/>
    <n v="1"/>
    <n v="7"/>
    <n v="6"/>
    <s v="Yes"/>
    <n v="395"/>
    <n v="12774"/>
    <n v="22896"/>
    <n v="0"/>
    <s v="No"/>
    <s v="Severe"/>
    <n v="3816"/>
    <n v="2129"/>
    <n v="2024"/>
    <n v="9"/>
    <n v="1"/>
  </r>
  <r>
    <s v="SHP-30188"/>
    <d v="2024-03-02T00:00:00"/>
    <s v="West"/>
    <s v="Pune"/>
    <s v="Regional Hub"/>
    <s v="Express"/>
    <s v="Capacity"/>
    <s v="Low"/>
    <n v="1"/>
    <n v="5"/>
    <n v="4"/>
    <s v="Yes"/>
    <n v="381"/>
    <n v="9400"/>
    <n v="13180"/>
    <n v="0"/>
    <s v="No"/>
    <s v="Major"/>
    <n v="3295"/>
    <n v="2350"/>
    <n v="2024"/>
    <n v="3"/>
    <n v="1"/>
  </r>
  <r>
    <s v="SHP-30189"/>
    <d v="2024-01-03T00:00:00"/>
    <s v="North"/>
    <s v="Delhi"/>
    <s v="Central Hub"/>
    <s v="Express"/>
    <s v="Routing"/>
    <s v="Medium"/>
    <n v="3"/>
    <n v="3"/>
    <n v="0"/>
    <s v="No"/>
    <n v="204"/>
    <n v="0"/>
    <n v="0"/>
    <n v="1"/>
    <s v="No"/>
    <s v="On Time"/>
    <n v="0"/>
    <n v="0"/>
    <n v="2024"/>
    <n v="1"/>
    <n v="0"/>
  </r>
  <r>
    <s v="SHP-30190"/>
    <d v="2024-07-17T00:00:00"/>
    <s v="East"/>
    <s v="Bhubaneswar"/>
    <s v="Local Hub"/>
    <s v="Standard"/>
    <s v="System"/>
    <s v="Medium"/>
    <n v="1"/>
    <n v="6"/>
    <n v="5"/>
    <s v="Yes"/>
    <n v="456"/>
    <n v="8970"/>
    <n v="24210"/>
    <n v="0"/>
    <s v="No"/>
    <s v="Major"/>
    <n v="4842"/>
    <n v="1794"/>
    <n v="2024"/>
    <n v="7"/>
    <n v="1"/>
  </r>
  <r>
    <s v="SHP-30191"/>
    <d v="2024-09-03T00:00:00"/>
    <s v="East"/>
    <s v="Bhubaneswar"/>
    <s v="Central Hub"/>
    <s v="Critical"/>
    <s v="Documentation"/>
    <s v="Medium"/>
    <n v="1"/>
    <n v="4"/>
    <n v="3"/>
    <s v="Yes"/>
    <n v="370"/>
    <n v="3744"/>
    <n v="9759"/>
    <n v="0"/>
    <s v="No"/>
    <s v="Major"/>
    <n v="3253"/>
    <n v="1248"/>
    <n v="2024"/>
    <n v="9"/>
    <n v="1"/>
  </r>
  <r>
    <s v="SHP-30192"/>
    <d v="2024-03-14T00:00:00"/>
    <s v="West"/>
    <s v="Pune"/>
    <s v="Regional Hub"/>
    <s v="Standard"/>
    <s v="Weather"/>
    <s v="High"/>
    <n v="3"/>
    <n v="11"/>
    <n v="8"/>
    <s v="Yes"/>
    <n v="350"/>
    <n v="7864"/>
    <n v="24336"/>
    <n v="0"/>
    <s v="No"/>
    <s v="Severe"/>
    <n v="3042"/>
    <n v="983"/>
    <n v="2024"/>
    <n v="3"/>
    <n v="1"/>
  </r>
  <r>
    <s v="SHP-30193"/>
    <d v="2024-04-15T00:00:00"/>
    <s v="West"/>
    <s v="Mumbai"/>
    <s v="Regional Hub"/>
    <s v="Standard"/>
    <s v="System"/>
    <s v="Low"/>
    <n v="2"/>
    <n v="2"/>
    <n v="0"/>
    <s v="No"/>
    <n v="355"/>
    <n v="0"/>
    <n v="0"/>
    <n v="1"/>
    <s v="No"/>
    <s v="On Time"/>
    <n v="0"/>
    <n v="0"/>
    <n v="2024"/>
    <n v="4"/>
    <n v="0"/>
  </r>
  <r>
    <s v="SHP-30194"/>
    <d v="2024-09-24T00:00:00"/>
    <s v="North"/>
    <s v="Noida"/>
    <s v="Central Hub"/>
    <s v="Standard"/>
    <s v="System"/>
    <s v="High"/>
    <n v="2"/>
    <n v="9"/>
    <n v="7"/>
    <s v="Yes"/>
    <n v="181"/>
    <n v="14098"/>
    <n v="32067"/>
    <n v="0"/>
    <s v="No"/>
    <s v="Severe"/>
    <n v="4581"/>
    <n v="2014"/>
    <n v="2024"/>
    <n v="9"/>
    <n v="1"/>
  </r>
  <r>
    <s v="SHP-30195"/>
    <d v="2024-06-12T00:00:00"/>
    <s v="South"/>
    <s v="Bengaluru"/>
    <s v="Central Hub"/>
    <s v="Standard"/>
    <s v="Capacity"/>
    <s v="Low"/>
    <n v="2"/>
    <n v="3"/>
    <n v="1"/>
    <s v="Yes"/>
    <n v="131"/>
    <n v="1833"/>
    <n v="3722"/>
    <n v="0"/>
    <s v="No"/>
    <s v="Minor"/>
    <n v="3722"/>
    <n v="1833"/>
    <n v="2024"/>
    <n v="6"/>
    <n v="1"/>
  </r>
  <r>
    <s v="SHP-30196"/>
    <d v="2024-03-31T00:00:00"/>
    <s v="North"/>
    <s v="Delhi"/>
    <s v="Regional Hub"/>
    <s v="Express"/>
    <s v="Documentation"/>
    <s v="Medium"/>
    <n v="3"/>
    <n v="4"/>
    <n v="1"/>
    <s v="Yes"/>
    <n v="146"/>
    <n v="2292"/>
    <n v="3428"/>
    <n v="0"/>
    <s v="No"/>
    <s v="Minor"/>
    <n v="3428"/>
    <n v="2292"/>
    <n v="2024"/>
    <n v="3"/>
    <n v="1"/>
  </r>
  <r>
    <s v="SHP-30197"/>
    <d v="2024-11-04T00:00:00"/>
    <s v="South"/>
    <s v="Bengaluru"/>
    <s v="Regional Hub"/>
    <s v="Standard"/>
    <s v="Weather"/>
    <s v="Medium"/>
    <n v="5"/>
    <n v="6"/>
    <n v="1"/>
    <s v="Yes"/>
    <n v="144"/>
    <n v="2488"/>
    <n v="4833"/>
    <n v="0"/>
    <s v="No"/>
    <s v="Minor"/>
    <n v="4833"/>
    <n v="2488"/>
    <n v="2024"/>
    <n v="11"/>
    <n v="1"/>
  </r>
  <r>
    <s v="SHP-30198"/>
    <d v="2024-01-28T00:00:00"/>
    <s v="North"/>
    <s v="Noida"/>
    <s v="Local Hub"/>
    <s v="Standard"/>
    <s v="Documentation"/>
    <s v="Low"/>
    <n v="2"/>
    <n v="7"/>
    <n v="5"/>
    <s v="Yes"/>
    <n v="385"/>
    <n v="8240"/>
    <n v="15120"/>
    <n v="0"/>
    <s v="No"/>
    <s v="Major"/>
    <n v="3024"/>
    <n v="1648"/>
    <n v="2024"/>
    <n v="1"/>
    <n v="1"/>
  </r>
  <r>
    <s v="SHP-30199"/>
    <d v="2024-06-15T00:00:00"/>
    <s v="North"/>
    <s v="Noida"/>
    <s v="Local Hub"/>
    <s v="Express"/>
    <s v="Documentation"/>
    <s v="Medium"/>
    <n v="3"/>
    <n v="8"/>
    <n v="5"/>
    <s v="Yes"/>
    <n v="264"/>
    <n v="8095"/>
    <n v="24820"/>
    <n v="0"/>
    <s v="No"/>
    <s v="Major"/>
    <n v="4964"/>
    <n v="1619"/>
    <n v="2024"/>
    <n v="6"/>
    <n v="1"/>
  </r>
  <r>
    <s v="SHP-30200"/>
    <d v="2024-06-05T00:00:00"/>
    <s v="East"/>
    <s v="Bhubaneswar"/>
    <s v="Regional Hub"/>
    <s v="Standard"/>
    <s v="Capacity"/>
    <s v="Low"/>
    <n v="2"/>
    <n v="6"/>
    <n v="4"/>
    <s v="Yes"/>
    <n v="135"/>
    <n v="4480"/>
    <n v="13972"/>
    <n v="0"/>
    <s v="No"/>
    <s v="Major"/>
    <n v="3493"/>
    <n v="1120"/>
    <n v="2024"/>
    <n v="6"/>
    <n v="1"/>
  </r>
  <r>
    <s v="SHP-30201"/>
    <d v="2024-11-17T00:00:00"/>
    <s v="North"/>
    <s v="Noida"/>
    <s v="Regional Hub"/>
    <s v="Standard"/>
    <s v="Capacity"/>
    <s v="Medium"/>
    <n v="1"/>
    <n v="3"/>
    <n v="2"/>
    <s v="Yes"/>
    <n v="86"/>
    <n v="1802"/>
    <n v="8586"/>
    <n v="0"/>
    <s v="No"/>
    <s v="Minor"/>
    <n v="4293"/>
    <n v="901"/>
    <n v="2024"/>
    <n v="11"/>
    <n v="1"/>
  </r>
  <r>
    <s v="SHP-30202"/>
    <d v="2024-12-20T00:00:00"/>
    <s v="South"/>
    <s v="Bengaluru"/>
    <s v="Regional Hub"/>
    <s v="Standard"/>
    <s v="Documentation"/>
    <s v="Low"/>
    <n v="2"/>
    <n v="4"/>
    <n v="2"/>
    <s v="Yes"/>
    <n v="55"/>
    <n v="2670"/>
    <n v="5696"/>
    <n v="0"/>
    <s v="No"/>
    <s v="Minor"/>
    <n v="2848"/>
    <n v="1335"/>
    <n v="2024"/>
    <n v="12"/>
    <n v="1"/>
  </r>
  <r>
    <s v="SHP-30203"/>
    <d v="2024-07-15T00:00:00"/>
    <s v="South"/>
    <s v="Bengaluru"/>
    <s v="Local Hub"/>
    <s v="Critical"/>
    <s v="System"/>
    <s v="Medium"/>
    <n v="1"/>
    <n v="4"/>
    <n v="3"/>
    <s v="Yes"/>
    <n v="187"/>
    <n v="7173"/>
    <n v="9930"/>
    <n v="0"/>
    <s v="No"/>
    <s v="Major"/>
    <n v="3310"/>
    <n v="2391"/>
    <n v="2024"/>
    <n v="7"/>
    <n v="1"/>
  </r>
  <r>
    <s v="SHP-30204"/>
    <d v="2024-04-25T00:00:00"/>
    <s v="East"/>
    <s v="Kolkata"/>
    <s v="Central Hub"/>
    <s v="Express"/>
    <s v="Documentation"/>
    <s v="Low"/>
    <n v="3"/>
    <n v="5"/>
    <n v="2"/>
    <s v="Yes"/>
    <n v="468"/>
    <n v="4018"/>
    <n v="3596"/>
    <n v="0"/>
    <s v="No"/>
    <s v="Minor"/>
    <n v="1798"/>
    <n v="2009"/>
    <n v="2024"/>
    <n v="4"/>
    <n v="1"/>
  </r>
  <r>
    <s v="SHP-30205"/>
    <d v="2024-09-09T00:00:00"/>
    <s v="South"/>
    <s v="Chennai"/>
    <s v="Local Hub"/>
    <s v="Critical"/>
    <s v="Routing"/>
    <s v="High"/>
    <n v="1"/>
    <n v="5"/>
    <n v="4"/>
    <s v="Yes"/>
    <n v="288"/>
    <n v="7184"/>
    <n v="6584"/>
    <n v="0"/>
    <s v="No"/>
    <s v="Major"/>
    <n v="1646"/>
    <n v="1796"/>
    <n v="2024"/>
    <n v="9"/>
    <n v="1"/>
  </r>
  <r>
    <s v="SHP-30206"/>
    <d v="2024-06-07T00:00:00"/>
    <s v="West"/>
    <s v="Pune"/>
    <s v="Regional Hub"/>
    <s v="Standard"/>
    <s v="Weather"/>
    <s v="Low"/>
    <n v="5"/>
    <n v="5"/>
    <n v="0"/>
    <s v="No"/>
    <n v="293"/>
    <n v="0"/>
    <n v="0"/>
    <n v="1"/>
    <s v="No"/>
    <s v="On Time"/>
    <n v="0"/>
    <n v="0"/>
    <n v="2024"/>
    <n v="6"/>
    <n v="0"/>
  </r>
  <r>
    <s v="SHP-30207"/>
    <d v="2024-06-19T00:00:00"/>
    <s v="East"/>
    <s v="Kolkata"/>
    <s v="Central Hub"/>
    <s v="Standard"/>
    <s v="Weather"/>
    <s v="Low"/>
    <n v="2"/>
    <n v="4"/>
    <n v="2"/>
    <s v="Yes"/>
    <n v="375"/>
    <n v="3090"/>
    <n v="3106"/>
    <n v="0"/>
    <s v="No"/>
    <s v="Minor"/>
    <n v="1553"/>
    <n v="1545"/>
    <n v="2024"/>
    <n v="6"/>
    <n v="1"/>
  </r>
  <r>
    <s v="SHP-30208"/>
    <d v="2024-08-09T00:00:00"/>
    <s v="South"/>
    <s v="Chennai"/>
    <s v="Regional Hub"/>
    <s v="Express"/>
    <s v="Weather"/>
    <s v="High"/>
    <n v="3"/>
    <n v="6"/>
    <n v="3"/>
    <s v="Yes"/>
    <n v="329"/>
    <n v="4206"/>
    <n v="7176"/>
    <n v="0"/>
    <s v="No"/>
    <s v="Major"/>
    <n v="2392"/>
    <n v="1402"/>
    <n v="2024"/>
    <n v="8"/>
    <n v="1"/>
  </r>
  <r>
    <s v="SHP-30209"/>
    <d v="2024-04-23T00:00:00"/>
    <s v="East"/>
    <s v="Kolkata"/>
    <s v="Local Hub"/>
    <s v="Standard"/>
    <s v="Routing"/>
    <s v="Low"/>
    <n v="3"/>
    <n v="4"/>
    <n v="1"/>
    <s v="Yes"/>
    <n v="202"/>
    <n v="904"/>
    <n v="4100"/>
    <n v="0"/>
    <s v="No"/>
    <s v="Minor"/>
    <n v="4100"/>
    <n v="904"/>
    <n v="2024"/>
    <n v="4"/>
    <n v="1"/>
  </r>
  <r>
    <s v="SHP-30210"/>
    <d v="2024-01-10T00:00:00"/>
    <s v="South"/>
    <s v="Chennai"/>
    <s v="Central Hub"/>
    <s v="Express"/>
    <s v="Capacity"/>
    <s v="Low"/>
    <n v="2"/>
    <n v="4"/>
    <n v="2"/>
    <s v="Yes"/>
    <n v="263"/>
    <n v="4310"/>
    <n v="7934"/>
    <n v="0"/>
    <s v="No"/>
    <s v="Minor"/>
    <n v="3967"/>
    <n v="2155"/>
    <n v="2024"/>
    <n v="1"/>
    <n v="1"/>
  </r>
  <r>
    <s v="SHP-30211"/>
    <d v="2024-03-03T00:00:00"/>
    <s v="South"/>
    <s v="Chennai"/>
    <s v="Local Hub"/>
    <s v="Express"/>
    <s v="System"/>
    <s v="Medium"/>
    <n v="2"/>
    <n v="5"/>
    <n v="3"/>
    <s v="Yes"/>
    <n v="299"/>
    <n v="4119"/>
    <n v="10797"/>
    <n v="0"/>
    <s v="No"/>
    <s v="Major"/>
    <n v="3599"/>
    <n v="1373"/>
    <n v="2024"/>
    <n v="3"/>
    <n v="1"/>
  </r>
  <r>
    <s v="SHP-30212"/>
    <d v="2024-08-04T00:00:00"/>
    <s v="West"/>
    <s v="Pune"/>
    <s v="Local Hub"/>
    <s v="Express"/>
    <s v="Capacity"/>
    <s v="High"/>
    <n v="1"/>
    <n v="6"/>
    <n v="5"/>
    <s v="Yes"/>
    <n v="476"/>
    <n v="10155"/>
    <n v="16725"/>
    <n v="0"/>
    <s v="No"/>
    <s v="Major"/>
    <n v="3345"/>
    <n v="2031"/>
    <n v="2024"/>
    <n v="8"/>
    <n v="1"/>
  </r>
  <r>
    <s v="SHP-30213"/>
    <d v="2024-04-15T00:00:00"/>
    <s v="North"/>
    <s v="Noida"/>
    <s v="Local Hub"/>
    <s v="Standard"/>
    <s v="Weather"/>
    <s v="High"/>
    <n v="1"/>
    <n v="7"/>
    <n v="6"/>
    <s v="Yes"/>
    <n v="62"/>
    <n v="5970"/>
    <n v="13338"/>
    <n v="0"/>
    <s v="No"/>
    <s v="Severe"/>
    <n v="2223"/>
    <n v="995"/>
    <n v="2024"/>
    <n v="4"/>
    <n v="1"/>
  </r>
  <r>
    <s v="SHP-30214"/>
    <d v="2024-07-13T00:00:00"/>
    <s v="East"/>
    <s v="Kolkata"/>
    <s v="Central Hub"/>
    <s v="Critical"/>
    <s v="Capacity"/>
    <s v="Low"/>
    <n v="1"/>
    <n v="6"/>
    <n v="5"/>
    <s v="Yes"/>
    <n v="104"/>
    <n v="6615"/>
    <n v="9910"/>
    <n v="0"/>
    <s v="No"/>
    <s v="Major"/>
    <n v="1982"/>
    <n v="1323"/>
    <n v="2024"/>
    <n v="7"/>
    <n v="1"/>
  </r>
  <r>
    <s v="SHP-30215"/>
    <d v="2024-08-15T00:00:00"/>
    <s v="North"/>
    <s v="Delhi"/>
    <s v="Regional Hub"/>
    <s v="Express"/>
    <s v="Capacity"/>
    <s v="Low"/>
    <n v="2"/>
    <n v="2"/>
    <n v="0"/>
    <s v="No"/>
    <n v="142"/>
    <n v="0"/>
    <n v="0"/>
    <n v="1"/>
    <s v="No"/>
    <s v="On Time"/>
    <n v="0"/>
    <n v="0"/>
    <n v="2024"/>
    <n v="8"/>
    <n v="0"/>
  </r>
  <r>
    <s v="SHP-30216"/>
    <d v="2024-10-20T00:00:00"/>
    <s v="West"/>
    <s v="Pune"/>
    <s v="Local Hub"/>
    <s v="Standard"/>
    <s v="Capacity"/>
    <s v="Medium"/>
    <n v="1"/>
    <n v="5"/>
    <n v="4"/>
    <s v="Yes"/>
    <n v="435"/>
    <n v="8532"/>
    <n v="9748"/>
    <n v="0"/>
    <s v="No"/>
    <s v="Major"/>
    <n v="2437"/>
    <n v="2133"/>
    <n v="2024"/>
    <n v="10"/>
    <n v="1"/>
  </r>
  <r>
    <s v="SHP-30217"/>
    <d v="2024-12-13T00:00:00"/>
    <s v="South"/>
    <s v="Chennai"/>
    <s v="Local Hub"/>
    <s v="Critical"/>
    <s v="System"/>
    <s v="Low"/>
    <n v="3"/>
    <n v="9"/>
    <n v="6"/>
    <s v="Yes"/>
    <n v="248"/>
    <n v="12090"/>
    <n v="25728"/>
    <n v="0"/>
    <s v="No"/>
    <s v="Severe"/>
    <n v="4288"/>
    <n v="2015"/>
    <n v="2024"/>
    <n v="12"/>
    <n v="1"/>
  </r>
  <r>
    <s v="SHP-30218"/>
    <d v="2024-04-05T00:00:00"/>
    <s v="West"/>
    <s v="Pune"/>
    <s v="Regional Hub"/>
    <s v="Standard"/>
    <s v="Weather"/>
    <s v="Low"/>
    <n v="1"/>
    <n v="6"/>
    <n v="5"/>
    <s v="Yes"/>
    <n v="482"/>
    <n v="9340"/>
    <n v="19945"/>
    <n v="0"/>
    <s v="No"/>
    <s v="Major"/>
    <n v="3989"/>
    <n v="1868"/>
    <n v="2024"/>
    <n v="4"/>
    <n v="1"/>
  </r>
  <r>
    <s v="SHP-30219"/>
    <d v="2024-12-21T00:00:00"/>
    <s v="South"/>
    <s v="Bengaluru"/>
    <s v="Regional Hub"/>
    <s v="Standard"/>
    <s v="Weather"/>
    <s v="High"/>
    <n v="3"/>
    <n v="5"/>
    <n v="2"/>
    <s v="Yes"/>
    <n v="158"/>
    <n v="3068"/>
    <n v="7770"/>
    <n v="0"/>
    <s v="No"/>
    <s v="Minor"/>
    <n v="3885"/>
    <n v="1534"/>
    <n v="2024"/>
    <n v="12"/>
    <n v="1"/>
  </r>
  <r>
    <s v="SHP-30220"/>
    <d v="2024-12-10T00:00:00"/>
    <s v="South"/>
    <s v="Chennai"/>
    <s v="Regional Hub"/>
    <s v="Critical"/>
    <s v="System"/>
    <s v="Low"/>
    <n v="2"/>
    <n v="5"/>
    <n v="3"/>
    <s v="Yes"/>
    <n v="130"/>
    <n v="3573"/>
    <n v="11082"/>
    <n v="0"/>
    <s v="No"/>
    <s v="Major"/>
    <n v="3694"/>
    <n v="1191"/>
    <n v="2024"/>
    <n v="12"/>
    <n v="1"/>
  </r>
  <r>
    <s v="SHP-30221"/>
    <d v="2024-12-09T00:00:00"/>
    <s v="East"/>
    <s v="Kolkata"/>
    <s v="Central Hub"/>
    <s v="Standard"/>
    <s v="Routing"/>
    <s v="High"/>
    <n v="1"/>
    <n v="6"/>
    <n v="5"/>
    <s v="Yes"/>
    <n v="129"/>
    <n v="8505"/>
    <n v="9750"/>
    <n v="0"/>
    <s v="No"/>
    <s v="Major"/>
    <n v="1950"/>
    <n v="1701"/>
    <n v="2024"/>
    <n v="12"/>
    <n v="1"/>
  </r>
  <r>
    <s v="SHP-30222"/>
    <d v="2024-01-06T00:00:00"/>
    <s v="East"/>
    <s v="Bhubaneswar"/>
    <s v="Regional Hub"/>
    <s v="Standard"/>
    <s v="Documentation"/>
    <s v="Medium"/>
    <n v="2"/>
    <n v="2"/>
    <n v="0"/>
    <s v="No"/>
    <n v="251"/>
    <n v="0"/>
    <n v="0"/>
    <n v="1"/>
    <s v="No"/>
    <s v="On Time"/>
    <n v="0"/>
    <n v="0"/>
    <n v="2024"/>
    <n v="1"/>
    <n v="0"/>
  </r>
  <r>
    <s v="SHP-30223"/>
    <d v="2024-05-18T00:00:00"/>
    <s v="South"/>
    <s v="Chennai"/>
    <s v="Local Hub"/>
    <s v="Standard"/>
    <s v="Weather"/>
    <s v="Low"/>
    <n v="1"/>
    <n v="2"/>
    <n v="1"/>
    <s v="Yes"/>
    <n v="265"/>
    <n v="1328"/>
    <n v="3354"/>
    <n v="0"/>
    <s v="No"/>
    <s v="Minor"/>
    <n v="3354"/>
    <n v="1328"/>
    <n v="2024"/>
    <n v="5"/>
    <n v="1"/>
  </r>
  <r>
    <s v="SHP-30224"/>
    <d v="2024-08-14T00:00:00"/>
    <s v="East"/>
    <s v="Bhubaneswar"/>
    <s v="Central Hub"/>
    <s v="Standard"/>
    <s v="System"/>
    <s v="Low"/>
    <n v="3"/>
    <n v="4"/>
    <n v="1"/>
    <s v="Yes"/>
    <n v="398"/>
    <n v="1077"/>
    <n v="3499"/>
    <n v="0"/>
    <s v="No"/>
    <s v="Minor"/>
    <n v="3499"/>
    <n v="1077"/>
    <n v="2024"/>
    <n v="8"/>
    <n v="1"/>
  </r>
  <r>
    <s v="SHP-30225"/>
    <d v="2024-05-13T00:00:00"/>
    <s v="East"/>
    <s v="Kolkata"/>
    <s v="Central Hub"/>
    <s v="Express"/>
    <s v="Documentation"/>
    <s v="Medium"/>
    <n v="1"/>
    <n v="4"/>
    <n v="3"/>
    <s v="Yes"/>
    <n v="486"/>
    <n v="3789"/>
    <n v="8820"/>
    <n v="0"/>
    <s v="No"/>
    <s v="Major"/>
    <n v="2940"/>
    <n v="1263"/>
    <n v="2024"/>
    <n v="5"/>
    <n v="1"/>
  </r>
  <r>
    <s v="SHP-30226"/>
    <d v="2024-11-11T00:00:00"/>
    <s v="East"/>
    <s v="Bhubaneswar"/>
    <s v="Central Hub"/>
    <s v="Standard"/>
    <s v="Documentation"/>
    <s v="High"/>
    <n v="3"/>
    <n v="9"/>
    <n v="6"/>
    <s v="Yes"/>
    <n v="198"/>
    <n v="8928"/>
    <n v="10662"/>
    <n v="0"/>
    <s v="No"/>
    <s v="Severe"/>
    <n v="1777"/>
    <n v="1488"/>
    <n v="2024"/>
    <n v="11"/>
    <n v="1"/>
  </r>
  <r>
    <s v="SHP-30227"/>
    <d v="2024-06-29T00:00:00"/>
    <s v="East"/>
    <s v="Kolkata"/>
    <s v="Central Hub"/>
    <s v="Express"/>
    <s v="System"/>
    <s v="Low"/>
    <n v="1"/>
    <n v="3"/>
    <n v="2"/>
    <s v="Yes"/>
    <n v="197"/>
    <n v="4986"/>
    <n v="6472"/>
    <n v="0"/>
    <s v="No"/>
    <s v="Minor"/>
    <n v="3236"/>
    <n v="2493"/>
    <n v="2024"/>
    <n v="6"/>
    <n v="1"/>
  </r>
  <r>
    <s v="SHP-30228"/>
    <d v="2024-02-21T00:00:00"/>
    <s v="West"/>
    <s v="Mumbai"/>
    <s v="Local Hub"/>
    <s v="Standard"/>
    <s v="System"/>
    <s v="Medium"/>
    <n v="1"/>
    <n v="4"/>
    <n v="3"/>
    <s v="Yes"/>
    <n v="486"/>
    <n v="3408"/>
    <n v="8688"/>
    <n v="0"/>
    <s v="No"/>
    <s v="Major"/>
    <n v="2896"/>
    <n v="1136"/>
    <n v="2024"/>
    <n v="2"/>
    <n v="1"/>
  </r>
  <r>
    <s v="SHP-30229"/>
    <d v="2024-10-23T00:00:00"/>
    <s v="South"/>
    <s v="Chennai"/>
    <s v="Local Hub"/>
    <s v="Standard"/>
    <s v="Weather"/>
    <s v="Medium"/>
    <n v="2"/>
    <n v="2"/>
    <n v="0"/>
    <s v="No"/>
    <n v="496"/>
    <n v="0"/>
    <n v="0"/>
    <n v="1"/>
    <s v="No"/>
    <s v="On Time"/>
    <n v="0"/>
    <n v="0"/>
    <n v="2024"/>
    <n v="10"/>
    <n v="0"/>
  </r>
  <r>
    <s v="SHP-30230"/>
    <d v="2024-05-25T00:00:00"/>
    <s v="West"/>
    <s v="Pune"/>
    <s v="Central Hub"/>
    <s v="Standard"/>
    <s v="Routing"/>
    <s v="Low"/>
    <n v="3"/>
    <n v="3"/>
    <n v="0"/>
    <s v="No"/>
    <n v="444"/>
    <n v="0"/>
    <n v="0"/>
    <n v="1"/>
    <s v="No"/>
    <s v="On Time"/>
    <n v="0"/>
    <n v="0"/>
    <n v="2024"/>
    <n v="5"/>
    <n v="0"/>
  </r>
  <r>
    <s v="SHP-30231"/>
    <d v="2024-07-27T00:00:00"/>
    <s v="West"/>
    <s v="Mumbai"/>
    <s v="Regional Hub"/>
    <s v="Standard"/>
    <s v="Capacity"/>
    <s v="Medium"/>
    <n v="1"/>
    <n v="4"/>
    <n v="3"/>
    <s v="Yes"/>
    <n v="150"/>
    <n v="4332"/>
    <n v="14466"/>
    <n v="0"/>
    <s v="No"/>
    <s v="Major"/>
    <n v="4822"/>
    <n v="1444"/>
    <n v="2024"/>
    <n v="7"/>
    <n v="1"/>
  </r>
  <r>
    <s v="SHP-30232"/>
    <d v="2024-11-30T00:00:00"/>
    <s v="East"/>
    <s v="Kolkata"/>
    <s v="Central Hub"/>
    <s v="Standard"/>
    <s v="Capacity"/>
    <s v="Medium"/>
    <n v="3"/>
    <n v="3"/>
    <n v="0"/>
    <s v="No"/>
    <n v="221"/>
    <n v="0"/>
    <n v="0"/>
    <n v="1"/>
    <s v="No"/>
    <s v="On Time"/>
    <n v="0"/>
    <n v="0"/>
    <n v="2024"/>
    <n v="11"/>
    <n v="0"/>
  </r>
  <r>
    <s v="SHP-30233"/>
    <d v="2024-05-20T00:00:00"/>
    <s v="West"/>
    <s v="Mumbai"/>
    <s v="Regional Hub"/>
    <s v="Express"/>
    <s v="Documentation"/>
    <s v="Low"/>
    <n v="1"/>
    <n v="4"/>
    <n v="3"/>
    <s v="Yes"/>
    <n v="311"/>
    <n v="4362"/>
    <n v="6333"/>
    <n v="0"/>
    <s v="No"/>
    <s v="Major"/>
    <n v="2111"/>
    <n v="1454"/>
    <n v="2024"/>
    <n v="5"/>
    <n v="1"/>
  </r>
  <r>
    <s v="SHP-30234"/>
    <d v="2024-05-05T00:00:00"/>
    <s v="West"/>
    <s v="Mumbai"/>
    <s v="Local Hub"/>
    <s v="Standard"/>
    <s v="Documentation"/>
    <s v="Low"/>
    <n v="1"/>
    <n v="3"/>
    <n v="2"/>
    <s v="Yes"/>
    <n v="124"/>
    <n v="4052"/>
    <n v="5664"/>
    <n v="0"/>
    <s v="No"/>
    <s v="Minor"/>
    <n v="2832"/>
    <n v="2026"/>
    <n v="2024"/>
    <n v="5"/>
    <n v="1"/>
  </r>
  <r>
    <s v="SHP-30235"/>
    <d v="2024-07-17T00:00:00"/>
    <s v="North"/>
    <s v="Delhi"/>
    <s v="Regional Hub"/>
    <s v="Standard"/>
    <s v="Documentation"/>
    <s v="High"/>
    <n v="2"/>
    <n v="7"/>
    <n v="5"/>
    <s v="Yes"/>
    <n v="140"/>
    <n v="6180"/>
    <n v="8475"/>
    <n v="0"/>
    <s v="No"/>
    <s v="Major"/>
    <n v="1695"/>
    <n v="1236"/>
    <n v="2024"/>
    <n v="7"/>
    <n v="1"/>
  </r>
  <r>
    <s v="SHP-30236"/>
    <d v="2024-01-18T00:00:00"/>
    <s v="South"/>
    <s v="Bengaluru"/>
    <s v="Central Hub"/>
    <s v="Express"/>
    <s v="Documentation"/>
    <s v="Low"/>
    <n v="2"/>
    <n v="2"/>
    <n v="0"/>
    <s v="No"/>
    <n v="266"/>
    <n v="0"/>
    <n v="0"/>
    <n v="1"/>
    <s v="No"/>
    <s v="On Time"/>
    <n v="0"/>
    <n v="0"/>
    <n v="2024"/>
    <n v="1"/>
    <n v="0"/>
  </r>
  <r>
    <s v="SHP-30237"/>
    <d v="2024-07-04T00:00:00"/>
    <s v="South"/>
    <s v="Chennai"/>
    <s v="Regional Hub"/>
    <s v="Standard"/>
    <s v="Routing"/>
    <s v="Low"/>
    <n v="2"/>
    <n v="3"/>
    <n v="1"/>
    <s v="Yes"/>
    <n v="320"/>
    <n v="2044"/>
    <n v="2891"/>
    <n v="0"/>
    <s v="No"/>
    <s v="Minor"/>
    <n v="2891"/>
    <n v="2044"/>
    <n v="2024"/>
    <n v="7"/>
    <n v="1"/>
  </r>
  <r>
    <s v="SHP-30238"/>
    <d v="2024-05-21T00:00:00"/>
    <s v="West"/>
    <s v="Pune"/>
    <s v="Central Hub"/>
    <s v="Express"/>
    <s v="System"/>
    <s v="Low"/>
    <n v="1"/>
    <n v="1"/>
    <n v="0"/>
    <s v="No"/>
    <n v="484"/>
    <n v="0"/>
    <n v="0"/>
    <n v="1"/>
    <s v="No"/>
    <s v="On Time"/>
    <n v="0"/>
    <n v="0"/>
    <n v="2024"/>
    <n v="5"/>
    <n v="0"/>
  </r>
  <r>
    <s v="SHP-30239"/>
    <d v="2024-01-28T00:00:00"/>
    <s v="East"/>
    <s v="Bhubaneswar"/>
    <s v="Regional Hub"/>
    <s v="Express"/>
    <s v="Capacity"/>
    <s v="Medium"/>
    <n v="5"/>
    <n v="5"/>
    <n v="0"/>
    <s v="No"/>
    <n v="88"/>
    <n v="0"/>
    <n v="0"/>
    <n v="1"/>
    <s v="No"/>
    <s v="On Time"/>
    <n v="0"/>
    <n v="0"/>
    <n v="2024"/>
    <n v="1"/>
    <n v="0"/>
  </r>
  <r>
    <s v="SHP-30240"/>
    <d v="2024-04-13T00:00:00"/>
    <s v="West"/>
    <s v="Pune"/>
    <s v="Central Hub"/>
    <s v="Standard"/>
    <s v="Weather"/>
    <s v="Medium"/>
    <n v="2"/>
    <n v="5"/>
    <n v="3"/>
    <s v="Yes"/>
    <n v="101"/>
    <n v="6609"/>
    <n v="13509"/>
    <n v="0"/>
    <s v="No"/>
    <s v="Major"/>
    <n v="4503"/>
    <n v="2203"/>
    <n v="2024"/>
    <n v="4"/>
    <n v="1"/>
  </r>
  <r>
    <s v="SHP-30241"/>
    <d v="2024-01-26T00:00:00"/>
    <s v="West"/>
    <s v="Mumbai"/>
    <s v="Regional Hub"/>
    <s v="Standard"/>
    <s v="Capacity"/>
    <s v="Low"/>
    <n v="2"/>
    <n v="4"/>
    <n v="2"/>
    <s v="Yes"/>
    <n v="104"/>
    <n v="3896"/>
    <n v="8904"/>
    <n v="0"/>
    <s v="No"/>
    <s v="Minor"/>
    <n v="4452"/>
    <n v="1948"/>
    <n v="2024"/>
    <n v="1"/>
    <n v="1"/>
  </r>
  <r>
    <s v="SHP-30242"/>
    <d v="2024-05-16T00:00:00"/>
    <s v="North"/>
    <s v="Delhi"/>
    <s v="Central Hub"/>
    <s v="Critical"/>
    <s v="Weather"/>
    <s v="Medium"/>
    <n v="2"/>
    <n v="4"/>
    <n v="2"/>
    <s v="Yes"/>
    <n v="211"/>
    <n v="3340"/>
    <n v="6766"/>
    <n v="0"/>
    <s v="No"/>
    <s v="Minor"/>
    <n v="3383"/>
    <n v="1670"/>
    <n v="2024"/>
    <n v="5"/>
    <n v="1"/>
  </r>
  <r>
    <s v="SHP-30243"/>
    <d v="2024-12-02T00:00:00"/>
    <s v="South"/>
    <s v="Chennai"/>
    <s v="Central Hub"/>
    <s v="Standard"/>
    <s v="Weather"/>
    <s v="Medium"/>
    <n v="5"/>
    <n v="9"/>
    <n v="4"/>
    <s v="Yes"/>
    <n v="127"/>
    <n v="7952"/>
    <n v="10104"/>
    <n v="0"/>
    <s v="No"/>
    <s v="Major"/>
    <n v="2526"/>
    <n v="1988"/>
    <n v="2024"/>
    <n v="12"/>
    <n v="1"/>
  </r>
  <r>
    <s v="SHP-30244"/>
    <d v="2024-03-30T00:00:00"/>
    <s v="West"/>
    <s v="Pune"/>
    <s v="Central Hub"/>
    <s v="Express"/>
    <s v="Capacity"/>
    <s v="Medium"/>
    <n v="2"/>
    <n v="6"/>
    <n v="4"/>
    <s v="Yes"/>
    <n v="173"/>
    <n v="7888"/>
    <n v="8804"/>
    <n v="0"/>
    <s v="No"/>
    <s v="Major"/>
    <n v="2201"/>
    <n v="1972"/>
    <n v="2024"/>
    <n v="3"/>
    <n v="1"/>
  </r>
  <r>
    <s v="SHP-30245"/>
    <d v="2024-04-20T00:00:00"/>
    <s v="East"/>
    <s v="Kolkata"/>
    <s v="Local Hub"/>
    <s v="Standard"/>
    <s v="Capacity"/>
    <s v="High"/>
    <n v="1"/>
    <n v="4"/>
    <n v="3"/>
    <s v="Yes"/>
    <n v="285"/>
    <n v="3471"/>
    <n v="12921"/>
    <n v="0"/>
    <s v="No"/>
    <s v="Major"/>
    <n v="4307"/>
    <n v="1157"/>
    <n v="2024"/>
    <n v="4"/>
    <n v="1"/>
  </r>
  <r>
    <s v="SHP-30246"/>
    <d v="2024-07-01T00:00:00"/>
    <s v="North"/>
    <s v="Delhi"/>
    <s v="Central Hub"/>
    <s v="Standard"/>
    <s v="Routing"/>
    <s v="Medium"/>
    <n v="2"/>
    <n v="3"/>
    <n v="1"/>
    <s v="Yes"/>
    <n v="383"/>
    <n v="2024"/>
    <n v="4882"/>
    <n v="0"/>
    <s v="No"/>
    <s v="Minor"/>
    <n v="4882"/>
    <n v="2024"/>
    <n v="2024"/>
    <n v="7"/>
    <n v="1"/>
  </r>
  <r>
    <s v="SHP-30247"/>
    <d v="2024-07-01T00:00:00"/>
    <s v="North"/>
    <s v="Noida"/>
    <s v="Local Hub"/>
    <s v="Standard"/>
    <s v="System"/>
    <s v="Low"/>
    <n v="2"/>
    <n v="4"/>
    <n v="2"/>
    <s v="Yes"/>
    <n v="97"/>
    <n v="2720"/>
    <n v="3920"/>
    <n v="0"/>
    <s v="No"/>
    <s v="Minor"/>
    <n v="1960"/>
    <n v="1360"/>
    <n v="2024"/>
    <n v="7"/>
    <n v="1"/>
  </r>
  <r>
    <s v="SHP-30248"/>
    <d v="2024-01-18T00:00:00"/>
    <s v="South"/>
    <s v="Bengaluru"/>
    <s v="Central Hub"/>
    <s v="Critical"/>
    <s v="System"/>
    <s v="Medium"/>
    <n v="1"/>
    <n v="3"/>
    <n v="2"/>
    <s v="Yes"/>
    <n v="219"/>
    <n v="2730"/>
    <n v="8828"/>
    <n v="0"/>
    <s v="No"/>
    <s v="Minor"/>
    <n v="4414"/>
    <n v="1365"/>
    <n v="2024"/>
    <n v="1"/>
    <n v="1"/>
  </r>
  <r>
    <s v="SHP-30249"/>
    <d v="2024-05-16T00:00:00"/>
    <s v="East"/>
    <s v="Kolkata"/>
    <s v="Regional Hub"/>
    <s v="Standard"/>
    <s v="Weather"/>
    <s v="High"/>
    <n v="2"/>
    <n v="10"/>
    <n v="8"/>
    <s v="Yes"/>
    <n v="399"/>
    <n v="7608"/>
    <n v="31496"/>
    <n v="0"/>
    <s v="No"/>
    <s v="Severe"/>
    <n v="3937"/>
    <n v="951"/>
    <n v="2024"/>
    <n v="5"/>
    <n v="1"/>
  </r>
  <r>
    <s v="SHP-30250"/>
    <d v="2024-06-05T00:00:00"/>
    <s v="North"/>
    <s v="Noida"/>
    <s v="Local Hub"/>
    <s v="Standard"/>
    <s v="Documentation"/>
    <s v="High"/>
    <n v="2"/>
    <n v="6"/>
    <n v="4"/>
    <s v="Yes"/>
    <n v="276"/>
    <n v="8760"/>
    <n v="19352"/>
    <n v="0"/>
    <s v="No"/>
    <s v="Major"/>
    <n v="4838"/>
    <n v="2190"/>
    <n v="2024"/>
    <n v="6"/>
    <n v="1"/>
  </r>
  <r>
    <s v="SHP-30251"/>
    <d v="2024-02-24T00:00:00"/>
    <s v="West"/>
    <s v="Mumbai"/>
    <s v="Central Hub"/>
    <s v="Standard"/>
    <s v="Capacity"/>
    <s v="Low"/>
    <n v="2"/>
    <n v="2"/>
    <n v="0"/>
    <s v="No"/>
    <n v="128"/>
    <n v="0"/>
    <n v="0"/>
    <n v="1"/>
    <s v="No"/>
    <s v="On Time"/>
    <n v="0"/>
    <n v="0"/>
    <n v="2024"/>
    <n v="2"/>
    <n v="0"/>
  </r>
  <r>
    <s v="SHP-30252"/>
    <d v="2024-10-10T00:00:00"/>
    <s v="East"/>
    <s v="Kolkata"/>
    <s v="Regional Hub"/>
    <s v="Standard"/>
    <s v="System"/>
    <s v="Low"/>
    <n v="2"/>
    <n v="3"/>
    <n v="1"/>
    <s v="Yes"/>
    <n v="470"/>
    <n v="1405"/>
    <n v="3773"/>
    <n v="0"/>
    <s v="No"/>
    <s v="Minor"/>
    <n v="3773"/>
    <n v="1405"/>
    <n v="2024"/>
    <n v="10"/>
    <n v="1"/>
  </r>
  <r>
    <s v="SHP-30253"/>
    <d v="2024-06-11T00:00:00"/>
    <s v="West"/>
    <s v="Mumbai"/>
    <s v="Local Hub"/>
    <s v="Critical"/>
    <s v="Routing"/>
    <s v="Low"/>
    <n v="2"/>
    <n v="5"/>
    <n v="3"/>
    <s v="Yes"/>
    <n v="154"/>
    <n v="7200"/>
    <n v="6096"/>
    <n v="0"/>
    <s v="No"/>
    <s v="Major"/>
    <n v="2032"/>
    <n v="2400"/>
    <n v="2024"/>
    <n v="6"/>
    <n v="1"/>
  </r>
  <r>
    <s v="SHP-30254"/>
    <d v="2024-10-16T00:00:00"/>
    <s v="South"/>
    <s v="Chennai"/>
    <s v="Regional Hub"/>
    <s v="Express"/>
    <s v="Routing"/>
    <s v="Medium"/>
    <n v="2"/>
    <n v="5"/>
    <n v="3"/>
    <s v="Yes"/>
    <n v="451"/>
    <n v="3084"/>
    <n v="12849"/>
    <n v="0"/>
    <s v="No"/>
    <s v="Major"/>
    <n v="4283"/>
    <n v="1028"/>
    <n v="2024"/>
    <n v="10"/>
    <n v="1"/>
  </r>
  <r>
    <s v="SHP-30255"/>
    <d v="2024-01-17T00:00:00"/>
    <s v="East"/>
    <s v="Kolkata"/>
    <s v="Local Hub"/>
    <s v="Express"/>
    <s v="Weather"/>
    <s v="Low"/>
    <n v="2"/>
    <n v="5"/>
    <n v="3"/>
    <s v="Yes"/>
    <n v="420"/>
    <n v="5850"/>
    <n v="7833"/>
    <n v="0"/>
    <s v="No"/>
    <s v="Major"/>
    <n v="2611"/>
    <n v="1950"/>
    <n v="2024"/>
    <n v="1"/>
    <n v="1"/>
  </r>
  <r>
    <s v="SHP-30256"/>
    <d v="2024-03-26T00:00:00"/>
    <s v="East"/>
    <s v="Bhubaneswar"/>
    <s v="Local Hub"/>
    <s v="Standard"/>
    <s v="System"/>
    <s v="Low"/>
    <n v="1"/>
    <n v="5"/>
    <n v="4"/>
    <s v="Yes"/>
    <n v="325"/>
    <n v="7012"/>
    <n v="11404"/>
    <n v="0"/>
    <s v="No"/>
    <s v="Major"/>
    <n v="2851"/>
    <n v="1753"/>
    <n v="2024"/>
    <n v="3"/>
    <n v="1"/>
  </r>
  <r>
    <s v="SHP-30257"/>
    <d v="2024-08-25T00:00:00"/>
    <s v="East"/>
    <s v="Kolkata"/>
    <s v="Central Hub"/>
    <s v="Standard"/>
    <s v="Documentation"/>
    <s v="Low"/>
    <n v="1"/>
    <n v="5"/>
    <n v="4"/>
    <s v="Yes"/>
    <n v="245"/>
    <n v="9604"/>
    <n v="13900"/>
    <n v="0"/>
    <s v="No"/>
    <s v="Major"/>
    <n v="3475"/>
    <n v="2401"/>
    <n v="2024"/>
    <n v="8"/>
    <n v="1"/>
  </r>
  <r>
    <s v="SHP-30258"/>
    <d v="2024-10-21T00:00:00"/>
    <s v="North"/>
    <s v="Delhi"/>
    <s v="Regional Hub"/>
    <s v="Standard"/>
    <s v="Capacity"/>
    <s v="Low"/>
    <n v="3"/>
    <n v="6"/>
    <n v="3"/>
    <s v="Yes"/>
    <n v="247"/>
    <n v="5952"/>
    <n v="14976"/>
    <n v="0"/>
    <s v="No"/>
    <s v="Major"/>
    <n v="4992"/>
    <n v="1984"/>
    <n v="2024"/>
    <n v="10"/>
    <n v="1"/>
  </r>
  <r>
    <s v="SHP-30259"/>
    <d v="2024-12-09T00:00:00"/>
    <s v="East"/>
    <s v="Kolkata"/>
    <s v="Central Hub"/>
    <s v="Standard"/>
    <s v="Documentation"/>
    <s v="Low"/>
    <n v="1"/>
    <n v="2"/>
    <n v="1"/>
    <s v="Yes"/>
    <n v="433"/>
    <n v="954"/>
    <n v="3107"/>
    <n v="0"/>
    <s v="No"/>
    <s v="Minor"/>
    <n v="3107"/>
    <n v="954"/>
    <n v="2024"/>
    <n v="12"/>
    <n v="1"/>
  </r>
  <r>
    <s v="SHP-30260"/>
    <d v="2024-06-23T00:00:00"/>
    <s v="South"/>
    <s v="Bengaluru"/>
    <s v="Regional Hub"/>
    <s v="Standard"/>
    <s v="Routing"/>
    <s v="Low"/>
    <n v="5"/>
    <n v="8"/>
    <n v="3"/>
    <s v="Yes"/>
    <n v="336"/>
    <n v="3474"/>
    <n v="13569"/>
    <n v="0"/>
    <s v="No"/>
    <s v="Major"/>
    <n v="4523"/>
    <n v="1158"/>
    <n v="2024"/>
    <n v="6"/>
    <n v="1"/>
  </r>
  <r>
    <s v="SHP-30261"/>
    <d v="2024-12-15T00:00:00"/>
    <s v="South"/>
    <s v="Chennai"/>
    <s v="Regional Hub"/>
    <s v="Standard"/>
    <s v="Routing"/>
    <s v="Medium"/>
    <n v="1"/>
    <n v="6"/>
    <n v="5"/>
    <s v="Yes"/>
    <n v="370"/>
    <n v="11475"/>
    <n v="18185"/>
    <n v="0"/>
    <s v="No"/>
    <s v="Major"/>
    <n v="3637"/>
    <n v="2295"/>
    <n v="2024"/>
    <n v="12"/>
    <n v="1"/>
  </r>
  <r>
    <s v="SHP-30262"/>
    <d v="2024-09-08T00:00:00"/>
    <s v="North"/>
    <s v="Delhi"/>
    <s v="Regional Hub"/>
    <s v="Critical"/>
    <s v="Capacity"/>
    <s v="Low"/>
    <n v="2"/>
    <n v="5"/>
    <n v="3"/>
    <s v="Yes"/>
    <n v="321"/>
    <n v="5724"/>
    <n v="14559"/>
    <n v="0"/>
    <s v="No"/>
    <s v="Major"/>
    <n v="4853"/>
    <n v="1908"/>
    <n v="2024"/>
    <n v="9"/>
    <n v="1"/>
  </r>
  <r>
    <s v="SHP-30263"/>
    <d v="2024-02-23T00:00:00"/>
    <s v="East"/>
    <s v="Bhubaneswar"/>
    <s v="Regional Hub"/>
    <s v="Standard"/>
    <s v="Documentation"/>
    <s v="Medium"/>
    <n v="2"/>
    <n v="2"/>
    <n v="0"/>
    <s v="No"/>
    <n v="419"/>
    <n v="0"/>
    <n v="0"/>
    <n v="1"/>
    <s v="No"/>
    <s v="On Time"/>
    <n v="0"/>
    <n v="0"/>
    <n v="2024"/>
    <n v="2"/>
    <n v="0"/>
  </r>
  <r>
    <s v="SHP-30264"/>
    <d v="2024-03-23T00:00:00"/>
    <s v="North"/>
    <s v="Noida"/>
    <s v="Central Hub"/>
    <s v="Standard"/>
    <s v="Routing"/>
    <s v="Medium"/>
    <n v="2"/>
    <n v="3"/>
    <n v="1"/>
    <s v="Yes"/>
    <n v="375"/>
    <n v="1998"/>
    <n v="4787"/>
    <n v="0"/>
    <s v="No"/>
    <s v="Minor"/>
    <n v="4787"/>
    <n v="1998"/>
    <n v="2024"/>
    <n v="3"/>
    <n v="1"/>
  </r>
  <r>
    <s v="SHP-30265"/>
    <d v="2024-09-16T00:00:00"/>
    <s v="East"/>
    <s v="Kolkata"/>
    <s v="Central Hub"/>
    <s v="Standard"/>
    <s v="Routing"/>
    <s v="High"/>
    <n v="2"/>
    <n v="4"/>
    <n v="2"/>
    <s v="Yes"/>
    <n v="444"/>
    <n v="4000"/>
    <n v="7832"/>
    <n v="0"/>
    <s v="No"/>
    <s v="Minor"/>
    <n v="3916"/>
    <n v="2000"/>
    <n v="2024"/>
    <n v="9"/>
    <n v="1"/>
  </r>
  <r>
    <s v="SHP-30266"/>
    <d v="2024-08-05T00:00:00"/>
    <s v="South"/>
    <s v="Bengaluru"/>
    <s v="Local Hub"/>
    <s v="Express"/>
    <s v="Capacity"/>
    <s v="Medium"/>
    <n v="1"/>
    <n v="4"/>
    <n v="3"/>
    <s v="Yes"/>
    <n v="319"/>
    <n v="5673"/>
    <n v="14187"/>
    <n v="0"/>
    <s v="No"/>
    <s v="Major"/>
    <n v="4729"/>
    <n v="1891"/>
    <n v="2024"/>
    <n v="8"/>
    <n v="1"/>
  </r>
  <r>
    <s v="SHP-30267"/>
    <d v="2024-08-25T00:00:00"/>
    <s v="South"/>
    <s v="Bengaluru"/>
    <s v="Local Hub"/>
    <s v="Critical"/>
    <s v="Weather"/>
    <s v="Low"/>
    <n v="5"/>
    <n v="10"/>
    <n v="5"/>
    <s v="Yes"/>
    <n v="234"/>
    <n v="4865"/>
    <n v="23700"/>
    <n v="0"/>
    <s v="No"/>
    <s v="Major"/>
    <n v="4740"/>
    <n v="973"/>
    <n v="2024"/>
    <n v="8"/>
    <n v="1"/>
  </r>
  <r>
    <s v="SHP-30268"/>
    <d v="2024-03-17T00:00:00"/>
    <s v="South"/>
    <s v="Bengaluru"/>
    <s v="Local Hub"/>
    <s v="Standard"/>
    <s v="Routing"/>
    <s v="Low"/>
    <n v="2"/>
    <n v="4"/>
    <n v="2"/>
    <s v="Yes"/>
    <n v="491"/>
    <n v="3202"/>
    <n v="8922"/>
    <n v="0"/>
    <s v="No"/>
    <s v="Minor"/>
    <n v="4461"/>
    <n v="1601"/>
    <n v="2024"/>
    <n v="3"/>
    <n v="1"/>
  </r>
  <r>
    <s v="SHP-30269"/>
    <d v="2024-10-22T00:00:00"/>
    <s v="North"/>
    <s v="Delhi"/>
    <s v="Local Hub"/>
    <s v="Standard"/>
    <s v="Documentation"/>
    <s v="Medium"/>
    <n v="2"/>
    <n v="6"/>
    <n v="4"/>
    <s v="Yes"/>
    <n v="430"/>
    <n v="6780"/>
    <n v="17720"/>
    <n v="0"/>
    <s v="No"/>
    <s v="Major"/>
    <n v="4430"/>
    <n v="1695"/>
    <n v="2024"/>
    <n v="10"/>
    <n v="1"/>
  </r>
  <r>
    <s v="SHP-30270"/>
    <d v="2024-02-05T00:00:00"/>
    <s v="South"/>
    <s v="Bengaluru"/>
    <s v="Local Hub"/>
    <s v="Express"/>
    <s v="Documentation"/>
    <s v="Medium"/>
    <n v="5"/>
    <n v="10"/>
    <n v="5"/>
    <s v="Yes"/>
    <n v="306"/>
    <n v="11765"/>
    <n v="17740"/>
    <n v="0"/>
    <s v="No"/>
    <s v="Major"/>
    <n v="3548"/>
    <n v="2353"/>
    <n v="2024"/>
    <n v="2"/>
    <n v="1"/>
  </r>
  <r>
    <s v="SHP-30271"/>
    <d v="2024-08-09T00:00:00"/>
    <s v="West"/>
    <s v="Pune"/>
    <s v="Regional Hub"/>
    <s v="Express"/>
    <s v="Documentation"/>
    <s v="Low"/>
    <n v="1"/>
    <n v="5"/>
    <n v="4"/>
    <s v="Yes"/>
    <n v="490"/>
    <n v="6280"/>
    <n v="17452"/>
    <n v="0"/>
    <s v="No"/>
    <s v="Major"/>
    <n v="4363"/>
    <n v="1570"/>
    <n v="2024"/>
    <n v="8"/>
    <n v="1"/>
  </r>
  <r>
    <s v="SHP-30272"/>
    <d v="2024-05-31T00:00:00"/>
    <s v="North"/>
    <s v="Delhi"/>
    <s v="Local Hub"/>
    <s v="Express"/>
    <s v="Weather"/>
    <s v="Low"/>
    <n v="3"/>
    <n v="6"/>
    <n v="3"/>
    <s v="Yes"/>
    <n v="300"/>
    <n v="4926"/>
    <n v="10020"/>
    <n v="0"/>
    <s v="No"/>
    <s v="Major"/>
    <n v="3340"/>
    <n v="1642"/>
    <n v="2024"/>
    <n v="5"/>
    <n v="1"/>
  </r>
  <r>
    <s v="SHP-30273"/>
    <d v="2024-05-05T00:00:00"/>
    <s v="West"/>
    <s v="Mumbai"/>
    <s v="Central Hub"/>
    <s v="Express"/>
    <s v="Weather"/>
    <s v="High"/>
    <n v="1"/>
    <n v="5"/>
    <n v="4"/>
    <s v="Yes"/>
    <n v="66"/>
    <n v="7512"/>
    <n v="10048"/>
    <n v="0"/>
    <s v="No"/>
    <s v="Major"/>
    <n v="2512"/>
    <n v="1878"/>
    <n v="2024"/>
    <n v="5"/>
    <n v="1"/>
  </r>
  <r>
    <s v="SHP-30274"/>
    <d v="2024-08-04T00:00:00"/>
    <s v="North"/>
    <s v="Delhi"/>
    <s v="Regional Hub"/>
    <s v="Standard"/>
    <s v="System"/>
    <s v="Medium"/>
    <n v="5"/>
    <n v="8"/>
    <n v="3"/>
    <s v="Yes"/>
    <n v="422"/>
    <n v="4833"/>
    <n v="11862"/>
    <n v="0"/>
    <s v="No"/>
    <s v="Major"/>
    <n v="3954"/>
    <n v="1611"/>
    <n v="2024"/>
    <n v="8"/>
    <n v="1"/>
  </r>
  <r>
    <s v="SHP-30275"/>
    <d v="2024-05-21T00:00:00"/>
    <s v="East"/>
    <s v="Bhubaneswar"/>
    <s v="Local Hub"/>
    <s v="Critical"/>
    <s v="Capacity"/>
    <s v="High"/>
    <n v="2"/>
    <n v="11"/>
    <n v="9"/>
    <s v="Yes"/>
    <n v="118"/>
    <n v="15597"/>
    <n v="31185"/>
    <n v="0"/>
    <s v="No"/>
    <s v="Severe"/>
    <n v="3465"/>
    <n v="1733"/>
    <n v="2024"/>
    <n v="5"/>
    <n v="1"/>
  </r>
  <r>
    <s v="SHP-30276"/>
    <d v="2024-04-20T00:00:00"/>
    <s v="East"/>
    <s v="Bhubaneswar"/>
    <s v="Local Hub"/>
    <s v="Express"/>
    <s v="Capacity"/>
    <s v="Low"/>
    <n v="3"/>
    <n v="6"/>
    <n v="3"/>
    <s v="Yes"/>
    <n v="160"/>
    <n v="6270"/>
    <n v="13677"/>
    <n v="0"/>
    <s v="No"/>
    <s v="Major"/>
    <n v="4559"/>
    <n v="2090"/>
    <n v="2024"/>
    <n v="4"/>
    <n v="1"/>
  </r>
  <r>
    <s v="SHP-30277"/>
    <d v="2024-08-13T00:00:00"/>
    <s v="South"/>
    <s v="Bengaluru"/>
    <s v="Regional Hub"/>
    <s v="Standard"/>
    <s v="Capacity"/>
    <s v="Medium"/>
    <n v="2"/>
    <n v="6"/>
    <n v="4"/>
    <s v="Yes"/>
    <n v="389"/>
    <n v="7776"/>
    <n v="16256"/>
    <n v="0"/>
    <s v="No"/>
    <s v="Major"/>
    <n v="4064"/>
    <n v="1944"/>
    <n v="2024"/>
    <n v="8"/>
    <n v="1"/>
  </r>
  <r>
    <s v="SHP-30278"/>
    <d v="2024-01-04T00:00:00"/>
    <s v="West"/>
    <s v="Mumbai"/>
    <s v="Central Hub"/>
    <s v="Standard"/>
    <s v="Weather"/>
    <s v="Low"/>
    <n v="2"/>
    <n v="7"/>
    <n v="5"/>
    <s v="Yes"/>
    <n v="130"/>
    <n v="6670"/>
    <n v="14580"/>
    <n v="0"/>
    <s v="No"/>
    <s v="Major"/>
    <n v="2916"/>
    <n v="1334"/>
    <n v="2024"/>
    <n v="1"/>
    <n v="1"/>
  </r>
  <r>
    <s v="SHP-30279"/>
    <d v="2024-11-06T00:00:00"/>
    <s v="North"/>
    <s v="Delhi"/>
    <s v="Central Hub"/>
    <s v="Standard"/>
    <s v="Documentation"/>
    <s v="Low"/>
    <n v="1"/>
    <n v="3"/>
    <n v="2"/>
    <s v="Yes"/>
    <n v="254"/>
    <n v="4850"/>
    <n v="8492"/>
    <n v="0"/>
    <s v="No"/>
    <s v="Minor"/>
    <n v="4246"/>
    <n v="2425"/>
    <n v="2024"/>
    <n v="11"/>
    <n v="1"/>
  </r>
  <r>
    <s v="SHP-30280"/>
    <d v="2024-06-27T00:00:00"/>
    <s v="South"/>
    <s v="Bengaluru"/>
    <s v="Central Hub"/>
    <s v="Standard"/>
    <s v="Capacity"/>
    <s v="Low"/>
    <n v="2"/>
    <n v="6"/>
    <n v="4"/>
    <s v="Yes"/>
    <n v="384"/>
    <n v="5128"/>
    <n v="19632"/>
    <n v="0"/>
    <s v="No"/>
    <s v="Major"/>
    <n v="4908"/>
    <n v="1282"/>
    <n v="2024"/>
    <n v="6"/>
    <n v="1"/>
  </r>
  <r>
    <s v="SHP-30281"/>
    <d v="2024-09-26T00:00:00"/>
    <s v="South"/>
    <s v="Bengaluru"/>
    <s v="Local Hub"/>
    <s v="Standard"/>
    <s v="Documentation"/>
    <s v="Medium"/>
    <n v="5"/>
    <n v="6"/>
    <n v="1"/>
    <s v="Yes"/>
    <n v="79"/>
    <n v="924"/>
    <n v="3725"/>
    <n v="0"/>
    <s v="No"/>
    <s v="Minor"/>
    <n v="3725"/>
    <n v="924"/>
    <n v="2024"/>
    <n v="9"/>
    <n v="1"/>
  </r>
  <r>
    <s v="SHP-30282"/>
    <d v="2024-01-21T00:00:00"/>
    <s v="East"/>
    <s v="Bhubaneswar"/>
    <s v="Local Hub"/>
    <s v="Standard"/>
    <s v="Capacity"/>
    <s v="Low"/>
    <n v="1"/>
    <n v="5"/>
    <n v="4"/>
    <s v="Yes"/>
    <n v="441"/>
    <n v="4208"/>
    <n v="7248"/>
    <n v="0"/>
    <s v="No"/>
    <s v="Major"/>
    <n v="1812"/>
    <n v="1052"/>
    <n v="2024"/>
    <n v="1"/>
    <n v="1"/>
  </r>
  <r>
    <s v="SHP-30283"/>
    <d v="2024-02-21T00:00:00"/>
    <s v="North"/>
    <s v="Noida"/>
    <s v="Regional Hub"/>
    <s v="Standard"/>
    <s v="Routing"/>
    <s v="Medium"/>
    <n v="3"/>
    <n v="8"/>
    <n v="5"/>
    <s v="Yes"/>
    <n v="218"/>
    <n v="6590"/>
    <n v="10940"/>
    <n v="0"/>
    <s v="No"/>
    <s v="Major"/>
    <n v="2188"/>
    <n v="1318"/>
    <n v="2024"/>
    <n v="2"/>
    <n v="1"/>
  </r>
  <r>
    <s v="SHP-30284"/>
    <d v="2024-09-16T00:00:00"/>
    <s v="North"/>
    <s v="Noida"/>
    <s v="Local Hub"/>
    <s v="Express"/>
    <s v="Weather"/>
    <s v="Medium"/>
    <n v="3"/>
    <n v="7"/>
    <n v="4"/>
    <s v="Yes"/>
    <n v="59"/>
    <n v="5096"/>
    <n v="11300"/>
    <n v="0"/>
    <s v="No"/>
    <s v="Major"/>
    <n v="2825"/>
    <n v="1274"/>
    <n v="2024"/>
    <n v="9"/>
    <n v="1"/>
  </r>
  <r>
    <s v="SHP-30285"/>
    <d v="2024-06-08T00:00:00"/>
    <s v="North"/>
    <s v="Delhi"/>
    <s v="Local Hub"/>
    <s v="Standard"/>
    <s v="Routing"/>
    <s v="Medium"/>
    <n v="3"/>
    <n v="3"/>
    <n v="0"/>
    <s v="No"/>
    <n v="265"/>
    <n v="0"/>
    <n v="0"/>
    <n v="1"/>
    <s v="No"/>
    <s v="On Time"/>
    <n v="0"/>
    <n v="0"/>
    <n v="2024"/>
    <n v="6"/>
    <n v="0"/>
  </r>
  <r>
    <s v="SHP-30286"/>
    <d v="2024-03-08T00:00:00"/>
    <s v="South"/>
    <s v="Bengaluru"/>
    <s v="Central Hub"/>
    <s v="Standard"/>
    <s v="Routing"/>
    <s v="Medium"/>
    <n v="1"/>
    <n v="2"/>
    <n v="1"/>
    <s v="Yes"/>
    <n v="288"/>
    <n v="1132"/>
    <n v="3904"/>
    <n v="0"/>
    <s v="No"/>
    <s v="Minor"/>
    <n v="3904"/>
    <n v="1132"/>
    <n v="2024"/>
    <n v="3"/>
    <n v="1"/>
  </r>
  <r>
    <s v="SHP-30287"/>
    <d v="2024-08-15T00:00:00"/>
    <s v="South"/>
    <s v="Chennai"/>
    <s v="Central Hub"/>
    <s v="Standard"/>
    <s v="Routing"/>
    <s v="Medium"/>
    <n v="1"/>
    <n v="6"/>
    <n v="5"/>
    <s v="Yes"/>
    <n v="387"/>
    <n v="4165"/>
    <n v="11745"/>
    <n v="0"/>
    <s v="No"/>
    <s v="Major"/>
    <n v="2349"/>
    <n v="833"/>
    <n v="2024"/>
    <n v="8"/>
    <n v="1"/>
  </r>
  <r>
    <s v="SHP-30288"/>
    <d v="2024-12-06T00:00:00"/>
    <s v="West"/>
    <s v="Mumbai"/>
    <s v="Regional Hub"/>
    <s v="Express"/>
    <s v="Documentation"/>
    <s v="Medium"/>
    <n v="3"/>
    <n v="8"/>
    <n v="5"/>
    <s v="Yes"/>
    <n v="257"/>
    <n v="12125"/>
    <n v="18180"/>
    <n v="0"/>
    <s v="No"/>
    <s v="Major"/>
    <n v="3636"/>
    <n v="2425"/>
    <n v="2024"/>
    <n v="12"/>
    <n v="1"/>
  </r>
  <r>
    <s v="SHP-30289"/>
    <d v="2024-08-31T00:00:00"/>
    <s v="North"/>
    <s v="Delhi"/>
    <s v="Regional Hub"/>
    <s v="Express"/>
    <s v="Documentation"/>
    <s v="Low"/>
    <n v="3"/>
    <n v="4"/>
    <n v="1"/>
    <s v="Yes"/>
    <n v="439"/>
    <n v="2282"/>
    <n v="2329"/>
    <n v="0"/>
    <s v="No"/>
    <s v="Minor"/>
    <n v="2329"/>
    <n v="2282"/>
    <n v="2024"/>
    <n v="8"/>
    <n v="1"/>
  </r>
  <r>
    <s v="SHP-30290"/>
    <d v="2024-10-12T00:00:00"/>
    <s v="East"/>
    <s v="Bhubaneswar"/>
    <s v="Regional Hub"/>
    <s v="Standard"/>
    <s v="Routing"/>
    <s v="Low"/>
    <n v="2"/>
    <n v="7"/>
    <n v="5"/>
    <s v="Yes"/>
    <n v="375"/>
    <n v="5770"/>
    <n v="8660"/>
    <n v="0"/>
    <s v="No"/>
    <s v="Major"/>
    <n v="1732"/>
    <n v="1154"/>
    <n v="2024"/>
    <n v="10"/>
    <n v="1"/>
  </r>
  <r>
    <s v="SHP-30291"/>
    <d v="2024-10-14T00:00:00"/>
    <s v="West"/>
    <s v="Pune"/>
    <s v="Central Hub"/>
    <s v="Standard"/>
    <s v="Weather"/>
    <s v="Medium"/>
    <n v="5"/>
    <n v="9"/>
    <n v="4"/>
    <s v="Yes"/>
    <n v="299"/>
    <n v="9260"/>
    <n v="19016"/>
    <n v="0"/>
    <s v="No"/>
    <s v="Major"/>
    <n v="4754"/>
    <n v="2315"/>
    <n v="2024"/>
    <n v="10"/>
    <n v="1"/>
  </r>
  <r>
    <s v="SHP-30292"/>
    <d v="2024-09-26T00:00:00"/>
    <s v="East"/>
    <s v="Bhubaneswar"/>
    <s v="Regional Hub"/>
    <s v="Critical"/>
    <s v="Capacity"/>
    <s v="Low"/>
    <n v="1"/>
    <n v="2"/>
    <n v="1"/>
    <s v="Yes"/>
    <n v="186"/>
    <n v="1399"/>
    <n v="3271"/>
    <n v="0"/>
    <s v="No"/>
    <s v="Minor"/>
    <n v="3271"/>
    <n v="1399"/>
    <n v="2024"/>
    <n v="9"/>
    <n v="1"/>
  </r>
  <r>
    <s v="SHP-30293"/>
    <d v="2024-06-13T00:00:00"/>
    <s v="North"/>
    <s v="Delhi"/>
    <s v="Central Hub"/>
    <s v="Standard"/>
    <s v="Capacity"/>
    <s v="High"/>
    <n v="1"/>
    <n v="4"/>
    <n v="3"/>
    <s v="Yes"/>
    <n v="415"/>
    <n v="7212"/>
    <n v="7095"/>
    <n v="0"/>
    <s v="No"/>
    <s v="Major"/>
    <n v="2365"/>
    <n v="2404"/>
    <n v="2024"/>
    <n v="6"/>
    <n v="1"/>
  </r>
  <r>
    <s v="SHP-30294"/>
    <d v="2024-06-14T00:00:00"/>
    <s v="West"/>
    <s v="Pune"/>
    <s v="Regional Hub"/>
    <s v="Express"/>
    <s v="Weather"/>
    <s v="Medium"/>
    <n v="3"/>
    <n v="5"/>
    <n v="2"/>
    <s v="Yes"/>
    <n v="119"/>
    <n v="3348"/>
    <n v="3582"/>
    <n v="0"/>
    <s v="No"/>
    <s v="Minor"/>
    <n v="1791"/>
    <n v="1674"/>
    <n v="2024"/>
    <n v="6"/>
    <n v="1"/>
  </r>
  <r>
    <s v="SHP-30295"/>
    <d v="2024-11-10T00:00:00"/>
    <s v="West"/>
    <s v="Mumbai"/>
    <s v="Regional Hub"/>
    <s v="Critical"/>
    <s v="Weather"/>
    <s v="High"/>
    <n v="2"/>
    <n v="7"/>
    <n v="5"/>
    <s v="Yes"/>
    <n v="304"/>
    <n v="7540"/>
    <n v="22180"/>
    <n v="0"/>
    <s v="No"/>
    <s v="Major"/>
    <n v="4436"/>
    <n v="1508"/>
    <n v="2024"/>
    <n v="11"/>
    <n v="1"/>
  </r>
  <r>
    <s v="SHP-30296"/>
    <d v="2024-05-29T00:00:00"/>
    <s v="West"/>
    <s v="Mumbai"/>
    <s v="Regional Hub"/>
    <s v="Standard"/>
    <s v="Routing"/>
    <s v="High"/>
    <n v="1"/>
    <n v="6"/>
    <n v="5"/>
    <s v="Yes"/>
    <n v="168"/>
    <n v="10945"/>
    <n v="10695"/>
    <n v="0"/>
    <s v="No"/>
    <s v="Major"/>
    <n v="2139"/>
    <n v="2189"/>
    <n v="2024"/>
    <n v="5"/>
    <n v="1"/>
  </r>
  <r>
    <s v="SHP-30297"/>
    <d v="2024-08-07T00:00:00"/>
    <s v="South"/>
    <s v="Bengaluru"/>
    <s v="Regional Hub"/>
    <s v="Express"/>
    <s v="System"/>
    <s v="Medium"/>
    <n v="3"/>
    <n v="8"/>
    <n v="5"/>
    <s v="Yes"/>
    <n v="113"/>
    <n v="4030"/>
    <n v="22605"/>
    <n v="0"/>
    <s v="No"/>
    <s v="Major"/>
    <n v="4521"/>
    <n v="806"/>
    <n v="2024"/>
    <n v="8"/>
    <n v="1"/>
  </r>
  <r>
    <s v="SHP-30298"/>
    <d v="2024-12-18T00:00:00"/>
    <s v="South"/>
    <s v="Chennai"/>
    <s v="Local Hub"/>
    <s v="Standard"/>
    <s v="System"/>
    <s v="Low"/>
    <n v="3"/>
    <n v="3"/>
    <n v="0"/>
    <s v="No"/>
    <n v="301"/>
    <n v="0"/>
    <n v="0"/>
    <n v="1"/>
    <s v="No"/>
    <s v="On Time"/>
    <n v="0"/>
    <n v="0"/>
    <n v="2024"/>
    <n v="12"/>
    <n v="0"/>
  </r>
  <r>
    <s v="SHP-30299"/>
    <d v="2024-08-14T00:00:00"/>
    <s v="East"/>
    <s v="Bhubaneswar"/>
    <s v="Regional Hub"/>
    <s v="Standard"/>
    <s v="Documentation"/>
    <s v="Low"/>
    <n v="1"/>
    <n v="1"/>
    <n v="0"/>
    <s v="No"/>
    <n v="116"/>
    <n v="0"/>
    <n v="0"/>
    <n v="1"/>
    <s v="No"/>
    <s v="On Time"/>
    <n v="0"/>
    <n v="0"/>
    <n v="2024"/>
    <n v="8"/>
    <n v="0"/>
  </r>
  <r>
    <s v="SHP-30300"/>
    <d v="2024-04-03T00:00:00"/>
    <s v="South"/>
    <s v="Bengaluru"/>
    <s v="Central Hub"/>
    <s v="Standard"/>
    <s v="Routing"/>
    <s v="Low"/>
    <n v="2"/>
    <n v="4"/>
    <n v="2"/>
    <s v="Yes"/>
    <n v="178"/>
    <n v="2992"/>
    <n v="8758"/>
    <n v="0"/>
    <s v="No"/>
    <s v="Minor"/>
    <n v="4379"/>
    <n v="1496"/>
    <n v="2024"/>
    <n v="4"/>
    <n v="1"/>
  </r>
  <r>
    <s v="SHP-30301"/>
    <d v="2024-08-30T00:00:00"/>
    <s v="South"/>
    <s v="Bengaluru"/>
    <s v="Local Hub"/>
    <s v="Standard"/>
    <s v="Documentation"/>
    <s v="High"/>
    <n v="2"/>
    <n v="10"/>
    <n v="8"/>
    <s v="Yes"/>
    <n v="175"/>
    <n v="11720"/>
    <n v="21648"/>
    <n v="0"/>
    <s v="No"/>
    <s v="Severe"/>
    <n v="2706"/>
    <n v="1465"/>
    <n v="2024"/>
    <n v="8"/>
    <n v="1"/>
  </r>
  <r>
    <s v="SHP-30302"/>
    <d v="2024-09-07T00:00:00"/>
    <s v="South"/>
    <s v="Chennai"/>
    <s v="Regional Hub"/>
    <s v="Standard"/>
    <s v="Documentation"/>
    <s v="Medium"/>
    <n v="3"/>
    <n v="3"/>
    <n v="0"/>
    <s v="No"/>
    <n v="161"/>
    <n v="0"/>
    <n v="0"/>
    <n v="1"/>
    <s v="No"/>
    <s v="On Time"/>
    <n v="0"/>
    <n v="0"/>
    <n v="2024"/>
    <n v="9"/>
    <n v="0"/>
  </r>
  <r>
    <s v="SHP-30303"/>
    <d v="2024-05-26T00:00:00"/>
    <s v="North"/>
    <s v="Delhi"/>
    <s v="Local Hub"/>
    <s v="Standard"/>
    <s v="Capacity"/>
    <s v="Low"/>
    <n v="3"/>
    <n v="7"/>
    <n v="4"/>
    <s v="Yes"/>
    <n v="464"/>
    <n v="6740"/>
    <n v="17620"/>
    <n v="0"/>
    <s v="No"/>
    <s v="Major"/>
    <n v="4405"/>
    <n v="1685"/>
    <n v="2024"/>
    <n v="5"/>
    <n v="1"/>
  </r>
  <r>
    <s v="SHP-30304"/>
    <d v="2024-02-18T00:00:00"/>
    <s v="East"/>
    <s v="Bhubaneswar"/>
    <s v="Central Hub"/>
    <s v="Standard"/>
    <s v="Routing"/>
    <s v="High"/>
    <n v="3"/>
    <n v="6"/>
    <n v="3"/>
    <s v="Yes"/>
    <n v="130"/>
    <n v="3069"/>
    <n v="13587"/>
    <n v="0"/>
    <s v="No"/>
    <s v="Major"/>
    <n v="4529"/>
    <n v="1023"/>
    <n v="2024"/>
    <n v="2"/>
    <n v="1"/>
  </r>
  <r>
    <s v="SHP-30305"/>
    <d v="2024-08-16T00:00:00"/>
    <s v="North"/>
    <s v="Delhi"/>
    <s v="Central Hub"/>
    <s v="Standard"/>
    <s v="Documentation"/>
    <s v="Low"/>
    <n v="1"/>
    <n v="5"/>
    <n v="4"/>
    <s v="Yes"/>
    <n v="471"/>
    <n v="5840"/>
    <n v="7120"/>
    <n v="0"/>
    <s v="No"/>
    <s v="Major"/>
    <n v="1780"/>
    <n v="1460"/>
    <n v="2024"/>
    <n v="8"/>
    <n v="1"/>
  </r>
  <r>
    <s v="SHP-30306"/>
    <d v="2024-09-20T00:00:00"/>
    <s v="South"/>
    <s v="Chennai"/>
    <s v="Regional Hub"/>
    <s v="Standard"/>
    <s v="Weather"/>
    <s v="High"/>
    <n v="2"/>
    <n v="10"/>
    <n v="8"/>
    <s v="Yes"/>
    <n v="287"/>
    <n v="7216"/>
    <n v="23760"/>
    <n v="0"/>
    <s v="No"/>
    <s v="Severe"/>
    <n v="2970"/>
    <n v="902"/>
    <n v="2024"/>
    <n v="9"/>
    <n v="1"/>
  </r>
  <r>
    <s v="SHP-30307"/>
    <d v="2024-07-21T00:00:00"/>
    <s v="South"/>
    <s v="Bengaluru"/>
    <s v="Regional Hub"/>
    <s v="Express"/>
    <s v="System"/>
    <s v="Low"/>
    <n v="3"/>
    <n v="4"/>
    <n v="1"/>
    <s v="Yes"/>
    <n v="468"/>
    <n v="871"/>
    <n v="1853"/>
    <n v="0"/>
    <s v="No"/>
    <s v="Minor"/>
    <n v="1853"/>
    <n v="871"/>
    <n v="2024"/>
    <n v="7"/>
    <n v="1"/>
  </r>
  <r>
    <s v="SHP-30308"/>
    <d v="2024-11-17T00:00:00"/>
    <s v="West"/>
    <s v="Mumbai"/>
    <s v="Central Hub"/>
    <s v="Standard"/>
    <s v="Weather"/>
    <s v="Low"/>
    <n v="3"/>
    <n v="6"/>
    <n v="3"/>
    <s v="Yes"/>
    <n v="226"/>
    <n v="7239"/>
    <n v="7374"/>
    <n v="0"/>
    <s v="No"/>
    <s v="Major"/>
    <n v="2458"/>
    <n v="2413"/>
    <n v="2024"/>
    <n v="11"/>
    <n v="1"/>
  </r>
  <r>
    <s v="SHP-30309"/>
    <d v="2024-12-05T00:00:00"/>
    <s v="West"/>
    <s v="Pune"/>
    <s v="Regional Hub"/>
    <s v="Express"/>
    <s v="Documentation"/>
    <s v="Low"/>
    <n v="3"/>
    <n v="5"/>
    <n v="2"/>
    <s v="Yes"/>
    <n v="414"/>
    <n v="1776"/>
    <n v="9512"/>
    <n v="0"/>
    <s v="No"/>
    <s v="Minor"/>
    <n v="4756"/>
    <n v="888"/>
    <n v="2024"/>
    <n v="12"/>
    <n v="1"/>
  </r>
  <r>
    <s v="SHP-30310"/>
    <d v="2024-01-10T00:00:00"/>
    <s v="East"/>
    <s v="Kolkata"/>
    <s v="Local Hub"/>
    <s v="Express"/>
    <s v="Routing"/>
    <s v="Low"/>
    <n v="2"/>
    <n v="7"/>
    <n v="5"/>
    <s v="Yes"/>
    <n v="489"/>
    <n v="7560"/>
    <n v="15390"/>
    <n v="0"/>
    <s v="No"/>
    <s v="Major"/>
    <n v="3078"/>
    <n v="1512"/>
    <n v="2024"/>
    <n v="1"/>
    <n v="1"/>
  </r>
  <r>
    <s v="SHP-30311"/>
    <d v="2024-08-12T00:00:00"/>
    <s v="East"/>
    <s v="Kolkata"/>
    <s v="Central Hub"/>
    <s v="Critical"/>
    <s v="Weather"/>
    <s v="Medium"/>
    <n v="1"/>
    <n v="5"/>
    <n v="4"/>
    <s v="Yes"/>
    <n v="376"/>
    <n v="5260"/>
    <n v="18880"/>
    <n v="0"/>
    <s v="No"/>
    <s v="Major"/>
    <n v="4720"/>
    <n v="1315"/>
    <n v="2024"/>
    <n v="8"/>
    <n v="1"/>
  </r>
  <r>
    <s v="SHP-30312"/>
    <d v="2024-11-26T00:00:00"/>
    <s v="South"/>
    <s v="Bengaluru"/>
    <s v="Local Hub"/>
    <s v="Critical"/>
    <s v="Documentation"/>
    <s v="Low"/>
    <n v="3"/>
    <n v="4"/>
    <n v="1"/>
    <s v="Yes"/>
    <n v="374"/>
    <n v="1365"/>
    <n v="4016"/>
    <n v="0"/>
    <s v="No"/>
    <s v="Minor"/>
    <n v="4016"/>
    <n v="1365"/>
    <n v="2024"/>
    <n v="11"/>
    <n v="1"/>
  </r>
  <r>
    <s v="SHP-30313"/>
    <d v="2024-02-04T00:00:00"/>
    <s v="East"/>
    <s v="Bhubaneswar"/>
    <s v="Local Hub"/>
    <s v="Critical"/>
    <s v="System"/>
    <s v="Medium"/>
    <n v="3"/>
    <n v="5"/>
    <n v="2"/>
    <s v="Yes"/>
    <n v="282"/>
    <n v="2798"/>
    <n v="4722"/>
    <n v="0"/>
    <s v="No"/>
    <s v="Minor"/>
    <n v="2361"/>
    <n v="1399"/>
    <n v="2024"/>
    <n v="2"/>
    <n v="1"/>
  </r>
  <r>
    <s v="SHP-30314"/>
    <d v="2024-09-20T00:00:00"/>
    <s v="West"/>
    <s v="Pune"/>
    <s v="Central Hub"/>
    <s v="Standard"/>
    <s v="Capacity"/>
    <s v="Medium"/>
    <n v="2"/>
    <n v="7"/>
    <n v="5"/>
    <s v="Yes"/>
    <n v="109"/>
    <n v="8845"/>
    <n v="18525"/>
    <n v="0"/>
    <s v="No"/>
    <s v="Major"/>
    <n v="3705"/>
    <n v="1769"/>
    <n v="2024"/>
    <n v="9"/>
    <n v="1"/>
  </r>
  <r>
    <s v="SHP-30315"/>
    <d v="2024-08-26T00:00:00"/>
    <s v="North"/>
    <s v="Delhi"/>
    <s v="Regional Hub"/>
    <s v="Express"/>
    <s v="Weather"/>
    <s v="Medium"/>
    <n v="2"/>
    <n v="2"/>
    <n v="0"/>
    <s v="No"/>
    <n v="296"/>
    <n v="0"/>
    <n v="0"/>
    <n v="1"/>
    <s v="No"/>
    <s v="On Time"/>
    <n v="0"/>
    <n v="0"/>
    <n v="2024"/>
    <n v="8"/>
    <n v="0"/>
  </r>
  <r>
    <s v="SHP-30316"/>
    <d v="2024-12-22T00:00:00"/>
    <s v="East"/>
    <s v="Kolkata"/>
    <s v="Central Hub"/>
    <s v="Express"/>
    <s v="System"/>
    <s v="Medium"/>
    <n v="1"/>
    <n v="4"/>
    <n v="3"/>
    <s v="Yes"/>
    <n v="396"/>
    <n v="2805"/>
    <n v="6600"/>
    <n v="0"/>
    <s v="No"/>
    <s v="Major"/>
    <n v="2200"/>
    <n v="935"/>
    <n v="2024"/>
    <n v="12"/>
    <n v="1"/>
  </r>
  <r>
    <s v="SHP-30317"/>
    <d v="2024-12-03T00:00:00"/>
    <s v="South"/>
    <s v="Bengaluru"/>
    <s v="Regional Hub"/>
    <s v="Express"/>
    <s v="System"/>
    <s v="Medium"/>
    <n v="2"/>
    <n v="5"/>
    <n v="3"/>
    <s v="Yes"/>
    <n v="346"/>
    <n v="7056"/>
    <n v="10899"/>
    <n v="0"/>
    <s v="No"/>
    <s v="Major"/>
    <n v="3633"/>
    <n v="2352"/>
    <n v="2024"/>
    <n v="12"/>
    <n v="1"/>
  </r>
  <r>
    <s v="SHP-30318"/>
    <d v="2024-06-02T00:00:00"/>
    <s v="South"/>
    <s v="Chennai"/>
    <s v="Local Hub"/>
    <s v="Standard"/>
    <s v="Routing"/>
    <s v="High"/>
    <n v="2"/>
    <n v="5"/>
    <n v="3"/>
    <s v="Yes"/>
    <n v="150"/>
    <n v="7476"/>
    <n v="10917"/>
    <n v="0"/>
    <s v="No"/>
    <s v="Major"/>
    <n v="3639"/>
    <n v="2492"/>
    <n v="2024"/>
    <n v="6"/>
    <n v="1"/>
  </r>
  <r>
    <s v="SHP-30319"/>
    <d v="2024-04-01T00:00:00"/>
    <s v="South"/>
    <s v="Chennai"/>
    <s v="Regional Hub"/>
    <s v="Express"/>
    <s v="System"/>
    <s v="Medium"/>
    <n v="1"/>
    <n v="5"/>
    <n v="4"/>
    <s v="Yes"/>
    <n v="417"/>
    <n v="3872"/>
    <n v="15156"/>
    <n v="0"/>
    <s v="No"/>
    <s v="Major"/>
    <n v="3789"/>
    <n v="968"/>
    <n v="2024"/>
    <n v="4"/>
    <n v="1"/>
  </r>
  <r>
    <s v="SHP-30320"/>
    <d v="2024-03-11T00:00:00"/>
    <s v="East"/>
    <s v="Bhubaneswar"/>
    <s v="Local Hub"/>
    <s v="Express"/>
    <s v="Documentation"/>
    <s v="Low"/>
    <n v="1"/>
    <n v="5"/>
    <n v="4"/>
    <s v="Yes"/>
    <n v="471"/>
    <n v="3828"/>
    <n v="11844"/>
    <n v="0"/>
    <s v="No"/>
    <s v="Major"/>
    <n v="2961"/>
    <n v="957"/>
    <n v="2024"/>
    <n v="3"/>
    <n v="1"/>
  </r>
  <r>
    <s v="SHP-30321"/>
    <d v="2024-04-04T00:00:00"/>
    <s v="South"/>
    <s v="Bengaluru"/>
    <s v="Local Hub"/>
    <s v="Standard"/>
    <s v="Routing"/>
    <s v="Low"/>
    <n v="1"/>
    <n v="3"/>
    <n v="2"/>
    <s v="Yes"/>
    <n v="382"/>
    <n v="2184"/>
    <n v="3530"/>
    <n v="0"/>
    <s v="No"/>
    <s v="Minor"/>
    <n v="1765"/>
    <n v="1092"/>
    <n v="2024"/>
    <n v="4"/>
    <n v="1"/>
  </r>
  <r>
    <s v="SHP-30322"/>
    <d v="2024-12-22T00:00:00"/>
    <s v="North"/>
    <s v="Delhi"/>
    <s v="Local Hub"/>
    <s v="Express"/>
    <s v="System"/>
    <s v="High"/>
    <n v="1"/>
    <n v="5"/>
    <n v="4"/>
    <s v="Yes"/>
    <n v="368"/>
    <n v="6756"/>
    <n v="12036"/>
    <n v="0"/>
    <s v="No"/>
    <s v="Major"/>
    <n v="3009"/>
    <n v="1689"/>
    <n v="2024"/>
    <n v="12"/>
    <n v="1"/>
  </r>
  <r>
    <s v="SHP-30323"/>
    <d v="2024-09-18T00:00:00"/>
    <s v="North"/>
    <s v="Noida"/>
    <s v="Local Hub"/>
    <s v="Standard"/>
    <s v="Weather"/>
    <s v="Low"/>
    <n v="1"/>
    <n v="5"/>
    <n v="4"/>
    <s v="Yes"/>
    <n v="397"/>
    <n v="6580"/>
    <n v="10976"/>
    <n v="0"/>
    <s v="No"/>
    <s v="Major"/>
    <n v="2744"/>
    <n v="1645"/>
    <n v="2024"/>
    <n v="9"/>
    <n v="1"/>
  </r>
  <r>
    <s v="SHP-30324"/>
    <d v="2024-06-15T00:00:00"/>
    <s v="North"/>
    <s v="Noida"/>
    <s v="Central Hub"/>
    <s v="Standard"/>
    <s v="Capacity"/>
    <s v="Low"/>
    <n v="1"/>
    <n v="1"/>
    <n v="0"/>
    <s v="No"/>
    <n v="401"/>
    <n v="0"/>
    <n v="0"/>
    <n v="1"/>
    <s v="No"/>
    <s v="On Time"/>
    <n v="0"/>
    <n v="0"/>
    <n v="2024"/>
    <n v="6"/>
    <n v="0"/>
  </r>
  <r>
    <s v="SHP-30325"/>
    <d v="2024-08-23T00:00:00"/>
    <s v="North"/>
    <s v="Noida"/>
    <s v="Central Hub"/>
    <s v="Express"/>
    <s v="Weather"/>
    <s v="Low"/>
    <n v="2"/>
    <n v="6"/>
    <n v="4"/>
    <s v="Yes"/>
    <n v="258"/>
    <n v="4576"/>
    <n v="10292"/>
    <n v="0"/>
    <s v="No"/>
    <s v="Major"/>
    <n v="2573"/>
    <n v="1144"/>
    <n v="2024"/>
    <n v="8"/>
    <n v="1"/>
  </r>
  <r>
    <s v="SHP-30326"/>
    <d v="2024-06-03T00:00:00"/>
    <s v="South"/>
    <s v="Chennai"/>
    <s v="Central Hub"/>
    <s v="Standard"/>
    <s v="Documentation"/>
    <s v="High"/>
    <n v="1"/>
    <n v="6"/>
    <n v="5"/>
    <s v="Yes"/>
    <n v="487"/>
    <n v="7790"/>
    <n v="23505"/>
    <n v="0"/>
    <s v="No"/>
    <s v="Major"/>
    <n v="4701"/>
    <n v="1558"/>
    <n v="2024"/>
    <n v="6"/>
    <n v="1"/>
  </r>
  <r>
    <s v="SHP-30327"/>
    <d v="2024-10-24T00:00:00"/>
    <s v="West"/>
    <s v="Mumbai"/>
    <s v="Regional Hub"/>
    <s v="Standard"/>
    <s v="Documentation"/>
    <s v="Medium"/>
    <n v="2"/>
    <n v="4"/>
    <n v="2"/>
    <s v="Yes"/>
    <n v="271"/>
    <n v="2072"/>
    <n v="4070"/>
    <n v="0"/>
    <s v="No"/>
    <s v="Minor"/>
    <n v="2035"/>
    <n v="1036"/>
    <n v="2024"/>
    <n v="10"/>
    <n v="1"/>
  </r>
  <r>
    <s v="SHP-30328"/>
    <d v="2024-12-23T00:00:00"/>
    <s v="South"/>
    <s v="Bengaluru"/>
    <s v="Regional Hub"/>
    <s v="Standard"/>
    <s v="System"/>
    <s v="Low"/>
    <n v="1"/>
    <n v="2"/>
    <n v="1"/>
    <s v="Yes"/>
    <n v="217"/>
    <n v="1314"/>
    <n v="2515"/>
    <n v="0"/>
    <s v="No"/>
    <s v="Minor"/>
    <n v="2515"/>
    <n v="1314"/>
    <n v="2024"/>
    <n v="12"/>
    <n v="1"/>
  </r>
  <r>
    <s v="SHP-30329"/>
    <d v="2024-03-14T00:00:00"/>
    <s v="North"/>
    <s v="Noida"/>
    <s v="Central Hub"/>
    <s v="Express"/>
    <s v="System"/>
    <s v="Medium"/>
    <n v="2"/>
    <n v="5"/>
    <n v="3"/>
    <s v="Yes"/>
    <n v="421"/>
    <n v="5490"/>
    <n v="12792"/>
    <n v="0"/>
    <s v="No"/>
    <s v="Major"/>
    <n v="4264"/>
    <n v="1830"/>
    <n v="2024"/>
    <n v="3"/>
    <n v="1"/>
  </r>
  <r>
    <s v="SHP-30330"/>
    <d v="2024-11-10T00:00:00"/>
    <s v="East"/>
    <s v="Kolkata"/>
    <s v="Central Hub"/>
    <s v="Standard"/>
    <s v="Capacity"/>
    <s v="High"/>
    <n v="3"/>
    <n v="8"/>
    <n v="5"/>
    <s v="Yes"/>
    <n v="353"/>
    <n v="12130"/>
    <n v="8290"/>
    <n v="0"/>
    <s v="No"/>
    <s v="Major"/>
    <n v="1658"/>
    <n v="2426"/>
    <n v="2024"/>
    <n v="11"/>
    <n v="1"/>
  </r>
  <r>
    <s v="SHP-30331"/>
    <d v="2024-05-30T00:00:00"/>
    <s v="North"/>
    <s v="Delhi"/>
    <s v="Central Hub"/>
    <s v="Express"/>
    <s v="Weather"/>
    <s v="Low"/>
    <n v="3"/>
    <n v="7"/>
    <n v="4"/>
    <s v="Yes"/>
    <n v="477"/>
    <n v="7044"/>
    <n v="6320"/>
    <n v="0"/>
    <s v="No"/>
    <s v="Major"/>
    <n v="1580"/>
    <n v="1761"/>
    <n v="2024"/>
    <n v="5"/>
    <n v="1"/>
  </r>
  <r>
    <s v="SHP-30332"/>
    <d v="2024-06-14T00:00:00"/>
    <s v="North"/>
    <s v="Noida"/>
    <s v="Regional Hub"/>
    <s v="Critical"/>
    <s v="Documentation"/>
    <s v="Medium"/>
    <n v="1"/>
    <n v="4"/>
    <n v="3"/>
    <s v="Yes"/>
    <n v="167"/>
    <n v="4791"/>
    <n v="5874"/>
    <n v="0"/>
    <s v="No"/>
    <s v="Major"/>
    <n v="1958"/>
    <n v="1597"/>
    <n v="2024"/>
    <n v="6"/>
    <n v="1"/>
  </r>
  <r>
    <s v="SHP-30333"/>
    <d v="2024-06-02T00:00:00"/>
    <s v="South"/>
    <s v="Chennai"/>
    <s v="Regional Hub"/>
    <s v="Critical"/>
    <s v="System"/>
    <s v="Medium"/>
    <n v="5"/>
    <n v="12"/>
    <n v="7"/>
    <s v="Yes"/>
    <n v="338"/>
    <n v="9471"/>
    <n v="33033"/>
    <n v="0"/>
    <s v="No"/>
    <s v="Severe"/>
    <n v="4719"/>
    <n v="1353"/>
    <n v="2024"/>
    <n v="6"/>
    <n v="1"/>
  </r>
  <r>
    <s v="SHP-30334"/>
    <d v="2024-09-22T00:00:00"/>
    <s v="West"/>
    <s v="Mumbai"/>
    <s v="Central Hub"/>
    <s v="Critical"/>
    <s v="System"/>
    <s v="High"/>
    <n v="1"/>
    <n v="4"/>
    <n v="3"/>
    <s v="Yes"/>
    <n v="230"/>
    <n v="2808"/>
    <n v="13572"/>
    <n v="0"/>
    <s v="No"/>
    <s v="Major"/>
    <n v="4524"/>
    <n v="936"/>
    <n v="2024"/>
    <n v="9"/>
    <n v="1"/>
  </r>
  <r>
    <s v="SHP-30335"/>
    <d v="2024-11-13T00:00:00"/>
    <s v="East"/>
    <s v="Kolkata"/>
    <s v="Central Hub"/>
    <s v="Critical"/>
    <s v="Capacity"/>
    <s v="High"/>
    <n v="3"/>
    <n v="11"/>
    <n v="8"/>
    <s v="Yes"/>
    <n v="342"/>
    <n v="13168"/>
    <n v="29048"/>
    <n v="0"/>
    <s v="No"/>
    <s v="Severe"/>
    <n v="3631"/>
    <n v="1646"/>
    <n v="2024"/>
    <n v="11"/>
    <n v="1"/>
  </r>
  <r>
    <s v="SHP-30336"/>
    <d v="2024-10-18T00:00:00"/>
    <s v="South"/>
    <s v="Chennai"/>
    <s v="Local Hub"/>
    <s v="Express"/>
    <s v="Capacity"/>
    <s v="Low"/>
    <n v="1"/>
    <n v="3"/>
    <n v="2"/>
    <s v="Yes"/>
    <n v="298"/>
    <n v="4338"/>
    <n v="6224"/>
    <n v="0"/>
    <s v="No"/>
    <s v="Minor"/>
    <n v="3112"/>
    <n v="2169"/>
    <n v="2024"/>
    <n v="10"/>
    <n v="1"/>
  </r>
  <r>
    <s v="SHP-30337"/>
    <d v="2024-01-11T00:00:00"/>
    <s v="West"/>
    <s v="Mumbai"/>
    <s v="Local Hub"/>
    <s v="Express"/>
    <s v="Weather"/>
    <s v="Medium"/>
    <n v="1"/>
    <n v="2"/>
    <n v="1"/>
    <s v="Yes"/>
    <n v="416"/>
    <n v="1331"/>
    <n v="2536"/>
    <n v="0"/>
    <s v="No"/>
    <s v="Minor"/>
    <n v="2536"/>
    <n v="1331"/>
    <n v="2024"/>
    <n v="1"/>
    <n v="1"/>
  </r>
  <r>
    <s v="SHP-30338"/>
    <d v="2024-03-25T00:00:00"/>
    <s v="West"/>
    <s v="Pune"/>
    <s v="Local Hub"/>
    <s v="Express"/>
    <s v="Capacity"/>
    <s v="Medium"/>
    <n v="2"/>
    <n v="3"/>
    <n v="1"/>
    <s v="Yes"/>
    <n v="248"/>
    <n v="2001"/>
    <n v="3468"/>
    <n v="0"/>
    <s v="No"/>
    <s v="Minor"/>
    <n v="3468"/>
    <n v="2001"/>
    <n v="2024"/>
    <n v="3"/>
    <n v="1"/>
  </r>
  <r>
    <s v="SHP-30339"/>
    <d v="2024-06-24T00:00:00"/>
    <s v="South"/>
    <s v="Bengaluru"/>
    <s v="Regional Hub"/>
    <s v="Critical"/>
    <s v="Documentation"/>
    <s v="Low"/>
    <n v="2"/>
    <n v="8"/>
    <n v="6"/>
    <s v="Yes"/>
    <n v="79"/>
    <n v="13986"/>
    <n v="16080"/>
    <n v="0"/>
    <s v="No"/>
    <s v="Severe"/>
    <n v="2680"/>
    <n v="2331"/>
    <n v="2024"/>
    <n v="6"/>
    <n v="1"/>
  </r>
  <r>
    <s v="SHP-30340"/>
    <d v="2024-12-09T00:00:00"/>
    <s v="South"/>
    <s v="Bengaluru"/>
    <s v="Regional Hub"/>
    <s v="Standard"/>
    <s v="Routing"/>
    <s v="Low"/>
    <n v="1"/>
    <n v="4"/>
    <n v="3"/>
    <s v="Yes"/>
    <n v="455"/>
    <n v="6996"/>
    <n v="14619"/>
    <n v="0"/>
    <s v="No"/>
    <s v="Major"/>
    <n v="4873"/>
    <n v="2332"/>
    <n v="2024"/>
    <n v="12"/>
    <n v="1"/>
  </r>
  <r>
    <s v="SHP-30341"/>
    <d v="2024-04-23T00:00:00"/>
    <s v="North"/>
    <s v="Noida"/>
    <s v="Regional Hub"/>
    <s v="Critical"/>
    <s v="Routing"/>
    <s v="Medium"/>
    <n v="2"/>
    <n v="8"/>
    <n v="6"/>
    <s v="Yes"/>
    <n v="367"/>
    <n v="10356"/>
    <n v="19512"/>
    <n v="0"/>
    <s v="No"/>
    <s v="Severe"/>
    <n v="3252"/>
    <n v="1726"/>
    <n v="2024"/>
    <n v="4"/>
    <n v="1"/>
  </r>
  <r>
    <s v="SHP-30342"/>
    <d v="2024-09-07T00:00:00"/>
    <s v="South"/>
    <s v="Bengaluru"/>
    <s v="Regional Hub"/>
    <s v="Critical"/>
    <s v="Routing"/>
    <s v="Low"/>
    <n v="2"/>
    <n v="8"/>
    <n v="6"/>
    <s v="Yes"/>
    <n v="157"/>
    <n v="7398"/>
    <n v="20790"/>
    <n v="0"/>
    <s v="No"/>
    <s v="Severe"/>
    <n v="3465"/>
    <n v="1233"/>
    <n v="2024"/>
    <n v="9"/>
    <n v="1"/>
  </r>
  <r>
    <s v="SHP-30343"/>
    <d v="2024-11-21T00:00:00"/>
    <s v="East"/>
    <s v="Kolkata"/>
    <s v="Local Hub"/>
    <s v="Express"/>
    <s v="System"/>
    <s v="Medium"/>
    <n v="5"/>
    <n v="10"/>
    <n v="5"/>
    <s v="Yes"/>
    <n v="138"/>
    <n v="7285"/>
    <n v="9600"/>
    <n v="0"/>
    <s v="No"/>
    <s v="Major"/>
    <n v="1920"/>
    <n v="1457"/>
    <n v="2024"/>
    <n v="11"/>
    <n v="1"/>
  </r>
  <r>
    <s v="SHP-30344"/>
    <d v="2024-11-30T00:00:00"/>
    <s v="North"/>
    <s v="Noida"/>
    <s v="Local Hub"/>
    <s v="Standard"/>
    <s v="Weather"/>
    <s v="Low"/>
    <n v="1"/>
    <n v="6"/>
    <n v="5"/>
    <s v="Yes"/>
    <n v="63"/>
    <n v="9400"/>
    <n v="21685"/>
    <n v="0"/>
    <s v="No"/>
    <s v="Major"/>
    <n v="4337"/>
    <n v="1880"/>
    <n v="2024"/>
    <n v="11"/>
    <n v="1"/>
  </r>
  <r>
    <s v="SHP-30345"/>
    <d v="2024-01-23T00:00:00"/>
    <s v="East"/>
    <s v="Kolkata"/>
    <s v="Central Hub"/>
    <s v="Standard"/>
    <s v="Routing"/>
    <s v="Medium"/>
    <n v="2"/>
    <n v="7"/>
    <n v="5"/>
    <s v="Yes"/>
    <n v="203"/>
    <n v="4750"/>
    <n v="23300"/>
    <n v="0"/>
    <s v="No"/>
    <s v="Major"/>
    <n v="4660"/>
    <n v="950"/>
    <n v="2024"/>
    <n v="1"/>
    <n v="1"/>
  </r>
  <r>
    <s v="SHP-30346"/>
    <d v="2024-04-30T00:00:00"/>
    <s v="East"/>
    <s v="Kolkata"/>
    <s v="Regional Hub"/>
    <s v="Critical"/>
    <s v="Capacity"/>
    <s v="Low"/>
    <n v="1"/>
    <n v="7"/>
    <n v="6"/>
    <s v="Yes"/>
    <n v="122"/>
    <n v="14250"/>
    <n v="11916"/>
    <n v="0"/>
    <s v="No"/>
    <s v="Severe"/>
    <n v="1986"/>
    <n v="2375"/>
    <n v="2024"/>
    <n v="4"/>
    <n v="1"/>
  </r>
  <r>
    <s v="SHP-30347"/>
    <d v="2024-07-22T00:00:00"/>
    <s v="South"/>
    <s v="Bengaluru"/>
    <s v="Local Hub"/>
    <s v="Standard"/>
    <s v="Documentation"/>
    <s v="Medium"/>
    <n v="2"/>
    <n v="6"/>
    <n v="4"/>
    <s v="Yes"/>
    <n v="67"/>
    <n v="7012"/>
    <n v="10724"/>
    <n v="0"/>
    <s v="No"/>
    <s v="Major"/>
    <n v="2681"/>
    <n v="1753"/>
    <n v="2024"/>
    <n v="7"/>
    <n v="1"/>
  </r>
  <r>
    <s v="SHP-30348"/>
    <d v="2024-11-12T00:00:00"/>
    <s v="North"/>
    <s v="Noida"/>
    <s v="Regional Hub"/>
    <s v="Express"/>
    <s v="Weather"/>
    <s v="Low"/>
    <n v="2"/>
    <n v="6"/>
    <n v="4"/>
    <s v="Yes"/>
    <n v="72"/>
    <n v="9136"/>
    <n v="12036"/>
    <n v="0"/>
    <s v="No"/>
    <s v="Major"/>
    <n v="3009"/>
    <n v="2284"/>
    <n v="2024"/>
    <n v="11"/>
    <n v="1"/>
  </r>
  <r>
    <s v="SHP-30349"/>
    <d v="2024-08-07T00:00:00"/>
    <s v="South"/>
    <s v="Bengaluru"/>
    <s v="Regional Hub"/>
    <s v="Express"/>
    <s v="System"/>
    <s v="Medium"/>
    <n v="3"/>
    <n v="8"/>
    <n v="5"/>
    <s v="Yes"/>
    <n v="170"/>
    <n v="12105"/>
    <n v="22470"/>
    <n v="0"/>
    <s v="No"/>
    <s v="Major"/>
    <n v="4494"/>
    <n v="2421"/>
    <n v="2024"/>
    <n v="8"/>
    <n v="1"/>
  </r>
  <r>
    <s v="SHP-30350"/>
    <d v="2024-02-25T00:00:00"/>
    <s v="East"/>
    <s v="Bhubaneswar"/>
    <s v="Local Hub"/>
    <s v="Express"/>
    <s v="Weather"/>
    <s v="Low"/>
    <n v="1"/>
    <n v="5"/>
    <n v="4"/>
    <s v="Yes"/>
    <n v="467"/>
    <n v="4008"/>
    <n v="11964"/>
    <n v="0"/>
    <s v="No"/>
    <s v="Major"/>
    <n v="2991"/>
    <n v="1002"/>
    <n v="2024"/>
    <n v="2"/>
    <n v="1"/>
  </r>
  <r>
    <s v="SHP-30351"/>
    <d v="2024-12-29T00:00:00"/>
    <s v="West"/>
    <s v="Mumbai"/>
    <s v="Local Hub"/>
    <s v="Standard"/>
    <s v="Documentation"/>
    <s v="Medium"/>
    <n v="1"/>
    <n v="5"/>
    <n v="4"/>
    <s v="Yes"/>
    <n v="67"/>
    <n v="6932"/>
    <n v="10052"/>
    <n v="0"/>
    <s v="No"/>
    <s v="Major"/>
    <n v="2513"/>
    <n v="1733"/>
    <n v="2024"/>
    <n v="12"/>
    <n v="1"/>
  </r>
  <r>
    <s v="SHP-30352"/>
    <d v="2024-09-14T00:00:00"/>
    <s v="South"/>
    <s v="Bengaluru"/>
    <s v="Regional Hub"/>
    <s v="Express"/>
    <s v="Routing"/>
    <s v="Low"/>
    <n v="2"/>
    <n v="5"/>
    <n v="3"/>
    <s v="Yes"/>
    <n v="184"/>
    <n v="5277"/>
    <n v="11145"/>
    <n v="0"/>
    <s v="No"/>
    <s v="Major"/>
    <n v="3715"/>
    <n v="1759"/>
    <n v="2024"/>
    <n v="9"/>
    <n v="1"/>
  </r>
  <r>
    <s v="SHP-30353"/>
    <d v="2024-05-13T00:00:00"/>
    <s v="North"/>
    <s v="Noida"/>
    <s v="Regional Hub"/>
    <s v="Standard"/>
    <s v="Weather"/>
    <s v="High"/>
    <n v="3"/>
    <n v="11"/>
    <n v="8"/>
    <s v="Yes"/>
    <n v="218"/>
    <n v="10384"/>
    <n v="29032"/>
    <n v="0"/>
    <s v="No"/>
    <s v="Severe"/>
    <n v="3629"/>
    <n v="1298"/>
    <n v="2024"/>
    <n v="5"/>
    <n v="1"/>
  </r>
  <r>
    <s v="SHP-30354"/>
    <d v="2024-09-21T00:00:00"/>
    <s v="West"/>
    <s v="Pune"/>
    <s v="Regional Hub"/>
    <s v="Standard"/>
    <s v="System"/>
    <s v="Low"/>
    <n v="1"/>
    <n v="1"/>
    <n v="0"/>
    <s v="No"/>
    <n v="145"/>
    <n v="0"/>
    <n v="0"/>
    <n v="1"/>
    <s v="No"/>
    <s v="On Time"/>
    <n v="0"/>
    <n v="0"/>
    <n v="2024"/>
    <n v="9"/>
    <n v="0"/>
  </r>
  <r>
    <s v="SHP-30355"/>
    <d v="2024-05-12T00:00:00"/>
    <s v="North"/>
    <s v="Delhi"/>
    <s v="Regional Hub"/>
    <s v="Standard"/>
    <s v="Capacity"/>
    <s v="Low"/>
    <n v="2"/>
    <n v="3"/>
    <n v="1"/>
    <s v="Yes"/>
    <n v="268"/>
    <n v="2461"/>
    <n v="2835"/>
    <n v="0"/>
    <s v="No"/>
    <s v="Minor"/>
    <n v="2835"/>
    <n v="2461"/>
    <n v="2024"/>
    <n v="5"/>
    <n v="1"/>
  </r>
  <r>
    <s v="SHP-30356"/>
    <d v="2024-03-27T00:00:00"/>
    <s v="East"/>
    <s v="Kolkata"/>
    <s v="Regional Hub"/>
    <s v="Express"/>
    <s v="Weather"/>
    <s v="Low"/>
    <n v="2"/>
    <n v="7"/>
    <n v="5"/>
    <s v="Yes"/>
    <n v="208"/>
    <n v="9590"/>
    <n v="11170"/>
    <n v="0"/>
    <s v="No"/>
    <s v="Major"/>
    <n v="2234"/>
    <n v="1918"/>
    <n v="2024"/>
    <n v="3"/>
    <n v="1"/>
  </r>
  <r>
    <s v="SHP-30357"/>
    <d v="2024-03-21T00:00:00"/>
    <s v="South"/>
    <s v="Bengaluru"/>
    <s v="Local Hub"/>
    <s v="Express"/>
    <s v="Documentation"/>
    <s v="Low"/>
    <n v="1"/>
    <n v="1"/>
    <n v="0"/>
    <s v="No"/>
    <n v="360"/>
    <n v="0"/>
    <n v="0"/>
    <n v="1"/>
    <s v="No"/>
    <s v="On Time"/>
    <n v="0"/>
    <n v="0"/>
    <n v="2024"/>
    <n v="3"/>
    <n v="0"/>
  </r>
  <r>
    <s v="SHP-30358"/>
    <d v="2024-12-26T00:00:00"/>
    <s v="West"/>
    <s v="Pune"/>
    <s v="Central Hub"/>
    <s v="Standard"/>
    <s v="Routing"/>
    <s v="Low"/>
    <n v="2"/>
    <n v="5"/>
    <n v="3"/>
    <s v="Yes"/>
    <n v="254"/>
    <n v="6855"/>
    <n v="6699"/>
    <n v="0"/>
    <s v="No"/>
    <s v="Major"/>
    <n v="2233"/>
    <n v="2285"/>
    <n v="2024"/>
    <n v="12"/>
    <n v="1"/>
  </r>
  <r>
    <s v="SHP-30359"/>
    <d v="2024-01-15T00:00:00"/>
    <s v="West"/>
    <s v="Mumbai"/>
    <s v="Regional Hub"/>
    <s v="Standard"/>
    <s v="Weather"/>
    <s v="Low"/>
    <n v="2"/>
    <n v="3"/>
    <n v="1"/>
    <s v="Yes"/>
    <n v="84"/>
    <n v="1809"/>
    <n v="4380"/>
    <n v="0"/>
    <s v="No"/>
    <s v="Minor"/>
    <n v="4380"/>
    <n v="1809"/>
    <n v="2024"/>
    <n v="1"/>
    <n v="1"/>
  </r>
  <r>
    <s v="SHP-30360"/>
    <d v="2024-09-12T00:00:00"/>
    <s v="West"/>
    <s v="Mumbai"/>
    <s v="Regional Hub"/>
    <s v="Express"/>
    <s v="Documentation"/>
    <s v="Medium"/>
    <n v="2"/>
    <n v="5"/>
    <n v="3"/>
    <s v="Yes"/>
    <n v="291"/>
    <n v="4887"/>
    <n v="13608"/>
    <n v="0"/>
    <s v="No"/>
    <s v="Major"/>
    <n v="4536"/>
    <n v="1629"/>
    <n v="2024"/>
    <n v="9"/>
    <n v="1"/>
  </r>
  <r>
    <s v="SHP-30361"/>
    <d v="2024-08-22T00:00:00"/>
    <s v="South"/>
    <s v="Chennai"/>
    <s v="Central Hub"/>
    <s v="Critical"/>
    <s v="Capacity"/>
    <s v="Low"/>
    <n v="2"/>
    <n v="9"/>
    <n v="7"/>
    <s v="Yes"/>
    <n v="110"/>
    <n v="10486"/>
    <n v="11172"/>
    <n v="0"/>
    <s v="No"/>
    <s v="Severe"/>
    <n v="1596"/>
    <n v="1498"/>
    <n v="2024"/>
    <n v="8"/>
    <n v="1"/>
  </r>
  <r>
    <s v="SHP-30362"/>
    <d v="2024-03-17T00:00:00"/>
    <s v="East"/>
    <s v="Kolkata"/>
    <s v="Local Hub"/>
    <s v="Express"/>
    <s v="System"/>
    <s v="Medium"/>
    <n v="1"/>
    <n v="1"/>
    <n v="0"/>
    <s v="No"/>
    <n v="220"/>
    <n v="0"/>
    <n v="0"/>
    <n v="1"/>
    <s v="No"/>
    <s v="On Time"/>
    <n v="0"/>
    <n v="0"/>
    <n v="2024"/>
    <n v="3"/>
    <n v="0"/>
  </r>
  <r>
    <s v="SHP-30363"/>
    <d v="2024-02-16T00:00:00"/>
    <s v="North"/>
    <s v="Noida"/>
    <s v="Regional Hub"/>
    <s v="Express"/>
    <s v="Capacity"/>
    <s v="Low"/>
    <n v="3"/>
    <n v="8"/>
    <n v="5"/>
    <s v="Yes"/>
    <n v="107"/>
    <n v="9190"/>
    <n v="14765"/>
    <n v="0"/>
    <s v="No"/>
    <s v="Major"/>
    <n v="2953"/>
    <n v="1838"/>
    <n v="2024"/>
    <n v="2"/>
    <n v="1"/>
  </r>
  <r>
    <s v="SHP-30364"/>
    <d v="2024-08-07T00:00:00"/>
    <s v="West"/>
    <s v="Mumbai"/>
    <s v="Central Hub"/>
    <s v="Critical"/>
    <s v="System"/>
    <s v="High"/>
    <n v="3"/>
    <n v="12"/>
    <n v="9"/>
    <s v="Yes"/>
    <n v="351"/>
    <n v="9729"/>
    <n v="27360"/>
    <n v="0"/>
    <s v="No"/>
    <s v="Severe"/>
    <n v="3040"/>
    <n v="1081"/>
    <n v="2024"/>
    <n v="8"/>
    <n v="1"/>
  </r>
  <r>
    <s v="SHP-30365"/>
    <d v="2024-06-12T00:00:00"/>
    <s v="West"/>
    <s v="Pune"/>
    <s v="Regional Hub"/>
    <s v="Standard"/>
    <s v="Weather"/>
    <s v="High"/>
    <n v="3"/>
    <n v="7"/>
    <n v="4"/>
    <s v="Yes"/>
    <n v="171"/>
    <n v="5476"/>
    <n v="6892"/>
    <n v="0"/>
    <s v="No"/>
    <s v="Major"/>
    <n v="1723"/>
    <n v="1369"/>
    <n v="2024"/>
    <n v="6"/>
    <n v="1"/>
  </r>
  <r>
    <s v="SHP-30366"/>
    <d v="2024-07-20T00:00:00"/>
    <s v="East"/>
    <s v="Bhubaneswar"/>
    <s v="Local Hub"/>
    <s v="Express"/>
    <s v="Routing"/>
    <s v="Low"/>
    <n v="2"/>
    <n v="4"/>
    <n v="2"/>
    <s v="Yes"/>
    <n v="74"/>
    <n v="2418"/>
    <n v="6418"/>
    <n v="0"/>
    <s v="No"/>
    <s v="Minor"/>
    <n v="3209"/>
    <n v="1209"/>
    <n v="2024"/>
    <n v="7"/>
    <n v="1"/>
  </r>
  <r>
    <s v="SHP-30367"/>
    <d v="2024-09-02T00:00:00"/>
    <s v="West"/>
    <s v="Pune"/>
    <s v="Regional Hub"/>
    <s v="Standard"/>
    <s v="Routing"/>
    <s v="Low"/>
    <n v="5"/>
    <n v="9"/>
    <n v="4"/>
    <s v="Yes"/>
    <n v="363"/>
    <n v="8760"/>
    <n v="6312"/>
    <n v="0"/>
    <s v="No"/>
    <s v="Major"/>
    <n v="1578"/>
    <n v="2190"/>
    <n v="2024"/>
    <n v="9"/>
    <n v="1"/>
  </r>
  <r>
    <s v="SHP-30368"/>
    <d v="2024-06-17T00:00:00"/>
    <s v="West"/>
    <s v="Mumbai"/>
    <s v="Regional Hub"/>
    <s v="Standard"/>
    <s v="Weather"/>
    <s v="Medium"/>
    <n v="1"/>
    <n v="6"/>
    <n v="5"/>
    <s v="Yes"/>
    <n v="64"/>
    <n v="8780"/>
    <n v="19625"/>
    <n v="0"/>
    <s v="No"/>
    <s v="Major"/>
    <n v="3925"/>
    <n v="1756"/>
    <n v="2024"/>
    <n v="6"/>
    <n v="1"/>
  </r>
  <r>
    <s v="SHP-30369"/>
    <d v="2024-06-03T00:00:00"/>
    <s v="East"/>
    <s v="Kolkata"/>
    <s v="Local Hub"/>
    <s v="Express"/>
    <s v="Routing"/>
    <s v="Medium"/>
    <n v="2"/>
    <n v="7"/>
    <n v="5"/>
    <s v="Yes"/>
    <n v="72"/>
    <n v="10610"/>
    <n v="7550"/>
    <n v="0"/>
    <s v="No"/>
    <s v="Major"/>
    <n v="1510"/>
    <n v="2122"/>
    <n v="2024"/>
    <n v="6"/>
    <n v="1"/>
  </r>
  <r>
    <s v="SHP-30370"/>
    <d v="2024-12-26T00:00:00"/>
    <s v="South"/>
    <s v="Chennai"/>
    <s v="Local Hub"/>
    <s v="Express"/>
    <s v="Weather"/>
    <s v="High"/>
    <n v="3"/>
    <n v="6"/>
    <n v="3"/>
    <s v="Yes"/>
    <n v="184"/>
    <n v="5118"/>
    <n v="14571"/>
    <n v="0"/>
    <s v="No"/>
    <s v="Major"/>
    <n v="4857"/>
    <n v="1706"/>
    <n v="2024"/>
    <n v="12"/>
    <n v="1"/>
  </r>
  <r>
    <s v="SHP-30371"/>
    <d v="2024-03-09T00:00:00"/>
    <s v="North"/>
    <s v="Delhi"/>
    <s v="Central Hub"/>
    <s v="Standard"/>
    <s v="Documentation"/>
    <s v="Medium"/>
    <n v="2"/>
    <n v="4"/>
    <n v="2"/>
    <s v="Yes"/>
    <n v="459"/>
    <n v="3216"/>
    <n v="5504"/>
    <n v="0"/>
    <s v="No"/>
    <s v="Minor"/>
    <n v="2752"/>
    <n v="1608"/>
    <n v="2024"/>
    <n v="3"/>
    <n v="1"/>
  </r>
  <r>
    <s v="SHP-30372"/>
    <d v="2024-02-25T00:00:00"/>
    <s v="West"/>
    <s v="Pune"/>
    <s v="Central Hub"/>
    <s v="Standard"/>
    <s v="Weather"/>
    <s v="Medium"/>
    <n v="2"/>
    <n v="4"/>
    <n v="2"/>
    <s v="Yes"/>
    <n v="377"/>
    <n v="2000"/>
    <n v="4470"/>
    <n v="0"/>
    <s v="No"/>
    <s v="Minor"/>
    <n v="2235"/>
    <n v="1000"/>
    <n v="2024"/>
    <n v="2"/>
    <n v="1"/>
  </r>
  <r>
    <s v="SHP-30373"/>
    <d v="2024-09-28T00:00:00"/>
    <s v="North"/>
    <s v="Noida"/>
    <s v="Central Hub"/>
    <s v="Express"/>
    <s v="Routing"/>
    <s v="Medium"/>
    <n v="2"/>
    <n v="4"/>
    <n v="2"/>
    <s v="Yes"/>
    <n v="329"/>
    <n v="2610"/>
    <n v="6942"/>
    <n v="0"/>
    <s v="No"/>
    <s v="Minor"/>
    <n v="3471"/>
    <n v="1305"/>
    <n v="2024"/>
    <n v="9"/>
    <n v="1"/>
  </r>
  <r>
    <s v="SHP-30374"/>
    <d v="2024-06-01T00:00:00"/>
    <s v="West"/>
    <s v="Mumbai"/>
    <s v="Local Hub"/>
    <s v="Standard"/>
    <s v="Weather"/>
    <s v="Low"/>
    <n v="1"/>
    <n v="5"/>
    <n v="4"/>
    <s v="Yes"/>
    <n v="121"/>
    <n v="6744"/>
    <n v="6460"/>
    <n v="0"/>
    <s v="No"/>
    <s v="Major"/>
    <n v="1615"/>
    <n v="1686"/>
    <n v="2024"/>
    <n v="6"/>
    <n v="1"/>
  </r>
  <r>
    <s v="SHP-30375"/>
    <d v="2024-06-13T00:00:00"/>
    <s v="East"/>
    <s v="Bhubaneswar"/>
    <s v="Local Hub"/>
    <s v="Standard"/>
    <s v="Documentation"/>
    <s v="Medium"/>
    <n v="2"/>
    <n v="6"/>
    <n v="4"/>
    <s v="Yes"/>
    <n v="443"/>
    <n v="3632"/>
    <n v="12964"/>
    <n v="0"/>
    <s v="No"/>
    <s v="Major"/>
    <n v="3241"/>
    <n v="908"/>
    <n v="2024"/>
    <n v="6"/>
    <n v="1"/>
  </r>
  <r>
    <s v="SHP-30376"/>
    <d v="2024-11-26T00:00:00"/>
    <s v="West"/>
    <s v="Mumbai"/>
    <s v="Central Hub"/>
    <s v="Critical"/>
    <s v="Capacity"/>
    <s v="Low"/>
    <n v="2"/>
    <n v="5"/>
    <n v="3"/>
    <s v="Yes"/>
    <n v="330"/>
    <n v="4638"/>
    <n v="8496"/>
    <n v="0"/>
    <s v="No"/>
    <s v="Major"/>
    <n v="2832"/>
    <n v="1546"/>
    <n v="2024"/>
    <n v="11"/>
    <n v="1"/>
  </r>
  <r>
    <s v="SHP-30377"/>
    <d v="2024-07-16T00:00:00"/>
    <s v="East"/>
    <s v="Bhubaneswar"/>
    <s v="Local Hub"/>
    <s v="Critical"/>
    <s v="Capacity"/>
    <s v="Low"/>
    <n v="3"/>
    <n v="9"/>
    <n v="6"/>
    <s v="Yes"/>
    <n v="90"/>
    <n v="11418"/>
    <n v="16644"/>
    <n v="0"/>
    <s v="No"/>
    <s v="Severe"/>
    <n v="2774"/>
    <n v="1903"/>
    <n v="2024"/>
    <n v="7"/>
    <n v="1"/>
  </r>
  <r>
    <s v="SHP-30378"/>
    <d v="2024-08-26T00:00:00"/>
    <s v="North"/>
    <s v="Delhi"/>
    <s v="Central Hub"/>
    <s v="Standard"/>
    <s v="System"/>
    <s v="Low"/>
    <n v="5"/>
    <n v="7"/>
    <n v="2"/>
    <s v="Yes"/>
    <n v="305"/>
    <n v="1752"/>
    <n v="3356"/>
    <n v="0"/>
    <s v="No"/>
    <s v="Minor"/>
    <n v="1678"/>
    <n v="876"/>
    <n v="2024"/>
    <n v="8"/>
    <n v="1"/>
  </r>
  <r>
    <s v="SHP-30379"/>
    <d v="2024-06-22T00:00:00"/>
    <s v="West"/>
    <s v="Mumbai"/>
    <s v="Regional Hub"/>
    <s v="Express"/>
    <s v="Capacity"/>
    <s v="Low"/>
    <n v="5"/>
    <n v="7"/>
    <n v="2"/>
    <s v="Yes"/>
    <n v="475"/>
    <n v="2424"/>
    <n v="8794"/>
    <n v="0"/>
    <s v="No"/>
    <s v="Minor"/>
    <n v="4397"/>
    <n v="1212"/>
    <n v="2024"/>
    <n v="6"/>
    <n v="1"/>
  </r>
  <r>
    <s v="SHP-30380"/>
    <d v="2024-09-12T00:00:00"/>
    <s v="South"/>
    <s v="Chennai"/>
    <s v="Central Hub"/>
    <s v="Express"/>
    <s v="System"/>
    <s v="Low"/>
    <n v="2"/>
    <n v="4"/>
    <n v="2"/>
    <s v="Yes"/>
    <n v="444"/>
    <n v="4138"/>
    <n v="5376"/>
    <n v="0"/>
    <s v="No"/>
    <s v="Minor"/>
    <n v="2688"/>
    <n v="2069"/>
    <n v="2024"/>
    <n v="9"/>
    <n v="1"/>
  </r>
  <r>
    <s v="SHP-30381"/>
    <d v="2024-04-20T00:00:00"/>
    <s v="South"/>
    <s v="Bengaluru"/>
    <s v="Local Hub"/>
    <s v="Express"/>
    <s v="Capacity"/>
    <s v="High"/>
    <n v="1"/>
    <n v="9"/>
    <n v="8"/>
    <s v="Yes"/>
    <n v="137"/>
    <n v="8512"/>
    <n v="27448"/>
    <n v="0"/>
    <s v="No"/>
    <s v="Severe"/>
    <n v="3431"/>
    <n v="1064"/>
    <n v="2024"/>
    <n v="4"/>
    <n v="1"/>
  </r>
  <r>
    <s v="SHP-30382"/>
    <d v="2024-08-20T00:00:00"/>
    <s v="West"/>
    <s v="Mumbai"/>
    <s v="Central Hub"/>
    <s v="Standard"/>
    <s v="Routing"/>
    <s v="Low"/>
    <n v="2"/>
    <n v="3"/>
    <n v="1"/>
    <s v="Yes"/>
    <n v="420"/>
    <n v="2410"/>
    <n v="3285"/>
    <n v="0"/>
    <s v="No"/>
    <s v="Minor"/>
    <n v="3285"/>
    <n v="2410"/>
    <n v="2024"/>
    <n v="8"/>
    <n v="1"/>
  </r>
  <r>
    <s v="SHP-30383"/>
    <d v="2024-05-18T00:00:00"/>
    <s v="North"/>
    <s v="Noida"/>
    <s v="Local Hub"/>
    <s v="Critical"/>
    <s v="Routing"/>
    <s v="Medium"/>
    <n v="3"/>
    <n v="6"/>
    <n v="3"/>
    <s v="Yes"/>
    <n v="364"/>
    <n v="6843"/>
    <n v="7227"/>
    <n v="0"/>
    <s v="No"/>
    <s v="Major"/>
    <n v="2409"/>
    <n v="2281"/>
    <n v="2024"/>
    <n v="5"/>
    <n v="1"/>
  </r>
  <r>
    <s v="SHP-30384"/>
    <d v="2024-10-23T00:00:00"/>
    <s v="East"/>
    <s v="Kolkata"/>
    <s v="Local Hub"/>
    <s v="Standard"/>
    <s v="Capacity"/>
    <s v="High"/>
    <n v="2"/>
    <n v="9"/>
    <n v="7"/>
    <s v="Yes"/>
    <n v="137"/>
    <n v="6223"/>
    <n v="14420"/>
    <n v="0"/>
    <s v="No"/>
    <s v="Severe"/>
    <n v="2060"/>
    <n v="889"/>
    <n v="2024"/>
    <n v="10"/>
    <n v="1"/>
  </r>
  <r>
    <s v="SHP-30385"/>
    <d v="2024-01-31T00:00:00"/>
    <s v="East"/>
    <s v="Bhubaneswar"/>
    <s v="Local Hub"/>
    <s v="Express"/>
    <s v="Weather"/>
    <s v="Low"/>
    <n v="2"/>
    <n v="2"/>
    <n v="0"/>
    <s v="No"/>
    <n v="269"/>
    <n v="0"/>
    <n v="0"/>
    <n v="1"/>
    <s v="No"/>
    <s v="On Time"/>
    <n v="0"/>
    <n v="0"/>
    <n v="2024"/>
    <n v="1"/>
    <n v="0"/>
  </r>
  <r>
    <s v="SHP-30386"/>
    <d v="2024-12-14T00:00:00"/>
    <s v="North"/>
    <s v="Noida"/>
    <s v="Central Hub"/>
    <s v="Standard"/>
    <s v="System"/>
    <s v="High"/>
    <n v="1"/>
    <n v="3"/>
    <n v="2"/>
    <s v="Yes"/>
    <n v="53"/>
    <n v="3354"/>
    <n v="6746"/>
    <n v="0"/>
    <s v="No"/>
    <s v="Minor"/>
    <n v="3373"/>
    <n v="1677"/>
    <n v="2024"/>
    <n v="12"/>
    <n v="1"/>
  </r>
  <r>
    <s v="SHP-30387"/>
    <d v="2024-11-07T00:00:00"/>
    <s v="South"/>
    <s v="Bengaluru"/>
    <s v="Regional Hub"/>
    <s v="Standard"/>
    <s v="Weather"/>
    <s v="Low"/>
    <n v="5"/>
    <n v="5"/>
    <n v="0"/>
    <s v="No"/>
    <n v="439"/>
    <n v="0"/>
    <n v="0"/>
    <n v="1"/>
    <s v="No"/>
    <s v="On Time"/>
    <n v="0"/>
    <n v="0"/>
    <n v="2024"/>
    <n v="11"/>
    <n v="0"/>
  </r>
  <r>
    <s v="SHP-30388"/>
    <d v="2024-06-13T00:00:00"/>
    <s v="North"/>
    <s v="Noida"/>
    <s v="Regional Hub"/>
    <s v="Standard"/>
    <s v="Capacity"/>
    <s v="Low"/>
    <n v="5"/>
    <n v="9"/>
    <n v="4"/>
    <s v="Yes"/>
    <n v="189"/>
    <n v="5912"/>
    <n v="18328"/>
    <n v="0"/>
    <s v="No"/>
    <s v="Major"/>
    <n v="4582"/>
    <n v="1478"/>
    <n v="2024"/>
    <n v="6"/>
    <n v="1"/>
  </r>
  <r>
    <s v="SHP-30389"/>
    <d v="2024-07-27T00:00:00"/>
    <s v="East"/>
    <s v="Kolkata"/>
    <s v="Local Hub"/>
    <s v="Express"/>
    <s v="System"/>
    <s v="Low"/>
    <n v="3"/>
    <n v="4"/>
    <n v="1"/>
    <s v="Yes"/>
    <n v="293"/>
    <n v="1466"/>
    <n v="2293"/>
    <n v="0"/>
    <s v="No"/>
    <s v="Minor"/>
    <n v="2293"/>
    <n v="1466"/>
    <n v="2024"/>
    <n v="7"/>
    <n v="1"/>
  </r>
  <r>
    <s v="SHP-30390"/>
    <d v="2024-12-07T00:00:00"/>
    <s v="North"/>
    <s v="Noida"/>
    <s v="Local Hub"/>
    <s v="Standard"/>
    <s v="Capacity"/>
    <s v="Low"/>
    <n v="1"/>
    <n v="6"/>
    <n v="5"/>
    <s v="Yes"/>
    <n v="360"/>
    <n v="8590"/>
    <n v="11150"/>
    <n v="0"/>
    <s v="No"/>
    <s v="Major"/>
    <n v="2230"/>
    <n v="1718"/>
    <n v="2024"/>
    <n v="12"/>
    <n v="1"/>
  </r>
  <r>
    <s v="SHP-30391"/>
    <d v="2024-12-20T00:00:00"/>
    <s v="North"/>
    <s v="Delhi"/>
    <s v="Central Hub"/>
    <s v="Standard"/>
    <s v="Capacity"/>
    <s v="Low"/>
    <n v="2"/>
    <n v="7"/>
    <n v="5"/>
    <s v="Yes"/>
    <n v="264"/>
    <n v="8675"/>
    <n v="13500"/>
    <n v="0"/>
    <s v="No"/>
    <s v="Major"/>
    <n v="2700"/>
    <n v="1735"/>
    <n v="2024"/>
    <n v="12"/>
    <n v="1"/>
  </r>
  <r>
    <s v="SHP-30392"/>
    <d v="2024-10-06T00:00:00"/>
    <s v="West"/>
    <s v="Pune"/>
    <s v="Regional Hub"/>
    <s v="Express"/>
    <s v="Weather"/>
    <s v="High"/>
    <n v="1"/>
    <n v="6"/>
    <n v="5"/>
    <s v="Yes"/>
    <n v="223"/>
    <n v="7090"/>
    <n v="14005"/>
    <n v="0"/>
    <s v="No"/>
    <s v="Major"/>
    <n v="2801"/>
    <n v="1418"/>
    <n v="2024"/>
    <n v="10"/>
    <n v="1"/>
  </r>
  <r>
    <s v="SHP-30393"/>
    <d v="2024-04-16T00:00:00"/>
    <s v="North"/>
    <s v="Noida"/>
    <s v="Central Hub"/>
    <s v="Critical"/>
    <s v="Routing"/>
    <s v="Medium"/>
    <n v="3"/>
    <n v="5"/>
    <n v="2"/>
    <s v="Yes"/>
    <n v="119"/>
    <n v="3600"/>
    <n v="3408"/>
    <n v="0"/>
    <s v="No"/>
    <s v="Minor"/>
    <n v="1704"/>
    <n v="1800"/>
    <n v="2024"/>
    <n v="4"/>
    <n v="1"/>
  </r>
  <r>
    <s v="SHP-30394"/>
    <d v="2024-01-30T00:00:00"/>
    <s v="North"/>
    <s v="Noida"/>
    <s v="Regional Hub"/>
    <s v="Critical"/>
    <s v="Routing"/>
    <s v="High"/>
    <n v="3"/>
    <n v="10"/>
    <n v="7"/>
    <s v="Yes"/>
    <n v="280"/>
    <n v="15407"/>
    <n v="32053"/>
    <n v="0"/>
    <s v="No"/>
    <s v="Severe"/>
    <n v="4579"/>
    <n v="2201"/>
    <n v="2024"/>
    <n v="1"/>
    <n v="1"/>
  </r>
  <r>
    <s v="SHP-30395"/>
    <d v="2024-07-05T00:00:00"/>
    <s v="East"/>
    <s v="Bhubaneswar"/>
    <s v="Regional Hub"/>
    <s v="Critical"/>
    <s v="Capacity"/>
    <s v="Medium"/>
    <n v="5"/>
    <n v="10"/>
    <n v="5"/>
    <s v="Yes"/>
    <n v="86"/>
    <n v="5575"/>
    <n v="23090"/>
    <n v="0"/>
    <s v="No"/>
    <s v="Major"/>
    <n v="4618"/>
    <n v="1115"/>
    <n v="2024"/>
    <n v="7"/>
    <n v="1"/>
  </r>
  <r>
    <s v="SHP-30396"/>
    <d v="2024-09-24T00:00:00"/>
    <s v="South"/>
    <s v="Chennai"/>
    <s v="Central Hub"/>
    <s v="Standard"/>
    <s v="System"/>
    <s v="Low"/>
    <n v="2"/>
    <n v="7"/>
    <n v="5"/>
    <s v="Yes"/>
    <n v="328"/>
    <n v="10790"/>
    <n v="13300"/>
    <n v="0"/>
    <s v="No"/>
    <s v="Major"/>
    <n v="2660"/>
    <n v="2158"/>
    <n v="2024"/>
    <n v="9"/>
    <n v="1"/>
  </r>
  <r>
    <s v="SHP-30397"/>
    <d v="2024-07-04T00:00:00"/>
    <s v="West"/>
    <s v="Mumbai"/>
    <s v="Local Hub"/>
    <s v="Standard"/>
    <s v="System"/>
    <s v="Low"/>
    <n v="1"/>
    <n v="2"/>
    <n v="1"/>
    <s v="Yes"/>
    <n v="161"/>
    <n v="2314"/>
    <n v="4661"/>
    <n v="0"/>
    <s v="No"/>
    <s v="Minor"/>
    <n v="4661"/>
    <n v="2314"/>
    <n v="2024"/>
    <n v="7"/>
    <n v="1"/>
  </r>
  <r>
    <s v="SHP-30398"/>
    <d v="2024-03-13T00:00:00"/>
    <s v="South"/>
    <s v="Chennai"/>
    <s v="Central Hub"/>
    <s v="Critical"/>
    <s v="Documentation"/>
    <s v="Low"/>
    <n v="2"/>
    <n v="4"/>
    <n v="2"/>
    <s v="Yes"/>
    <n v="79"/>
    <n v="2564"/>
    <n v="7798"/>
    <n v="0"/>
    <s v="No"/>
    <s v="Minor"/>
    <n v="3899"/>
    <n v="1282"/>
    <n v="2024"/>
    <n v="3"/>
    <n v="1"/>
  </r>
  <r>
    <s v="SHP-30399"/>
    <d v="2024-05-19T00:00:00"/>
    <s v="West"/>
    <s v="Mumbai"/>
    <s v="Regional Hub"/>
    <s v="Express"/>
    <s v="Capacity"/>
    <s v="Medium"/>
    <n v="1"/>
    <n v="1"/>
    <n v="0"/>
    <s v="No"/>
    <n v="407"/>
    <n v="0"/>
    <n v="0"/>
    <n v="1"/>
    <s v="No"/>
    <s v="On Time"/>
    <n v="0"/>
    <n v="0"/>
    <n v="2024"/>
    <n v="5"/>
    <n v="0"/>
  </r>
  <r>
    <s v="SHP-30400"/>
    <d v="2024-05-06T00:00:00"/>
    <s v="North"/>
    <s v="Noida"/>
    <s v="Local Hub"/>
    <s v="Standard"/>
    <s v="System"/>
    <s v="Medium"/>
    <n v="2"/>
    <n v="5"/>
    <n v="3"/>
    <s v="Yes"/>
    <n v="292"/>
    <n v="2712"/>
    <n v="10698"/>
    <n v="0"/>
    <s v="No"/>
    <s v="Major"/>
    <n v="3566"/>
    <n v="904"/>
    <n v="2024"/>
    <n v="5"/>
    <n v="1"/>
  </r>
  <r>
    <s v="SHP-30401"/>
    <d v="2024-05-10T00:00:00"/>
    <s v="East"/>
    <s v="Bhubaneswar"/>
    <s v="Local Hub"/>
    <s v="Express"/>
    <s v="Routing"/>
    <s v="Low"/>
    <n v="1"/>
    <n v="2"/>
    <n v="1"/>
    <s v="Yes"/>
    <n v="399"/>
    <n v="1686"/>
    <n v="4011"/>
    <n v="0"/>
    <s v="No"/>
    <s v="Minor"/>
    <n v="4011"/>
    <n v="1686"/>
    <n v="2024"/>
    <n v="5"/>
    <n v="1"/>
  </r>
  <r>
    <s v="SHP-30402"/>
    <d v="2024-11-26T00:00:00"/>
    <s v="South"/>
    <s v="Chennai"/>
    <s v="Regional Hub"/>
    <s v="Express"/>
    <s v="Documentation"/>
    <s v="High"/>
    <n v="2"/>
    <n v="9"/>
    <n v="7"/>
    <s v="Yes"/>
    <n v="112"/>
    <n v="6293"/>
    <n v="34146"/>
    <n v="0"/>
    <s v="No"/>
    <s v="Severe"/>
    <n v="4878"/>
    <n v="899"/>
    <n v="2024"/>
    <n v="11"/>
    <n v="1"/>
  </r>
  <r>
    <s v="SHP-30403"/>
    <d v="2024-02-08T00:00:00"/>
    <s v="East"/>
    <s v="Kolkata"/>
    <s v="Regional Hub"/>
    <s v="Express"/>
    <s v="Routing"/>
    <s v="Low"/>
    <n v="2"/>
    <n v="4"/>
    <n v="2"/>
    <s v="Yes"/>
    <n v="345"/>
    <n v="2696"/>
    <n v="8456"/>
    <n v="0"/>
    <s v="No"/>
    <s v="Minor"/>
    <n v="4228"/>
    <n v="1348"/>
    <n v="2024"/>
    <n v="2"/>
    <n v="1"/>
  </r>
  <r>
    <s v="SHP-30404"/>
    <d v="2024-03-09T00:00:00"/>
    <s v="North"/>
    <s v="Delhi"/>
    <s v="Regional Hub"/>
    <s v="Standard"/>
    <s v="Capacity"/>
    <s v="Medium"/>
    <n v="1"/>
    <n v="3"/>
    <n v="2"/>
    <s v="Yes"/>
    <n v="307"/>
    <n v="2326"/>
    <n v="6504"/>
    <n v="0"/>
    <s v="No"/>
    <s v="Minor"/>
    <n v="3252"/>
    <n v="1163"/>
    <n v="2024"/>
    <n v="3"/>
    <n v="1"/>
  </r>
  <r>
    <s v="SHP-30405"/>
    <d v="2024-02-01T00:00:00"/>
    <s v="East"/>
    <s v="Kolkata"/>
    <s v="Central Hub"/>
    <s v="Standard"/>
    <s v="Weather"/>
    <s v="Medium"/>
    <n v="1"/>
    <n v="5"/>
    <n v="4"/>
    <s v="Yes"/>
    <n v="450"/>
    <n v="7676"/>
    <n v="11024"/>
    <n v="0"/>
    <s v="No"/>
    <s v="Major"/>
    <n v="2756"/>
    <n v="1919"/>
    <n v="2024"/>
    <n v="2"/>
    <n v="1"/>
  </r>
  <r>
    <s v="SHP-30406"/>
    <d v="2024-09-10T00:00:00"/>
    <s v="East"/>
    <s v="Kolkata"/>
    <s v="Central Hub"/>
    <s v="Standard"/>
    <s v="Routing"/>
    <s v="High"/>
    <n v="2"/>
    <n v="7"/>
    <n v="5"/>
    <s v="Yes"/>
    <n v="471"/>
    <n v="6025"/>
    <n v="10335"/>
    <n v="0"/>
    <s v="No"/>
    <s v="Major"/>
    <n v="2067"/>
    <n v="1205"/>
    <n v="2024"/>
    <n v="9"/>
    <n v="1"/>
  </r>
  <r>
    <s v="SHP-30407"/>
    <d v="2024-07-07T00:00:00"/>
    <s v="South"/>
    <s v="Bengaluru"/>
    <s v="Central Hub"/>
    <s v="Standard"/>
    <s v="Capacity"/>
    <s v="High"/>
    <n v="1"/>
    <n v="7"/>
    <n v="6"/>
    <s v="Yes"/>
    <n v="289"/>
    <n v="5862"/>
    <n v="21450"/>
    <n v="0"/>
    <s v="No"/>
    <s v="Severe"/>
    <n v="3575"/>
    <n v="977"/>
    <n v="2024"/>
    <n v="7"/>
    <n v="1"/>
  </r>
  <r>
    <s v="SHP-30408"/>
    <d v="2024-02-19T00:00:00"/>
    <s v="South"/>
    <s v="Chennai"/>
    <s v="Central Hub"/>
    <s v="Standard"/>
    <s v="Weather"/>
    <s v="High"/>
    <n v="1"/>
    <n v="5"/>
    <n v="4"/>
    <s v="Yes"/>
    <n v="60"/>
    <n v="8416"/>
    <n v="9212"/>
    <n v="0"/>
    <s v="No"/>
    <s v="Major"/>
    <n v="2303"/>
    <n v="2104"/>
    <n v="2024"/>
    <n v="2"/>
    <n v="1"/>
  </r>
  <r>
    <s v="SHP-30409"/>
    <d v="2024-12-26T00:00:00"/>
    <s v="East"/>
    <s v="Bhubaneswar"/>
    <s v="Regional Hub"/>
    <s v="Standard"/>
    <s v="Weather"/>
    <s v="Low"/>
    <n v="2"/>
    <n v="3"/>
    <n v="1"/>
    <s v="Yes"/>
    <n v="348"/>
    <n v="2413"/>
    <n v="2306"/>
    <n v="0"/>
    <s v="No"/>
    <s v="Minor"/>
    <n v="2306"/>
    <n v="2413"/>
    <n v="2024"/>
    <n v="12"/>
    <n v="1"/>
  </r>
  <r>
    <s v="SHP-30410"/>
    <d v="2024-03-01T00:00:00"/>
    <s v="North"/>
    <s v="Noida"/>
    <s v="Central Hub"/>
    <s v="Express"/>
    <s v="Routing"/>
    <s v="High"/>
    <n v="2"/>
    <n v="7"/>
    <n v="5"/>
    <s v="Yes"/>
    <n v="62"/>
    <n v="11725"/>
    <n v="24260"/>
    <n v="0"/>
    <s v="No"/>
    <s v="Major"/>
    <n v="4852"/>
    <n v="2345"/>
    <n v="2024"/>
    <n v="3"/>
    <n v="1"/>
  </r>
  <r>
    <s v="SHP-30411"/>
    <d v="2024-11-17T00:00:00"/>
    <s v="North"/>
    <s v="Noida"/>
    <s v="Local Hub"/>
    <s v="Standard"/>
    <s v="Weather"/>
    <s v="Medium"/>
    <n v="3"/>
    <n v="4"/>
    <n v="1"/>
    <s v="Yes"/>
    <n v="446"/>
    <n v="2313"/>
    <n v="4076"/>
    <n v="0"/>
    <s v="No"/>
    <s v="Minor"/>
    <n v="4076"/>
    <n v="2313"/>
    <n v="2024"/>
    <n v="11"/>
    <n v="1"/>
  </r>
  <r>
    <s v="SHP-30412"/>
    <d v="2024-06-20T00:00:00"/>
    <s v="East"/>
    <s v="Kolkata"/>
    <s v="Central Hub"/>
    <s v="Standard"/>
    <s v="Capacity"/>
    <s v="High"/>
    <n v="2"/>
    <n v="9"/>
    <n v="7"/>
    <s v="Yes"/>
    <n v="82"/>
    <n v="17199"/>
    <n v="20853"/>
    <n v="0"/>
    <s v="No"/>
    <s v="Severe"/>
    <n v="2979"/>
    <n v="2457"/>
    <n v="2024"/>
    <n v="6"/>
    <n v="1"/>
  </r>
  <r>
    <s v="SHP-30413"/>
    <d v="2024-04-16T00:00:00"/>
    <s v="East"/>
    <s v="Kolkata"/>
    <s v="Central Hub"/>
    <s v="Critical"/>
    <s v="Weather"/>
    <s v="Low"/>
    <n v="1"/>
    <n v="6"/>
    <n v="5"/>
    <s v="Yes"/>
    <n v="434"/>
    <n v="11290"/>
    <n v="24065"/>
    <n v="0"/>
    <s v="No"/>
    <s v="Major"/>
    <n v="4813"/>
    <n v="2258"/>
    <n v="2024"/>
    <n v="4"/>
    <n v="1"/>
  </r>
  <r>
    <s v="SHP-30414"/>
    <d v="2024-07-30T00:00:00"/>
    <s v="North"/>
    <s v="Delhi"/>
    <s v="Regional Hub"/>
    <s v="Critical"/>
    <s v="System"/>
    <s v="Low"/>
    <n v="3"/>
    <n v="7"/>
    <n v="4"/>
    <s v="Yes"/>
    <n v="182"/>
    <n v="5924"/>
    <n v="7512"/>
    <n v="0"/>
    <s v="No"/>
    <s v="Major"/>
    <n v="1878"/>
    <n v="1481"/>
    <n v="2024"/>
    <n v="7"/>
    <n v="1"/>
  </r>
  <r>
    <s v="SHP-30415"/>
    <d v="2024-03-07T00:00:00"/>
    <s v="West"/>
    <s v="Pune"/>
    <s v="Local Hub"/>
    <s v="Critical"/>
    <s v="Weather"/>
    <s v="Medium"/>
    <n v="2"/>
    <n v="7"/>
    <n v="5"/>
    <s v="Yes"/>
    <n v="169"/>
    <n v="11065"/>
    <n v="12670"/>
    <n v="0"/>
    <s v="No"/>
    <s v="Major"/>
    <n v="2534"/>
    <n v="2213"/>
    <n v="2024"/>
    <n v="3"/>
    <n v="1"/>
  </r>
  <r>
    <s v="SHP-30416"/>
    <d v="2024-02-09T00:00:00"/>
    <s v="East"/>
    <s v="Bhubaneswar"/>
    <s v="Regional Hub"/>
    <s v="Critical"/>
    <s v="Routing"/>
    <s v="Low"/>
    <n v="5"/>
    <n v="11"/>
    <n v="6"/>
    <s v="Yes"/>
    <n v="302"/>
    <n v="9360"/>
    <n v="28266"/>
    <n v="0"/>
    <s v="No"/>
    <s v="Severe"/>
    <n v="4711"/>
    <n v="1560"/>
    <n v="2024"/>
    <n v="2"/>
    <n v="1"/>
  </r>
  <r>
    <s v="SHP-30417"/>
    <d v="2024-09-17T00:00:00"/>
    <s v="West"/>
    <s v="Mumbai"/>
    <s v="Regional Hub"/>
    <s v="Standard"/>
    <s v="System"/>
    <s v="Low"/>
    <n v="3"/>
    <n v="6"/>
    <n v="3"/>
    <s v="Yes"/>
    <n v="97"/>
    <n v="4713"/>
    <n v="8016"/>
    <n v="0"/>
    <s v="No"/>
    <s v="Major"/>
    <n v="2672"/>
    <n v="1571"/>
    <n v="2024"/>
    <n v="9"/>
    <n v="1"/>
  </r>
  <r>
    <s v="SHP-30418"/>
    <d v="2024-09-27T00:00:00"/>
    <s v="South"/>
    <s v="Chennai"/>
    <s v="Local Hub"/>
    <s v="Standard"/>
    <s v="Capacity"/>
    <s v="Medium"/>
    <n v="3"/>
    <n v="3"/>
    <n v="0"/>
    <s v="No"/>
    <n v="488"/>
    <n v="0"/>
    <n v="0"/>
    <n v="1"/>
    <s v="No"/>
    <s v="On Time"/>
    <n v="0"/>
    <n v="0"/>
    <n v="2024"/>
    <n v="9"/>
    <n v="0"/>
  </r>
  <r>
    <s v="SHP-30419"/>
    <d v="2024-02-22T00:00:00"/>
    <s v="West"/>
    <s v="Pune"/>
    <s v="Regional Hub"/>
    <s v="Standard"/>
    <s v="Routing"/>
    <s v="Low"/>
    <n v="2"/>
    <n v="6"/>
    <n v="4"/>
    <s v="Yes"/>
    <n v="171"/>
    <n v="5084"/>
    <n v="14852"/>
    <n v="0"/>
    <s v="No"/>
    <s v="Major"/>
    <n v="3713"/>
    <n v="1271"/>
    <n v="2024"/>
    <n v="2"/>
    <n v="1"/>
  </r>
  <r>
    <s v="SHP-30420"/>
    <d v="2024-06-06T00:00:00"/>
    <s v="South"/>
    <s v="Bengaluru"/>
    <s v="Regional Hub"/>
    <s v="Critical"/>
    <s v="Capacity"/>
    <s v="Medium"/>
    <n v="1"/>
    <n v="7"/>
    <n v="6"/>
    <s v="Yes"/>
    <n v="192"/>
    <n v="12084"/>
    <n v="10098"/>
    <n v="0"/>
    <s v="No"/>
    <s v="Severe"/>
    <n v="1683"/>
    <n v="2014"/>
    <n v="2024"/>
    <n v="6"/>
    <n v="1"/>
  </r>
  <r>
    <s v="SHP-30421"/>
    <d v="2024-02-21T00:00:00"/>
    <s v="North"/>
    <s v="Noida"/>
    <s v="Regional Hub"/>
    <s v="Express"/>
    <s v="Weather"/>
    <s v="High"/>
    <n v="1"/>
    <n v="6"/>
    <n v="5"/>
    <s v="Yes"/>
    <n v="287"/>
    <n v="8820"/>
    <n v="18835"/>
    <n v="0"/>
    <s v="No"/>
    <s v="Major"/>
    <n v="3767"/>
    <n v="1764"/>
    <n v="2024"/>
    <n v="2"/>
    <n v="1"/>
  </r>
  <r>
    <s v="SHP-30422"/>
    <d v="2024-05-24T00:00:00"/>
    <s v="North"/>
    <s v="Noida"/>
    <s v="Regional Hub"/>
    <s v="Express"/>
    <s v="Documentation"/>
    <s v="High"/>
    <n v="2"/>
    <n v="5"/>
    <n v="3"/>
    <s v="Yes"/>
    <n v="346"/>
    <n v="5778"/>
    <n v="9765"/>
    <n v="0"/>
    <s v="No"/>
    <s v="Major"/>
    <n v="3255"/>
    <n v="1926"/>
    <n v="2024"/>
    <n v="5"/>
    <n v="1"/>
  </r>
  <r>
    <s v="SHP-30423"/>
    <d v="2024-12-26T00:00:00"/>
    <s v="East"/>
    <s v="Kolkata"/>
    <s v="Local Hub"/>
    <s v="Standard"/>
    <s v="Weather"/>
    <s v="Low"/>
    <n v="2"/>
    <n v="4"/>
    <n v="2"/>
    <s v="Yes"/>
    <n v="79"/>
    <n v="2444"/>
    <n v="6952"/>
    <n v="0"/>
    <s v="No"/>
    <s v="Minor"/>
    <n v="3476"/>
    <n v="1222"/>
    <n v="2024"/>
    <n v="12"/>
    <n v="1"/>
  </r>
  <r>
    <s v="SHP-30424"/>
    <d v="2024-04-25T00:00:00"/>
    <s v="South"/>
    <s v="Bengaluru"/>
    <s v="Local Hub"/>
    <s v="Express"/>
    <s v="Documentation"/>
    <s v="High"/>
    <n v="2"/>
    <n v="10"/>
    <n v="8"/>
    <s v="Yes"/>
    <n v="311"/>
    <n v="11752"/>
    <n v="33040"/>
    <n v="0"/>
    <s v="No"/>
    <s v="Severe"/>
    <n v="4130"/>
    <n v="1469"/>
    <n v="2024"/>
    <n v="4"/>
    <n v="1"/>
  </r>
  <r>
    <s v="SHP-30425"/>
    <d v="2024-10-26T00:00:00"/>
    <s v="North"/>
    <s v="Delhi"/>
    <s v="Regional Hub"/>
    <s v="Express"/>
    <s v="Weather"/>
    <s v="High"/>
    <n v="2"/>
    <n v="8"/>
    <n v="6"/>
    <s v="Yes"/>
    <n v="475"/>
    <n v="6846"/>
    <n v="14190"/>
    <n v="0"/>
    <s v="No"/>
    <s v="Severe"/>
    <n v="2365"/>
    <n v="1141"/>
    <n v="2024"/>
    <n v="10"/>
    <n v="1"/>
  </r>
  <r>
    <s v="SHP-30426"/>
    <d v="2024-08-08T00:00:00"/>
    <s v="South"/>
    <s v="Bengaluru"/>
    <s v="Local Hub"/>
    <s v="Critical"/>
    <s v="Documentation"/>
    <s v="High"/>
    <n v="1"/>
    <n v="5"/>
    <n v="4"/>
    <s v="Yes"/>
    <n v="367"/>
    <n v="7612"/>
    <n v="10384"/>
    <n v="0"/>
    <s v="No"/>
    <s v="Major"/>
    <n v="2596"/>
    <n v="1903"/>
    <n v="2024"/>
    <n v="8"/>
    <n v="1"/>
  </r>
  <r>
    <s v="SHP-30427"/>
    <d v="2024-01-03T00:00:00"/>
    <s v="North"/>
    <s v="Delhi"/>
    <s v="Central Hub"/>
    <s v="Express"/>
    <s v="System"/>
    <s v="Medium"/>
    <n v="2"/>
    <n v="7"/>
    <n v="5"/>
    <s v="Yes"/>
    <n v="128"/>
    <n v="10455"/>
    <n v="24590"/>
    <n v="0"/>
    <s v="No"/>
    <s v="Major"/>
    <n v="4918"/>
    <n v="2091"/>
    <n v="2024"/>
    <n v="1"/>
    <n v="1"/>
  </r>
  <r>
    <s v="SHP-30428"/>
    <d v="2024-06-03T00:00:00"/>
    <s v="North"/>
    <s v="Noida"/>
    <s v="Central Hub"/>
    <s v="Express"/>
    <s v="Weather"/>
    <s v="Low"/>
    <n v="3"/>
    <n v="4"/>
    <n v="1"/>
    <s v="Yes"/>
    <n v="326"/>
    <n v="1891"/>
    <n v="1570"/>
    <n v="0"/>
    <s v="No"/>
    <s v="Minor"/>
    <n v="1570"/>
    <n v="1891"/>
    <n v="2024"/>
    <n v="6"/>
    <n v="1"/>
  </r>
  <r>
    <s v="SHP-30429"/>
    <d v="2024-12-25T00:00:00"/>
    <s v="East"/>
    <s v="Bhubaneswar"/>
    <s v="Regional Hub"/>
    <s v="Standard"/>
    <s v="Documentation"/>
    <s v="Low"/>
    <n v="1"/>
    <n v="6"/>
    <n v="5"/>
    <s v="Yes"/>
    <n v="449"/>
    <n v="9260"/>
    <n v="17805"/>
    <n v="0"/>
    <s v="No"/>
    <s v="Major"/>
    <n v="3561"/>
    <n v="1852"/>
    <n v="2024"/>
    <n v="12"/>
    <n v="1"/>
  </r>
  <r>
    <s v="SHP-30430"/>
    <d v="2024-01-09T00:00:00"/>
    <s v="North"/>
    <s v="Noida"/>
    <s v="Central Hub"/>
    <s v="Standard"/>
    <s v="System"/>
    <s v="Low"/>
    <n v="3"/>
    <n v="4"/>
    <n v="1"/>
    <s v="Yes"/>
    <n v="215"/>
    <n v="1257"/>
    <n v="3230"/>
    <n v="0"/>
    <s v="No"/>
    <s v="Minor"/>
    <n v="3230"/>
    <n v="1257"/>
    <n v="2024"/>
    <n v="1"/>
    <n v="1"/>
  </r>
  <r>
    <s v="SHP-30431"/>
    <d v="2024-02-20T00:00:00"/>
    <s v="East"/>
    <s v="Kolkata"/>
    <s v="Regional Hub"/>
    <s v="Standard"/>
    <s v="Capacity"/>
    <s v="Low"/>
    <n v="3"/>
    <n v="6"/>
    <n v="3"/>
    <s v="Yes"/>
    <n v="332"/>
    <n v="7317"/>
    <n v="5832"/>
    <n v="0"/>
    <s v="No"/>
    <s v="Major"/>
    <n v="1944"/>
    <n v="2439"/>
    <n v="2024"/>
    <n v="2"/>
    <n v="1"/>
  </r>
  <r>
    <s v="SHP-30432"/>
    <d v="2024-09-10T00:00:00"/>
    <s v="West"/>
    <s v="Mumbai"/>
    <s v="Central Hub"/>
    <s v="Critical"/>
    <s v="Routing"/>
    <s v="Medium"/>
    <n v="2"/>
    <n v="8"/>
    <n v="6"/>
    <s v="Yes"/>
    <n v="228"/>
    <n v="6354"/>
    <n v="16392"/>
    <n v="0"/>
    <s v="No"/>
    <s v="Severe"/>
    <n v="2732"/>
    <n v="1059"/>
    <n v="2024"/>
    <n v="9"/>
    <n v="1"/>
  </r>
  <r>
    <s v="SHP-30433"/>
    <d v="2024-12-30T00:00:00"/>
    <s v="North"/>
    <s v="Noida"/>
    <s v="Regional Hub"/>
    <s v="Standard"/>
    <s v="Capacity"/>
    <s v="Low"/>
    <n v="2"/>
    <n v="7"/>
    <n v="5"/>
    <s v="Yes"/>
    <n v="60"/>
    <n v="10225"/>
    <n v="14090"/>
    <n v="0"/>
    <s v="No"/>
    <s v="Major"/>
    <n v="2818"/>
    <n v="2045"/>
    <n v="2024"/>
    <n v="12"/>
    <n v="1"/>
  </r>
  <r>
    <s v="SHP-30434"/>
    <d v="2024-11-12T00:00:00"/>
    <s v="East"/>
    <s v="Bhubaneswar"/>
    <s v="Local Hub"/>
    <s v="Express"/>
    <s v="Documentation"/>
    <s v="Low"/>
    <n v="2"/>
    <n v="6"/>
    <n v="4"/>
    <s v="Yes"/>
    <n v="92"/>
    <n v="8316"/>
    <n v="12568"/>
    <n v="0"/>
    <s v="No"/>
    <s v="Major"/>
    <n v="3142"/>
    <n v="2079"/>
    <n v="2024"/>
    <n v="11"/>
    <n v="1"/>
  </r>
  <r>
    <s v="SHP-30435"/>
    <d v="2024-02-03T00:00:00"/>
    <s v="North"/>
    <s v="Noida"/>
    <s v="Regional Hub"/>
    <s v="Standard"/>
    <s v="Capacity"/>
    <s v="High"/>
    <n v="2"/>
    <n v="4"/>
    <n v="2"/>
    <s v="Yes"/>
    <n v="79"/>
    <n v="4714"/>
    <n v="3890"/>
    <n v="0"/>
    <s v="No"/>
    <s v="Minor"/>
    <n v="1945"/>
    <n v="2357"/>
    <n v="2024"/>
    <n v="2"/>
    <n v="1"/>
  </r>
  <r>
    <s v="SHP-30436"/>
    <d v="2024-11-05T00:00:00"/>
    <s v="North"/>
    <s v="Noida"/>
    <s v="Central Hub"/>
    <s v="Critical"/>
    <s v="Weather"/>
    <s v="Low"/>
    <n v="3"/>
    <n v="8"/>
    <n v="5"/>
    <s v="Yes"/>
    <n v="218"/>
    <n v="10240"/>
    <n v="9875"/>
    <n v="0"/>
    <s v="No"/>
    <s v="Major"/>
    <n v="1975"/>
    <n v="2048"/>
    <n v="2024"/>
    <n v="11"/>
    <n v="1"/>
  </r>
  <r>
    <s v="SHP-30437"/>
    <d v="2024-10-24T00:00:00"/>
    <s v="North"/>
    <s v="Delhi"/>
    <s v="Central Hub"/>
    <s v="Standard"/>
    <s v="Capacity"/>
    <s v="Medium"/>
    <n v="1"/>
    <n v="5"/>
    <n v="4"/>
    <s v="Yes"/>
    <n v="341"/>
    <n v="5700"/>
    <n v="12968"/>
    <n v="0"/>
    <s v="No"/>
    <s v="Major"/>
    <n v="3242"/>
    <n v="1425"/>
    <n v="2024"/>
    <n v="10"/>
    <n v="1"/>
  </r>
  <r>
    <s v="SHP-30438"/>
    <d v="2024-04-29T00:00:00"/>
    <s v="East"/>
    <s v="Kolkata"/>
    <s v="Regional Hub"/>
    <s v="Express"/>
    <s v="Documentation"/>
    <s v="Medium"/>
    <n v="2"/>
    <n v="5"/>
    <n v="3"/>
    <s v="Yes"/>
    <n v="176"/>
    <n v="6669"/>
    <n v="5832"/>
    <n v="0"/>
    <s v="No"/>
    <s v="Major"/>
    <n v="1944"/>
    <n v="2223"/>
    <n v="2024"/>
    <n v="4"/>
    <n v="1"/>
  </r>
  <r>
    <s v="SHP-30439"/>
    <d v="2024-01-27T00:00:00"/>
    <s v="West"/>
    <s v="Pune"/>
    <s v="Regional Hub"/>
    <s v="Standard"/>
    <s v="Weather"/>
    <s v="Medium"/>
    <n v="2"/>
    <n v="6"/>
    <n v="4"/>
    <s v="Yes"/>
    <n v="99"/>
    <n v="5480"/>
    <n v="12796"/>
    <n v="0"/>
    <s v="No"/>
    <s v="Major"/>
    <n v="3199"/>
    <n v="1370"/>
    <n v="2024"/>
    <n v="1"/>
    <n v="1"/>
  </r>
  <r>
    <s v="SHP-30440"/>
    <d v="2024-02-06T00:00:00"/>
    <s v="East"/>
    <s v="Bhubaneswar"/>
    <s v="Central Hub"/>
    <s v="Critical"/>
    <s v="Documentation"/>
    <s v="High"/>
    <n v="2"/>
    <n v="8"/>
    <n v="6"/>
    <s v="Yes"/>
    <n v="320"/>
    <n v="11982"/>
    <n v="10038"/>
    <n v="0"/>
    <s v="No"/>
    <s v="Severe"/>
    <n v="1673"/>
    <n v="1997"/>
    <n v="2024"/>
    <n v="2"/>
    <n v="1"/>
  </r>
  <r>
    <s v="SHP-30441"/>
    <d v="2024-03-13T00:00:00"/>
    <s v="North"/>
    <s v="Noida"/>
    <s v="Local Hub"/>
    <s v="Standard"/>
    <s v="Routing"/>
    <s v="Medium"/>
    <n v="5"/>
    <n v="9"/>
    <n v="4"/>
    <s v="Yes"/>
    <n v="217"/>
    <n v="6280"/>
    <n v="11108"/>
    <n v="0"/>
    <s v="No"/>
    <s v="Major"/>
    <n v="2777"/>
    <n v="1570"/>
    <n v="2024"/>
    <n v="3"/>
    <n v="1"/>
  </r>
  <r>
    <s v="SHP-30442"/>
    <d v="2024-01-08T00:00:00"/>
    <s v="North"/>
    <s v="Noida"/>
    <s v="Regional Hub"/>
    <s v="Express"/>
    <s v="Capacity"/>
    <s v="High"/>
    <n v="3"/>
    <n v="9"/>
    <n v="6"/>
    <s v="Yes"/>
    <n v="210"/>
    <n v="13260"/>
    <n v="25392"/>
    <n v="0"/>
    <s v="No"/>
    <s v="Severe"/>
    <n v="4232"/>
    <n v="2210"/>
    <n v="2024"/>
    <n v="1"/>
    <n v="1"/>
  </r>
  <r>
    <s v="SHP-30443"/>
    <d v="2024-03-15T00:00:00"/>
    <s v="South"/>
    <s v="Bengaluru"/>
    <s v="Regional Hub"/>
    <s v="Standard"/>
    <s v="Documentation"/>
    <s v="High"/>
    <n v="3"/>
    <n v="7"/>
    <n v="4"/>
    <s v="Yes"/>
    <n v="221"/>
    <n v="3980"/>
    <n v="17820"/>
    <n v="0"/>
    <s v="No"/>
    <s v="Major"/>
    <n v="4455"/>
    <n v="995"/>
    <n v="2024"/>
    <n v="3"/>
    <n v="1"/>
  </r>
  <r>
    <s v="SHP-30444"/>
    <d v="2024-01-15T00:00:00"/>
    <s v="North"/>
    <s v="Delhi"/>
    <s v="Local Hub"/>
    <s v="Critical"/>
    <s v="Capacity"/>
    <s v="Medium"/>
    <n v="2"/>
    <n v="3"/>
    <n v="1"/>
    <s v="Yes"/>
    <n v="82"/>
    <n v="1011"/>
    <n v="3264"/>
    <n v="0"/>
    <s v="No"/>
    <s v="Minor"/>
    <n v="3264"/>
    <n v="1011"/>
    <n v="2024"/>
    <n v="1"/>
    <n v="1"/>
  </r>
  <r>
    <s v="SHP-30445"/>
    <d v="2024-03-04T00:00:00"/>
    <s v="South"/>
    <s v="Chennai"/>
    <s v="Central Hub"/>
    <s v="Standard"/>
    <s v="Weather"/>
    <s v="Low"/>
    <n v="1"/>
    <n v="2"/>
    <n v="1"/>
    <s v="Yes"/>
    <n v="273"/>
    <n v="1117"/>
    <n v="3733"/>
    <n v="0"/>
    <s v="No"/>
    <s v="Minor"/>
    <n v="3733"/>
    <n v="1117"/>
    <n v="2024"/>
    <n v="3"/>
    <n v="1"/>
  </r>
  <r>
    <s v="SHP-30446"/>
    <d v="2024-05-15T00:00:00"/>
    <s v="North"/>
    <s v="Noida"/>
    <s v="Local Hub"/>
    <s v="Express"/>
    <s v="Documentation"/>
    <s v="Low"/>
    <n v="3"/>
    <n v="6"/>
    <n v="3"/>
    <s v="Yes"/>
    <n v="434"/>
    <n v="7227"/>
    <n v="5895"/>
    <n v="0"/>
    <s v="No"/>
    <s v="Major"/>
    <n v="1965"/>
    <n v="2409"/>
    <n v="2024"/>
    <n v="5"/>
    <n v="1"/>
  </r>
  <r>
    <s v="SHP-30447"/>
    <d v="2024-11-05T00:00:00"/>
    <s v="West"/>
    <s v="Mumbai"/>
    <s v="Local Hub"/>
    <s v="Express"/>
    <s v="Routing"/>
    <s v="Low"/>
    <n v="1"/>
    <n v="6"/>
    <n v="5"/>
    <s v="Yes"/>
    <n v="155"/>
    <n v="10395"/>
    <n v="23305"/>
    <n v="0"/>
    <s v="No"/>
    <s v="Major"/>
    <n v="4661"/>
    <n v="2079"/>
    <n v="2024"/>
    <n v="11"/>
    <n v="1"/>
  </r>
  <r>
    <s v="SHP-30448"/>
    <d v="2024-10-17T00:00:00"/>
    <s v="North"/>
    <s v="Noida"/>
    <s v="Regional Hub"/>
    <s v="Standard"/>
    <s v="Documentation"/>
    <s v="High"/>
    <n v="1"/>
    <n v="4"/>
    <n v="3"/>
    <s v="Yes"/>
    <n v="139"/>
    <n v="7353"/>
    <n v="13560"/>
    <n v="0"/>
    <s v="No"/>
    <s v="Major"/>
    <n v="4520"/>
    <n v="2451"/>
    <n v="2024"/>
    <n v="10"/>
    <n v="1"/>
  </r>
  <r>
    <s v="SHP-30449"/>
    <d v="2024-04-08T00:00:00"/>
    <s v="West"/>
    <s v="Pune"/>
    <s v="Central Hub"/>
    <s v="Standard"/>
    <s v="Documentation"/>
    <s v="Medium"/>
    <n v="1"/>
    <n v="6"/>
    <n v="5"/>
    <s v="Yes"/>
    <n v="432"/>
    <n v="11230"/>
    <n v="22430"/>
    <n v="0"/>
    <s v="No"/>
    <s v="Major"/>
    <n v="4486"/>
    <n v="2246"/>
    <n v="2024"/>
    <n v="4"/>
    <n v="1"/>
  </r>
  <r>
    <s v="SHP-30450"/>
    <d v="2024-07-20T00:00:00"/>
    <s v="West"/>
    <s v="Mumbai"/>
    <s v="Local Hub"/>
    <s v="Standard"/>
    <s v="Routing"/>
    <s v="Medium"/>
    <n v="2"/>
    <n v="3"/>
    <n v="1"/>
    <s v="Yes"/>
    <n v="213"/>
    <n v="2213"/>
    <n v="4347"/>
    <n v="0"/>
    <s v="No"/>
    <s v="Minor"/>
    <n v="4347"/>
    <n v="2213"/>
    <n v="2024"/>
    <n v="7"/>
    <n v="1"/>
  </r>
  <r>
    <s v="SHP-30451"/>
    <d v="2024-06-12T00:00:00"/>
    <s v="East"/>
    <s v="Kolkata"/>
    <s v="Local Hub"/>
    <s v="Standard"/>
    <s v="Capacity"/>
    <s v="Low"/>
    <n v="5"/>
    <n v="6"/>
    <n v="1"/>
    <s v="Yes"/>
    <n v="485"/>
    <n v="1381"/>
    <n v="4605"/>
    <n v="0"/>
    <s v="No"/>
    <s v="Minor"/>
    <n v="4605"/>
    <n v="1381"/>
    <n v="2024"/>
    <n v="6"/>
    <n v="1"/>
  </r>
  <r>
    <s v="SHP-30452"/>
    <d v="2024-06-15T00:00:00"/>
    <s v="West"/>
    <s v="Mumbai"/>
    <s v="Central Hub"/>
    <s v="Express"/>
    <s v="Weather"/>
    <s v="Low"/>
    <n v="3"/>
    <n v="7"/>
    <n v="4"/>
    <s v="Yes"/>
    <n v="441"/>
    <n v="5312"/>
    <n v="16812"/>
    <n v="0"/>
    <s v="No"/>
    <s v="Major"/>
    <n v="4203"/>
    <n v="1328"/>
    <n v="2024"/>
    <n v="6"/>
    <n v="1"/>
  </r>
  <r>
    <s v="SHP-30453"/>
    <d v="2024-01-07T00:00:00"/>
    <s v="West"/>
    <s v="Mumbai"/>
    <s v="Local Hub"/>
    <s v="Standard"/>
    <s v="Weather"/>
    <s v="Low"/>
    <n v="5"/>
    <n v="7"/>
    <n v="2"/>
    <s v="Yes"/>
    <n v="319"/>
    <n v="2066"/>
    <n v="7512"/>
    <n v="0"/>
    <s v="No"/>
    <s v="Minor"/>
    <n v="3756"/>
    <n v="1033"/>
    <n v="2024"/>
    <n v="1"/>
    <n v="1"/>
  </r>
  <r>
    <s v="SHP-30454"/>
    <d v="2024-05-26T00:00:00"/>
    <s v="North"/>
    <s v="Noida"/>
    <s v="Regional Hub"/>
    <s v="Standard"/>
    <s v="Routing"/>
    <s v="Low"/>
    <n v="2"/>
    <n v="4"/>
    <n v="2"/>
    <s v="Yes"/>
    <n v="455"/>
    <n v="4406"/>
    <n v="7694"/>
    <n v="0"/>
    <s v="No"/>
    <s v="Minor"/>
    <n v="3847"/>
    <n v="2203"/>
    <n v="2024"/>
    <n v="5"/>
    <n v="1"/>
  </r>
  <r>
    <s v="SHP-30455"/>
    <d v="2024-09-19T00:00:00"/>
    <s v="North"/>
    <s v="Delhi"/>
    <s v="Local Hub"/>
    <s v="Express"/>
    <s v="System"/>
    <s v="Low"/>
    <n v="1"/>
    <n v="3"/>
    <n v="2"/>
    <s v="Yes"/>
    <n v="303"/>
    <n v="4696"/>
    <n v="9170"/>
    <n v="0"/>
    <s v="No"/>
    <s v="Minor"/>
    <n v="4585"/>
    <n v="2348"/>
    <n v="2024"/>
    <n v="9"/>
    <n v="1"/>
  </r>
  <r>
    <s v="SHP-30456"/>
    <d v="2024-06-04T00:00:00"/>
    <s v="East"/>
    <s v="Kolkata"/>
    <s v="Local Hub"/>
    <s v="Critical"/>
    <s v="Weather"/>
    <s v="Low"/>
    <n v="2"/>
    <n v="4"/>
    <n v="2"/>
    <s v="Yes"/>
    <n v="274"/>
    <n v="3946"/>
    <n v="8216"/>
    <n v="0"/>
    <s v="No"/>
    <s v="Minor"/>
    <n v="4108"/>
    <n v="1973"/>
    <n v="2024"/>
    <n v="6"/>
    <n v="1"/>
  </r>
  <r>
    <s v="SHP-30457"/>
    <d v="2024-08-14T00:00:00"/>
    <s v="East"/>
    <s v="Kolkata"/>
    <s v="Local Hub"/>
    <s v="Standard"/>
    <s v="Capacity"/>
    <s v="Medium"/>
    <n v="1"/>
    <n v="6"/>
    <n v="5"/>
    <s v="Yes"/>
    <n v="491"/>
    <n v="9485"/>
    <n v="10310"/>
    <n v="0"/>
    <s v="No"/>
    <s v="Major"/>
    <n v="2062"/>
    <n v="1897"/>
    <n v="2024"/>
    <n v="8"/>
    <n v="1"/>
  </r>
  <r>
    <s v="SHP-30458"/>
    <d v="2024-06-17T00:00:00"/>
    <s v="South"/>
    <s v="Chennai"/>
    <s v="Regional Hub"/>
    <s v="Critical"/>
    <s v="Capacity"/>
    <s v="Low"/>
    <n v="2"/>
    <n v="6"/>
    <n v="4"/>
    <s v="Yes"/>
    <n v="428"/>
    <n v="4416"/>
    <n v="10464"/>
    <n v="0"/>
    <s v="No"/>
    <s v="Major"/>
    <n v="2616"/>
    <n v="1104"/>
    <n v="2024"/>
    <n v="6"/>
    <n v="1"/>
  </r>
  <r>
    <s v="SHP-30459"/>
    <d v="2024-09-04T00:00:00"/>
    <s v="East"/>
    <s v="Bhubaneswar"/>
    <s v="Regional Hub"/>
    <s v="Standard"/>
    <s v="Weather"/>
    <s v="Low"/>
    <n v="1"/>
    <n v="2"/>
    <n v="1"/>
    <s v="Yes"/>
    <n v="417"/>
    <n v="1881"/>
    <n v="4922"/>
    <n v="0"/>
    <s v="No"/>
    <s v="Minor"/>
    <n v="4922"/>
    <n v="1881"/>
    <n v="2024"/>
    <n v="9"/>
    <n v="1"/>
  </r>
  <r>
    <s v="SHP-30460"/>
    <d v="2024-04-05T00:00:00"/>
    <s v="East"/>
    <s v="Kolkata"/>
    <s v="Local Hub"/>
    <s v="Standard"/>
    <s v="Weather"/>
    <s v="Medium"/>
    <n v="3"/>
    <n v="3"/>
    <n v="0"/>
    <s v="No"/>
    <n v="351"/>
    <n v="0"/>
    <n v="0"/>
    <n v="1"/>
    <s v="No"/>
    <s v="On Time"/>
    <n v="0"/>
    <n v="0"/>
    <n v="2024"/>
    <n v="4"/>
    <n v="0"/>
  </r>
  <r>
    <s v="SHP-30461"/>
    <d v="2024-11-19T00:00:00"/>
    <s v="West"/>
    <s v="Pune"/>
    <s v="Regional Hub"/>
    <s v="Standard"/>
    <s v="Documentation"/>
    <s v="Low"/>
    <n v="2"/>
    <n v="3"/>
    <n v="1"/>
    <s v="Yes"/>
    <n v="492"/>
    <n v="1749"/>
    <n v="4937"/>
    <n v="0"/>
    <s v="No"/>
    <s v="Minor"/>
    <n v="4937"/>
    <n v="1749"/>
    <n v="2024"/>
    <n v="11"/>
    <n v="1"/>
  </r>
  <r>
    <s v="SHP-30462"/>
    <d v="2024-07-11T00:00:00"/>
    <s v="West"/>
    <s v="Mumbai"/>
    <s v="Central Hub"/>
    <s v="Critical"/>
    <s v="Routing"/>
    <s v="High"/>
    <n v="3"/>
    <n v="12"/>
    <n v="9"/>
    <s v="Yes"/>
    <n v="430"/>
    <n v="19557"/>
    <n v="41085"/>
    <n v="0"/>
    <s v="No"/>
    <s v="Severe"/>
    <n v="4565"/>
    <n v="2173"/>
    <n v="2024"/>
    <n v="7"/>
    <n v="1"/>
  </r>
  <r>
    <s v="SHP-30463"/>
    <d v="2024-07-22T00:00:00"/>
    <s v="West"/>
    <s v="Pune"/>
    <s v="Central Hub"/>
    <s v="Critical"/>
    <s v="Capacity"/>
    <s v="Medium"/>
    <n v="3"/>
    <n v="7"/>
    <n v="4"/>
    <s v="Yes"/>
    <n v="185"/>
    <n v="8704"/>
    <n v="16348"/>
    <n v="0"/>
    <s v="No"/>
    <s v="Major"/>
    <n v="4087"/>
    <n v="2176"/>
    <n v="2024"/>
    <n v="7"/>
    <n v="1"/>
  </r>
  <r>
    <s v="SHP-30464"/>
    <d v="2024-08-01T00:00:00"/>
    <s v="South"/>
    <s v="Bengaluru"/>
    <s v="Central Hub"/>
    <s v="Express"/>
    <s v="Weather"/>
    <s v="Low"/>
    <n v="1"/>
    <n v="5"/>
    <n v="4"/>
    <s v="Yes"/>
    <n v="413"/>
    <n v="6172"/>
    <n v="17768"/>
    <n v="0"/>
    <s v="No"/>
    <s v="Major"/>
    <n v="4442"/>
    <n v="1543"/>
    <n v="2024"/>
    <n v="8"/>
    <n v="1"/>
  </r>
  <r>
    <s v="SHP-30465"/>
    <d v="2024-04-02T00:00:00"/>
    <s v="South"/>
    <s v="Chennai"/>
    <s v="Central Hub"/>
    <s v="Critical"/>
    <s v="System"/>
    <s v="Low"/>
    <n v="1"/>
    <n v="5"/>
    <n v="4"/>
    <s v="Yes"/>
    <n v="423"/>
    <n v="4512"/>
    <n v="7364"/>
    <n v="0"/>
    <s v="No"/>
    <s v="Major"/>
    <n v="1841"/>
    <n v="1128"/>
    <n v="2024"/>
    <n v="4"/>
    <n v="1"/>
  </r>
  <r>
    <s v="SHP-30466"/>
    <d v="2024-04-22T00:00:00"/>
    <s v="North"/>
    <s v="Noida"/>
    <s v="Local Hub"/>
    <s v="Standard"/>
    <s v="Routing"/>
    <s v="High"/>
    <n v="2"/>
    <n v="6"/>
    <n v="4"/>
    <s v="Yes"/>
    <n v="494"/>
    <n v="7672"/>
    <n v="17528"/>
    <n v="0"/>
    <s v="No"/>
    <s v="Major"/>
    <n v="4382"/>
    <n v="1918"/>
    <n v="2024"/>
    <n v="4"/>
    <n v="1"/>
  </r>
  <r>
    <s v="SHP-30467"/>
    <d v="2024-06-16T00:00:00"/>
    <s v="East"/>
    <s v="Bhubaneswar"/>
    <s v="Regional Hub"/>
    <s v="Express"/>
    <s v="Capacity"/>
    <s v="High"/>
    <n v="1"/>
    <n v="5"/>
    <n v="4"/>
    <s v="Yes"/>
    <n v="309"/>
    <n v="7260"/>
    <n v="17608"/>
    <n v="0"/>
    <s v="No"/>
    <s v="Major"/>
    <n v="4402"/>
    <n v="1815"/>
    <n v="2024"/>
    <n v="6"/>
    <n v="1"/>
  </r>
  <r>
    <s v="SHP-30468"/>
    <d v="2024-04-22T00:00:00"/>
    <s v="South"/>
    <s v="Chennai"/>
    <s v="Regional Hub"/>
    <s v="Standard"/>
    <s v="Documentation"/>
    <s v="Low"/>
    <n v="1"/>
    <n v="1"/>
    <n v="0"/>
    <s v="No"/>
    <n v="125"/>
    <n v="0"/>
    <n v="0"/>
    <n v="1"/>
    <s v="No"/>
    <s v="On Time"/>
    <n v="0"/>
    <n v="0"/>
    <n v="2024"/>
    <n v="4"/>
    <n v="0"/>
  </r>
  <r>
    <s v="SHP-30469"/>
    <d v="2024-10-11T00:00:00"/>
    <s v="South"/>
    <s v="Chennai"/>
    <s v="Central Hub"/>
    <s v="Express"/>
    <s v="Weather"/>
    <s v="Medium"/>
    <n v="2"/>
    <n v="7"/>
    <n v="5"/>
    <s v="Yes"/>
    <n v="268"/>
    <n v="11830"/>
    <n v="24545"/>
    <n v="0"/>
    <s v="No"/>
    <s v="Major"/>
    <n v="4909"/>
    <n v="2366"/>
    <n v="2024"/>
    <n v="10"/>
    <n v="1"/>
  </r>
  <r>
    <s v="SHP-30470"/>
    <d v="2024-02-04T00:00:00"/>
    <s v="North"/>
    <s v="Noida"/>
    <s v="Local Hub"/>
    <s v="Express"/>
    <s v="Capacity"/>
    <s v="Medium"/>
    <n v="2"/>
    <n v="4"/>
    <n v="2"/>
    <s v="Yes"/>
    <n v="147"/>
    <n v="2552"/>
    <n v="6882"/>
    <n v="0"/>
    <s v="No"/>
    <s v="Minor"/>
    <n v="3441"/>
    <n v="1276"/>
    <n v="2024"/>
    <n v="2"/>
    <n v="1"/>
  </r>
  <r>
    <s v="SHP-30471"/>
    <d v="2024-07-17T00:00:00"/>
    <s v="North"/>
    <s v="Delhi"/>
    <s v="Regional Hub"/>
    <s v="Standard"/>
    <s v="Routing"/>
    <s v="High"/>
    <n v="1"/>
    <n v="8"/>
    <n v="7"/>
    <s v="Yes"/>
    <n v="171"/>
    <n v="13349"/>
    <n v="11039"/>
    <n v="0"/>
    <s v="No"/>
    <s v="Severe"/>
    <n v="1577"/>
    <n v="1907"/>
    <n v="2024"/>
    <n v="7"/>
    <n v="1"/>
  </r>
  <r>
    <s v="SHP-30472"/>
    <d v="2024-04-07T00:00:00"/>
    <s v="North"/>
    <s v="Delhi"/>
    <s v="Regional Hub"/>
    <s v="Standard"/>
    <s v="Routing"/>
    <s v="Medium"/>
    <n v="2"/>
    <n v="4"/>
    <n v="2"/>
    <s v="Yes"/>
    <n v="466"/>
    <n v="3898"/>
    <n v="7980"/>
    <n v="0"/>
    <s v="No"/>
    <s v="Minor"/>
    <n v="3990"/>
    <n v="1949"/>
    <n v="2024"/>
    <n v="4"/>
    <n v="1"/>
  </r>
  <r>
    <s v="SHP-30473"/>
    <d v="2024-01-14T00:00:00"/>
    <s v="East"/>
    <s v="Kolkata"/>
    <s v="Regional Hub"/>
    <s v="Standard"/>
    <s v="Documentation"/>
    <s v="Low"/>
    <n v="3"/>
    <n v="3"/>
    <n v="0"/>
    <s v="No"/>
    <n v="175"/>
    <n v="0"/>
    <n v="0"/>
    <n v="1"/>
    <s v="No"/>
    <s v="On Time"/>
    <n v="0"/>
    <n v="0"/>
    <n v="2024"/>
    <n v="1"/>
    <n v="0"/>
  </r>
  <r>
    <s v="SHP-30474"/>
    <d v="2024-06-21T00:00:00"/>
    <s v="South"/>
    <s v="Bengaluru"/>
    <s v="Local Hub"/>
    <s v="Critical"/>
    <s v="Capacity"/>
    <s v="Low"/>
    <n v="5"/>
    <n v="8"/>
    <n v="3"/>
    <s v="Yes"/>
    <n v="258"/>
    <n v="6435"/>
    <n v="10137"/>
    <n v="0"/>
    <s v="No"/>
    <s v="Major"/>
    <n v="3379"/>
    <n v="2145"/>
    <n v="2024"/>
    <n v="6"/>
    <n v="1"/>
  </r>
  <r>
    <s v="SHP-30475"/>
    <d v="2024-11-05T00:00:00"/>
    <s v="West"/>
    <s v="Mumbai"/>
    <s v="Local Hub"/>
    <s v="Express"/>
    <s v="Capacity"/>
    <s v="Medium"/>
    <n v="2"/>
    <n v="4"/>
    <n v="2"/>
    <s v="Yes"/>
    <n v="302"/>
    <n v="3252"/>
    <n v="6052"/>
    <n v="0"/>
    <s v="No"/>
    <s v="Minor"/>
    <n v="3026"/>
    <n v="1626"/>
    <n v="2024"/>
    <n v="11"/>
    <n v="1"/>
  </r>
  <r>
    <s v="SHP-30476"/>
    <d v="2024-09-16T00:00:00"/>
    <s v="South"/>
    <s v="Chennai"/>
    <s v="Local Hub"/>
    <s v="Critical"/>
    <s v="Weather"/>
    <s v="Medium"/>
    <n v="3"/>
    <n v="9"/>
    <n v="6"/>
    <s v="Yes"/>
    <n v="304"/>
    <n v="10170"/>
    <n v="25794"/>
    <n v="0"/>
    <s v="No"/>
    <s v="Severe"/>
    <n v="4299"/>
    <n v="1695"/>
    <n v="2024"/>
    <n v="9"/>
    <n v="1"/>
  </r>
  <r>
    <s v="SHP-30477"/>
    <d v="2024-04-05T00:00:00"/>
    <s v="West"/>
    <s v="Mumbai"/>
    <s v="Local Hub"/>
    <s v="Standard"/>
    <s v="Capacity"/>
    <s v="Medium"/>
    <n v="3"/>
    <n v="6"/>
    <n v="3"/>
    <s v="Yes"/>
    <n v="468"/>
    <n v="3444"/>
    <n v="14559"/>
    <n v="0"/>
    <s v="No"/>
    <s v="Major"/>
    <n v="4853"/>
    <n v="1148"/>
    <n v="2024"/>
    <n v="4"/>
    <n v="1"/>
  </r>
  <r>
    <s v="SHP-30478"/>
    <d v="2024-09-12T00:00:00"/>
    <s v="East"/>
    <s v="Bhubaneswar"/>
    <s v="Central Hub"/>
    <s v="Critical"/>
    <s v="Weather"/>
    <s v="High"/>
    <n v="3"/>
    <n v="9"/>
    <n v="6"/>
    <s v="Yes"/>
    <n v="157"/>
    <n v="8772"/>
    <n v="18330"/>
    <n v="0"/>
    <s v="No"/>
    <s v="Severe"/>
    <n v="3055"/>
    <n v="1462"/>
    <n v="2024"/>
    <n v="9"/>
    <n v="1"/>
  </r>
  <r>
    <s v="SHP-30479"/>
    <d v="2024-07-10T00:00:00"/>
    <s v="North"/>
    <s v="Noida"/>
    <s v="Central Hub"/>
    <s v="Express"/>
    <s v="Capacity"/>
    <s v="Low"/>
    <n v="1"/>
    <n v="1"/>
    <n v="0"/>
    <s v="No"/>
    <n v="181"/>
    <n v="0"/>
    <n v="0"/>
    <n v="1"/>
    <s v="No"/>
    <s v="On Time"/>
    <n v="0"/>
    <n v="0"/>
    <n v="2024"/>
    <n v="7"/>
    <n v="0"/>
  </r>
  <r>
    <s v="SHP-30480"/>
    <d v="2024-05-06T00:00:00"/>
    <s v="South"/>
    <s v="Bengaluru"/>
    <s v="Local Hub"/>
    <s v="Critical"/>
    <s v="Weather"/>
    <s v="High"/>
    <n v="2"/>
    <n v="9"/>
    <n v="7"/>
    <s v="Yes"/>
    <n v="388"/>
    <n v="14259"/>
    <n v="11109"/>
    <n v="0"/>
    <s v="No"/>
    <s v="Severe"/>
    <n v="1587"/>
    <n v="2037"/>
    <n v="2024"/>
    <n v="5"/>
    <n v="1"/>
  </r>
  <r>
    <s v="SHP-30481"/>
    <d v="2024-11-20T00:00:00"/>
    <s v="West"/>
    <s v="Mumbai"/>
    <s v="Local Hub"/>
    <s v="Express"/>
    <s v="Capacity"/>
    <s v="High"/>
    <n v="2"/>
    <n v="10"/>
    <n v="8"/>
    <s v="Yes"/>
    <n v="447"/>
    <n v="11856"/>
    <n v="28152"/>
    <n v="0"/>
    <s v="No"/>
    <s v="Severe"/>
    <n v="3519"/>
    <n v="1482"/>
    <n v="2024"/>
    <n v="11"/>
    <n v="1"/>
  </r>
  <r>
    <s v="SHP-30482"/>
    <d v="2024-01-02T00:00:00"/>
    <s v="North"/>
    <s v="Delhi"/>
    <s v="Central Hub"/>
    <s v="Express"/>
    <s v="Routing"/>
    <s v="Medium"/>
    <n v="2"/>
    <n v="6"/>
    <n v="4"/>
    <s v="Yes"/>
    <n v="242"/>
    <n v="4952"/>
    <n v="19256"/>
    <n v="0"/>
    <s v="No"/>
    <s v="Major"/>
    <n v="4814"/>
    <n v="1238"/>
    <n v="2024"/>
    <n v="1"/>
    <n v="1"/>
  </r>
  <r>
    <s v="SHP-30483"/>
    <d v="2024-08-07T00:00:00"/>
    <s v="South"/>
    <s v="Chennai"/>
    <s v="Regional Hub"/>
    <s v="Standard"/>
    <s v="Routing"/>
    <s v="Medium"/>
    <n v="2"/>
    <n v="7"/>
    <n v="5"/>
    <s v="Yes"/>
    <n v="167"/>
    <n v="9600"/>
    <n v="20725"/>
    <n v="0"/>
    <s v="No"/>
    <s v="Major"/>
    <n v="4145"/>
    <n v="1920"/>
    <n v="2024"/>
    <n v="8"/>
    <n v="1"/>
  </r>
  <r>
    <s v="SHP-30484"/>
    <d v="2024-06-27T00:00:00"/>
    <s v="South"/>
    <s v="Bengaluru"/>
    <s v="Local Hub"/>
    <s v="Express"/>
    <s v="Routing"/>
    <s v="Medium"/>
    <n v="2"/>
    <n v="3"/>
    <n v="1"/>
    <s v="Yes"/>
    <n v="210"/>
    <n v="2108"/>
    <n v="2415"/>
    <n v="0"/>
    <s v="No"/>
    <s v="Minor"/>
    <n v="2415"/>
    <n v="2108"/>
    <n v="2024"/>
    <n v="6"/>
    <n v="1"/>
  </r>
  <r>
    <s v="SHP-30485"/>
    <d v="2024-03-17T00:00:00"/>
    <s v="South"/>
    <s v="Chennai"/>
    <s v="Regional Hub"/>
    <s v="Standard"/>
    <s v="Capacity"/>
    <s v="Medium"/>
    <n v="3"/>
    <n v="4"/>
    <n v="1"/>
    <s v="Yes"/>
    <n v="333"/>
    <n v="1963"/>
    <n v="2613"/>
    <n v="0"/>
    <s v="No"/>
    <s v="Minor"/>
    <n v="2613"/>
    <n v="1963"/>
    <n v="2024"/>
    <n v="3"/>
    <n v="1"/>
  </r>
  <r>
    <s v="SHP-30486"/>
    <d v="2024-10-27T00:00:00"/>
    <s v="South"/>
    <s v="Bengaluru"/>
    <s v="Regional Hub"/>
    <s v="Standard"/>
    <s v="Documentation"/>
    <s v="Medium"/>
    <n v="2"/>
    <n v="7"/>
    <n v="5"/>
    <s v="Yes"/>
    <n v="484"/>
    <n v="7585"/>
    <n v="9340"/>
    <n v="0"/>
    <s v="No"/>
    <s v="Major"/>
    <n v="1868"/>
    <n v="1517"/>
    <n v="2024"/>
    <n v="10"/>
    <n v="1"/>
  </r>
  <r>
    <s v="SHP-30487"/>
    <d v="2024-05-29T00:00:00"/>
    <s v="South"/>
    <s v="Chennai"/>
    <s v="Central Hub"/>
    <s v="Standard"/>
    <s v="Routing"/>
    <s v="Low"/>
    <n v="3"/>
    <n v="8"/>
    <n v="5"/>
    <s v="Yes"/>
    <n v="349"/>
    <n v="6090"/>
    <n v="24970"/>
    <n v="0"/>
    <s v="No"/>
    <s v="Major"/>
    <n v="4994"/>
    <n v="1218"/>
    <n v="2024"/>
    <n v="5"/>
    <n v="1"/>
  </r>
  <r>
    <s v="SHP-30488"/>
    <d v="2024-04-27T00:00:00"/>
    <s v="North"/>
    <s v="Noida"/>
    <s v="Central Hub"/>
    <s v="Express"/>
    <s v="Capacity"/>
    <s v="Low"/>
    <n v="2"/>
    <n v="6"/>
    <n v="4"/>
    <s v="Yes"/>
    <n v="478"/>
    <n v="7468"/>
    <n v="14072"/>
    <n v="0"/>
    <s v="No"/>
    <s v="Major"/>
    <n v="3518"/>
    <n v="1867"/>
    <n v="2024"/>
    <n v="4"/>
    <n v="1"/>
  </r>
  <r>
    <s v="SHP-30489"/>
    <d v="2024-03-13T00:00:00"/>
    <s v="North"/>
    <s v="Noida"/>
    <s v="Local Hub"/>
    <s v="Express"/>
    <s v="Weather"/>
    <s v="Low"/>
    <n v="3"/>
    <n v="5"/>
    <n v="2"/>
    <s v="Yes"/>
    <n v="425"/>
    <n v="2526"/>
    <n v="5282"/>
    <n v="0"/>
    <s v="No"/>
    <s v="Minor"/>
    <n v="2641"/>
    <n v="1263"/>
    <n v="2024"/>
    <n v="3"/>
    <n v="1"/>
  </r>
  <r>
    <s v="SHP-30490"/>
    <d v="2024-04-23T00:00:00"/>
    <s v="West"/>
    <s v="Pune"/>
    <s v="Local Hub"/>
    <s v="Standard"/>
    <s v="Capacity"/>
    <s v="Medium"/>
    <n v="2"/>
    <n v="3"/>
    <n v="1"/>
    <s v="Yes"/>
    <n v="336"/>
    <n v="1442"/>
    <n v="1717"/>
    <n v="0"/>
    <s v="No"/>
    <s v="Minor"/>
    <n v="1717"/>
    <n v="1442"/>
    <n v="2024"/>
    <n v="4"/>
    <n v="1"/>
  </r>
  <r>
    <s v="SHP-30491"/>
    <d v="2024-03-07T00:00:00"/>
    <s v="East"/>
    <s v="Bhubaneswar"/>
    <s v="Local Hub"/>
    <s v="Critical"/>
    <s v="Routing"/>
    <s v="Medium"/>
    <n v="3"/>
    <n v="10"/>
    <n v="7"/>
    <s v="Yes"/>
    <n v="66"/>
    <n v="13755"/>
    <n v="18333"/>
    <n v="0"/>
    <s v="No"/>
    <s v="Severe"/>
    <n v="2619"/>
    <n v="1965"/>
    <n v="2024"/>
    <n v="3"/>
    <n v="1"/>
  </r>
  <r>
    <s v="SHP-30492"/>
    <d v="2024-12-20T00:00:00"/>
    <s v="East"/>
    <s v="Bhubaneswar"/>
    <s v="Central Hub"/>
    <s v="Express"/>
    <s v="Capacity"/>
    <s v="Medium"/>
    <n v="2"/>
    <n v="2"/>
    <n v="0"/>
    <s v="No"/>
    <n v="113"/>
    <n v="0"/>
    <n v="0"/>
    <n v="1"/>
    <s v="No"/>
    <s v="On Time"/>
    <n v="0"/>
    <n v="0"/>
    <n v="2024"/>
    <n v="12"/>
    <n v="0"/>
  </r>
  <r>
    <s v="SHP-30493"/>
    <d v="2024-03-06T00:00:00"/>
    <s v="South"/>
    <s v="Bengaluru"/>
    <s v="Central Hub"/>
    <s v="Standard"/>
    <s v="Documentation"/>
    <s v="Medium"/>
    <n v="5"/>
    <n v="6"/>
    <n v="1"/>
    <s v="Yes"/>
    <n v="316"/>
    <n v="2316"/>
    <n v="2840"/>
    <n v="0"/>
    <s v="No"/>
    <s v="Minor"/>
    <n v="2840"/>
    <n v="2316"/>
    <n v="2024"/>
    <n v="3"/>
    <n v="1"/>
  </r>
  <r>
    <s v="SHP-30494"/>
    <d v="2024-11-29T00:00:00"/>
    <s v="West"/>
    <s v="Pune"/>
    <s v="Regional Hub"/>
    <s v="Critical"/>
    <s v="Capacity"/>
    <s v="High"/>
    <n v="2"/>
    <n v="11"/>
    <n v="9"/>
    <s v="Yes"/>
    <n v="281"/>
    <n v="15462"/>
    <n v="31167"/>
    <n v="0"/>
    <s v="No"/>
    <s v="Severe"/>
    <n v="3463"/>
    <n v="1718"/>
    <n v="2024"/>
    <n v="11"/>
    <n v="1"/>
  </r>
  <r>
    <s v="SHP-30495"/>
    <d v="2024-12-02T00:00:00"/>
    <s v="South"/>
    <s v="Bengaluru"/>
    <s v="Regional Hub"/>
    <s v="Standard"/>
    <s v="Weather"/>
    <s v="Medium"/>
    <n v="5"/>
    <n v="6"/>
    <n v="1"/>
    <s v="Yes"/>
    <n v="239"/>
    <n v="1531"/>
    <n v="4095"/>
    <n v="0"/>
    <s v="No"/>
    <s v="Minor"/>
    <n v="4095"/>
    <n v="1531"/>
    <n v="2024"/>
    <n v="12"/>
    <n v="1"/>
  </r>
  <r>
    <s v="SHP-30496"/>
    <d v="2024-12-10T00:00:00"/>
    <s v="South"/>
    <s v="Chennai"/>
    <s v="Regional Hub"/>
    <s v="Express"/>
    <s v="Documentation"/>
    <s v="Medium"/>
    <n v="1"/>
    <n v="2"/>
    <n v="1"/>
    <s v="Yes"/>
    <n v="185"/>
    <n v="1017"/>
    <n v="2377"/>
    <n v="0"/>
    <s v="No"/>
    <s v="Minor"/>
    <n v="2377"/>
    <n v="1017"/>
    <n v="2024"/>
    <n v="12"/>
    <n v="1"/>
  </r>
  <r>
    <s v="SHP-30497"/>
    <d v="2024-02-04T00:00:00"/>
    <s v="North"/>
    <s v="Delhi"/>
    <s v="Regional Hub"/>
    <s v="Critical"/>
    <s v="Weather"/>
    <s v="Medium"/>
    <n v="1"/>
    <n v="4"/>
    <n v="3"/>
    <s v="Yes"/>
    <n v="88"/>
    <n v="6885"/>
    <n v="6027"/>
    <n v="0"/>
    <s v="No"/>
    <s v="Major"/>
    <n v="2009"/>
    <n v="2295"/>
    <n v="2024"/>
    <n v="2"/>
    <n v="1"/>
  </r>
  <r>
    <s v="SHP-30498"/>
    <d v="2024-10-30T00:00:00"/>
    <s v="East"/>
    <s v="Kolkata"/>
    <s v="Regional Hub"/>
    <s v="Standard"/>
    <s v="Routing"/>
    <s v="High"/>
    <n v="1"/>
    <n v="4"/>
    <n v="3"/>
    <s v="Yes"/>
    <n v="364"/>
    <n v="7431"/>
    <n v="10560"/>
    <n v="0"/>
    <s v="No"/>
    <s v="Major"/>
    <n v="3520"/>
    <n v="2477"/>
    <n v="2024"/>
    <n v="10"/>
    <n v="1"/>
  </r>
  <r>
    <s v="SHP-30499"/>
    <d v="2024-11-09T00:00:00"/>
    <s v="North"/>
    <s v="Noida"/>
    <s v="Regional Hub"/>
    <s v="Standard"/>
    <s v="Documentation"/>
    <s v="Low"/>
    <n v="2"/>
    <n v="7"/>
    <n v="5"/>
    <s v="Yes"/>
    <n v="357"/>
    <n v="5860"/>
    <n v="24910"/>
    <n v="0"/>
    <s v="No"/>
    <s v="Major"/>
    <n v="4982"/>
    <n v="1172"/>
    <n v="2024"/>
    <n v="11"/>
    <n v="1"/>
  </r>
  <r>
    <s v="SHP-30500"/>
    <d v="2024-03-25T00:00:00"/>
    <s v="North"/>
    <s v="Delhi"/>
    <s v="Local Hub"/>
    <s v="Critical"/>
    <s v="Routing"/>
    <s v="Low"/>
    <n v="1"/>
    <n v="7"/>
    <n v="6"/>
    <s v="Yes"/>
    <n v="479"/>
    <n v="7584"/>
    <n v="15120"/>
    <n v="0"/>
    <s v="No"/>
    <s v="Severe"/>
    <n v="2520"/>
    <n v="1264"/>
    <n v="2024"/>
    <n v="3"/>
    <n v="1"/>
  </r>
  <r>
    <s v="SHP-30501"/>
    <d v="2024-06-20T00:00:00"/>
    <s v="East"/>
    <s v="Bhubaneswar"/>
    <s v="Local Hub"/>
    <s v="Standard"/>
    <s v="Capacity"/>
    <s v="Low"/>
    <n v="5"/>
    <n v="6"/>
    <n v="1"/>
    <s v="Yes"/>
    <n v="330"/>
    <n v="883"/>
    <n v="4462"/>
    <n v="0"/>
    <s v="No"/>
    <s v="Minor"/>
    <n v="4462"/>
    <n v="883"/>
    <n v="2024"/>
    <n v="6"/>
    <n v="1"/>
  </r>
  <r>
    <s v="SHP-30502"/>
    <d v="2024-12-17T00:00:00"/>
    <s v="East"/>
    <s v="Bhubaneswar"/>
    <s v="Central Hub"/>
    <s v="Standard"/>
    <s v="Routing"/>
    <s v="Low"/>
    <n v="1"/>
    <n v="6"/>
    <n v="5"/>
    <s v="Yes"/>
    <n v="160"/>
    <n v="4450"/>
    <n v="15520"/>
    <n v="0"/>
    <s v="No"/>
    <s v="Major"/>
    <n v="3104"/>
    <n v="890"/>
    <n v="2024"/>
    <n v="12"/>
    <n v="1"/>
  </r>
  <r>
    <s v="SHP-30503"/>
    <d v="2024-06-24T00:00:00"/>
    <s v="East"/>
    <s v="Kolkata"/>
    <s v="Regional Hub"/>
    <s v="Express"/>
    <s v="Routing"/>
    <s v="Medium"/>
    <n v="5"/>
    <n v="9"/>
    <n v="4"/>
    <s v="Yes"/>
    <n v="413"/>
    <n v="3248"/>
    <n v="13036"/>
    <n v="0"/>
    <s v="No"/>
    <s v="Major"/>
    <n v="3259"/>
    <n v="812"/>
    <n v="2024"/>
    <n v="6"/>
    <n v="1"/>
  </r>
  <r>
    <s v="SHP-30504"/>
    <d v="2024-03-06T00:00:00"/>
    <s v="North"/>
    <s v="Delhi"/>
    <s v="Central Hub"/>
    <s v="Critical"/>
    <s v="Weather"/>
    <s v="Low"/>
    <n v="1"/>
    <n v="4"/>
    <n v="3"/>
    <s v="Yes"/>
    <n v="494"/>
    <n v="4434"/>
    <n v="7563"/>
    <n v="0"/>
    <s v="No"/>
    <s v="Major"/>
    <n v="2521"/>
    <n v="1478"/>
    <n v="2024"/>
    <n v="3"/>
    <n v="1"/>
  </r>
  <r>
    <s v="SHP-30505"/>
    <d v="2024-05-14T00:00:00"/>
    <s v="East"/>
    <s v="Kolkata"/>
    <s v="Central Hub"/>
    <s v="Critical"/>
    <s v="Weather"/>
    <s v="Medium"/>
    <n v="1"/>
    <n v="3"/>
    <n v="2"/>
    <s v="Yes"/>
    <n v="342"/>
    <n v="2184"/>
    <n v="6610"/>
    <n v="0"/>
    <s v="No"/>
    <s v="Minor"/>
    <n v="3305"/>
    <n v="1092"/>
    <n v="2024"/>
    <n v="5"/>
    <n v="1"/>
  </r>
  <r>
    <s v="SHP-30506"/>
    <d v="2024-09-10T00:00:00"/>
    <s v="East"/>
    <s v="Bhubaneswar"/>
    <s v="Central Hub"/>
    <s v="Express"/>
    <s v="Capacity"/>
    <s v="High"/>
    <n v="3"/>
    <n v="8"/>
    <n v="5"/>
    <s v="Yes"/>
    <n v="264"/>
    <n v="8450"/>
    <n v="17730"/>
    <n v="0"/>
    <s v="No"/>
    <s v="Major"/>
    <n v="3546"/>
    <n v="1690"/>
    <n v="2024"/>
    <n v="9"/>
    <n v="1"/>
  </r>
  <r>
    <s v="SHP-30507"/>
    <d v="2024-12-03T00:00:00"/>
    <s v="North"/>
    <s v="Delhi"/>
    <s v="Regional Hub"/>
    <s v="Standard"/>
    <s v="Capacity"/>
    <s v="Medium"/>
    <n v="1"/>
    <n v="6"/>
    <n v="5"/>
    <s v="Yes"/>
    <n v="78"/>
    <n v="12345"/>
    <n v="23455"/>
    <n v="0"/>
    <s v="No"/>
    <s v="Major"/>
    <n v="4691"/>
    <n v="2469"/>
    <n v="2024"/>
    <n v="12"/>
    <n v="1"/>
  </r>
  <r>
    <s v="SHP-30508"/>
    <d v="2024-01-25T00:00:00"/>
    <s v="South"/>
    <s v="Bengaluru"/>
    <s v="Regional Hub"/>
    <s v="Express"/>
    <s v="Weather"/>
    <s v="Low"/>
    <n v="1"/>
    <n v="4"/>
    <n v="3"/>
    <s v="Yes"/>
    <n v="479"/>
    <n v="5976"/>
    <n v="6282"/>
    <n v="0"/>
    <s v="No"/>
    <s v="Major"/>
    <n v="2094"/>
    <n v="1992"/>
    <n v="2024"/>
    <n v="1"/>
    <n v="1"/>
  </r>
  <r>
    <s v="SHP-30509"/>
    <d v="2024-05-03T00:00:00"/>
    <s v="East"/>
    <s v="Kolkata"/>
    <s v="Regional Hub"/>
    <s v="Standard"/>
    <s v="Weather"/>
    <s v="Low"/>
    <n v="1"/>
    <n v="2"/>
    <n v="1"/>
    <s v="Yes"/>
    <n v="188"/>
    <n v="1086"/>
    <n v="3643"/>
    <n v="0"/>
    <s v="No"/>
    <s v="Minor"/>
    <n v="3643"/>
    <n v="1086"/>
    <n v="2024"/>
    <n v="5"/>
    <n v="1"/>
  </r>
  <r>
    <s v="SHP-30510"/>
    <d v="2024-11-28T00:00:00"/>
    <s v="East"/>
    <s v="Kolkata"/>
    <s v="Central Hub"/>
    <s v="Standard"/>
    <s v="Documentation"/>
    <s v="Medium"/>
    <n v="1"/>
    <n v="2"/>
    <n v="1"/>
    <s v="Yes"/>
    <n v="294"/>
    <n v="2281"/>
    <n v="1845"/>
    <n v="0"/>
    <s v="No"/>
    <s v="Minor"/>
    <n v="1845"/>
    <n v="2281"/>
    <n v="2024"/>
    <n v="11"/>
    <n v="1"/>
  </r>
  <r>
    <s v="SHP-30511"/>
    <d v="2024-05-03T00:00:00"/>
    <s v="North"/>
    <s v="Delhi"/>
    <s v="Local Hub"/>
    <s v="Standard"/>
    <s v="Weather"/>
    <s v="Low"/>
    <n v="3"/>
    <n v="8"/>
    <n v="5"/>
    <s v="Yes"/>
    <n v="119"/>
    <n v="8030"/>
    <n v="24710"/>
    <n v="0"/>
    <s v="No"/>
    <s v="Major"/>
    <n v="4942"/>
    <n v="1606"/>
    <n v="2024"/>
    <n v="5"/>
    <n v="1"/>
  </r>
  <r>
    <s v="SHP-30512"/>
    <d v="2024-12-23T00:00:00"/>
    <s v="North"/>
    <s v="Delhi"/>
    <s v="Central Hub"/>
    <s v="Standard"/>
    <s v="System"/>
    <s v="Low"/>
    <n v="5"/>
    <n v="9"/>
    <n v="4"/>
    <s v="Yes"/>
    <n v="476"/>
    <n v="5480"/>
    <n v="15260"/>
    <n v="0"/>
    <s v="No"/>
    <s v="Major"/>
    <n v="3815"/>
    <n v="1370"/>
    <n v="2024"/>
    <n v="12"/>
    <n v="1"/>
  </r>
  <r>
    <s v="SHP-30513"/>
    <d v="2024-10-26T00:00:00"/>
    <s v="East"/>
    <s v="Bhubaneswar"/>
    <s v="Central Hub"/>
    <s v="Standard"/>
    <s v="Documentation"/>
    <s v="Medium"/>
    <n v="2"/>
    <n v="2"/>
    <n v="0"/>
    <s v="No"/>
    <n v="112"/>
    <n v="0"/>
    <n v="0"/>
    <n v="1"/>
    <s v="No"/>
    <s v="On Time"/>
    <n v="0"/>
    <n v="0"/>
    <n v="2024"/>
    <n v="10"/>
    <n v="0"/>
  </r>
  <r>
    <s v="SHP-30514"/>
    <d v="2024-02-17T00:00:00"/>
    <s v="East"/>
    <s v="Kolkata"/>
    <s v="Central Hub"/>
    <s v="Express"/>
    <s v="Weather"/>
    <s v="Low"/>
    <n v="3"/>
    <n v="3"/>
    <n v="0"/>
    <s v="No"/>
    <n v="491"/>
    <n v="0"/>
    <n v="0"/>
    <n v="1"/>
    <s v="No"/>
    <s v="On Time"/>
    <n v="0"/>
    <n v="0"/>
    <n v="2024"/>
    <n v="2"/>
    <n v="0"/>
  </r>
  <r>
    <s v="SHP-30515"/>
    <d v="2024-04-02T00:00:00"/>
    <s v="East"/>
    <s v="Kolkata"/>
    <s v="Regional Hub"/>
    <s v="Standard"/>
    <s v="System"/>
    <s v="Low"/>
    <n v="3"/>
    <n v="8"/>
    <n v="5"/>
    <s v="Yes"/>
    <n v="456"/>
    <n v="4285"/>
    <n v="20525"/>
    <n v="0"/>
    <s v="No"/>
    <s v="Major"/>
    <n v="4105"/>
    <n v="857"/>
    <n v="2024"/>
    <n v="4"/>
    <n v="1"/>
  </r>
  <r>
    <s v="SHP-30516"/>
    <d v="2024-12-04T00:00:00"/>
    <s v="West"/>
    <s v="Mumbai"/>
    <s v="Local Hub"/>
    <s v="Express"/>
    <s v="Routing"/>
    <s v="Medium"/>
    <n v="5"/>
    <n v="5"/>
    <n v="0"/>
    <s v="No"/>
    <n v="498"/>
    <n v="0"/>
    <n v="0"/>
    <n v="1"/>
    <s v="No"/>
    <s v="On Time"/>
    <n v="0"/>
    <n v="0"/>
    <n v="2024"/>
    <n v="12"/>
    <n v="0"/>
  </r>
  <r>
    <s v="SHP-30517"/>
    <d v="2024-11-22T00:00:00"/>
    <s v="East"/>
    <s v="Kolkata"/>
    <s v="Regional Hub"/>
    <s v="Standard"/>
    <s v="Capacity"/>
    <s v="Low"/>
    <n v="2"/>
    <n v="7"/>
    <n v="5"/>
    <s v="Yes"/>
    <n v="332"/>
    <n v="6880"/>
    <n v="19005"/>
    <n v="0"/>
    <s v="No"/>
    <s v="Major"/>
    <n v="3801"/>
    <n v="1376"/>
    <n v="2024"/>
    <n v="11"/>
    <n v="1"/>
  </r>
  <r>
    <s v="SHP-30518"/>
    <d v="2024-03-18T00:00:00"/>
    <s v="South"/>
    <s v="Chennai"/>
    <s v="Regional Hub"/>
    <s v="Express"/>
    <s v="Capacity"/>
    <s v="Medium"/>
    <n v="3"/>
    <n v="6"/>
    <n v="3"/>
    <s v="Yes"/>
    <n v="305"/>
    <n v="5862"/>
    <n v="9135"/>
    <n v="0"/>
    <s v="No"/>
    <s v="Major"/>
    <n v="3045"/>
    <n v="1954"/>
    <n v="2024"/>
    <n v="3"/>
    <n v="1"/>
  </r>
  <r>
    <s v="SHP-30519"/>
    <d v="2024-01-23T00:00:00"/>
    <s v="South"/>
    <s v="Bengaluru"/>
    <s v="Regional Hub"/>
    <s v="Standard"/>
    <s v="Weather"/>
    <s v="High"/>
    <n v="2"/>
    <n v="4"/>
    <n v="2"/>
    <s v="Yes"/>
    <n v="447"/>
    <n v="2344"/>
    <n v="4672"/>
    <n v="0"/>
    <s v="No"/>
    <s v="Minor"/>
    <n v="2336"/>
    <n v="1172"/>
    <n v="2024"/>
    <n v="1"/>
    <n v="1"/>
  </r>
  <r>
    <s v="SHP-30520"/>
    <d v="2024-12-25T00:00:00"/>
    <s v="West"/>
    <s v="Pune"/>
    <s v="Regional Hub"/>
    <s v="Express"/>
    <s v="Weather"/>
    <s v="Low"/>
    <n v="2"/>
    <n v="7"/>
    <n v="5"/>
    <s v="Yes"/>
    <n v="387"/>
    <n v="6530"/>
    <n v="10550"/>
    <n v="0"/>
    <s v="No"/>
    <s v="Major"/>
    <n v="2110"/>
    <n v="1306"/>
    <n v="2024"/>
    <n v="12"/>
    <n v="1"/>
  </r>
  <r>
    <s v="SHP-30521"/>
    <d v="2024-08-04T00:00:00"/>
    <s v="East"/>
    <s v="Kolkata"/>
    <s v="Regional Hub"/>
    <s v="Express"/>
    <s v="Weather"/>
    <s v="Low"/>
    <n v="2"/>
    <n v="6"/>
    <n v="4"/>
    <s v="Yes"/>
    <n v="119"/>
    <n v="3524"/>
    <n v="9920"/>
    <n v="0"/>
    <s v="No"/>
    <s v="Major"/>
    <n v="2480"/>
    <n v="881"/>
    <n v="2024"/>
    <n v="8"/>
    <n v="1"/>
  </r>
  <r>
    <s v="SHP-30522"/>
    <d v="2024-05-15T00:00:00"/>
    <s v="South"/>
    <s v="Chennai"/>
    <s v="Regional Hub"/>
    <s v="Standard"/>
    <s v="System"/>
    <s v="Low"/>
    <n v="2"/>
    <n v="7"/>
    <n v="5"/>
    <s v="Yes"/>
    <n v="378"/>
    <n v="11410"/>
    <n v="22880"/>
    <n v="0"/>
    <s v="No"/>
    <s v="Major"/>
    <n v="4576"/>
    <n v="2282"/>
    <n v="2024"/>
    <n v="5"/>
    <n v="1"/>
  </r>
  <r>
    <s v="SHP-30523"/>
    <d v="2024-07-31T00:00:00"/>
    <s v="North"/>
    <s v="Delhi"/>
    <s v="Regional Hub"/>
    <s v="Standard"/>
    <s v="Routing"/>
    <s v="Low"/>
    <n v="3"/>
    <n v="4"/>
    <n v="1"/>
    <s v="Yes"/>
    <n v="438"/>
    <n v="1886"/>
    <n v="2068"/>
    <n v="0"/>
    <s v="No"/>
    <s v="Minor"/>
    <n v="2068"/>
    <n v="1886"/>
    <n v="2024"/>
    <n v="7"/>
    <n v="1"/>
  </r>
  <r>
    <s v="SHP-30524"/>
    <d v="2024-10-23T00:00:00"/>
    <s v="South"/>
    <s v="Bengaluru"/>
    <s v="Central Hub"/>
    <s v="Critical"/>
    <s v="Capacity"/>
    <s v="Low"/>
    <n v="2"/>
    <n v="6"/>
    <n v="4"/>
    <s v="Yes"/>
    <n v="295"/>
    <n v="4440"/>
    <n v="11888"/>
    <n v="0"/>
    <s v="No"/>
    <s v="Major"/>
    <n v="2972"/>
    <n v="1110"/>
    <n v="2024"/>
    <n v="10"/>
    <n v="1"/>
  </r>
  <r>
    <s v="SHP-30525"/>
    <d v="2024-06-21T00:00:00"/>
    <s v="North"/>
    <s v="Delhi"/>
    <s v="Central Hub"/>
    <s v="Express"/>
    <s v="Capacity"/>
    <s v="Low"/>
    <n v="5"/>
    <n v="7"/>
    <n v="2"/>
    <s v="Yes"/>
    <n v="257"/>
    <n v="3696"/>
    <n v="9970"/>
    <n v="0"/>
    <s v="No"/>
    <s v="Minor"/>
    <n v="4985"/>
    <n v="1848"/>
    <n v="2024"/>
    <n v="6"/>
    <n v="1"/>
  </r>
  <r>
    <s v="SHP-30526"/>
    <d v="2024-07-22T00:00:00"/>
    <s v="East"/>
    <s v="Kolkata"/>
    <s v="Regional Hub"/>
    <s v="Express"/>
    <s v="Routing"/>
    <s v="Low"/>
    <n v="1"/>
    <n v="5"/>
    <n v="4"/>
    <s v="Yes"/>
    <n v="332"/>
    <n v="9776"/>
    <n v="14916"/>
    <n v="0"/>
    <s v="No"/>
    <s v="Major"/>
    <n v="3729"/>
    <n v="2444"/>
    <n v="2024"/>
    <n v="7"/>
    <n v="1"/>
  </r>
  <r>
    <s v="SHP-30527"/>
    <d v="2024-03-05T00:00:00"/>
    <s v="West"/>
    <s v="Pune"/>
    <s v="Central Hub"/>
    <s v="Express"/>
    <s v="Weather"/>
    <s v="Low"/>
    <n v="1"/>
    <n v="5"/>
    <n v="4"/>
    <s v="Yes"/>
    <n v="231"/>
    <n v="6220"/>
    <n v="11904"/>
    <n v="0"/>
    <s v="No"/>
    <s v="Major"/>
    <n v="2976"/>
    <n v="1555"/>
    <n v="2024"/>
    <n v="3"/>
    <n v="1"/>
  </r>
  <r>
    <s v="SHP-30528"/>
    <d v="2024-07-16T00:00:00"/>
    <s v="East"/>
    <s v="Kolkata"/>
    <s v="Local Hub"/>
    <s v="Express"/>
    <s v="Capacity"/>
    <s v="Low"/>
    <n v="1"/>
    <n v="3"/>
    <n v="2"/>
    <s v="Yes"/>
    <n v="286"/>
    <n v="2504"/>
    <n v="4976"/>
    <n v="0"/>
    <s v="No"/>
    <s v="Minor"/>
    <n v="2488"/>
    <n v="1252"/>
    <n v="2024"/>
    <n v="7"/>
    <n v="1"/>
  </r>
  <r>
    <s v="SHP-30529"/>
    <d v="2024-12-30T00:00:00"/>
    <s v="South"/>
    <s v="Bengaluru"/>
    <s v="Local Hub"/>
    <s v="Critical"/>
    <s v="Routing"/>
    <s v="Medium"/>
    <n v="3"/>
    <n v="10"/>
    <n v="7"/>
    <s v="Yes"/>
    <n v="277"/>
    <n v="10850"/>
    <n v="27545"/>
    <n v="0"/>
    <s v="No"/>
    <s v="Severe"/>
    <n v="3935"/>
    <n v="1550"/>
    <n v="2024"/>
    <n v="12"/>
    <n v="1"/>
  </r>
  <r>
    <s v="SHP-30530"/>
    <d v="2024-07-11T00:00:00"/>
    <s v="West"/>
    <s v="Mumbai"/>
    <s v="Central Hub"/>
    <s v="Standard"/>
    <s v="Capacity"/>
    <s v="Medium"/>
    <n v="5"/>
    <n v="6"/>
    <n v="1"/>
    <s v="Yes"/>
    <n v="418"/>
    <n v="2086"/>
    <n v="2644"/>
    <n v="0"/>
    <s v="No"/>
    <s v="Minor"/>
    <n v="2644"/>
    <n v="2086"/>
    <n v="2024"/>
    <n v="7"/>
    <n v="1"/>
  </r>
  <r>
    <s v="SHP-30531"/>
    <d v="2024-11-06T00:00:00"/>
    <s v="North"/>
    <s v="Delhi"/>
    <s v="Local Hub"/>
    <s v="Standard"/>
    <s v="Weather"/>
    <s v="Low"/>
    <n v="1"/>
    <n v="2"/>
    <n v="1"/>
    <s v="Yes"/>
    <n v="127"/>
    <n v="1143"/>
    <n v="3058"/>
    <n v="0"/>
    <s v="No"/>
    <s v="Minor"/>
    <n v="3058"/>
    <n v="1143"/>
    <n v="2024"/>
    <n v="11"/>
    <n v="1"/>
  </r>
  <r>
    <s v="SHP-30532"/>
    <d v="2024-04-30T00:00:00"/>
    <s v="East"/>
    <s v="Bhubaneswar"/>
    <s v="Local Hub"/>
    <s v="Express"/>
    <s v="Capacity"/>
    <s v="Medium"/>
    <n v="2"/>
    <n v="7"/>
    <n v="5"/>
    <s v="Yes"/>
    <n v="177"/>
    <n v="8875"/>
    <n v="16805"/>
    <n v="0"/>
    <s v="No"/>
    <s v="Major"/>
    <n v="3361"/>
    <n v="1775"/>
    <n v="2024"/>
    <n v="4"/>
    <n v="1"/>
  </r>
  <r>
    <s v="SHP-30533"/>
    <d v="2024-09-20T00:00:00"/>
    <s v="West"/>
    <s v="Pune"/>
    <s v="Central Hub"/>
    <s v="Standard"/>
    <s v="Capacity"/>
    <s v="Medium"/>
    <n v="1"/>
    <n v="4"/>
    <n v="3"/>
    <s v="Yes"/>
    <n v="86"/>
    <n v="3699"/>
    <n v="9606"/>
    <n v="0"/>
    <s v="No"/>
    <s v="Major"/>
    <n v="3202"/>
    <n v="1233"/>
    <n v="2024"/>
    <n v="9"/>
    <n v="1"/>
  </r>
  <r>
    <s v="SHP-30534"/>
    <d v="2024-02-17T00:00:00"/>
    <s v="South"/>
    <s v="Chennai"/>
    <s v="Regional Hub"/>
    <s v="Standard"/>
    <s v="System"/>
    <s v="High"/>
    <n v="2"/>
    <n v="5"/>
    <n v="3"/>
    <s v="Yes"/>
    <n v="146"/>
    <n v="2643"/>
    <n v="8922"/>
    <n v="0"/>
    <s v="No"/>
    <s v="Major"/>
    <n v="2974"/>
    <n v="881"/>
    <n v="2024"/>
    <n v="2"/>
    <n v="1"/>
  </r>
  <r>
    <s v="SHP-30535"/>
    <d v="2024-01-29T00:00:00"/>
    <s v="North"/>
    <s v="Delhi"/>
    <s v="Regional Hub"/>
    <s v="Critical"/>
    <s v="Capacity"/>
    <s v="Medium"/>
    <n v="2"/>
    <n v="4"/>
    <n v="2"/>
    <s v="Yes"/>
    <n v="389"/>
    <n v="3206"/>
    <n v="5622"/>
    <n v="0"/>
    <s v="No"/>
    <s v="Minor"/>
    <n v="2811"/>
    <n v="1603"/>
    <n v="2024"/>
    <n v="1"/>
    <n v="1"/>
  </r>
  <r>
    <s v="SHP-30536"/>
    <d v="2024-12-07T00:00:00"/>
    <s v="South"/>
    <s v="Chennai"/>
    <s v="Regional Hub"/>
    <s v="Critical"/>
    <s v="Capacity"/>
    <s v="High"/>
    <n v="2"/>
    <n v="8"/>
    <n v="6"/>
    <s v="Yes"/>
    <n v="360"/>
    <n v="6564"/>
    <n v="13680"/>
    <n v="0"/>
    <s v="No"/>
    <s v="Severe"/>
    <n v="2280"/>
    <n v="1094"/>
    <n v="2024"/>
    <n v="12"/>
    <n v="1"/>
  </r>
  <r>
    <s v="SHP-30537"/>
    <d v="2024-12-29T00:00:00"/>
    <s v="North"/>
    <s v="Delhi"/>
    <s v="Local Hub"/>
    <s v="Standard"/>
    <s v="Documentation"/>
    <s v="Low"/>
    <n v="3"/>
    <n v="8"/>
    <n v="5"/>
    <s v="Yes"/>
    <n v="298"/>
    <n v="4775"/>
    <n v="21825"/>
    <n v="0"/>
    <s v="No"/>
    <s v="Major"/>
    <n v="4365"/>
    <n v="955"/>
    <n v="2024"/>
    <n v="12"/>
    <n v="1"/>
  </r>
  <r>
    <s v="SHP-30538"/>
    <d v="2024-05-21T00:00:00"/>
    <s v="South"/>
    <s v="Bengaluru"/>
    <s v="Regional Hub"/>
    <s v="Standard"/>
    <s v="Capacity"/>
    <s v="Medium"/>
    <n v="2"/>
    <n v="7"/>
    <n v="5"/>
    <s v="Yes"/>
    <n v="485"/>
    <n v="10640"/>
    <n v="24345"/>
    <n v="0"/>
    <s v="No"/>
    <s v="Major"/>
    <n v="4869"/>
    <n v="2128"/>
    <n v="2024"/>
    <n v="5"/>
    <n v="1"/>
  </r>
  <r>
    <s v="SHP-30539"/>
    <d v="2024-10-27T00:00:00"/>
    <s v="West"/>
    <s v="Pune"/>
    <s v="Local Hub"/>
    <s v="Standard"/>
    <s v="Documentation"/>
    <s v="High"/>
    <n v="2"/>
    <n v="5"/>
    <n v="3"/>
    <s v="Yes"/>
    <n v="278"/>
    <n v="6828"/>
    <n v="7323"/>
    <n v="0"/>
    <s v="No"/>
    <s v="Major"/>
    <n v="2441"/>
    <n v="2276"/>
    <n v="2024"/>
    <n v="10"/>
    <n v="1"/>
  </r>
  <r>
    <s v="SHP-30540"/>
    <d v="2024-07-14T00:00:00"/>
    <s v="East"/>
    <s v="Bhubaneswar"/>
    <s v="Local Hub"/>
    <s v="Express"/>
    <s v="Weather"/>
    <s v="Low"/>
    <n v="3"/>
    <n v="3"/>
    <n v="0"/>
    <s v="No"/>
    <n v="245"/>
    <n v="0"/>
    <n v="0"/>
    <n v="1"/>
    <s v="No"/>
    <s v="On Time"/>
    <n v="0"/>
    <n v="0"/>
    <n v="2024"/>
    <n v="7"/>
    <n v="0"/>
  </r>
  <r>
    <s v="SHP-30541"/>
    <d v="2024-05-08T00:00:00"/>
    <s v="North"/>
    <s v="Delhi"/>
    <s v="Central Hub"/>
    <s v="Express"/>
    <s v="Documentation"/>
    <s v="Low"/>
    <n v="3"/>
    <n v="7"/>
    <n v="4"/>
    <s v="Yes"/>
    <n v="184"/>
    <n v="5780"/>
    <n v="10412"/>
    <n v="0"/>
    <s v="No"/>
    <s v="Major"/>
    <n v="2603"/>
    <n v="1445"/>
    <n v="2024"/>
    <n v="5"/>
    <n v="1"/>
  </r>
  <r>
    <s v="SHP-30542"/>
    <d v="2024-09-15T00:00:00"/>
    <s v="West"/>
    <s v="Pune"/>
    <s v="Regional Hub"/>
    <s v="Standard"/>
    <s v="Routing"/>
    <s v="Low"/>
    <n v="3"/>
    <n v="5"/>
    <n v="2"/>
    <s v="Yes"/>
    <n v="409"/>
    <n v="3730"/>
    <n v="8392"/>
    <n v="0"/>
    <s v="No"/>
    <s v="Minor"/>
    <n v="4196"/>
    <n v="1865"/>
    <n v="2024"/>
    <n v="9"/>
    <n v="1"/>
  </r>
  <r>
    <s v="SHP-30543"/>
    <d v="2024-02-29T00:00:00"/>
    <s v="South"/>
    <s v="Bengaluru"/>
    <s v="Central Hub"/>
    <s v="Standard"/>
    <s v="Documentation"/>
    <s v="Low"/>
    <n v="1"/>
    <n v="5"/>
    <n v="4"/>
    <s v="Yes"/>
    <n v="149"/>
    <n v="7672"/>
    <n v="18840"/>
    <n v="0"/>
    <s v="No"/>
    <s v="Major"/>
    <n v="4710"/>
    <n v="1918"/>
    <n v="2024"/>
    <n v="2"/>
    <n v="1"/>
  </r>
  <r>
    <s v="SHP-30544"/>
    <d v="2024-09-21T00:00:00"/>
    <s v="South"/>
    <s v="Bengaluru"/>
    <s v="Central Hub"/>
    <s v="Critical"/>
    <s v="Capacity"/>
    <s v="High"/>
    <n v="1"/>
    <n v="7"/>
    <n v="6"/>
    <s v="Yes"/>
    <n v="285"/>
    <n v="8526"/>
    <n v="9054"/>
    <n v="0"/>
    <s v="No"/>
    <s v="Severe"/>
    <n v="1509"/>
    <n v="1421"/>
    <n v="2024"/>
    <n v="9"/>
    <n v="1"/>
  </r>
  <r>
    <s v="SHP-30545"/>
    <d v="2024-07-15T00:00:00"/>
    <s v="North"/>
    <s v="Noida"/>
    <s v="Central Hub"/>
    <s v="Express"/>
    <s v="Documentation"/>
    <s v="Medium"/>
    <n v="2"/>
    <n v="6"/>
    <n v="4"/>
    <s v="Yes"/>
    <n v="497"/>
    <n v="5320"/>
    <n v="11248"/>
    <n v="0"/>
    <s v="No"/>
    <s v="Major"/>
    <n v="2812"/>
    <n v="1330"/>
    <n v="2024"/>
    <n v="7"/>
    <n v="1"/>
  </r>
  <r>
    <s v="SHP-30546"/>
    <d v="2024-07-29T00:00:00"/>
    <s v="South"/>
    <s v="Chennai"/>
    <s v="Regional Hub"/>
    <s v="Standard"/>
    <s v="Weather"/>
    <s v="Low"/>
    <n v="1"/>
    <n v="1"/>
    <n v="0"/>
    <s v="No"/>
    <n v="224"/>
    <n v="0"/>
    <n v="0"/>
    <n v="1"/>
    <s v="No"/>
    <s v="On Time"/>
    <n v="0"/>
    <n v="0"/>
    <n v="2024"/>
    <n v="7"/>
    <n v="0"/>
  </r>
  <r>
    <s v="SHP-30547"/>
    <d v="2024-06-27T00:00:00"/>
    <s v="South"/>
    <s v="Chennai"/>
    <s v="Regional Hub"/>
    <s v="Standard"/>
    <s v="Routing"/>
    <s v="Low"/>
    <n v="2"/>
    <n v="7"/>
    <n v="5"/>
    <s v="Yes"/>
    <n v="494"/>
    <n v="9285"/>
    <n v="18705"/>
    <n v="0"/>
    <s v="No"/>
    <s v="Major"/>
    <n v="3741"/>
    <n v="1857"/>
    <n v="2024"/>
    <n v="6"/>
    <n v="1"/>
  </r>
  <r>
    <s v="SHP-30548"/>
    <d v="2024-03-18T00:00:00"/>
    <s v="South"/>
    <s v="Bengaluru"/>
    <s v="Local Hub"/>
    <s v="Express"/>
    <s v="Documentation"/>
    <s v="Low"/>
    <n v="2"/>
    <n v="7"/>
    <n v="5"/>
    <s v="Yes"/>
    <n v="354"/>
    <n v="9995"/>
    <n v="9325"/>
    <n v="0"/>
    <s v="No"/>
    <s v="Major"/>
    <n v="1865"/>
    <n v="1999"/>
    <n v="2024"/>
    <n v="3"/>
    <n v="1"/>
  </r>
  <r>
    <s v="SHP-30549"/>
    <d v="2024-11-20T00:00:00"/>
    <s v="East"/>
    <s v="Kolkata"/>
    <s v="Central Hub"/>
    <s v="Standard"/>
    <s v="Capacity"/>
    <s v="Low"/>
    <n v="2"/>
    <n v="7"/>
    <n v="5"/>
    <s v="Yes"/>
    <n v="173"/>
    <n v="4660"/>
    <n v="10560"/>
    <n v="0"/>
    <s v="No"/>
    <s v="Major"/>
    <n v="2112"/>
    <n v="932"/>
    <n v="2024"/>
    <n v="11"/>
    <n v="1"/>
  </r>
  <r>
    <s v="SHP-30550"/>
    <d v="2024-04-06T00:00:00"/>
    <s v="North"/>
    <s v="Noida"/>
    <s v="Regional Hub"/>
    <s v="Critical"/>
    <s v="Capacity"/>
    <s v="High"/>
    <n v="5"/>
    <n v="13"/>
    <n v="8"/>
    <s v="Yes"/>
    <n v="128"/>
    <n v="16168"/>
    <n v="34056"/>
    <n v="0"/>
    <s v="No"/>
    <s v="Severe"/>
    <n v="4257"/>
    <n v="2021"/>
    <n v="2024"/>
    <n v="4"/>
    <n v="1"/>
  </r>
  <r>
    <s v="SHP-30551"/>
    <d v="2024-06-27T00:00:00"/>
    <s v="North"/>
    <s v="Noida"/>
    <s v="Regional Hub"/>
    <s v="Standard"/>
    <s v="Routing"/>
    <s v="Medium"/>
    <n v="2"/>
    <n v="5"/>
    <n v="3"/>
    <s v="Yes"/>
    <n v="438"/>
    <n v="3210"/>
    <n v="10473"/>
    <n v="0"/>
    <s v="No"/>
    <s v="Major"/>
    <n v="3491"/>
    <n v="1070"/>
    <n v="2024"/>
    <n v="6"/>
    <n v="1"/>
  </r>
  <r>
    <s v="SHP-30552"/>
    <d v="2024-11-06T00:00:00"/>
    <s v="East"/>
    <s v="Bhubaneswar"/>
    <s v="Local Hub"/>
    <s v="Standard"/>
    <s v="Documentation"/>
    <s v="Low"/>
    <n v="5"/>
    <n v="5"/>
    <n v="0"/>
    <s v="No"/>
    <n v="163"/>
    <n v="0"/>
    <n v="0"/>
    <n v="1"/>
    <s v="No"/>
    <s v="On Time"/>
    <n v="0"/>
    <n v="0"/>
    <n v="2024"/>
    <n v="11"/>
    <n v="0"/>
  </r>
  <r>
    <s v="SHP-30553"/>
    <d v="2024-09-30T00:00:00"/>
    <s v="North"/>
    <s v="Delhi"/>
    <s v="Regional Hub"/>
    <s v="Standard"/>
    <s v="Routing"/>
    <s v="Low"/>
    <n v="2"/>
    <n v="3"/>
    <n v="1"/>
    <s v="Yes"/>
    <n v="336"/>
    <n v="1515"/>
    <n v="2651"/>
    <n v="0"/>
    <s v="No"/>
    <s v="Minor"/>
    <n v="2651"/>
    <n v="1515"/>
    <n v="2024"/>
    <n v="9"/>
    <n v="1"/>
  </r>
  <r>
    <s v="SHP-30554"/>
    <d v="2024-05-03T00:00:00"/>
    <s v="West"/>
    <s v="Pune"/>
    <s v="Local Hub"/>
    <s v="Critical"/>
    <s v="System"/>
    <s v="Medium"/>
    <n v="3"/>
    <n v="5"/>
    <n v="2"/>
    <s v="Yes"/>
    <n v="131"/>
    <n v="3266"/>
    <n v="3496"/>
    <n v="0"/>
    <s v="No"/>
    <s v="Minor"/>
    <n v="1748"/>
    <n v="1633"/>
    <n v="2024"/>
    <n v="5"/>
    <n v="1"/>
  </r>
  <r>
    <s v="SHP-30555"/>
    <d v="2024-06-23T00:00:00"/>
    <s v="North"/>
    <s v="Noida"/>
    <s v="Regional Hub"/>
    <s v="Express"/>
    <s v="Weather"/>
    <s v="Low"/>
    <n v="1"/>
    <n v="2"/>
    <n v="1"/>
    <s v="Yes"/>
    <n v="115"/>
    <n v="1764"/>
    <n v="3686"/>
    <n v="0"/>
    <s v="No"/>
    <s v="Minor"/>
    <n v="3686"/>
    <n v="1764"/>
    <n v="2024"/>
    <n v="6"/>
    <n v="1"/>
  </r>
  <r>
    <s v="SHP-30556"/>
    <d v="2024-01-09T00:00:00"/>
    <s v="South"/>
    <s v="Bengaluru"/>
    <s v="Local Hub"/>
    <s v="Critical"/>
    <s v="Routing"/>
    <s v="Low"/>
    <n v="2"/>
    <n v="5"/>
    <n v="3"/>
    <s v="Yes"/>
    <n v="381"/>
    <n v="3696"/>
    <n v="13638"/>
    <n v="0"/>
    <s v="No"/>
    <s v="Major"/>
    <n v="4546"/>
    <n v="1232"/>
    <n v="2024"/>
    <n v="1"/>
    <n v="1"/>
  </r>
  <r>
    <s v="SHP-30557"/>
    <d v="2024-07-16T00:00:00"/>
    <s v="West"/>
    <s v="Pune"/>
    <s v="Local Hub"/>
    <s v="Standard"/>
    <s v="Weather"/>
    <s v="Medium"/>
    <n v="5"/>
    <n v="6"/>
    <n v="1"/>
    <s v="Yes"/>
    <n v="264"/>
    <n v="1021"/>
    <n v="2905"/>
    <n v="0"/>
    <s v="No"/>
    <s v="Minor"/>
    <n v="2905"/>
    <n v="1021"/>
    <n v="2024"/>
    <n v="7"/>
    <n v="1"/>
  </r>
  <r>
    <s v="SHP-30558"/>
    <d v="2024-04-27T00:00:00"/>
    <s v="East"/>
    <s v="Bhubaneswar"/>
    <s v="Local Hub"/>
    <s v="Standard"/>
    <s v="Capacity"/>
    <s v="Medium"/>
    <n v="2"/>
    <n v="7"/>
    <n v="5"/>
    <s v="Yes"/>
    <n v="89"/>
    <n v="4120"/>
    <n v="20640"/>
    <n v="0"/>
    <s v="No"/>
    <s v="Major"/>
    <n v="4128"/>
    <n v="824"/>
    <n v="2024"/>
    <n v="4"/>
    <n v="1"/>
  </r>
  <r>
    <s v="SHP-30559"/>
    <d v="2024-08-30T00:00:00"/>
    <s v="East"/>
    <s v="Bhubaneswar"/>
    <s v="Regional Hub"/>
    <s v="Standard"/>
    <s v="Routing"/>
    <s v="Low"/>
    <n v="3"/>
    <n v="7"/>
    <n v="4"/>
    <s v="Yes"/>
    <n v="497"/>
    <n v="8852"/>
    <n v="16348"/>
    <n v="0"/>
    <s v="No"/>
    <s v="Major"/>
    <n v="4087"/>
    <n v="2213"/>
    <n v="2024"/>
    <n v="8"/>
    <n v="1"/>
  </r>
  <r>
    <s v="SHP-30560"/>
    <d v="2024-09-06T00:00:00"/>
    <s v="North"/>
    <s v="Delhi"/>
    <s v="Central Hub"/>
    <s v="Express"/>
    <s v="System"/>
    <s v="Medium"/>
    <n v="2"/>
    <n v="3"/>
    <n v="1"/>
    <s v="Yes"/>
    <n v="206"/>
    <n v="1778"/>
    <n v="3114"/>
    <n v="0"/>
    <s v="No"/>
    <s v="Minor"/>
    <n v="3114"/>
    <n v="1778"/>
    <n v="2024"/>
    <n v="9"/>
    <n v="1"/>
  </r>
  <r>
    <s v="SHP-30561"/>
    <d v="2024-08-16T00:00:00"/>
    <s v="West"/>
    <s v="Pune"/>
    <s v="Regional Hub"/>
    <s v="Standard"/>
    <s v="Weather"/>
    <s v="Low"/>
    <n v="3"/>
    <n v="7"/>
    <n v="4"/>
    <s v="Yes"/>
    <n v="152"/>
    <n v="7488"/>
    <n v="11100"/>
    <n v="0"/>
    <s v="No"/>
    <s v="Major"/>
    <n v="2775"/>
    <n v="1872"/>
    <n v="2024"/>
    <n v="8"/>
    <n v="1"/>
  </r>
  <r>
    <s v="SHP-30562"/>
    <d v="2024-12-05T00:00:00"/>
    <s v="West"/>
    <s v="Pune"/>
    <s v="Regional Hub"/>
    <s v="Standard"/>
    <s v="Documentation"/>
    <s v="High"/>
    <n v="1"/>
    <n v="7"/>
    <n v="6"/>
    <s v="Yes"/>
    <n v="347"/>
    <n v="12036"/>
    <n v="20694"/>
    <n v="0"/>
    <s v="No"/>
    <s v="Severe"/>
    <n v="3449"/>
    <n v="2006"/>
    <n v="2024"/>
    <n v="12"/>
    <n v="1"/>
  </r>
  <r>
    <s v="SHP-30563"/>
    <d v="2024-03-06T00:00:00"/>
    <s v="West"/>
    <s v="Pune"/>
    <s v="Central Hub"/>
    <s v="Standard"/>
    <s v="System"/>
    <s v="High"/>
    <n v="2"/>
    <n v="10"/>
    <n v="8"/>
    <s v="Yes"/>
    <n v="293"/>
    <n v="15160"/>
    <n v="26096"/>
    <n v="0"/>
    <s v="No"/>
    <s v="Severe"/>
    <n v="3262"/>
    <n v="1895"/>
    <n v="2024"/>
    <n v="3"/>
    <n v="1"/>
  </r>
  <r>
    <s v="SHP-30564"/>
    <d v="2024-09-22T00:00:00"/>
    <s v="West"/>
    <s v="Pune"/>
    <s v="Central Hub"/>
    <s v="Critical"/>
    <s v="Documentation"/>
    <s v="Low"/>
    <n v="3"/>
    <n v="8"/>
    <n v="5"/>
    <s v="Yes"/>
    <n v="220"/>
    <n v="5790"/>
    <n v="16490"/>
    <n v="0"/>
    <s v="No"/>
    <s v="Major"/>
    <n v="3298"/>
    <n v="1158"/>
    <n v="2024"/>
    <n v="9"/>
    <n v="1"/>
  </r>
  <r>
    <s v="SHP-30565"/>
    <d v="2024-10-16T00:00:00"/>
    <s v="South"/>
    <s v="Chennai"/>
    <s v="Regional Hub"/>
    <s v="Critical"/>
    <s v="Routing"/>
    <s v="High"/>
    <n v="1"/>
    <n v="9"/>
    <n v="8"/>
    <s v="Yes"/>
    <n v="489"/>
    <n v="18984"/>
    <n v="27824"/>
    <n v="0"/>
    <s v="No"/>
    <s v="Severe"/>
    <n v="3478"/>
    <n v="2373"/>
    <n v="2024"/>
    <n v="10"/>
    <n v="1"/>
  </r>
  <r>
    <s v="SHP-30566"/>
    <d v="2024-06-21T00:00:00"/>
    <s v="East"/>
    <s v="Kolkata"/>
    <s v="Central Hub"/>
    <s v="Standard"/>
    <s v="System"/>
    <s v="Medium"/>
    <n v="5"/>
    <n v="8"/>
    <n v="3"/>
    <s v="Yes"/>
    <n v="216"/>
    <n v="4413"/>
    <n v="12462"/>
    <n v="0"/>
    <s v="No"/>
    <s v="Major"/>
    <n v="4154"/>
    <n v="1471"/>
    <n v="2024"/>
    <n v="6"/>
    <n v="1"/>
  </r>
  <r>
    <s v="SHP-30567"/>
    <d v="2024-01-10T00:00:00"/>
    <s v="East"/>
    <s v="Bhubaneswar"/>
    <s v="Local Hub"/>
    <s v="Express"/>
    <s v="Weather"/>
    <s v="Low"/>
    <n v="1"/>
    <n v="4"/>
    <n v="3"/>
    <s v="Yes"/>
    <n v="288"/>
    <n v="5226"/>
    <n v="8016"/>
    <n v="0"/>
    <s v="No"/>
    <s v="Major"/>
    <n v="2672"/>
    <n v="1742"/>
    <n v="2024"/>
    <n v="1"/>
    <n v="1"/>
  </r>
  <r>
    <s v="SHP-30568"/>
    <d v="2024-02-03T00:00:00"/>
    <s v="South"/>
    <s v="Bengaluru"/>
    <s v="Local Hub"/>
    <s v="Standard"/>
    <s v="Routing"/>
    <s v="High"/>
    <n v="5"/>
    <n v="9"/>
    <n v="4"/>
    <s v="Yes"/>
    <n v="366"/>
    <n v="8752"/>
    <n v="9600"/>
    <n v="0"/>
    <s v="No"/>
    <s v="Major"/>
    <n v="2400"/>
    <n v="2188"/>
    <n v="2024"/>
    <n v="2"/>
    <n v="1"/>
  </r>
  <r>
    <s v="SHP-30569"/>
    <d v="2024-09-28T00:00:00"/>
    <s v="South"/>
    <s v="Bengaluru"/>
    <s v="Central Hub"/>
    <s v="Standard"/>
    <s v="Routing"/>
    <s v="High"/>
    <n v="2"/>
    <n v="8"/>
    <n v="6"/>
    <s v="Yes"/>
    <n v="80"/>
    <n v="8622"/>
    <n v="20376"/>
    <n v="0"/>
    <s v="No"/>
    <s v="Severe"/>
    <n v="3396"/>
    <n v="1437"/>
    <n v="2024"/>
    <n v="9"/>
    <n v="1"/>
  </r>
  <r>
    <s v="SHP-30570"/>
    <d v="2024-09-01T00:00:00"/>
    <s v="West"/>
    <s v="Mumbai"/>
    <s v="Local Hub"/>
    <s v="Standard"/>
    <s v="Documentation"/>
    <s v="Medium"/>
    <n v="1"/>
    <n v="2"/>
    <n v="1"/>
    <s v="Yes"/>
    <n v="94"/>
    <n v="1388"/>
    <n v="3850"/>
    <n v="0"/>
    <s v="No"/>
    <s v="Minor"/>
    <n v="3850"/>
    <n v="1388"/>
    <n v="2024"/>
    <n v="9"/>
    <n v="1"/>
  </r>
  <r>
    <s v="SHP-30571"/>
    <d v="2024-06-17T00:00:00"/>
    <s v="North"/>
    <s v="Delhi"/>
    <s v="Central Hub"/>
    <s v="Standard"/>
    <s v="Documentation"/>
    <s v="Medium"/>
    <n v="2"/>
    <n v="7"/>
    <n v="5"/>
    <s v="Yes"/>
    <n v="426"/>
    <n v="7135"/>
    <n v="9710"/>
    <n v="0"/>
    <s v="No"/>
    <s v="Major"/>
    <n v="1942"/>
    <n v="1427"/>
    <n v="2024"/>
    <n v="6"/>
    <n v="1"/>
  </r>
  <r>
    <s v="SHP-30572"/>
    <d v="2024-04-02T00:00:00"/>
    <s v="South"/>
    <s v="Bengaluru"/>
    <s v="Regional Hub"/>
    <s v="Critical"/>
    <s v="Weather"/>
    <s v="High"/>
    <n v="3"/>
    <n v="8"/>
    <n v="5"/>
    <s v="Yes"/>
    <n v="135"/>
    <n v="9285"/>
    <n v="9120"/>
    <n v="0"/>
    <s v="No"/>
    <s v="Major"/>
    <n v="1824"/>
    <n v="1857"/>
    <n v="2024"/>
    <n v="4"/>
    <n v="1"/>
  </r>
  <r>
    <s v="SHP-30573"/>
    <d v="2024-07-22T00:00:00"/>
    <s v="East"/>
    <s v="Kolkata"/>
    <s v="Central Hub"/>
    <s v="Standard"/>
    <s v="System"/>
    <s v="Low"/>
    <n v="1"/>
    <n v="1"/>
    <n v="0"/>
    <s v="No"/>
    <n v="316"/>
    <n v="0"/>
    <n v="0"/>
    <n v="1"/>
    <s v="No"/>
    <s v="On Time"/>
    <n v="0"/>
    <n v="0"/>
    <n v="2024"/>
    <n v="7"/>
    <n v="0"/>
  </r>
  <r>
    <s v="SHP-30574"/>
    <d v="2024-09-18T00:00:00"/>
    <s v="North"/>
    <s v="Delhi"/>
    <s v="Regional Hub"/>
    <s v="Standard"/>
    <s v="Documentation"/>
    <s v="Medium"/>
    <n v="2"/>
    <n v="3"/>
    <n v="1"/>
    <s v="Yes"/>
    <n v="192"/>
    <n v="1127"/>
    <n v="2188"/>
    <n v="0"/>
    <s v="No"/>
    <s v="Minor"/>
    <n v="2188"/>
    <n v="1127"/>
    <n v="2024"/>
    <n v="9"/>
    <n v="1"/>
  </r>
  <r>
    <s v="SHP-30575"/>
    <d v="2024-09-30T00:00:00"/>
    <s v="North"/>
    <s v="Delhi"/>
    <s v="Regional Hub"/>
    <s v="Standard"/>
    <s v="Routing"/>
    <s v="Medium"/>
    <n v="1"/>
    <n v="3"/>
    <n v="2"/>
    <s v="Yes"/>
    <n v="78"/>
    <n v="2036"/>
    <n v="8452"/>
    <n v="0"/>
    <s v="No"/>
    <s v="Minor"/>
    <n v="4226"/>
    <n v="1018"/>
    <n v="2024"/>
    <n v="9"/>
    <n v="1"/>
  </r>
  <r>
    <s v="SHP-30576"/>
    <d v="2024-07-09T00:00:00"/>
    <s v="South"/>
    <s v="Chennai"/>
    <s v="Local Hub"/>
    <s v="Standard"/>
    <s v="Routing"/>
    <s v="Low"/>
    <n v="2"/>
    <n v="6"/>
    <n v="4"/>
    <s v="Yes"/>
    <n v="402"/>
    <n v="5424"/>
    <n v="15252"/>
    <n v="0"/>
    <s v="No"/>
    <s v="Major"/>
    <n v="3813"/>
    <n v="1356"/>
    <n v="2024"/>
    <n v="7"/>
    <n v="1"/>
  </r>
  <r>
    <s v="SHP-30577"/>
    <d v="2024-09-25T00:00:00"/>
    <s v="East"/>
    <s v="Bhubaneswar"/>
    <s v="Local Hub"/>
    <s v="Standard"/>
    <s v="Routing"/>
    <s v="Medium"/>
    <n v="5"/>
    <n v="6"/>
    <n v="1"/>
    <s v="Yes"/>
    <n v="445"/>
    <n v="1857"/>
    <n v="1679"/>
    <n v="0"/>
    <s v="No"/>
    <s v="Minor"/>
    <n v="1679"/>
    <n v="1857"/>
    <n v="2024"/>
    <n v="9"/>
    <n v="1"/>
  </r>
  <r>
    <s v="SHP-30578"/>
    <d v="2024-03-26T00:00:00"/>
    <s v="West"/>
    <s v="Pune"/>
    <s v="Local Hub"/>
    <s v="Express"/>
    <s v="Documentation"/>
    <s v="High"/>
    <n v="3"/>
    <n v="10"/>
    <n v="7"/>
    <s v="Yes"/>
    <n v="155"/>
    <n v="10703"/>
    <n v="11578"/>
    <n v="0"/>
    <s v="No"/>
    <s v="Severe"/>
    <n v="1654"/>
    <n v="1529"/>
    <n v="2024"/>
    <n v="3"/>
    <n v="1"/>
  </r>
  <r>
    <s v="SHP-30579"/>
    <d v="2024-06-02T00:00:00"/>
    <s v="East"/>
    <s v="Bhubaneswar"/>
    <s v="Local Hub"/>
    <s v="Express"/>
    <s v="Capacity"/>
    <s v="Low"/>
    <n v="2"/>
    <n v="2"/>
    <n v="0"/>
    <s v="No"/>
    <n v="467"/>
    <n v="0"/>
    <n v="0"/>
    <n v="1"/>
    <s v="No"/>
    <s v="On Time"/>
    <n v="0"/>
    <n v="0"/>
    <n v="2024"/>
    <n v="6"/>
    <n v="0"/>
  </r>
  <r>
    <s v="SHP-30580"/>
    <d v="2024-08-09T00:00:00"/>
    <s v="North"/>
    <s v="Delhi"/>
    <s v="Regional Hub"/>
    <s v="Express"/>
    <s v="Documentation"/>
    <s v="High"/>
    <n v="1"/>
    <n v="6"/>
    <n v="5"/>
    <s v="Yes"/>
    <n v="485"/>
    <n v="7890"/>
    <n v="10295"/>
    <n v="0"/>
    <s v="No"/>
    <s v="Major"/>
    <n v="2059"/>
    <n v="1578"/>
    <n v="2024"/>
    <n v="8"/>
    <n v="1"/>
  </r>
  <r>
    <s v="SHP-30581"/>
    <d v="2024-04-24T00:00:00"/>
    <s v="East"/>
    <s v="Kolkata"/>
    <s v="Central Hub"/>
    <s v="Standard"/>
    <s v="Documentation"/>
    <s v="High"/>
    <n v="3"/>
    <n v="6"/>
    <n v="3"/>
    <s v="Yes"/>
    <n v="112"/>
    <n v="7296"/>
    <n v="11637"/>
    <n v="0"/>
    <s v="No"/>
    <s v="Major"/>
    <n v="3879"/>
    <n v="2432"/>
    <n v="2024"/>
    <n v="4"/>
    <n v="1"/>
  </r>
  <r>
    <s v="SHP-30582"/>
    <d v="2024-03-03T00:00:00"/>
    <s v="North"/>
    <s v="Noida"/>
    <s v="Regional Hub"/>
    <s v="Express"/>
    <s v="Documentation"/>
    <s v="Low"/>
    <n v="5"/>
    <n v="9"/>
    <n v="4"/>
    <s v="Yes"/>
    <n v="191"/>
    <n v="6520"/>
    <n v="10016"/>
    <n v="0"/>
    <s v="No"/>
    <s v="Major"/>
    <n v="2504"/>
    <n v="1630"/>
    <n v="2024"/>
    <n v="3"/>
    <n v="1"/>
  </r>
  <r>
    <s v="SHP-30583"/>
    <d v="2024-07-22T00:00:00"/>
    <s v="South"/>
    <s v="Bengaluru"/>
    <s v="Central Hub"/>
    <s v="Standard"/>
    <s v="Weather"/>
    <s v="Low"/>
    <n v="3"/>
    <n v="7"/>
    <n v="4"/>
    <s v="Yes"/>
    <n v="335"/>
    <n v="3796"/>
    <n v="14684"/>
    <n v="0"/>
    <s v="No"/>
    <s v="Major"/>
    <n v="3671"/>
    <n v="949"/>
    <n v="2024"/>
    <n v="7"/>
    <n v="1"/>
  </r>
  <r>
    <s v="SHP-30584"/>
    <d v="2024-05-25T00:00:00"/>
    <s v="North"/>
    <s v="Delhi"/>
    <s v="Central Hub"/>
    <s v="Standard"/>
    <s v="Documentation"/>
    <s v="Medium"/>
    <n v="3"/>
    <n v="8"/>
    <n v="5"/>
    <s v="Yes"/>
    <n v="445"/>
    <n v="6095"/>
    <n v="11010"/>
    <n v="0"/>
    <s v="No"/>
    <s v="Major"/>
    <n v="2202"/>
    <n v="1219"/>
    <n v="2024"/>
    <n v="5"/>
    <n v="1"/>
  </r>
  <r>
    <s v="SHP-30585"/>
    <d v="2024-06-07T00:00:00"/>
    <s v="South"/>
    <s v="Bengaluru"/>
    <s v="Local Hub"/>
    <s v="Express"/>
    <s v="Routing"/>
    <s v="High"/>
    <n v="5"/>
    <n v="8"/>
    <n v="3"/>
    <s v="Yes"/>
    <n v="54"/>
    <n v="2886"/>
    <n v="13233"/>
    <n v="0"/>
    <s v="No"/>
    <s v="Major"/>
    <n v="4411"/>
    <n v="962"/>
    <n v="2024"/>
    <n v="6"/>
    <n v="1"/>
  </r>
  <r>
    <s v="SHP-30586"/>
    <d v="2024-01-23T00:00:00"/>
    <s v="North"/>
    <s v="Delhi"/>
    <s v="Regional Hub"/>
    <s v="Standard"/>
    <s v="Documentation"/>
    <s v="Low"/>
    <n v="2"/>
    <n v="4"/>
    <n v="2"/>
    <s v="Yes"/>
    <n v="60"/>
    <n v="2902"/>
    <n v="7180"/>
    <n v="0"/>
    <s v="No"/>
    <s v="Minor"/>
    <n v="3590"/>
    <n v="1451"/>
    <n v="2024"/>
    <n v="1"/>
    <n v="1"/>
  </r>
  <r>
    <s v="SHP-30587"/>
    <d v="2024-03-11T00:00:00"/>
    <s v="South"/>
    <s v="Bengaluru"/>
    <s v="Central Hub"/>
    <s v="Express"/>
    <s v="Capacity"/>
    <s v="Medium"/>
    <n v="3"/>
    <n v="4"/>
    <n v="1"/>
    <s v="Yes"/>
    <n v="363"/>
    <n v="1187"/>
    <n v="4973"/>
    <n v="0"/>
    <s v="No"/>
    <s v="Minor"/>
    <n v="4973"/>
    <n v="1187"/>
    <n v="2024"/>
    <n v="3"/>
    <n v="1"/>
  </r>
  <r>
    <s v="SHP-30588"/>
    <d v="2024-12-07T00:00:00"/>
    <s v="East"/>
    <s v="Bhubaneswar"/>
    <s v="Regional Hub"/>
    <s v="Express"/>
    <s v="Documentation"/>
    <s v="Low"/>
    <n v="3"/>
    <n v="5"/>
    <n v="2"/>
    <s v="Yes"/>
    <n v="135"/>
    <n v="4882"/>
    <n v="6586"/>
    <n v="0"/>
    <s v="No"/>
    <s v="Minor"/>
    <n v="3293"/>
    <n v="2441"/>
    <n v="2024"/>
    <n v="12"/>
    <n v="1"/>
  </r>
  <r>
    <s v="SHP-30589"/>
    <d v="2024-01-17T00:00:00"/>
    <s v="South"/>
    <s v="Chennai"/>
    <s v="Central Hub"/>
    <s v="Standard"/>
    <s v="Weather"/>
    <s v="Medium"/>
    <n v="2"/>
    <n v="4"/>
    <n v="2"/>
    <s v="Yes"/>
    <n v="404"/>
    <n v="3242"/>
    <n v="6466"/>
    <n v="0"/>
    <s v="No"/>
    <s v="Minor"/>
    <n v="3233"/>
    <n v="1621"/>
    <n v="2024"/>
    <n v="1"/>
    <n v="1"/>
  </r>
  <r>
    <s v="SHP-30590"/>
    <d v="2024-09-10T00:00:00"/>
    <s v="East"/>
    <s v="Kolkata"/>
    <s v="Regional Hub"/>
    <s v="Standard"/>
    <s v="Capacity"/>
    <s v="Low"/>
    <n v="2"/>
    <n v="7"/>
    <n v="5"/>
    <s v="Yes"/>
    <n v="97"/>
    <n v="11920"/>
    <n v="14630"/>
    <n v="0"/>
    <s v="No"/>
    <s v="Major"/>
    <n v="2926"/>
    <n v="2384"/>
    <n v="2024"/>
    <n v="9"/>
    <n v="1"/>
  </r>
  <r>
    <s v="SHP-30591"/>
    <d v="2024-03-29T00:00:00"/>
    <s v="West"/>
    <s v="Pune"/>
    <s v="Central Hub"/>
    <s v="Standard"/>
    <s v="System"/>
    <s v="Low"/>
    <n v="3"/>
    <n v="8"/>
    <n v="5"/>
    <s v="Yes"/>
    <n v="436"/>
    <n v="11160"/>
    <n v="21775"/>
    <n v="0"/>
    <s v="No"/>
    <s v="Major"/>
    <n v="4355"/>
    <n v="2232"/>
    <n v="2024"/>
    <n v="3"/>
    <n v="1"/>
  </r>
  <r>
    <s v="SHP-30592"/>
    <d v="2024-06-22T00:00:00"/>
    <s v="North"/>
    <s v="Noida"/>
    <s v="Regional Hub"/>
    <s v="Express"/>
    <s v="System"/>
    <s v="Medium"/>
    <n v="2"/>
    <n v="5"/>
    <n v="3"/>
    <s v="Yes"/>
    <n v="226"/>
    <n v="5907"/>
    <n v="8343"/>
    <n v="0"/>
    <s v="No"/>
    <s v="Major"/>
    <n v="2781"/>
    <n v="1969"/>
    <n v="2024"/>
    <n v="6"/>
    <n v="1"/>
  </r>
  <r>
    <s v="SHP-30593"/>
    <d v="2024-07-14T00:00:00"/>
    <s v="South"/>
    <s v="Chennai"/>
    <s v="Regional Hub"/>
    <s v="Critical"/>
    <s v="Capacity"/>
    <s v="Low"/>
    <n v="1"/>
    <n v="8"/>
    <n v="7"/>
    <s v="Yes"/>
    <n v="97"/>
    <n v="11928"/>
    <n v="14763"/>
    <n v="0"/>
    <s v="No"/>
    <s v="Severe"/>
    <n v="2109"/>
    <n v="1704"/>
    <n v="2024"/>
    <n v="7"/>
    <n v="1"/>
  </r>
  <r>
    <s v="SHP-30594"/>
    <d v="2024-07-15T00:00:00"/>
    <s v="North"/>
    <s v="Delhi"/>
    <s v="Regional Hub"/>
    <s v="Standard"/>
    <s v="Capacity"/>
    <s v="Low"/>
    <n v="2"/>
    <n v="6"/>
    <n v="4"/>
    <s v="Yes"/>
    <n v="374"/>
    <n v="9188"/>
    <n v="17224"/>
    <n v="0"/>
    <s v="No"/>
    <s v="Major"/>
    <n v="4306"/>
    <n v="2297"/>
    <n v="2024"/>
    <n v="7"/>
    <n v="1"/>
  </r>
  <r>
    <s v="SHP-30595"/>
    <d v="2024-05-22T00:00:00"/>
    <s v="West"/>
    <s v="Pune"/>
    <s v="Regional Hub"/>
    <s v="Express"/>
    <s v="Capacity"/>
    <s v="Low"/>
    <n v="2"/>
    <n v="7"/>
    <n v="5"/>
    <s v="Yes"/>
    <n v="395"/>
    <n v="10720"/>
    <n v="15355"/>
    <n v="0"/>
    <s v="No"/>
    <s v="Major"/>
    <n v="3071"/>
    <n v="2144"/>
    <n v="2024"/>
    <n v="5"/>
    <n v="1"/>
  </r>
  <r>
    <s v="SHP-30596"/>
    <d v="2024-05-17T00:00:00"/>
    <s v="West"/>
    <s v="Pune"/>
    <s v="Central Hub"/>
    <s v="Express"/>
    <s v="Weather"/>
    <s v="Medium"/>
    <n v="1"/>
    <n v="3"/>
    <n v="2"/>
    <s v="Yes"/>
    <n v="485"/>
    <n v="1848"/>
    <n v="7890"/>
    <n v="0"/>
    <s v="No"/>
    <s v="Minor"/>
    <n v="3945"/>
    <n v="924"/>
    <n v="2024"/>
    <n v="5"/>
    <n v="1"/>
  </r>
  <r>
    <s v="SHP-30597"/>
    <d v="2024-05-01T00:00:00"/>
    <s v="South"/>
    <s v="Bengaluru"/>
    <s v="Local Hub"/>
    <s v="Standard"/>
    <s v="Weather"/>
    <s v="Medium"/>
    <n v="5"/>
    <n v="7"/>
    <n v="2"/>
    <s v="Yes"/>
    <n v="140"/>
    <n v="2654"/>
    <n v="9258"/>
    <n v="0"/>
    <s v="No"/>
    <s v="Minor"/>
    <n v="4629"/>
    <n v="1327"/>
    <n v="2024"/>
    <n v="5"/>
    <n v="1"/>
  </r>
  <r>
    <s v="SHP-30598"/>
    <d v="2024-07-13T00:00:00"/>
    <s v="East"/>
    <s v="Bhubaneswar"/>
    <s v="Central Hub"/>
    <s v="Critical"/>
    <s v="Routing"/>
    <s v="Low"/>
    <n v="2"/>
    <n v="7"/>
    <n v="5"/>
    <s v="Yes"/>
    <n v="97"/>
    <n v="9350"/>
    <n v="22015"/>
    <n v="0"/>
    <s v="No"/>
    <s v="Major"/>
    <n v="4403"/>
    <n v="1870"/>
    <n v="2024"/>
    <n v="7"/>
    <n v="1"/>
  </r>
  <r>
    <s v="SHP-30599"/>
    <d v="2024-07-14T00:00:00"/>
    <s v="East"/>
    <s v="Bhubaneswar"/>
    <s v="Central Hub"/>
    <s v="Critical"/>
    <s v="Capacity"/>
    <s v="High"/>
    <n v="5"/>
    <n v="10"/>
    <n v="5"/>
    <s v="Yes"/>
    <n v="280"/>
    <n v="11995"/>
    <n v="22350"/>
    <n v="0"/>
    <s v="No"/>
    <s v="Major"/>
    <n v="4470"/>
    <n v="2399"/>
    <n v="2024"/>
    <n v="7"/>
    <n v="1"/>
  </r>
  <r>
    <s v="SHP-30600"/>
    <d v="2024-08-21T00:00:00"/>
    <s v="North"/>
    <s v="Noida"/>
    <s v="Central Hub"/>
    <s v="Standard"/>
    <s v="Weather"/>
    <s v="Low"/>
    <n v="2"/>
    <n v="7"/>
    <n v="5"/>
    <s v="Yes"/>
    <n v="272"/>
    <n v="9425"/>
    <n v="13560"/>
    <n v="0"/>
    <s v="No"/>
    <s v="Major"/>
    <n v="2712"/>
    <n v="1885"/>
    <n v="2024"/>
    <n v="8"/>
    <n v="1"/>
  </r>
  <r>
    <s v="SHP-30601"/>
    <d v="2024-03-02T00:00:00"/>
    <s v="West"/>
    <s v="Pune"/>
    <s v="Regional Hub"/>
    <s v="Standard"/>
    <s v="System"/>
    <s v="Low"/>
    <n v="3"/>
    <n v="6"/>
    <n v="3"/>
    <s v="Yes"/>
    <n v="420"/>
    <n v="4980"/>
    <n v="7332"/>
    <n v="0"/>
    <s v="No"/>
    <s v="Major"/>
    <n v="2444"/>
    <n v="1660"/>
    <n v="2024"/>
    <n v="3"/>
    <n v="1"/>
  </r>
  <r>
    <s v="SHP-30602"/>
    <d v="2024-09-08T00:00:00"/>
    <s v="South"/>
    <s v="Bengaluru"/>
    <s v="Central Hub"/>
    <s v="Critical"/>
    <s v="Routing"/>
    <s v="Low"/>
    <n v="3"/>
    <n v="7"/>
    <n v="4"/>
    <s v="Yes"/>
    <n v="398"/>
    <n v="9896"/>
    <n v="9448"/>
    <n v="0"/>
    <s v="No"/>
    <s v="Major"/>
    <n v="2362"/>
    <n v="2474"/>
    <n v="2024"/>
    <n v="9"/>
    <n v="1"/>
  </r>
  <r>
    <s v="SHP-30603"/>
    <d v="2024-03-18T00:00:00"/>
    <s v="West"/>
    <s v="Mumbai"/>
    <s v="Central Hub"/>
    <s v="Critical"/>
    <s v="Capacity"/>
    <s v="Low"/>
    <n v="2"/>
    <n v="6"/>
    <n v="4"/>
    <s v="Yes"/>
    <n v="81"/>
    <n v="7984"/>
    <n v="7476"/>
    <n v="0"/>
    <s v="No"/>
    <s v="Major"/>
    <n v="1869"/>
    <n v="1996"/>
    <n v="2024"/>
    <n v="3"/>
    <n v="1"/>
  </r>
  <r>
    <s v="SHP-30604"/>
    <d v="2024-03-27T00:00:00"/>
    <s v="East"/>
    <s v="Kolkata"/>
    <s v="Central Hub"/>
    <s v="Standard"/>
    <s v="System"/>
    <s v="Low"/>
    <n v="3"/>
    <n v="4"/>
    <n v="1"/>
    <s v="Yes"/>
    <n v="460"/>
    <n v="1219"/>
    <n v="4331"/>
    <n v="0"/>
    <s v="No"/>
    <s v="Minor"/>
    <n v="4331"/>
    <n v="1219"/>
    <n v="2024"/>
    <n v="3"/>
    <n v="1"/>
  </r>
  <r>
    <s v="SHP-30605"/>
    <d v="2024-07-19T00:00:00"/>
    <s v="East"/>
    <s v="Bhubaneswar"/>
    <s v="Central Hub"/>
    <s v="Standard"/>
    <s v="Documentation"/>
    <s v="Medium"/>
    <n v="5"/>
    <n v="9"/>
    <n v="4"/>
    <s v="Yes"/>
    <n v="91"/>
    <n v="4960"/>
    <n v="18220"/>
    <n v="0"/>
    <s v="No"/>
    <s v="Major"/>
    <n v="4555"/>
    <n v="1240"/>
    <n v="2024"/>
    <n v="7"/>
    <n v="1"/>
  </r>
  <r>
    <s v="SHP-30606"/>
    <d v="2024-11-17T00:00:00"/>
    <s v="East"/>
    <s v="Kolkata"/>
    <s v="Regional Hub"/>
    <s v="Standard"/>
    <s v="Weather"/>
    <s v="High"/>
    <n v="3"/>
    <n v="6"/>
    <n v="3"/>
    <s v="Yes"/>
    <n v="250"/>
    <n v="4731"/>
    <n v="14178"/>
    <n v="0"/>
    <s v="No"/>
    <s v="Major"/>
    <n v="4726"/>
    <n v="1577"/>
    <n v="2024"/>
    <n v="11"/>
    <n v="1"/>
  </r>
  <r>
    <s v="SHP-30607"/>
    <d v="2024-02-25T00:00:00"/>
    <s v="West"/>
    <s v="Mumbai"/>
    <s v="Local Hub"/>
    <s v="Express"/>
    <s v="Weather"/>
    <s v="Medium"/>
    <n v="2"/>
    <n v="7"/>
    <n v="5"/>
    <s v="Yes"/>
    <n v="356"/>
    <n v="7855"/>
    <n v="17290"/>
    <n v="0"/>
    <s v="No"/>
    <s v="Major"/>
    <n v="3458"/>
    <n v="1571"/>
    <n v="2024"/>
    <n v="2"/>
    <n v="1"/>
  </r>
  <r>
    <s v="SHP-30608"/>
    <d v="2024-10-19T00:00:00"/>
    <s v="North"/>
    <s v="Delhi"/>
    <s v="Central Hub"/>
    <s v="Express"/>
    <s v="System"/>
    <s v="Medium"/>
    <n v="1"/>
    <n v="5"/>
    <n v="4"/>
    <s v="Yes"/>
    <n v="144"/>
    <n v="6552"/>
    <n v="18388"/>
    <n v="0"/>
    <s v="No"/>
    <s v="Major"/>
    <n v="4597"/>
    <n v="1638"/>
    <n v="2024"/>
    <n v="10"/>
    <n v="1"/>
  </r>
  <r>
    <s v="SHP-30609"/>
    <d v="2024-08-23T00:00:00"/>
    <s v="South"/>
    <s v="Bengaluru"/>
    <s v="Regional Hub"/>
    <s v="Express"/>
    <s v="Weather"/>
    <s v="High"/>
    <n v="1"/>
    <n v="9"/>
    <n v="8"/>
    <s v="Yes"/>
    <n v="479"/>
    <n v="11832"/>
    <n v="32840"/>
    <n v="0"/>
    <s v="No"/>
    <s v="Severe"/>
    <n v="4105"/>
    <n v="1479"/>
    <n v="2024"/>
    <n v="8"/>
    <n v="1"/>
  </r>
  <r>
    <s v="SHP-30610"/>
    <d v="2024-04-30T00:00:00"/>
    <s v="East"/>
    <s v="Bhubaneswar"/>
    <s v="Central Hub"/>
    <s v="Express"/>
    <s v="Weather"/>
    <s v="Low"/>
    <n v="2"/>
    <n v="7"/>
    <n v="5"/>
    <s v="Yes"/>
    <n v="317"/>
    <n v="10700"/>
    <n v="11355"/>
    <n v="0"/>
    <s v="No"/>
    <s v="Major"/>
    <n v="2271"/>
    <n v="2140"/>
    <n v="2024"/>
    <n v="4"/>
    <n v="1"/>
  </r>
  <r>
    <s v="SHP-30611"/>
    <d v="2024-03-10T00:00:00"/>
    <s v="North"/>
    <s v="Noida"/>
    <s v="Local Hub"/>
    <s v="Express"/>
    <s v="Capacity"/>
    <s v="Medium"/>
    <n v="3"/>
    <n v="7"/>
    <n v="4"/>
    <s v="Yes"/>
    <n v="463"/>
    <n v="8404"/>
    <n v="9532"/>
    <n v="0"/>
    <s v="No"/>
    <s v="Major"/>
    <n v="2383"/>
    <n v="2101"/>
    <n v="2024"/>
    <n v="3"/>
    <n v="1"/>
  </r>
  <r>
    <s v="SHP-30612"/>
    <d v="2024-12-13T00:00:00"/>
    <s v="West"/>
    <s v="Mumbai"/>
    <s v="Regional Hub"/>
    <s v="Express"/>
    <s v="Capacity"/>
    <s v="High"/>
    <n v="2"/>
    <n v="6"/>
    <n v="4"/>
    <s v="Yes"/>
    <n v="69"/>
    <n v="6532"/>
    <n v="19452"/>
    <n v="0"/>
    <s v="No"/>
    <s v="Major"/>
    <n v="4863"/>
    <n v="1633"/>
    <n v="2024"/>
    <n v="12"/>
    <n v="1"/>
  </r>
  <r>
    <s v="SHP-30613"/>
    <d v="2024-07-11T00:00:00"/>
    <s v="East"/>
    <s v="Bhubaneswar"/>
    <s v="Regional Hub"/>
    <s v="Express"/>
    <s v="Weather"/>
    <s v="Low"/>
    <n v="2"/>
    <n v="2"/>
    <n v="0"/>
    <s v="No"/>
    <n v="90"/>
    <n v="0"/>
    <n v="0"/>
    <n v="1"/>
    <s v="No"/>
    <s v="On Time"/>
    <n v="0"/>
    <n v="0"/>
    <n v="2024"/>
    <n v="7"/>
    <n v="0"/>
  </r>
  <r>
    <s v="SHP-30614"/>
    <d v="2024-11-24T00:00:00"/>
    <s v="South"/>
    <s v="Chennai"/>
    <s v="Local Hub"/>
    <s v="Standard"/>
    <s v="Routing"/>
    <s v="Medium"/>
    <n v="2"/>
    <n v="7"/>
    <n v="5"/>
    <s v="Yes"/>
    <n v="471"/>
    <n v="9075"/>
    <n v="11990"/>
    <n v="0"/>
    <s v="No"/>
    <s v="Major"/>
    <n v="2398"/>
    <n v="1815"/>
    <n v="2024"/>
    <n v="11"/>
    <n v="1"/>
  </r>
  <r>
    <s v="SHP-30615"/>
    <d v="2024-03-07T00:00:00"/>
    <s v="East"/>
    <s v="Kolkata"/>
    <s v="Local Hub"/>
    <s v="Standard"/>
    <s v="Capacity"/>
    <s v="High"/>
    <n v="2"/>
    <n v="9"/>
    <n v="7"/>
    <s v="Yes"/>
    <n v="170"/>
    <n v="11235"/>
    <n v="16667"/>
    <n v="0"/>
    <s v="No"/>
    <s v="Severe"/>
    <n v="2381"/>
    <n v="1605"/>
    <n v="2024"/>
    <n v="3"/>
    <n v="1"/>
  </r>
  <r>
    <s v="SHP-30616"/>
    <d v="2024-02-08T00:00:00"/>
    <s v="South"/>
    <s v="Chennai"/>
    <s v="Local Hub"/>
    <s v="Critical"/>
    <s v="Weather"/>
    <s v="High"/>
    <n v="2"/>
    <n v="5"/>
    <n v="3"/>
    <s v="Yes"/>
    <n v="270"/>
    <n v="4839"/>
    <n v="12360"/>
    <n v="0"/>
    <s v="No"/>
    <s v="Major"/>
    <n v="4120"/>
    <n v="1613"/>
    <n v="2024"/>
    <n v="2"/>
    <n v="1"/>
  </r>
  <r>
    <s v="SHP-30617"/>
    <d v="2024-11-18T00:00:00"/>
    <s v="West"/>
    <s v="Pune"/>
    <s v="Regional Hub"/>
    <s v="Express"/>
    <s v="Routing"/>
    <s v="Medium"/>
    <n v="2"/>
    <n v="4"/>
    <n v="2"/>
    <s v="Yes"/>
    <n v="255"/>
    <n v="3030"/>
    <n v="3010"/>
    <n v="0"/>
    <s v="No"/>
    <s v="Minor"/>
    <n v="1505"/>
    <n v="1515"/>
    <n v="2024"/>
    <n v="11"/>
    <n v="1"/>
  </r>
  <r>
    <s v="SHP-30618"/>
    <d v="2024-03-05T00:00:00"/>
    <s v="West"/>
    <s v="Mumbai"/>
    <s v="Regional Hub"/>
    <s v="Express"/>
    <s v="Capacity"/>
    <s v="Low"/>
    <n v="2"/>
    <n v="2"/>
    <n v="0"/>
    <s v="No"/>
    <n v="427"/>
    <n v="0"/>
    <n v="0"/>
    <n v="1"/>
    <s v="No"/>
    <s v="On Time"/>
    <n v="0"/>
    <n v="0"/>
    <n v="2024"/>
    <n v="3"/>
    <n v="0"/>
  </r>
  <r>
    <s v="SHP-30619"/>
    <d v="2024-04-20T00:00:00"/>
    <s v="North"/>
    <s v="Noida"/>
    <s v="Regional Hub"/>
    <s v="Express"/>
    <s v="Capacity"/>
    <s v="Medium"/>
    <n v="3"/>
    <n v="8"/>
    <n v="5"/>
    <s v="Yes"/>
    <n v="412"/>
    <n v="4340"/>
    <n v="22785"/>
    <n v="0"/>
    <s v="No"/>
    <s v="Major"/>
    <n v="4557"/>
    <n v="868"/>
    <n v="2024"/>
    <n v="4"/>
    <n v="1"/>
  </r>
  <r>
    <s v="SHP-30620"/>
    <d v="2024-02-22T00:00:00"/>
    <s v="North"/>
    <s v="Noida"/>
    <s v="Central Hub"/>
    <s v="Express"/>
    <s v="Capacity"/>
    <s v="Low"/>
    <n v="1"/>
    <n v="3"/>
    <n v="2"/>
    <s v="Yes"/>
    <n v="329"/>
    <n v="3182"/>
    <n v="4224"/>
    <n v="0"/>
    <s v="No"/>
    <s v="Minor"/>
    <n v="2112"/>
    <n v="1591"/>
    <n v="2024"/>
    <n v="2"/>
    <n v="1"/>
  </r>
  <r>
    <s v="SHP-30621"/>
    <d v="2024-02-07T00:00:00"/>
    <s v="West"/>
    <s v="Pune"/>
    <s v="Regional Hub"/>
    <s v="Express"/>
    <s v="Capacity"/>
    <s v="Low"/>
    <n v="3"/>
    <n v="3"/>
    <n v="0"/>
    <s v="No"/>
    <n v="316"/>
    <n v="0"/>
    <n v="0"/>
    <n v="1"/>
    <s v="No"/>
    <s v="On Time"/>
    <n v="0"/>
    <n v="0"/>
    <n v="2024"/>
    <n v="2"/>
    <n v="0"/>
  </r>
  <r>
    <s v="SHP-30622"/>
    <d v="2024-08-18T00:00:00"/>
    <s v="East"/>
    <s v="Bhubaneswar"/>
    <s v="Local Hub"/>
    <s v="Express"/>
    <s v="Routing"/>
    <s v="Medium"/>
    <n v="2"/>
    <n v="2"/>
    <n v="0"/>
    <s v="No"/>
    <n v="479"/>
    <n v="0"/>
    <n v="0"/>
    <n v="1"/>
    <s v="No"/>
    <s v="On Time"/>
    <n v="0"/>
    <n v="0"/>
    <n v="2024"/>
    <n v="8"/>
    <n v="0"/>
  </r>
  <r>
    <s v="SHP-30623"/>
    <d v="2024-07-11T00:00:00"/>
    <s v="East"/>
    <s v="Kolkata"/>
    <s v="Regional Hub"/>
    <s v="Standard"/>
    <s v="System"/>
    <s v="Medium"/>
    <n v="1"/>
    <n v="5"/>
    <n v="4"/>
    <s v="Yes"/>
    <n v="67"/>
    <n v="7972"/>
    <n v="12072"/>
    <n v="0"/>
    <s v="No"/>
    <s v="Major"/>
    <n v="3018"/>
    <n v="1993"/>
    <n v="2024"/>
    <n v="7"/>
    <n v="1"/>
  </r>
  <r>
    <s v="SHP-30624"/>
    <d v="2024-09-25T00:00:00"/>
    <s v="North"/>
    <s v="Noida"/>
    <s v="Regional Hub"/>
    <s v="Express"/>
    <s v="Documentation"/>
    <s v="Medium"/>
    <n v="5"/>
    <n v="7"/>
    <n v="2"/>
    <s v="Yes"/>
    <n v="223"/>
    <n v="3714"/>
    <n v="9146"/>
    <n v="0"/>
    <s v="No"/>
    <s v="Minor"/>
    <n v="4573"/>
    <n v="1857"/>
    <n v="2024"/>
    <n v="9"/>
    <n v="1"/>
  </r>
  <r>
    <s v="SHP-30625"/>
    <d v="2024-06-10T00:00:00"/>
    <s v="West"/>
    <s v="Mumbai"/>
    <s v="Regional Hub"/>
    <s v="Critical"/>
    <s v="System"/>
    <s v="Medium"/>
    <n v="2"/>
    <n v="8"/>
    <n v="6"/>
    <s v="Yes"/>
    <n v="203"/>
    <n v="4836"/>
    <n v="22920"/>
    <n v="0"/>
    <s v="No"/>
    <s v="Severe"/>
    <n v="3820"/>
    <n v="806"/>
    <n v="2024"/>
    <n v="6"/>
    <n v="1"/>
  </r>
  <r>
    <s v="SHP-30626"/>
    <d v="2024-10-08T00:00:00"/>
    <s v="East"/>
    <s v="Bhubaneswar"/>
    <s v="Local Hub"/>
    <s v="Express"/>
    <s v="Routing"/>
    <s v="High"/>
    <n v="2"/>
    <n v="6"/>
    <n v="4"/>
    <s v="Yes"/>
    <n v="154"/>
    <n v="9660"/>
    <n v="12316"/>
    <n v="0"/>
    <s v="No"/>
    <s v="Major"/>
    <n v="3079"/>
    <n v="2415"/>
    <n v="2024"/>
    <n v="10"/>
    <n v="1"/>
  </r>
  <r>
    <s v="SHP-30627"/>
    <d v="2024-08-17T00:00:00"/>
    <s v="East"/>
    <s v="Kolkata"/>
    <s v="Regional Hub"/>
    <s v="Critical"/>
    <s v="Documentation"/>
    <s v="Low"/>
    <n v="2"/>
    <n v="4"/>
    <n v="2"/>
    <s v="Yes"/>
    <n v="188"/>
    <n v="1610"/>
    <n v="6886"/>
    <n v="0"/>
    <s v="No"/>
    <s v="Minor"/>
    <n v="3443"/>
    <n v="805"/>
    <n v="2024"/>
    <n v="8"/>
    <n v="1"/>
  </r>
  <r>
    <s v="SHP-30628"/>
    <d v="2024-04-04T00:00:00"/>
    <s v="North"/>
    <s v="Delhi"/>
    <s v="Regional Hub"/>
    <s v="Standard"/>
    <s v="System"/>
    <s v="Low"/>
    <n v="1"/>
    <n v="2"/>
    <n v="1"/>
    <s v="Yes"/>
    <n v="141"/>
    <n v="1325"/>
    <n v="2151"/>
    <n v="0"/>
    <s v="No"/>
    <s v="Minor"/>
    <n v="2151"/>
    <n v="1325"/>
    <n v="2024"/>
    <n v="4"/>
    <n v="1"/>
  </r>
  <r>
    <s v="SHP-30629"/>
    <d v="2024-08-26T00:00:00"/>
    <s v="East"/>
    <s v="Kolkata"/>
    <s v="Regional Hub"/>
    <s v="Critical"/>
    <s v="Weather"/>
    <s v="Medium"/>
    <n v="1"/>
    <n v="8"/>
    <n v="7"/>
    <s v="Yes"/>
    <n v="106"/>
    <n v="15232"/>
    <n v="20237"/>
    <n v="0"/>
    <s v="No"/>
    <s v="Severe"/>
    <n v="2891"/>
    <n v="2176"/>
    <n v="2024"/>
    <n v="8"/>
    <n v="1"/>
  </r>
  <r>
    <s v="SHP-30630"/>
    <d v="2024-06-15T00:00:00"/>
    <s v="North"/>
    <s v="Noida"/>
    <s v="Local Hub"/>
    <s v="Express"/>
    <s v="Weather"/>
    <s v="Medium"/>
    <n v="3"/>
    <n v="6"/>
    <n v="3"/>
    <s v="Yes"/>
    <n v="240"/>
    <n v="5580"/>
    <n v="14205"/>
    <n v="0"/>
    <s v="No"/>
    <s v="Major"/>
    <n v="4735"/>
    <n v="1860"/>
    <n v="2024"/>
    <n v="6"/>
    <n v="1"/>
  </r>
  <r>
    <s v="SHP-30631"/>
    <d v="2024-07-14T00:00:00"/>
    <s v="North"/>
    <s v="Delhi"/>
    <s v="Local Hub"/>
    <s v="Critical"/>
    <s v="Weather"/>
    <s v="Medium"/>
    <n v="3"/>
    <n v="5"/>
    <n v="2"/>
    <s v="Yes"/>
    <n v="157"/>
    <n v="1904"/>
    <n v="7172"/>
    <n v="0"/>
    <s v="No"/>
    <s v="Minor"/>
    <n v="3586"/>
    <n v="952"/>
    <n v="2024"/>
    <n v="7"/>
    <n v="1"/>
  </r>
  <r>
    <s v="SHP-30632"/>
    <d v="2024-02-07T00:00:00"/>
    <s v="West"/>
    <s v="Pune"/>
    <s v="Central Hub"/>
    <s v="Standard"/>
    <s v="Capacity"/>
    <s v="Low"/>
    <n v="2"/>
    <n v="7"/>
    <n v="5"/>
    <s v="Yes"/>
    <n v="189"/>
    <n v="8975"/>
    <n v="18885"/>
    <n v="0"/>
    <s v="No"/>
    <s v="Major"/>
    <n v="3777"/>
    <n v="1795"/>
    <n v="2024"/>
    <n v="2"/>
    <n v="1"/>
  </r>
  <r>
    <s v="SHP-30633"/>
    <d v="2024-06-25T00:00:00"/>
    <s v="East"/>
    <s v="Kolkata"/>
    <s v="Central Hub"/>
    <s v="Standard"/>
    <s v="System"/>
    <s v="High"/>
    <n v="2"/>
    <n v="5"/>
    <n v="3"/>
    <s v="Yes"/>
    <n v="86"/>
    <n v="5844"/>
    <n v="6042"/>
    <n v="0"/>
    <s v="No"/>
    <s v="Major"/>
    <n v="2014"/>
    <n v="1948"/>
    <n v="2024"/>
    <n v="6"/>
    <n v="1"/>
  </r>
  <r>
    <s v="SHP-30634"/>
    <d v="2024-06-19T00:00:00"/>
    <s v="North"/>
    <s v="Delhi"/>
    <s v="Central Hub"/>
    <s v="Standard"/>
    <s v="Weather"/>
    <s v="Medium"/>
    <n v="2"/>
    <n v="6"/>
    <n v="4"/>
    <s v="Yes"/>
    <n v="304"/>
    <n v="7024"/>
    <n v="6660"/>
    <n v="0"/>
    <s v="No"/>
    <s v="Major"/>
    <n v="1665"/>
    <n v="1756"/>
    <n v="2024"/>
    <n v="6"/>
    <n v="1"/>
  </r>
  <r>
    <s v="SHP-30635"/>
    <d v="2024-12-12T00:00:00"/>
    <s v="South"/>
    <s v="Chennai"/>
    <s v="Regional Hub"/>
    <s v="Critical"/>
    <s v="System"/>
    <s v="High"/>
    <n v="3"/>
    <n v="12"/>
    <n v="9"/>
    <s v="Yes"/>
    <n v="269"/>
    <n v="10980"/>
    <n v="19269"/>
    <n v="0"/>
    <s v="No"/>
    <s v="Severe"/>
    <n v="2141"/>
    <n v="1220"/>
    <n v="2024"/>
    <n v="12"/>
    <n v="1"/>
  </r>
  <r>
    <s v="SHP-30636"/>
    <d v="2024-11-09T00:00:00"/>
    <s v="South"/>
    <s v="Chennai"/>
    <s v="Central Hub"/>
    <s v="Express"/>
    <s v="Capacity"/>
    <s v="Low"/>
    <n v="1"/>
    <n v="2"/>
    <n v="1"/>
    <s v="Yes"/>
    <n v="225"/>
    <n v="2473"/>
    <n v="2981"/>
    <n v="0"/>
    <s v="No"/>
    <s v="Minor"/>
    <n v="2981"/>
    <n v="2473"/>
    <n v="2024"/>
    <n v="11"/>
    <n v="1"/>
  </r>
  <r>
    <s v="SHP-30637"/>
    <d v="2024-04-18T00:00:00"/>
    <s v="South"/>
    <s v="Chennai"/>
    <s v="Central Hub"/>
    <s v="Express"/>
    <s v="Documentation"/>
    <s v="Low"/>
    <n v="3"/>
    <n v="5"/>
    <n v="2"/>
    <s v="Yes"/>
    <n v="323"/>
    <n v="4362"/>
    <n v="4638"/>
    <n v="0"/>
    <s v="No"/>
    <s v="Minor"/>
    <n v="2319"/>
    <n v="2181"/>
    <n v="2024"/>
    <n v="4"/>
    <n v="1"/>
  </r>
  <r>
    <s v="SHP-30638"/>
    <d v="2024-10-15T00:00:00"/>
    <s v="West"/>
    <s v="Mumbai"/>
    <s v="Central Hub"/>
    <s v="Standard"/>
    <s v="Capacity"/>
    <s v="Low"/>
    <n v="2"/>
    <n v="4"/>
    <n v="2"/>
    <s v="Yes"/>
    <n v="258"/>
    <n v="3070"/>
    <n v="6724"/>
    <n v="0"/>
    <s v="No"/>
    <s v="Minor"/>
    <n v="3362"/>
    <n v="1535"/>
    <n v="2024"/>
    <n v="10"/>
    <n v="1"/>
  </r>
  <r>
    <s v="SHP-30639"/>
    <d v="2024-11-16T00:00:00"/>
    <s v="South"/>
    <s v="Chennai"/>
    <s v="Local Hub"/>
    <s v="Standard"/>
    <s v="System"/>
    <s v="Low"/>
    <n v="3"/>
    <n v="5"/>
    <n v="2"/>
    <s v="Yes"/>
    <n v="357"/>
    <n v="3232"/>
    <n v="3662"/>
    <n v="0"/>
    <s v="No"/>
    <s v="Minor"/>
    <n v="1831"/>
    <n v="1616"/>
    <n v="2024"/>
    <n v="11"/>
    <n v="1"/>
  </r>
  <r>
    <s v="SHP-30640"/>
    <d v="2024-12-26T00:00:00"/>
    <s v="South"/>
    <s v="Bengaluru"/>
    <s v="Local Hub"/>
    <s v="Standard"/>
    <s v="Capacity"/>
    <s v="Low"/>
    <n v="2"/>
    <n v="5"/>
    <n v="3"/>
    <s v="Yes"/>
    <n v="103"/>
    <n v="5868"/>
    <n v="14868"/>
    <n v="0"/>
    <s v="No"/>
    <s v="Major"/>
    <n v="4956"/>
    <n v="1956"/>
    <n v="2024"/>
    <n v="12"/>
    <n v="1"/>
  </r>
  <r>
    <s v="SHP-30641"/>
    <d v="2024-06-13T00:00:00"/>
    <s v="North"/>
    <s v="Delhi"/>
    <s v="Local Hub"/>
    <s v="Express"/>
    <s v="System"/>
    <s v="High"/>
    <n v="1"/>
    <n v="8"/>
    <n v="7"/>
    <s v="Yes"/>
    <n v="130"/>
    <n v="7070"/>
    <n v="12901"/>
    <n v="0"/>
    <s v="No"/>
    <s v="Severe"/>
    <n v="1843"/>
    <n v="1010"/>
    <n v="2024"/>
    <n v="6"/>
    <n v="1"/>
  </r>
  <r>
    <s v="SHP-30642"/>
    <d v="2024-07-04T00:00:00"/>
    <s v="North"/>
    <s v="Delhi"/>
    <s v="Local Hub"/>
    <s v="Express"/>
    <s v="Routing"/>
    <s v="Medium"/>
    <n v="2"/>
    <n v="2"/>
    <n v="0"/>
    <s v="No"/>
    <n v="470"/>
    <n v="0"/>
    <n v="0"/>
    <n v="1"/>
    <s v="No"/>
    <s v="On Time"/>
    <n v="0"/>
    <n v="0"/>
    <n v="2024"/>
    <n v="7"/>
    <n v="0"/>
  </r>
  <r>
    <s v="SHP-30643"/>
    <d v="2024-01-22T00:00:00"/>
    <s v="West"/>
    <s v="Pune"/>
    <s v="Local Hub"/>
    <s v="Express"/>
    <s v="Weather"/>
    <s v="Medium"/>
    <n v="2"/>
    <n v="4"/>
    <n v="2"/>
    <s v="Yes"/>
    <n v="184"/>
    <n v="1940"/>
    <n v="8006"/>
    <n v="0"/>
    <s v="No"/>
    <s v="Minor"/>
    <n v="4003"/>
    <n v="970"/>
    <n v="2024"/>
    <n v="1"/>
    <n v="1"/>
  </r>
  <r>
    <s v="SHP-30644"/>
    <d v="2024-10-17T00:00:00"/>
    <s v="South"/>
    <s v="Chennai"/>
    <s v="Regional Hub"/>
    <s v="Standard"/>
    <s v="Routing"/>
    <s v="Medium"/>
    <n v="1"/>
    <n v="5"/>
    <n v="4"/>
    <s v="Yes"/>
    <n v="366"/>
    <n v="7056"/>
    <n v="12144"/>
    <n v="0"/>
    <s v="No"/>
    <s v="Major"/>
    <n v="3036"/>
    <n v="1764"/>
    <n v="2024"/>
    <n v="10"/>
    <n v="1"/>
  </r>
  <r>
    <s v="SHP-30645"/>
    <d v="2024-11-05T00:00:00"/>
    <s v="South"/>
    <s v="Bengaluru"/>
    <s v="Central Hub"/>
    <s v="Standard"/>
    <s v="Weather"/>
    <s v="Low"/>
    <n v="2"/>
    <n v="3"/>
    <n v="1"/>
    <s v="Yes"/>
    <n v="241"/>
    <n v="2346"/>
    <n v="3941"/>
    <n v="0"/>
    <s v="No"/>
    <s v="Minor"/>
    <n v="3941"/>
    <n v="2346"/>
    <n v="2024"/>
    <n v="11"/>
    <n v="1"/>
  </r>
  <r>
    <s v="SHP-30646"/>
    <d v="2024-02-08T00:00:00"/>
    <s v="South"/>
    <s v="Bengaluru"/>
    <s v="Regional Hub"/>
    <s v="Standard"/>
    <s v="Routing"/>
    <s v="Medium"/>
    <n v="1"/>
    <n v="4"/>
    <n v="3"/>
    <s v="Yes"/>
    <n v="270"/>
    <n v="7353"/>
    <n v="5379"/>
    <n v="0"/>
    <s v="No"/>
    <s v="Major"/>
    <n v="1793"/>
    <n v="2451"/>
    <n v="2024"/>
    <n v="2"/>
    <n v="1"/>
  </r>
  <r>
    <s v="SHP-30647"/>
    <d v="2024-12-28T00:00:00"/>
    <s v="East"/>
    <s v="Kolkata"/>
    <s v="Regional Hub"/>
    <s v="Critical"/>
    <s v="Weather"/>
    <s v="Low"/>
    <n v="1"/>
    <n v="4"/>
    <n v="3"/>
    <s v="Yes"/>
    <n v="216"/>
    <n v="5679"/>
    <n v="8184"/>
    <n v="0"/>
    <s v="No"/>
    <s v="Major"/>
    <n v="2728"/>
    <n v="1893"/>
    <n v="2024"/>
    <n v="12"/>
    <n v="1"/>
  </r>
  <r>
    <s v="SHP-30648"/>
    <d v="2024-01-02T00:00:00"/>
    <s v="East"/>
    <s v="Bhubaneswar"/>
    <s v="Regional Hub"/>
    <s v="Standard"/>
    <s v="Routing"/>
    <s v="High"/>
    <n v="2"/>
    <n v="6"/>
    <n v="4"/>
    <s v="Yes"/>
    <n v="315"/>
    <n v="5572"/>
    <n v="17716"/>
    <n v="0"/>
    <s v="No"/>
    <s v="Major"/>
    <n v="4429"/>
    <n v="1393"/>
    <n v="2024"/>
    <n v="1"/>
    <n v="1"/>
  </r>
  <r>
    <s v="SHP-30649"/>
    <d v="2024-01-17T00:00:00"/>
    <s v="South"/>
    <s v="Chennai"/>
    <s v="Regional Hub"/>
    <s v="Standard"/>
    <s v="Capacity"/>
    <s v="Medium"/>
    <n v="1"/>
    <n v="3"/>
    <n v="2"/>
    <s v="Yes"/>
    <n v="231"/>
    <n v="4352"/>
    <n v="7144"/>
    <n v="0"/>
    <s v="No"/>
    <s v="Minor"/>
    <n v="3572"/>
    <n v="2176"/>
    <n v="2024"/>
    <n v="1"/>
    <n v="1"/>
  </r>
  <r>
    <s v="SHP-30650"/>
    <d v="2024-09-18T00:00:00"/>
    <s v="North"/>
    <s v="Delhi"/>
    <s v="Regional Hub"/>
    <s v="Critical"/>
    <s v="Capacity"/>
    <s v="Medium"/>
    <n v="1"/>
    <n v="4"/>
    <n v="3"/>
    <s v="Yes"/>
    <n v="331"/>
    <n v="4623"/>
    <n v="8292"/>
    <n v="0"/>
    <s v="No"/>
    <s v="Major"/>
    <n v="2764"/>
    <n v="1541"/>
    <n v="2024"/>
    <n v="9"/>
    <n v="1"/>
  </r>
  <r>
    <s v="SHP-30651"/>
    <d v="2024-02-21T00:00:00"/>
    <s v="South"/>
    <s v="Chennai"/>
    <s v="Local Hub"/>
    <s v="Critical"/>
    <s v="Weather"/>
    <s v="Medium"/>
    <n v="3"/>
    <n v="4"/>
    <n v="1"/>
    <s v="Yes"/>
    <n v="90"/>
    <n v="2134"/>
    <n v="2650"/>
    <n v="0"/>
    <s v="No"/>
    <s v="Minor"/>
    <n v="2650"/>
    <n v="2134"/>
    <n v="2024"/>
    <n v="2"/>
    <n v="1"/>
  </r>
  <r>
    <s v="SHP-30652"/>
    <d v="2024-08-07T00:00:00"/>
    <s v="West"/>
    <s v="Pune"/>
    <s v="Regional Hub"/>
    <s v="Critical"/>
    <s v="Weather"/>
    <s v="Low"/>
    <n v="1"/>
    <n v="4"/>
    <n v="3"/>
    <s v="Yes"/>
    <n v="272"/>
    <n v="4386"/>
    <n v="13059"/>
    <n v="0"/>
    <s v="No"/>
    <s v="Major"/>
    <n v="4353"/>
    <n v="1462"/>
    <n v="2024"/>
    <n v="8"/>
    <n v="1"/>
  </r>
  <r>
    <s v="SHP-30653"/>
    <d v="2024-02-11T00:00:00"/>
    <s v="South"/>
    <s v="Bengaluru"/>
    <s v="Regional Hub"/>
    <s v="Standard"/>
    <s v="System"/>
    <s v="Low"/>
    <n v="2"/>
    <n v="5"/>
    <n v="3"/>
    <s v="Yes"/>
    <n v="456"/>
    <n v="2919"/>
    <n v="6255"/>
    <n v="0"/>
    <s v="No"/>
    <s v="Major"/>
    <n v="2085"/>
    <n v="973"/>
    <n v="2024"/>
    <n v="2"/>
    <n v="1"/>
  </r>
  <r>
    <s v="SHP-30654"/>
    <d v="2024-03-05T00:00:00"/>
    <s v="West"/>
    <s v="Pune"/>
    <s v="Local Hub"/>
    <s v="Standard"/>
    <s v="Weather"/>
    <s v="High"/>
    <n v="1"/>
    <n v="5"/>
    <n v="4"/>
    <s v="Yes"/>
    <n v="416"/>
    <n v="8744"/>
    <n v="17252"/>
    <n v="0"/>
    <s v="No"/>
    <s v="Major"/>
    <n v="4313"/>
    <n v="2186"/>
    <n v="2024"/>
    <n v="3"/>
    <n v="1"/>
  </r>
  <r>
    <s v="SHP-30655"/>
    <d v="2024-03-30T00:00:00"/>
    <s v="West"/>
    <s v="Pune"/>
    <s v="Central Hub"/>
    <s v="Express"/>
    <s v="Weather"/>
    <s v="Medium"/>
    <n v="3"/>
    <n v="4"/>
    <n v="1"/>
    <s v="Yes"/>
    <n v="476"/>
    <n v="1755"/>
    <n v="3446"/>
    <n v="0"/>
    <s v="No"/>
    <s v="Minor"/>
    <n v="3446"/>
    <n v="1755"/>
    <n v="2024"/>
    <n v="3"/>
    <n v="1"/>
  </r>
  <r>
    <s v="SHP-30656"/>
    <d v="2024-11-02T00:00:00"/>
    <s v="South"/>
    <s v="Chennai"/>
    <s v="Central Hub"/>
    <s v="Standard"/>
    <s v="Weather"/>
    <s v="Low"/>
    <n v="1"/>
    <n v="1"/>
    <n v="0"/>
    <s v="No"/>
    <n v="81"/>
    <n v="0"/>
    <n v="0"/>
    <n v="1"/>
    <s v="No"/>
    <s v="On Time"/>
    <n v="0"/>
    <n v="0"/>
    <n v="2024"/>
    <n v="11"/>
    <n v="0"/>
  </r>
  <r>
    <s v="SHP-30657"/>
    <d v="2024-06-08T00:00:00"/>
    <s v="South"/>
    <s v="Bengaluru"/>
    <s v="Central Hub"/>
    <s v="Standard"/>
    <s v="Weather"/>
    <s v="Medium"/>
    <n v="5"/>
    <n v="7"/>
    <n v="2"/>
    <s v="Yes"/>
    <n v="59"/>
    <n v="4290"/>
    <n v="6266"/>
    <n v="0"/>
    <s v="No"/>
    <s v="Minor"/>
    <n v="3133"/>
    <n v="2145"/>
    <n v="2024"/>
    <n v="6"/>
    <n v="1"/>
  </r>
  <r>
    <s v="SHP-30658"/>
    <d v="2024-08-05T00:00:00"/>
    <s v="East"/>
    <s v="Bhubaneswar"/>
    <s v="Regional Hub"/>
    <s v="Standard"/>
    <s v="System"/>
    <s v="Medium"/>
    <n v="2"/>
    <n v="7"/>
    <n v="5"/>
    <s v="Yes"/>
    <n v="495"/>
    <n v="6660"/>
    <n v="16815"/>
    <n v="0"/>
    <s v="No"/>
    <s v="Major"/>
    <n v="3363"/>
    <n v="1332"/>
    <n v="2024"/>
    <n v="8"/>
    <n v="1"/>
  </r>
  <r>
    <s v="SHP-30659"/>
    <d v="2024-05-31T00:00:00"/>
    <s v="East"/>
    <s v="Kolkata"/>
    <s v="Regional Hub"/>
    <s v="Critical"/>
    <s v="Documentation"/>
    <s v="Low"/>
    <n v="1"/>
    <n v="5"/>
    <n v="4"/>
    <s v="Yes"/>
    <n v="340"/>
    <n v="7724"/>
    <n v="6908"/>
    <n v="0"/>
    <s v="No"/>
    <s v="Major"/>
    <n v="1727"/>
    <n v="1931"/>
    <n v="2024"/>
    <n v="5"/>
    <n v="1"/>
  </r>
  <r>
    <s v="SHP-30660"/>
    <d v="2024-03-09T00:00:00"/>
    <s v="North"/>
    <s v="Noida"/>
    <s v="Local Hub"/>
    <s v="Standard"/>
    <s v="Capacity"/>
    <s v="Medium"/>
    <n v="1"/>
    <n v="3"/>
    <n v="2"/>
    <s v="Yes"/>
    <n v="158"/>
    <n v="3658"/>
    <n v="5228"/>
    <n v="0"/>
    <s v="No"/>
    <s v="Minor"/>
    <n v="2614"/>
    <n v="1829"/>
    <n v="2024"/>
    <n v="3"/>
    <n v="1"/>
  </r>
  <r>
    <s v="SHP-30661"/>
    <d v="2024-06-01T00:00:00"/>
    <s v="West"/>
    <s v="Pune"/>
    <s v="Central Hub"/>
    <s v="Express"/>
    <s v="Routing"/>
    <s v="Low"/>
    <n v="2"/>
    <n v="6"/>
    <n v="4"/>
    <s v="Yes"/>
    <n v="85"/>
    <n v="9352"/>
    <n v="7920"/>
    <n v="0"/>
    <s v="No"/>
    <s v="Major"/>
    <n v="1980"/>
    <n v="2338"/>
    <n v="2024"/>
    <n v="6"/>
    <n v="1"/>
  </r>
  <r>
    <s v="SHP-30662"/>
    <d v="2024-07-24T00:00:00"/>
    <s v="East"/>
    <s v="Kolkata"/>
    <s v="Central Hub"/>
    <s v="Standard"/>
    <s v="Weather"/>
    <s v="Low"/>
    <n v="2"/>
    <n v="2"/>
    <n v="0"/>
    <s v="No"/>
    <n v="324"/>
    <n v="0"/>
    <n v="0"/>
    <n v="1"/>
    <s v="No"/>
    <s v="On Time"/>
    <n v="0"/>
    <n v="0"/>
    <n v="2024"/>
    <n v="7"/>
    <n v="0"/>
  </r>
  <r>
    <s v="SHP-30663"/>
    <d v="2024-06-16T00:00:00"/>
    <s v="South"/>
    <s v="Chennai"/>
    <s v="Local Hub"/>
    <s v="Standard"/>
    <s v="Routing"/>
    <s v="Medium"/>
    <n v="1"/>
    <n v="2"/>
    <n v="1"/>
    <s v="Yes"/>
    <n v="262"/>
    <n v="1491"/>
    <n v="3728"/>
    <n v="0"/>
    <s v="No"/>
    <s v="Minor"/>
    <n v="3728"/>
    <n v="1491"/>
    <n v="2024"/>
    <n v="6"/>
    <n v="1"/>
  </r>
  <r>
    <s v="SHP-30664"/>
    <d v="2024-11-22T00:00:00"/>
    <s v="North"/>
    <s v="Noida"/>
    <s v="Regional Hub"/>
    <s v="Standard"/>
    <s v="Documentation"/>
    <s v="Medium"/>
    <n v="3"/>
    <n v="6"/>
    <n v="3"/>
    <s v="Yes"/>
    <n v="330"/>
    <n v="3717"/>
    <n v="8136"/>
    <n v="0"/>
    <s v="No"/>
    <s v="Major"/>
    <n v="2712"/>
    <n v="1239"/>
    <n v="2024"/>
    <n v="11"/>
    <n v="1"/>
  </r>
  <r>
    <s v="SHP-30665"/>
    <d v="2024-10-06T00:00:00"/>
    <s v="West"/>
    <s v="Mumbai"/>
    <s v="Regional Hub"/>
    <s v="Express"/>
    <s v="Capacity"/>
    <s v="Low"/>
    <n v="1"/>
    <n v="3"/>
    <n v="2"/>
    <s v="Yes"/>
    <n v="432"/>
    <n v="4892"/>
    <n v="6732"/>
    <n v="0"/>
    <s v="No"/>
    <s v="Minor"/>
    <n v="3366"/>
    <n v="2446"/>
    <n v="2024"/>
    <n v="10"/>
    <n v="1"/>
  </r>
  <r>
    <s v="SHP-30666"/>
    <d v="2024-11-13T00:00:00"/>
    <s v="East"/>
    <s v="Bhubaneswar"/>
    <s v="Regional Hub"/>
    <s v="Standard"/>
    <s v="Routing"/>
    <s v="High"/>
    <n v="2"/>
    <n v="7"/>
    <n v="5"/>
    <s v="Yes"/>
    <n v="117"/>
    <n v="4410"/>
    <n v="18630"/>
    <n v="0"/>
    <s v="No"/>
    <s v="Major"/>
    <n v="3726"/>
    <n v="882"/>
    <n v="2024"/>
    <n v="11"/>
    <n v="1"/>
  </r>
  <r>
    <s v="SHP-30667"/>
    <d v="2024-11-02T00:00:00"/>
    <s v="North"/>
    <s v="Delhi"/>
    <s v="Local Hub"/>
    <s v="Standard"/>
    <s v="Documentation"/>
    <s v="Low"/>
    <n v="2"/>
    <n v="6"/>
    <n v="4"/>
    <s v="Yes"/>
    <n v="458"/>
    <n v="8840"/>
    <n v="16844"/>
    <n v="0"/>
    <s v="No"/>
    <s v="Major"/>
    <n v="4211"/>
    <n v="2210"/>
    <n v="2024"/>
    <n v="11"/>
    <n v="1"/>
  </r>
  <r>
    <s v="SHP-30668"/>
    <d v="2024-10-02T00:00:00"/>
    <s v="West"/>
    <s v="Pune"/>
    <s v="Regional Hub"/>
    <s v="Express"/>
    <s v="System"/>
    <s v="Low"/>
    <n v="1"/>
    <n v="5"/>
    <n v="4"/>
    <s v="Yes"/>
    <n v="280"/>
    <n v="8836"/>
    <n v="17848"/>
    <n v="0"/>
    <s v="No"/>
    <s v="Major"/>
    <n v="4462"/>
    <n v="2209"/>
    <n v="2024"/>
    <n v="10"/>
    <n v="1"/>
  </r>
  <r>
    <s v="SHP-30669"/>
    <d v="2024-04-11T00:00:00"/>
    <s v="North"/>
    <s v="Delhi"/>
    <s v="Regional Hub"/>
    <s v="Express"/>
    <s v="Weather"/>
    <s v="High"/>
    <n v="3"/>
    <n v="11"/>
    <n v="8"/>
    <s v="Yes"/>
    <n v="63"/>
    <n v="7368"/>
    <n v="26208"/>
    <n v="0"/>
    <s v="No"/>
    <s v="Severe"/>
    <n v="3276"/>
    <n v="921"/>
    <n v="2024"/>
    <n v="4"/>
    <n v="1"/>
  </r>
  <r>
    <s v="SHP-30670"/>
    <d v="2024-08-30T00:00:00"/>
    <s v="West"/>
    <s v="Mumbai"/>
    <s v="Local Hub"/>
    <s v="Express"/>
    <s v="Capacity"/>
    <s v="Low"/>
    <n v="2"/>
    <n v="7"/>
    <n v="5"/>
    <s v="Yes"/>
    <n v="116"/>
    <n v="7720"/>
    <n v="22065"/>
    <n v="0"/>
    <s v="No"/>
    <s v="Major"/>
    <n v="4413"/>
    <n v="1544"/>
    <n v="2024"/>
    <n v="8"/>
    <n v="1"/>
  </r>
  <r>
    <s v="SHP-30671"/>
    <d v="2024-02-20T00:00:00"/>
    <s v="West"/>
    <s v="Mumbai"/>
    <s v="Local Hub"/>
    <s v="Express"/>
    <s v="Capacity"/>
    <s v="Low"/>
    <n v="5"/>
    <n v="7"/>
    <n v="2"/>
    <s v="Yes"/>
    <n v="103"/>
    <n v="4834"/>
    <n v="7998"/>
    <n v="0"/>
    <s v="No"/>
    <s v="Minor"/>
    <n v="3999"/>
    <n v="2417"/>
    <n v="2024"/>
    <n v="2"/>
    <n v="1"/>
  </r>
  <r>
    <s v="SHP-30672"/>
    <d v="2024-05-10T00:00:00"/>
    <s v="South"/>
    <s v="Bengaluru"/>
    <s v="Regional Hub"/>
    <s v="Standard"/>
    <s v="System"/>
    <s v="High"/>
    <n v="1"/>
    <n v="8"/>
    <n v="7"/>
    <s v="Yes"/>
    <n v="236"/>
    <n v="8141"/>
    <n v="10843"/>
    <n v="0"/>
    <s v="No"/>
    <s v="Severe"/>
    <n v="1549"/>
    <n v="1163"/>
    <n v="2024"/>
    <n v="5"/>
    <n v="1"/>
  </r>
  <r>
    <s v="SHP-30673"/>
    <d v="2024-09-14T00:00:00"/>
    <s v="North"/>
    <s v="Noida"/>
    <s v="Local Hub"/>
    <s v="Standard"/>
    <s v="Routing"/>
    <s v="Medium"/>
    <n v="5"/>
    <n v="8"/>
    <n v="3"/>
    <s v="Yes"/>
    <n v="319"/>
    <n v="6978"/>
    <n v="6615"/>
    <n v="0"/>
    <s v="No"/>
    <s v="Major"/>
    <n v="2205"/>
    <n v="2326"/>
    <n v="2024"/>
    <n v="9"/>
    <n v="1"/>
  </r>
  <r>
    <s v="SHP-30674"/>
    <d v="2024-07-07T00:00:00"/>
    <s v="South"/>
    <s v="Bengaluru"/>
    <s v="Regional Hub"/>
    <s v="Standard"/>
    <s v="System"/>
    <s v="Low"/>
    <n v="2"/>
    <n v="5"/>
    <n v="3"/>
    <s v="Yes"/>
    <n v="119"/>
    <n v="7065"/>
    <n v="6945"/>
    <n v="0"/>
    <s v="No"/>
    <s v="Major"/>
    <n v="2315"/>
    <n v="2355"/>
    <n v="2024"/>
    <n v="7"/>
    <n v="1"/>
  </r>
  <r>
    <s v="SHP-30675"/>
    <d v="2024-06-08T00:00:00"/>
    <s v="West"/>
    <s v="Mumbai"/>
    <s v="Central Hub"/>
    <s v="Standard"/>
    <s v="System"/>
    <s v="Medium"/>
    <n v="2"/>
    <n v="2"/>
    <n v="0"/>
    <s v="No"/>
    <n v="342"/>
    <n v="0"/>
    <n v="0"/>
    <n v="1"/>
    <s v="No"/>
    <s v="On Time"/>
    <n v="0"/>
    <n v="0"/>
    <n v="2024"/>
    <n v="6"/>
    <n v="0"/>
  </r>
  <r>
    <s v="SHP-30676"/>
    <d v="2024-11-23T00:00:00"/>
    <s v="South"/>
    <s v="Chennai"/>
    <s v="Regional Hub"/>
    <s v="Standard"/>
    <s v="Weather"/>
    <s v="Medium"/>
    <n v="3"/>
    <n v="7"/>
    <n v="4"/>
    <s v="Yes"/>
    <n v="280"/>
    <n v="3656"/>
    <n v="19444"/>
    <n v="0"/>
    <s v="No"/>
    <s v="Major"/>
    <n v="4861"/>
    <n v="914"/>
    <n v="2024"/>
    <n v="11"/>
    <n v="1"/>
  </r>
  <r>
    <s v="SHP-30677"/>
    <d v="2024-06-06T00:00:00"/>
    <s v="East"/>
    <s v="Bhubaneswar"/>
    <s v="Regional Hub"/>
    <s v="Standard"/>
    <s v="Weather"/>
    <s v="Low"/>
    <n v="2"/>
    <n v="7"/>
    <n v="5"/>
    <s v="Yes"/>
    <n v="115"/>
    <n v="5235"/>
    <n v="15705"/>
    <n v="0"/>
    <s v="No"/>
    <s v="Major"/>
    <n v="3141"/>
    <n v="1047"/>
    <n v="2024"/>
    <n v="6"/>
    <n v="1"/>
  </r>
  <r>
    <s v="SHP-30678"/>
    <d v="2024-09-17T00:00:00"/>
    <s v="South"/>
    <s v="Chennai"/>
    <s v="Regional Hub"/>
    <s v="Standard"/>
    <s v="Capacity"/>
    <s v="High"/>
    <n v="2"/>
    <n v="10"/>
    <n v="8"/>
    <s v="Yes"/>
    <n v="286"/>
    <n v="9712"/>
    <n v="16040"/>
    <n v="0"/>
    <s v="No"/>
    <s v="Severe"/>
    <n v="2005"/>
    <n v="1214"/>
    <n v="2024"/>
    <n v="9"/>
    <n v="1"/>
  </r>
  <r>
    <s v="SHP-30679"/>
    <d v="2024-03-13T00:00:00"/>
    <s v="South"/>
    <s v="Bengaluru"/>
    <s v="Central Hub"/>
    <s v="Critical"/>
    <s v="Documentation"/>
    <s v="Medium"/>
    <n v="3"/>
    <n v="5"/>
    <n v="2"/>
    <s v="Yes"/>
    <n v="104"/>
    <n v="1676"/>
    <n v="6486"/>
    <n v="0"/>
    <s v="No"/>
    <s v="Minor"/>
    <n v="3243"/>
    <n v="838"/>
    <n v="2024"/>
    <n v="3"/>
    <n v="1"/>
  </r>
  <r>
    <s v="SHP-30680"/>
    <d v="2024-08-10T00:00:00"/>
    <s v="North"/>
    <s v="Delhi"/>
    <s v="Regional Hub"/>
    <s v="Critical"/>
    <s v="System"/>
    <s v="Low"/>
    <n v="2"/>
    <n v="4"/>
    <n v="2"/>
    <s v="Yes"/>
    <n v="265"/>
    <n v="4428"/>
    <n v="4516"/>
    <n v="0"/>
    <s v="No"/>
    <s v="Minor"/>
    <n v="2258"/>
    <n v="2214"/>
    <n v="2024"/>
    <n v="8"/>
    <n v="1"/>
  </r>
  <r>
    <s v="SHP-30681"/>
    <d v="2024-03-16T00:00:00"/>
    <s v="South"/>
    <s v="Chennai"/>
    <s v="Local Hub"/>
    <s v="Standard"/>
    <s v="Routing"/>
    <s v="Low"/>
    <n v="1"/>
    <n v="5"/>
    <n v="4"/>
    <s v="Yes"/>
    <n v="316"/>
    <n v="3916"/>
    <n v="18272"/>
    <n v="0"/>
    <s v="No"/>
    <s v="Major"/>
    <n v="4568"/>
    <n v="979"/>
    <n v="2024"/>
    <n v="3"/>
    <n v="1"/>
  </r>
  <r>
    <s v="SHP-30682"/>
    <d v="2024-10-02T00:00:00"/>
    <s v="West"/>
    <s v="Pune"/>
    <s v="Central Hub"/>
    <s v="Express"/>
    <s v="Capacity"/>
    <s v="Low"/>
    <n v="2"/>
    <n v="2"/>
    <n v="0"/>
    <s v="No"/>
    <n v="55"/>
    <n v="0"/>
    <n v="0"/>
    <n v="1"/>
    <s v="No"/>
    <s v="On Time"/>
    <n v="0"/>
    <n v="0"/>
    <n v="2024"/>
    <n v="10"/>
    <n v="0"/>
  </r>
  <r>
    <s v="SHP-30683"/>
    <d v="2024-10-08T00:00:00"/>
    <s v="East"/>
    <s v="Bhubaneswar"/>
    <s v="Central Hub"/>
    <s v="Standard"/>
    <s v="Weather"/>
    <s v="Medium"/>
    <n v="2"/>
    <n v="3"/>
    <n v="1"/>
    <s v="Yes"/>
    <n v="360"/>
    <n v="1993"/>
    <n v="1651"/>
    <n v="0"/>
    <s v="No"/>
    <s v="Minor"/>
    <n v="1651"/>
    <n v="1993"/>
    <n v="2024"/>
    <n v="10"/>
    <n v="1"/>
  </r>
  <r>
    <s v="SHP-30684"/>
    <d v="2024-03-02T00:00:00"/>
    <s v="West"/>
    <s v="Mumbai"/>
    <s v="Regional Hub"/>
    <s v="Standard"/>
    <s v="Routing"/>
    <s v="Low"/>
    <n v="3"/>
    <n v="8"/>
    <n v="5"/>
    <s v="Yes"/>
    <n v="361"/>
    <n v="11305"/>
    <n v="16890"/>
    <n v="0"/>
    <s v="No"/>
    <s v="Major"/>
    <n v="3378"/>
    <n v="2261"/>
    <n v="2024"/>
    <n v="3"/>
    <n v="1"/>
  </r>
  <r>
    <s v="SHP-30685"/>
    <d v="2024-07-04T00:00:00"/>
    <s v="North"/>
    <s v="Delhi"/>
    <s v="Regional Hub"/>
    <s v="Express"/>
    <s v="Capacity"/>
    <s v="Medium"/>
    <n v="2"/>
    <n v="3"/>
    <n v="1"/>
    <s v="Yes"/>
    <n v="287"/>
    <n v="2423"/>
    <n v="3436"/>
    <n v="0"/>
    <s v="No"/>
    <s v="Minor"/>
    <n v="3436"/>
    <n v="2423"/>
    <n v="2024"/>
    <n v="7"/>
    <n v="1"/>
  </r>
  <r>
    <s v="SHP-30686"/>
    <d v="2024-12-08T00:00:00"/>
    <s v="West"/>
    <s v="Pune"/>
    <s v="Central Hub"/>
    <s v="Express"/>
    <s v="Weather"/>
    <s v="Medium"/>
    <n v="2"/>
    <n v="5"/>
    <n v="3"/>
    <s v="Yes"/>
    <n v="115"/>
    <n v="2784"/>
    <n v="14133"/>
    <n v="0"/>
    <s v="No"/>
    <s v="Major"/>
    <n v="4711"/>
    <n v="928"/>
    <n v="2024"/>
    <n v="12"/>
    <n v="1"/>
  </r>
  <r>
    <s v="SHP-30687"/>
    <d v="2024-04-14T00:00:00"/>
    <s v="South"/>
    <s v="Chennai"/>
    <s v="Local Hub"/>
    <s v="Express"/>
    <s v="Weather"/>
    <s v="Medium"/>
    <n v="2"/>
    <n v="2"/>
    <n v="0"/>
    <s v="No"/>
    <n v="242"/>
    <n v="0"/>
    <n v="0"/>
    <n v="1"/>
    <s v="No"/>
    <s v="On Time"/>
    <n v="0"/>
    <n v="0"/>
    <n v="2024"/>
    <n v="4"/>
    <n v="0"/>
  </r>
  <r>
    <s v="SHP-30688"/>
    <d v="2024-05-13T00:00:00"/>
    <s v="South"/>
    <s v="Bengaluru"/>
    <s v="Regional Hub"/>
    <s v="Standard"/>
    <s v="Capacity"/>
    <s v="Low"/>
    <n v="1"/>
    <n v="2"/>
    <n v="1"/>
    <s v="Yes"/>
    <n v="167"/>
    <n v="1419"/>
    <n v="4551"/>
    <n v="0"/>
    <s v="No"/>
    <s v="Minor"/>
    <n v="4551"/>
    <n v="1419"/>
    <n v="2024"/>
    <n v="5"/>
    <n v="1"/>
  </r>
  <r>
    <s v="SHP-30689"/>
    <d v="2024-10-27T00:00:00"/>
    <s v="West"/>
    <s v="Mumbai"/>
    <s v="Central Hub"/>
    <s v="Express"/>
    <s v="Capacity"/>
    <s v="Low"/>
    <n v="1"/>
    <n v="2"/>
    <n v="1"/>
    <s v="Yes"/>
    <n v="278"/>
    <n v="1144"/>
    <n v="3154"/>
    <n v="0"/>
    <s v="No"/>
    <s v="Minor"/>
    <n v="3154"/>
    <n v="1144"/>
    <n v="2024"/>
    <n v="10"/>
    <n v="1"/>
  </r>
  <r>
    <s v="SHP-30690"/>
    <d v="2024-02-15T00:00:00"/>
    <s v="East"/>
    <s v="Bhubaneswar"/>
    <s v="Central Hub"/>
    <s v="Standard"/>
    <s v="Weather"/>
    <s v="Medium"/>
    <n v="3"/>
    <n v="5"/>
    <n v="2"/>
    <s v="Yes"/>
    <n v="245"/>
    <n v="4702"/>
    <n v="8466"/>
    <n v="0"/>
    <s v="No"/>
    <s v="Minor"/>
    <n v="4233"/>
    <n v="2351"/>
    <n v="2024"/>
    <n v="2"/>
    <n v="1"/>
  </r>
  <r>
    <s v="SHP-30691"/>
    <d v="2024-06-03T00:00:00"/>
    <s v="West"/>
    <s v="Mumbai"/>
    <s v="Local Hub"/>
    <s v="Express"/>
    <s v="Capacity"/>
    <s v="Medium"/>
    <n v="2"/>
    <n v="5"/>
    <n v="3"/>
    <s v="Yes"/>
    <n v="60"/>
    <n v="3357"/>
    <n v="4920"/>
    <n v="0"/>
    <s v="No"/>
    <s v="Major"/>
    <n v="1640"/>
    <n v="1119"/>
    <n v="2024"/>
    <n v="6"/>
    <n v="1"/>
  </r>
  <r>
    <s v="SHP-30692"/>
    <d v="2024-08-06T00:00:00"/>
    <s v="South"/>
    <s v="Chennai"/>
    <s v="Local Hub"/>
    <s v="Critical"/>
    <s v="Capacity"/>
    <s v="Medium"/>
    <n v="1"/>
    <n v="8"/>
    <n v="7"/>
    <s v="Yes"/>
    <n v="302"/>
    <n v="10822"/>
    <n v="12642"/>
    <n v="0"/>
    <s v="No"/>
    <s v="Severe"/>
    <n v="1806"/>
    <n v="1546"/>
    <n v="2024"/>
    <n v="8"/>
    <n v="1"/>
  </r>
  <r>
    <s v="SHP-30693"/>
    <d v="2024-06-09T00:00:00"/>
    <s v="South"/>
    <s v="Chennai"/>
    <s v="Central Hub"/>
    <s v="Standard"/>
    <s v="Weather"/>
    <s v="High"/>
    <n v="5"/>
    <n v="9"/>
    <n v="4"/>
    <s v="Yes"/>
    <n v="369"/>
    <n v="3324"/>
    <n v="13796"/>
    <n v="0"/>
    <s v="No"/>
    <s v="Major"/>
    <n v="3449"/>
    <n v="831"/>
    <n v="2024"/>
    <n v="6"/>
    <n v="1"/>
  </r>
  <r>
    <s v="SHP-30694"/>
    <d v="2024-05-18T00:00:00"/>
    <s v="West"/>
    <s v="Pune"/>
    <s v="Central Hub"/>
    <s v="Standard"/>
    <s v="Capacity"/>
    <s v="High"/>
    <n v="2"/>
    <n v="10"/>
    <n v="8"/>
    <s v="Yes"/>
    <n v="364"/>
    <n v="16432"/>
    <n v="32568"/>
    <n v="0"/>
    <s v="No"/>
    <s v="Severe"/>
    <n v="4071"/>
    <n v="2054"/>
    <n v="2024"/>
    <n v="5"/>
    <n v="1"/>
  </r>
  <r>
    <s v="SHP-30695"/>
    <d v="2024-05-01T00:00:00"/>
    <s v="South"/>
    <s v="Chennai"/>
    <s v="Regional Hub"/>
    <s v="Express"/>
    <s v="Documentation"/>
    <s v="Medium"/>
    <n v="2"/>
    <n v="6"/>
    <n v="4"/>
    <s v="Yes"/>
    <n v="351"/>
    <n v="5100"/>
    <n v="13128"/>
    <n v="0"/>
    <s v="No"/>
    <s v="Major"/>
    <n v="3282"/>
    <n v="1275"/>
    <n v="2024"/>
    <n v="5"/>
    <n v="1"/>
  </r>
  <r>
    <s v="SHP-30696"/>
    <d v="2024-08-26T00:00:00"/>
    <s v="West"/>
    <s v="Pune"/>
    <s v="Regional Hub"/>
    <s v="Standard"/>
    <s v="Documentation"/>
    <s v="High"/>
    <n v="5"/>
    <n v="11"/>
    <n v="6"/>
    <s v="Yes"/>
    <n v="185"/>
    <n v="13386"/>
    <n v="24156"/>
    <n v="0"/>
    <s v="No"/>
    <s v="Severe"/>
    <n v="4026"/>
    <n v="2231"/>
    <n v="2024"/>
    <n v="8"/>
    <n v="1"/>
  </r>
  <r>
    <s v="SHP-30697"/>
    <d v="2024-12-14T00:00:00"/>
    <s v="South"/>
    <s v="Bengaluru"/>
    <s v="Regional Hub"/>
    <s v="Standard"/>
    <s v="Capacity"/>
    <s v="Medium"/>
    <n v="2"/>
    <n v="3"/>
    <n v="1"/>
    <s v="Yes"/>
    <n v="226"/>
    <n v="1359"/>
    <n v="3437"/>
    <n v="0"/>
    <s v="No"/>
    <s v="Minor"/>
    <n v="3437"/>
    <n v="1359"/>
    <n v="2024"/>
    <n v="12"/>
    <n v="1"/>
  </r>
  <r>
    <s v="SHP-30698"/>
    <d v="2024-03-03T00:00:00"/>
    <s v="East"/>
    <s v="Kolkata"/>
    <s v="Regional Hub"/>
    <s v="Critical"/>
    <s v="Capacity"/>
    <s v="High"/>
    <n v="3"/>
    <n v="12"/>
    <n v="9"/>
    <s v="Yes"/>
    <n v="165"/>
    <n v="7677"/>
    <n v="44802"/>
    <n v="0"/>
    <s v="No"/>
    <s v="Severe"/>
    <n v="4978"/>
    <n v="853"/>
    <n v="2024"/>
    <n v="3"/>
    <n v="1"/>
  </r>
  <r>
    <s v="SHP-30699"/>
    <d v="2024-12-15T00:00:00"/>
    <s v="West"/>
    <s v="Mumbai"/>
    <s v="Regional Hub"/>
    <s v="Critical"/>
    <s v="Weather"/>
    <s v="Low"/>
    <n v="5"/>
    <n v="10"/>
    <n v="5"/>
    <s v="Yes"/>
    <n v="378"/>
    <n v="7950"/>
    <n v="16515"/>
    <n v="0"/>
    <s v="No"/>
    <s v="Major"/>
    <n v="3303"/>
    <n v="1590"/>
    <n v="2024"/>
    <n v="12"/>
    <n v="1"/>
  </r>
  <r>
    <s v="SHP-30700"/>
    <d v="2024-11-20T00:00:00"/>
    <s v="North"/>
    <s v="Delhi"/>
    <s v="Local Hub"/>
    <s v="Express"/>
    <s v="System"/>
    <s v="Medium"/>
    <n v="2"/>
    <n v="7"/>
    <n v="5"/>
    <s v="Yes"/>
    <n v="189"/>
    <n v="11270"/>
    <n v="11180"/>
    <n v="0"/>
    <s v="No"/>
    <s v="Major"/>
    <n v="2236"/>
    <n v="2254"/>
    <n v="2024"/>
    <n v="11"/>
    <n v="1"/>
  </r>
  <r>
    <s v="SHP-30701"/>
    <d v="2024-01-08T00:00:00"/>
    <s v="North"/>
    <s v="Delhi"/>
    <s v="Regional Hub"/>
    <s v="Critical"/>
    <s v="Weather"/>
    <s v="Medium"/>
    <n v="1"/>
    <n v="3"/>
    <n v="2"/>
    <s v="Yes"/>
    <n v="231"/>
    <n v="3210"/>
    <n v="5930"/>
    <n v="0"/>
    <s v="No"/>
    <s v="Minor"/>
    <n v="2965"/>
    <n v="1605"/>
    <n v="2024"/>
    <n v="1"/>
    <n v="1"/>
  </r>
  <r>
    <s v="SHP-30702"/>
    <d v="2024-01-01T00:00:00"/>
    <s v="North"/>
    <s v="Delhi"/>
    <s v="Central Hub"/>
    <s v="Standard"/>
    <s v="System"/>
    <s v="Low"/>
    <n v="2"/>
    <n v="6"/>
    <n v="4"/>
    <s v="Yes"/>
    <n v="196"/>
    <n v="9280"/>
    <n v="14696"/>
    <n v="0"/>
    <s v="No"/>
    <s v="Major"/>
    <n v="3674"/>
    <n v="2320"/>
    <n v="2024"/>
    <n v="1"/>
    <n v="1"/>
  </r>
  <r>
    <s v="SHP-30703"/>
    <d v="2024-05-18T00:00:00"/>
    <s v="West"/>
    <s v="Pune"/>
    <s v="Regional Hub"/>
    <s v="Critical"/>
    <s v="Routing"/>
    <s v="Low"/>
    <n v="2"/>
    <n v="5"/>
    <n v="3"/>
    <s v="Yes"/>
    <n v="421"/>
    <n v="2691"/>
    <n v="11805"/>
    <n v="0"/>
    <s v="No"/>
    <s v="Major"/>
    <n v="3935"/>
    <n v="897"/>
    <n v="2024"/>
    <n v="5"/>
    <n v="1"/>
  </r>
  <r>
    <s v="SHP-30704"/>
    <d v="2024-07-22T00:00:00"/>
    <s v="West"/>
    <s v="Pune"/>
    <s v="Local Hub"/>
    <s v="Express"/>
    <s v="System"/>
    <s v="Low"/>
    <n v="3"/>
    <n v="3"/>
    <n v="0"/>
    <s v="No"/>
    <n v="157"/>
    <n v="0"/>
    <n v="0"/>
    <n v="1"/>
    <s v="No"/>
    <s v="On Time"/>
    <n v="0"/>
    <n v="0"/>
    <n v="2024"/>
    <n v="7"/>
    <n v="0"/>
  </r>
  <r>
    <s v="SHP-30705"/>
    <d v="2024-10-02T00:00:00"/>
    <s v="West"/>
    <s v="Pune"/>
    <s v="Central Hub"/>
    <s v="Critical"/>
    <s v="Capacity"/>
    <s v="Medium"/>
    <n v="2"/>
    <n v="6"/>
    <n v="4"/>
    <s v="Yes"/>
    <n v="50"/>
    <n v="3568"/>
    <n v="9732"/>
    <n v="0"/>
    <s v="No"/>
    <s v="Major"/>
    <n v="2433"/>
    <n v="892"/>
    <n v="2024"/>
    <n v="10"/>
    <n v="1"/>
  </r>
  <r>
    <s v="SHP-30706"/>
    <d v="2024-07-26T00:00:00"/>
    <s v="South"/>
    <s v="Bengaluru"/>
    <s v="Regional Hub"/>
    <s v="Express"/>
    <s v="Routing"/>
    <s v="Medium"/>
    <n v="1"/>
    <n v="6"/>
    <n v="5"/>
    <s v="Yes"/>
    <n v="445"/>
    <n v="5475"/>
    <n v="15925"/>
    <n v="0"/>
    <s v="No"/>
    <s v="Major"/>
    <n v="3185"/>
    <n v="1095"/>
    <n v="2024"/>
    <n v="7"/>
    <n v="1"/>
  </r>
  <r>
    <s v="SHP-30707"/>
    <d v="2024-09-12T00:00:00"/>
    <s v="South"/>
    <s v="Chennai"/>
    <s v="Regional Hub"/>
    <s v="Standard"/>
    <s v="Weather"/>
    <s v="Medium"/>
    <n v="1"/>
    <n v="1"/>
    <n v="0"/>
    <s v="No"/>
    <n v="372"/>
    <n v="0"/>
    <n v="0"/>
    <n v="1"/>
    <s v="No"/>
    <s v="On Time"/>
    <n v="0"/>
    <n v="0"/>
    <n v="2024"/>
    <n v="9"/>
    <n v="0"/>
  </r>
  <r>
    <s v="SHP-30708"/>
    <d v="2024-10-16T00:00:00"/>
    <s v="North"/>
    <s v="Noida"/>
    <s v="Regional Hub"/>
    <s v="Express"/>
    <s v="Capacity"/>
    <s v="Low"/>
    <n v="5"/>
    <n v="8"/>
    <n v="3"/>
    <s v="Yes"/>
    <n v="361"/>
    <n v="5157"/>
    <n v="12408"/>
    <n v="0"/>
    <s v="No"/>
    <s v="Major"/>
    <n v="4136"/>
    <n v="1719"/>
    <n v="2024"/>
    <n v="10"/>
    <n v="1"/>
  </r>
  <r>
    <s v="SHP-30709"/>
    <d v="2024-01-01T00:00:00"/>
    <s v="South"/>
    <s v="Bengaluru"/>
    <s v="Local Hub"/>
    <s v="Standard"/>
    <s v="Routing"/>
    <s v="Low"/>
    <n v="1"/>
    <n v="3"/>
    <n v="2"/>
    <s v="Yes"/>
    <n v="200"/>
    <n v="2956"/>
    <n v="5712"/>
    <n v="0"/>
    <s v="No"/>
    <s v="Minor"/>
    <n v="2856"/>
    <n v="1478"/>
    <n v="2024"/>
    <n v="1"/>
    <n v="1"/>
  </r>
  <r>
    <s v="SHP-30710"/>
    <d v="2024-02-24T00:00:00"/>
    <s v="East"/>
    <s v="Bhubaneswar"/>
    <s v="Local Hub"/>
    <s v="Critical"/>
    <s v="Weather"/>
    <s v="Low"/>
    <n v="1"/>
    <n v="5"/>
    <n v="4"/>
    <s v="Yes"/>
    <n v="194"/>
    <n v="8176"/>
    <n v="6032"/>
    <n v="0"/>
    <s v="No"/>
    <s v="Major"/>
    <n v="1508"/>
    <n v="2044"/>
    <n v="2024"/>
    <n v="2"/>
    <n v="1"/>
  </r>
  <r>
    <s v="SHP-30711"/>
    <d v="2024-03-20T00:00:00"/>
    <s v="North"/>
    <s v="Delhi"/>
    <s v="Regional Hub"/>
    <s v="Express"/>
    <s v="Weather"/>
    <s v="Medium"/>
    <n v="2"/>
    <n v="2"/>
    <n v="0"/>
    <s v="No"/>
    <n v="288"/>
    <n v="0"/>
    <n v="0"/>
    <n v="1"/>
    <s v="No"/>
    <s v="On Time"/>
    <n v="0"/>
    <n v="0"/>
    <n v="2024"/>
    <n v="3"/>
    <n v="0"/>
  </r>
  <r>
    <s v="SHP-30712"/>
    <d v="2024-01-13T00:00:00"/>
    <s v="East"/>
    <s v="Bhubaneswar"/>
    <s v="Regional Hub"/>
    <s v="Standard"/>
    <s v="Weather"/>
    <s v="High"/>
    <n v="5"/>
    <n v="12"/>
    <n v="7"/>
    <s v="Yes"/>
    <n v="75"/>
    <n v="11529"/>
    <n v="19915"/>
    <n v="0"/>
    <s v="No"/>
    <s v="Severe"/>
    <n v="2845"/>
    <n v="1647"/>
    <n v="2024"/>
    <n v="1"/>
    <n v="1"/>
  </r>
  <r>
    <s v="SHP-30713"/>
    <d v="2024-07-20T00:00:00"/>
    <s v="North"/>
    <s v="Delhi"/>
    <s v="Local Hub"/>
    <s v="Express"/>
    <s v="Weather"/>
    <s v="Medium"/>
    <n v="1"/>
    <n v="5"/>
    <n v="4"/>
    <s v="Yes"/>
    <n v="333"/>
    <n v="6452"/>
    <n v="11676"/>
    <n v="0"/>
    <s v="No"/>
    <s v="Major"/>
    <n v="2919"/>
    <n v="1613"/>
    <n v="2024"/>
    <n v="7"/>
    <n v="1"/>
  </r>
  <r>
    <s v="SHP-30714"/>
    <d v="2024-08-04T00:00:00"/>
    <s v="South"/>
    <s v="Chennai"/>
    <s v="Regional Hub"/>
    <s v="Standard"/>
    <s v="Weather"/>
    <s v="Low"/>
    <n v="2"/>
    <n v="4"/>
    <n v="2"/>
    <s v="Yes"/>
    <n v="328"/>
    <n v="4764"/>
    <n v="8922"/>
    <n v="0"/>
    <s v="No"/>
    <s v="Minor"/>
    <n v="4461"/>
    <n v="2382"/>
    <n v="2024"/>
    <n v="8"/>
    <n v="1"/>
  </r>
  <r>
    <s v="SHP-30715"/>
    <d v="2024-07-21T00:00:00"/>
    <s v="East"/>
    <s v="Bhubaneswar"/>
    <s v="Local Hub"/>
    <s v="Critical"/>
    <s v="Capacity"/>
    <s v="Low"/>
    <n v="2"/>
    <n v="7"/>
    <n v="5"/>
    <s v="Yes"/>
    <n v="428"/>
    <n v="10260"/>
    <n v="10380"/>
    <n v="0"/>
    <s v="No"/>
    <s v="Major"/>
    <n v="2076"/>
    <n v="2052"/>
    <n v="2024"/>
    <n v="7"/>
    <n v="1"/>
  </r>
  <r>
    <s v="SHP-30716"/>
    <d v="2024-08-18T00:00:00"/>
    <s v="South"/>
    <s v="Chennai"/>
    <s v="Central Hub"/>
    <s v="Express"/>
    <s v="Capacity"/>
    <s v="Medium"/>
    <n v="2"/>
    <n v="5"/>
    <n v="3"/>
    <s v="Yes"/>
    <n v="348"/>
    <n v="6330"/>
    <n v="14970"/>
    <n v="0"/>
    <s v="No"/>
    <s v="Major"/>
    <n v="4990"/>
    <n v="2110"/>
    <n v="2024"/>
    <n v="8"/>
    <n v="1"/>
  </r>
  <r>
    <s v="SHP-30717"/>
    <d v="2024-06-16T00:00:00"/>
    <s v="North"/>
    <s v="Delhi"/>
    <s v="Local Hub"/>
    <s v="Standard"/>
    <s v="Capacity"/>
    <s v="Low"/>
    <n v="3"/>
    <n v="6"/>
    <n v="3"/>
    <s v="Yes"/>
    <n v="334"/>
    <n v="7200"/>
    <n v="13254"/>
    <n v="0"/>
    <s v="No"/>
    <s v="Major"/>
    <n v="4418"/>
    <n v="2400"/>
    <n v="2024"/>
    <n v="6"/>
    <n v="1"/>
  </r>
  <r>
    <s v="SHP-30718"/>
    <d v="2024-07-15T00:00:00"/>
    <s v="North"/>
    <s v="Noida"/>
    <s v="Central Hub"/>
    <s v="Critical"/>
    <s v="Routing"/>
    <s v="High"/>
    <n v="2"/>
    <n v="7"/>
    <n v="5"/>
    <s v="Yes"/>
    <n v="158"/>
    <n v="7410"/>
    <n v="13450"/>
    <n v="0"/>
    <s v="No"/>
    <s v="Major"/>
    <n v="2690"/>
    <n v="1482"/>
    <n v="2024"/>
    <n v="7"/>
    <n v="1"/>
  </r>
  <r>
    <s v="SHP-30719"/>
    <d v="2024-01-24T00:00:00"/>
    <s v="West"/>
    <s v="Mumbai"/>
    <s v="Regional Hub"/>
    <s v="Standard"/>
    <s v="Routing"/>
    <s v="High"/>
    <n v="1"/>
    <n v="5"/>
    <n v="4"/>
    <s v="Yes"/>
    <n v="226"/>
    <n v="3932"/>
    <n v="19024"/>
    <n v="0"/>
    <s v="No"/>
    <s v="Major"/>
    <n v="4756"/>
    <n v="983"/>
    <n v="2024"/>
    <n v="1"/>
    <n v="1"/>
  </r>
  <r>
    <s v="SHP-30720"/>
    <d v="2024-07-13T00:00:00"/>
    <s v="South"/>
    <s v="Bengaluru"/>
    <s v="Regional Hub"/>
    <s v="Standard"/>
    <s v="Capacity"/>
    <s v="Medium"/>
    <n v="2"/>
    <n v="7"/>
    <n v="5"/>
    <s v="Yes"/>
    <n v="479"/>
    <n v="12340"/>
    <n v="23210"/>
    <n v="0"/>
    <s v="No"/>
    <s v="Major"/>
    <n v="4642"/>
    <n v="2468"/>
    <n v="2024"/>
    <n v="7"/>
    <n v="1"/>
  </r>
  <r>
    <s v="SHP-30721"/>
    <d v="2024-07-19T00:00:00"/>
    <s v="South"/>
    <s v="Chennai"/>
    <s v="Central Hub"/>
    <s v="Standard"/>
    <s v="Capacity"/>
    <s v="Low"/>
    <n v="3"/>
    <n v="8"/>
    <n v="5"/>
    <s v="Yes"/>
    <n v="438"/>
    <n v="7195"/>
    <n v="12460"/>
    <n v="0"/>
    <s v="No"/>
    <s v="Major"/>
    <n v="2492"/>
    <n v="1439"/>
    <n v="2024"/>
    <n v="7"/>
    <n v="1"/>
  </r>
  <r>
    <s v="SHP-30722"/>
    <d v="2024-07-24T00:00:00"/>
    <s v="North"/>
    <s v="Delhi"/>
    <s v="Local Hub"/>
    <s v="Standard"/>
    <s v="Weather"/>
    <s v="Medium"/>
    <n v="2"/>
    <n v="5"/>
    <n v="3"/>
    <s v="Yes"/>
    <n v="380"/>
    <n v="3495"/>
    <n v="8481"/>
    <n v="0"/>
    <s v="No"/>
    <s v="Major"/>
    <n v="2827"/>
    <n v="1165"/>
    <n v="2024"/>
    <n v="7"/>
    <n v="1"/>
  </r>
  <r>
    <s v="SHP-30723"/>
    <d v="2024-07-17T00:00:00"/>
    <s v="East"/>
    <s v="Bhubaneswar"/>
    <s v="Central Hub"/>
    <s v="Express"/>
    <s v="Capacity"/>
    <s v="Low"/>
    <n v="3"/>
    <n v="8"/>
    <n v="5"/>
    <s v="Yes"/>
    <n v="203"/>
    <n v="11690"/>
    <n v="11140"/>
    <n v="0"/>
    <s v="No"/>
    <s v="Major"/>
    <n v="2228"/>
    <n v="2338"/>
    <n v="2024"/>
    <n v="7"/>
    <n v="1"/>
  </r>
  <r>
    <s v="SHP-30724"/>
    <d v="2024-11-05T00:00:00"/>
    <s v="West"/>
    <s v="Pune"/>
    <s v="Regional Hub"/>
    <s v="Critical"/>
    <s v="Capacity"/>
    <s v="Medium"/>
    <n v="3"/>
    <n v="5"/>
    <n v="2"/>
    <s v="Yes"/>
    <n v="458"/>
    <n v="3320"/>
    <n v="8124"/>
    <n v="0"/>
    <s v="No"/>
    <s v="Minor"/>
    <n v="4062"/>
    <n v="1660"/>
    <n v="2024"/>
    <n v="11"/>
    <n v="1"/>
  </r>
  <r>
    <s v="SHP-30725"/>
    <d v="2024-12-15T00:00:00"/>
    <s v="East"/>
    <s v="Bhubaneswar"/>
    <s v="Regional Hub"/>
    <s v="Express"/>
    <s v="Capacity"/>
    <s v="High"/>
    <n v="3"/>
    <n v="10"/>
    <n v="7"/>
    <s v="Yes"/>
    <n v="363"/>
    <n v="17073"/>
    <n v="25039"/>
    <n v="0"/>
    <s v="No"/>
    <s v="Severe"/>
    <n v="3577"/>
    <n v="2439"/>
    <n v="2024"/>
    <n v="12"/>
    <n v="1"/>
  </r>
  <r>
    <s v="SHP-30726"/>
    <d v="2024-07-25T00:00:00"/>
    <s v="North"/>
    <s v="Delhi"/>
    <s v="Local Hub"/>
    <s v="Standard"/>
    <s v="System"/>
    <s v="Low"/>
    <n v="1"/>
    <n v="1"/>
    <n v="0"/>
    <s v="No"/>
    <n v="177"/>
    <n v="0"/>
    <n v="0"/>
    <n v="1"/>
    <s v="No"/>
    <s v="On Time"/>
    <n v="0"/>
    <n v="0"/>
    <n v="2024"/>
    <n v="7"/>
    <n v="0"/>
  </r>
  <r>
    <s v="SHP-30727"/>
    <d v="2024-10-29T00:00:00"/>
    <s v="East"/>
    <s v="Bhubaneswar"/>
    <s v="Central Hub"/>
    <s v="Standard"/>
    <s v="Capacity"/>
    <s v="Medium"/>
    <n v="2"/>
    <n v="4"/>
    <n v="2"/>
    <s v="Yes"/>
    <n v="406"/>
    <n v="4292"/>
    <n v="3070"/>
    <n v="0"/>
    <s v="No"/>
    <s v="Minor"/>
    <n v="1535"/>
    <n v="2146"/>
    <n v="2024"/>
    <n v="10"/>
    <n v="1"/>
  </r>
  <r>
    <s v="SHP-30728"/>
    <d v="2024-01-20T00:00:00"/>
    <s v="West"/>
    <s v="Mumbai"/>
    <s v="Regional Hub"/>
    <s v="Standard"/>
    <s v="System"/>
    <s v="Medium"/>
    <n v="1"/>
    <n v="3"/>
    <n v="2"/>
    <s v="Yes"/>
    <n v="127"/>
    <n v="3074"/>
    <n v="9320"/>
    <n v="0"/>
    <s v="No"/>
    <s v="Minor"/>
    <n v="4660"/>
    <n v="1537"/>
    <n v="2024"/>
    <n v="1"/>
    <n v="1"/>
  </r>
  <r>
    <s v="SHP-30729"/>
    <d v="2024-01-02T00:00:00"/>
    <s v="South"/>
    <s v="Bengaluru"/>
    <s v="Local Hub"/>
    <s v="Critical"/>
    <s v="Routing"/>
    <s v="Medium"/>
    <n v="3"/>
    <n v="7"/>
    <n v="4"/>
    <s v="Yes"/>
    <n v="334"/>
    <n v="5288"/>
    <n v="18420"/>
    <n v="0"/>
    <s v="No"/>
    <s v="Major"/>
    <n v="4605"/>
    <n v="1322"/>
    <n v="2024"/>
    <n v="1"/>
    <n v="1"/>
  </r>
  <r>
    <s v="SHP-30730"/>
    <d v="2024-10-05T00:00:00"/>
    <s v="East"/>
    <s v="Bhubaneswar"/>
    <s v="Central Hub"/>
    <s v="Standard"/>
    <s v="Capacity"/>
    <s v="Low"/>
    <n v="5"/>
    <n v="10"/>
    <n v="5"/>
    <s v="Yes"/>
    <n v="153"/>
    <n v="8760"/>
    <n v="8370"/>
    <n v="0"/>
    <s v="No"/>
    <s v="Major"/>
    <n v="1674"/>
    <n v="1752"/>
    <n v="2024"/>
    <n v="10"/>
    <n v="1"/>
  </r>
  <r>
    <s v="SHP-30731"/>
    <d v="2024-09-12T00:00:00"/>
    <s v="South"/>
    <s v="Bengaluru"/>
    <s v="Regional Hub"/>
    <s v="Standard"/>
    <s v="Routing"/>
    <s v="Low"/>
    <n v="2"/>
    <n v="6"/>
    <n v="4"/>
    <s v="Yes"/>
    <n v="200"/>
    <n v="9180"/>
    <n v="12376"/>
    <n v="0"/>
    <s v="No"/>
    <s v="Major"/>
    <n v="3094"/>
    <n v="2295"/>
    <n v="2024"/>
    <n v="9"/>
    <n v="1"/>
  </r>
  <r>
    <s v="SHP-30732"/>
    <d v="2024-08-05T00:00:00"/>
    <s v="East"/>
    <s v="Bhubaneswar"/>
    <s v="Local Hub"/>
    <s v="Standard"/>
    <s v="Weather"/>
    <s v="High"/>
    <n v="3"/>
    <n v="10"/>
    <n v="7"/>
    <s v="Yes"/>
    <n v="308"/>
    <n v="8253"/>
    <n v="25270"/>
    <n v="0"/>
    <s v="No"/>
    <s v="Severe"/>
    <n v="3610"/>
    <n v="1179"/>
    <n v="2024"/>
    <n v="8"/>
    <n v="1"/>
  </r>
  <r>
    <s v="SHP-30733"/>
    <d v="2024-02-14T00:00:00"/>
    <s v="North"/>
    <s v="Delhi"/>
    <s v="Central Hub"/>
    <s v="Express"/>
    <s v="System"/>
    <s v="Medium"/>
    <n v="3"/>
    <n v="8"/>
    <n v="5"/>
    <s v="Yes"/>
    <n v="231"/>
    <n v="8305"/>
    <n v="11360"/>
    <n v="0"/>
    <s v="No"/>
    <s v="Major"/>
    <n v="2272"/>
    <n v="1661"/>
    <n v="2024"/>
    <n v="2"/>
    <n v="1"/>
  </r>
  <r>
    <s v="SHP-30734"/>
    <d v="2024-11-14T00:00:00"/>
    <s v="West"/>
    <s v="Mumbai"/>
    <s v="Local Hub"/>
    <s v="Express"/>
    <s v="System"/>
    <s v="Medium"/>
    <n v="3"/>
    <n v="3"/>
    <n v="0"/>
    <s v="No"/>
    <n v="446"/>
    <n v="0"/>
    <n v="0"/>
    <n v="1"/>
    <s v="No"/>
    <s v="On Time"/>
    <n v="0"/>
    <n v="0"/>
    <n v="2024"/>
    <n v="11"/>
    <n v="0"/>
  </r>
  <r>
    <s v="SHP-30735"/>
    <d v="2024-04-15T00:00:00"/>
    <s v="North"/>
    <s v="Noida"/>
    <s v="Regional Hub"/>
    <s v="Standard"/>
    <s v="Weather"/>
    <s v="Low"/>
    <n v="1"/>
    <n v="4"/>
    <n v="3"/>
    <s v="Yes"/>
    <n v="268"/>
    <n v="5181"/>
    <n v="10719"/>
    <n v="0"/>
    <s v="No"/>
    <s v="Major"/>
    <n v="3573"/>
    <n v="1727"/>
    <n v="2024"/>
    <n v="4"/>
    <n v="1"/>
  </r>
  <r>
    <s v="SHP-30736"/>
    <d v="2024-04-15T00:00:00"/>
    <s v="West"/>
    <s v="Mumbai"/>
    <s v="Central Hub"/>
    <s v="Express"/>
    <s v="Documentation"/>
    <s v="Low"/>
    <n v="1"/>
    <n v="3"/>
    <n v="2"/>
    <s v="Yes"/>
    <n v="341"/>
    <n v="2076"/>
    <n v="9574"/>
    <n v="0"/>
    <s v="No"/>
    <s v="Minor"/>
    <n v="4787"/>
    <n v="1038"/>
    <n v="2024"/>
    <n v="4"/>
    <n v="1"/>
  </r>
  <r>
    <s v="SHP-30737"/>
    <d v="2024-01-29T00:00:00"/>
    <s v="West"/>
    <s v="Mumbai"/>
    <s v="Local Hub"/>
    <s v="Express"/>
    <s v="System"/>
    <s v="Low"/>
    <n v="3"/>
    <n v="7"/>
    <n v="4"/>
    <s v="Yes"/>
    <n v="457"/>
    <n v="8560"/>
    <n v="11224"/>
    <n v="0"/>
    <s v="No"/>
    <s v="Major"/>
    <n v="2806"/>
    <n v="2140"/>
    <n v="2024"/>
    <n v="1"/>
    <n v="1"/>
  </r>
  <r>
    <s v="SHP-30738"/>
    <d v="2024-08-30T00:00:00"/>
    <s v="South"/>
    <s v="Chennai"/>
    <s v="Local Hub"/>
    <s v="Express"/>
    <s v="Capacity"/>
    <s v="High"/>
    <n v="5"/>
    <n v="8"/>
    <n v="3"/>
    <s v="Yes"/>
    <n v="262"/>
    <n v="7062"/>
    <n v="9690"/>
    <n v="0"/>
    <s v="No"/>
    <s v="Major"/>
    <n v="3230"/>
    <n v="2354"/>
    <n v="2024"/>
    <n v="8"/>
    <n v="1"/>
  </r>
  <r>
    <s v="SHP-30739"/>
    <d v="2024-06-18T00:00:00"/>
    <s v="East"/>
    <s v="Bhubaneswar"/>
    <s v="Regional Hub"/>
    <s v="Standard"/>
    <s v="Routing"/>
    <s v="Low"/>
    <n v="2"/>
    <n v="4"/>
    <n v="2"/>
    <s v="Yes"/>
    <n v="388"/>
    <n v="1786"/>
    <n v="9386"/>
    <n v="0"/>
    <s v="No"/>
    <s v="Minor"/>
    <n v="4693"/>
    <n v="893"/>
    <n v="2024"/>
    <n v="6"/>
    <n v="1"/>
  </r>
  <r>
    <s v="SHP-30740"/>
    <d v="2024-08-22T00:00:00"/>
    <s v="North"/>
    <s v="Delhi"/>
    <s v="Central Hub"/>
    <s v="Standard"/>
    <s v="Weather"/>
    <s v="Medium"/>
    <n v="2"/>
    <n v="4"/>
    <n v="2"/>
    <s v="Yes"/>
    <n v="166"/>
    <n v="2976"/>
    <n v="4162"/>
    <n v="0"/>
    <s v="No"/>
    <s v="Minor"/>
    <n v="2081"/>
    <n v="1488"/>
    <n v="2024"/>
    <n v="8"/>
    <n v="1"/>
  </r>
  <r>
    <s v="SHP-30741"/>
    <d v="2024-02-09T00:00:00"/>
    <s v="West"/>
    <s v="Pune"/>
    <s v="Regional Hub"/>
    <s v="Critical"/>
    <s v="Documentation"/>
    <s v="Medium"/>
    <n v="3"/>
    <n v="5"/>
    <n v="2"/>
    <s v="Yes"/>
    <n v="205"/>
    <n v="4732"/>
    <n v="6548"/>
    <n v="0"/>
    <s v="No"/>
    <s v="Minor"/>
    <n v="3274"/>
    <n v="2366"/>
    <n v="2024"/>
    <n v="2"/>
    <n v="1"/>
  </r>
  <r>
    <s v="SHP-30742"/>
    <d v="2024-03-27T00:00:00"/>
    <s v="North"/>
    <s v="Delhi"/>
    <s v="Regional Hub"/>
    <s v="Standard"/>
    <s v="Weather"/>
    <s v="Low"/>
    <n v="2"/>
    <n v="5"/>
    <n v="3"/>
    <s v="Yes"/>
    <n v="336"/>
    <n v="6456"/>
    <n v="6915"/>
    <n v="0"/>
    <s v="No"/>
    <s v="Major"/>
    <n v="2305"/>
    <n v="2152"/>
    <n v="2024"/>
    <n v="3"/>
    <n v="1"/>
  </r>
  <r>
    <s v="SHP-30743"/>
    <d v="2024-06-15T00:00:00"/>
    <s v="South"/>
    <s v="Bengaluru"/>
    <s v="Regional Hub"/>
    <s v="Standard"/>
    <s v="Weather"/>
    <s v="Medium"/>
    <n v="2"/>
    <n v="7"/>
    <n v="5"/>
    <s v="Yes"/>
    <n v="61"/>
    <n v="9525"/>
    <n v="14230"/>
    <n v="0"/>
    <s v="No"/>
    <s v="Major"/>
    <n v="2846"/>
    <n v="1905"/>
    <n v="2024"/>
    <n v="6"/>
    <n v="1"/>
  </r>
  <r>
    <s v="SHP-30744"/>
    <d v="2024-07-27T00:00:00"/>
    <s v="East"/>
    <s v="Bhubaneswar"/>
    <s v="Central Hub"/>
    <s v="Standard"/>
    <s v="System"/>
    <s v="High"/>
    <n v="2"/>
    <n v="7"/>
    <n v="5"/>
    <s v="Yes"/>
    <n v="102"/>
    <n v="10695"/>
    <n v="16055"/>
    <n v="0"/>
    <s v="No"/>
    <s v="Major"/>
    <n v="3211"/>
    <n v="2139"/>
    <n v="2024"/>
    <n v="7"/>
    <n v="1"/>
  </r>
  <r>
    <s v="SHP-30745"/>
    <d v="2024-06-06T00:00:00"/>
    <s v="East"/>
    <s v="Bhubaneswar"/>
    <s v="Regional Hub"/>
    <s v="Critical"/>
    <s v="Weather"/>
    <s v="Low"/>
    <n v="1"/>
    <n v="6"/>
    <n v="5"/>
    <s v="Yes"/>
    <n v="350"/>
    <n v="10635"/>
    <n v="24220"/>
    <n v="0"/>
    <s v="No"/>
    <s v="Major"/>
    <n v="4844"/>
    <n v="2127"/>
    <n v="2024"/>
    <n v="6"/>
    <n v="1"/>
  </r>
  <r>
    <s v="SHP-30746"/>
    <d v="2024-04-08T00:00:00"/>
    <s v="South"/>
    <s v="Chennai"/>
    <s v="Regional Hub"/>
    <s v="Standard"/>
    <s v="Weather"/>
    <s v="Low"/>
    <n v="2"/>
    <n v="3"/>
    <n v="1"/>
    <s v="Yes"/>
    <n v="163"/>
    <n v="2047"/>
    <n v="1524"/>
    <n v="0"/>
    <s v="No"/>
    <s v="Minor"/>
    <n v="1524"/>
    <n v="2047"/>
    <n v="2024"/>
    <n v="4"/>
    <n v="1"/>
  </r>
  <r>
    <s v="SHP-30747"/>
    <d v="2024-12-28T00:00:00"/>
    <s v="East"/>
    <s v="Kolkata"/>
    <s v="Regional Hub"/>
    <s v="Express"/>
    <s v="Routing"/>
    <s v="Low"/>
    <n v="3"/>
    <n v="6"/>
    <n v="3"/>
    <s v="Yes"/>
    <n v="470"/>
    <n v="6831"/>
    <n v="6768"/>
    <n v="0"/>
    <s v="No"/>
    <s v="Major"/>
    <n v="2256"/>
    <n v="2277"/>
    <n v="2024"/>
    <n v="12"/>
    <n v="1"/>
  </r>
  <r>
    <s v="SHP-30748"/>
    <d v="2024-04-15T00:00:00"/>
    <s v="East"/>
    <s v="Bhubaneswar"/>
    <s v="Central Hub"/>
    <s v="Standard"/>
    <s v="Weather"/>
    <s v="Medium"/>
    <n v="1"/>
    <n v="1"/>
    <n v="0"/>
    <s v="No"/>
    <n v="225"/>
    <n v="0"/>
    <n v="0"/>
    <n v="1"/>
    <s v="No"/>
    <s v="On Time"/>
    <n v="0"/>
    <n v="0"/>
    <n v="2024"/>
    <n v="4"/>
    <n v="0"/>
  </r>
  <r>
    <s v="SHP-30749"/>
    <d v="2024-10-26T00:00:00"/>
    <s v="North"/>
    <s v="Noida"/>
    <s v="Central Hub"/>
    <s v="Standard"/>
    <s v="System"/>
    <s v="Medium"/>
    <n v="1"/>
    <n v="2"/>
    <n v="1"/>
    <s v="Yes"/>
    <n v="109"/>
    <n v="1360"/>
    <n v="4433"/>
    <n v="0"/>
    <s v="No"/>
    <s v="Minor"/>
    <n v="4433"/>
    <n v="1360"/>
    <n v="2024"/>
    <n v="10"/>
    <n v="1"/>
  </r>
  <r>
    <s v="SHP-30750"/>
    <d v="2024-07-27T00:00:00"/>
    <s v="South"/>
    <s v="Bengaluru"/>
    <s v="Local Hub"/>
    <s v="Standard"/>
    <s v="System"/>
    <s v="High"/>
    <n v="5"/>
    <n v="9"/>
    <n v="4"/>
    <s v="Yes"/>
    <n v="293"/>
    <n v="4100"/>
    <n v="7552"/>
    <n v="0"/>
    <s v="No"/>
    <s v="Major"/>
    <n v="1888"/>
    <n v="1025"/>
    <n v="2024"/>
    <n v="7"/>
    <n v="1"/>
  </r>
  <r>
    <s v="SHP-30751"/>
    <d v="2024-01-29T00:00:00"/>
    <s v="West"/>
    <s v="Mumbai"/>
    <s v="Local Hub"/>
    <s v="Express"/>
    <s v="Documentation"/>
    <s v="Medium"/>
    <n v="2"/>
    <n v="6"/>
    <n v="4"/>
    <s v="Yes"/>
    <n v="228"/>
    <n v="8520"/>
    <n v="17904"/>
    <n v="0"/>
    <s v="No"/>
    <s v="Major"/>
    <n v="4476"/>
    <n v="2130"/>
    <n v="2024"/>
    <n v="1"/>
    <n v="1"/>
  </r>
  <r>
    <s v="SHP-30752"/>
    <d v="2024-01-26T00:00:00"/>
    <s v="North"/>
    <s v="Delhi"/>
    <s v="Regional Hub"/>
    <s v="Standard"/>
    <s v="Weather"/>
    <s v="Low"/>
    <n v="1"/>
    <n v="5"/>
    <n v="4"/>
    <s v="Yes"/>
    <n v="364"/>
    <n v="4000"/>
    <n v="7520"/>
    <n v="0"/>
    <s v="No"/>
    <s v="Major"/>
    <n v="1880"/>
    <n v="1000"/>
    <n v="2024"/>
    <n v="1"/>
    <n v="1"/>
  </r>
  <r>
    <s v="SHP-30753"/>
    <d v="2024-07-06T00:00:00"/>
    <s v="West"/>
    <s v="Mumbai"/>
    <s v="Local Hub"/>
    <s v="Standard"/>
    <s v="Weather"/>
    <s v="Low"/>
    <n v="1"/>
    <n v="4"/>
    <n v="3"/>
    <s v="Yes"/>
    <n v="82"/>
    <n v="7467"/>
    <n v="11316"/>
    <n v="0"/>
    <s v="No"/>
    <s v="Major"/>
    <n v="3772"/>
    <n v="2489"/>
    <n v="2024"/>
    <n v="7"/>
    <n v="1"/>
  </r>
  <r>
    <s v="SHP-30754"/>
    <d v="2024-01-28T00:00:00"/>
    <s v="East"/>
    <s v="Kolkata"/>
    <s v="Local Hub"/>
    <s v="Standard"/>
    <s v="Weather"/>
    <s v="High"/>
    <n v="3"/>
    <n v="7"/>
    <n v="4"/>
    <s v="Yes"/>
    <n v="212"/>
    <n v="5996"/>
    <n v="19100"/>
    <n v="0"/>
    <s v="No"/>
    <s v="Major"/>
    <n v="4775"/>
    <n v="1499"/>
    <n v="2024"/>
    <n v="1"/>
    <n v="1"/>
  </r>
  <r>
    <s v="SHP-30755"/>
    <d v="2024-01-02T00:00:00"/>
    <s v="North"/>
    <s v="Noida"/>
    <s v="Regional Hub"/>
    <s v="Standard"/>
    <s v="Routing"/>
    <s v="Low"/>
    <n v="2"/>
    <n v="6"/>
    <n v="4"/>
    <s v="Yes"/>
    <n v="79"/>
    <n v="5164"/>
    <n v="18736"/>
    <n v="0"/>
    <s v="No"/>
    <s v="Major"/>
    <n v="4684"/>
    <n v="1291"/>
    <n v="2024"/>
    <n v="1"/>
    <n v="1"/>
  </r>
  <r>
    <s v="SHP-30756"/>
    <d v="2024-03-23T00:00:00"/>
    <s v="East"/>
    <s v="Kolkata"/>
    <s v="Regional Hub"/>
    <s v="Critical"/>
    <s v="System"/>
    <s v="Low"/>
    <n v="3"/>
    <n v="7"/>
    <n v="4"/>
    <s v="Yes"/>
    <n v="203"/>
    <n v="8696"/>
    <n v="19940"/>
    <n v="0"/>
    <s v="No"/>
    <s v="Major"/>
    <n v="4985"/>
    <n v="2174"/>
    <n v="2024"/>
    <n v="3"/>
    <n v="1"/>
  </r>
  <r>
    <s v="SHP-30757"/>
    <d v="2024-07-30T00:00:00"/>
    <s v="North"/>
    <s v="Delhi"/>
    <s v="Local Hub"/>
    <s v="Standard"/>
    <s v="System"/>
    <s v="High"/>
    <n v="1"/>
    <n v="5"/>
    <n v="4"/>
    <s v="Yes"/>
    <n v="306"/>
    <n v="7584"/>
    <n v="17452"/>
    <n v="0"/>
    <s v="No"/>
    <s v="Major"/>
    <n v="4363"/>
    <n v="1896"/>
    <n v="2024"/>
    <n v="7"/>
    <n v="1"/>
  </r>
  <r>
    <s v="SHP-30758"/>
    <d v="2024-12-24T00:00:00"/>
    <s v="North"/>
    <s v="Noida"/>
    <s v="Regional Hub"/>
    <s v="Standard"/>
    <s v="Weather"/>
    <s v="Low"/>
    <n v="2"/>
    <n v="6"/>
    <n v="4"/>
    <s v="Yes"/>
    <n v="260"/>
    <n v="5260"/>
    <n v="7880"/>
    <n v="0"/>
    <s v="No"/>
    <s v="Major"/>
    <n v="1970"/>
    <n v="1315"/>
    <n v="2024"/>
    <n v="12"/>
    <n v="1"/>
  </r>
  <r>
    <s v="SHP-30759"/>
    <d v="2024-07-29T00:00:00"/>
    <s v="West"/>
    <s v="Pune"/>
    <s v="Regional Hub"/>
    <s v="Critical"/>
    <s v="Documentation"/>
    <s v="Low"/>
    <n v="3"/>
    <n v="7"/>
    <n v="4"/>
    <s v="Yes"/>
    <n v="306"/>
    <n v="6536"/>
    <n v="10756"/>
    <n v="0"/>
    <s v="No"/>
    <s v="Major"/>
    <n v="2689"/>
    <n v="1634"/>
    <n v="2024"/>
    <n v="7"/>
    <n v="1"/>
  </r>
  <r>
    <s v="SHP-30760"/>
    <d v="2024-11-27T00:00:00"/>
    <s v="East"/>
    <s v="Bhubaneswar"/>
    <s v="Central Hub"/>
    <s v="Express"/>
    <s v="Routing"/>
    <s v="Medium"/>
    <n v="2"/>
    <n v="4"/>
    <n v="2"/>
    <s v="Yes"/>
    <n v="281"/>
    <n v="3054"/>
    <n v="5316"/>
    <n v="0"/>
    <s v="No"/>
    <s v="Minor"/>
    <n v="2658"/>
    <n v="1527"/>
    <n v="2024"/>
    <n v="11"/>
    <n v="1"/>
  </r>
  <r>
    <s v="SHP-30761"/>
    <d v="2024-05-10T00:00:00"/>
    <s v="West"/>
    <s v="Pune"/>
    <s v="Local Hub"/>
    <s v="Standard"/>
    <s v="Documentation"/>
    <s v="Medium"/>
    <n v="2"/>
    <n v="3"/>
    <n v="1"/>
    <s v="Yes"/>
    <n v="136"/>
    <n v="1324"/>
    <n v="4082"/>
    <n v="0"/>
    <s v="No"/>
    <s v="Minor"/>
    <n v="4082"/>
    <n v="1324"/>
    <n v="2024"/>
    <n v="5"/>
    <n v="1"/>
  </r>
  <r>
    <s v="SHP-30762"/>
    <d v="2024-07-02T00:00:00"/>
    <s v="South"/>
    <s v="Bengaluru"/>
    <s v="Central Hub"/>
    <s v="Standard"/>
    <s v="Capacity"/>
    <s v="Medium"/>
    <n v="2"/>
    <n v="2"/>
    <n v="0"/>
    <s v="No"/>
    <n v="382"/>
    <n v="0"/>
    <n v="0"/>
    <n v="1"/>
    <s v="No"/>
    <s v="On Time"/>
    <n v="0"/>
    <n v="0"/>
    <n v="2024"/>
    <n v="7"/>
    <n v="0"/>
  </r>
  <r>
    <s v="SHP-30763"/>
    <d v="2024-04-22T00:00:00"/>
    <s v="West"/>
    <s v="Pune"/>
    <s v="Local Hub"/>
    <s v="Standard"/>
    <s v="Documentation"/>
    <s v="Low"/>
    <n v="1"/>
    <n v="3"/>
    <n v="2"/>
    <s v="Yes"/>
    <n v="460"/>
    <n v="3260"/>
    <n v="9494"/>
    <n v="0"/>
    <s v="No"/>
    <s v="Minor"/>
    <n v="4747"/>
    <n v="1630"/>
    <n v="2024"/>
    <n v="4"/>
    <n v="1"/>
  </r>
  <r>
    <s v="SHP-30764"/>
    <d v="2024-09-18T00:00:00"/>
    <s v="North"/>
    <s v="Noida"/>
    <s v="Regional Hub"/>
    <s v="Standard"/>
    <s v="Capacity"/>
    <s v="Low"/>
    <n v="5"/>
    <n v="7"/>
    <n v="2"/>
    <s v="Yes"/>
    <n v="349"/>
    <n v="3742"/>
    <n v="4504"/>
    <n v="0"/>
    <s v="No"/>
    <s v="Minor"/>
    <n v="2252"/>
    <n v="1871"/>
    <n v="2024"/>
    <n v="9"/>
    <n v="1"/>
  </r>
  <r>
    <s v="SHP-30765"/>
    <d v="2024-11-14T00:00:00"/>
    <s v="West"/>
    <s v="Mumbai"/>
    <s v="Local Hub"/>
    <s v="Critical"/>
    <s v="Weather"/>
    <s v="Medium"/>
    <n v="1"/>
    <n v="3"/>
    <n v="2"/>
    <s v="Yes"/>
    <n v="281"/>
    <n v="4886"/>
    <n v="5144"/>
    <n v="0"/>
    <s v="No"/>
    <s v="Minor"/>
    <n v="2572"/>
    <n v="2443"/>
    <n v="2024"/>
    <n v="11"/>
    <n v="1"/>
  </r>
  <r>
    <s v="SHP-30766"/>
    <d v="2024-04-04T00:00:00"/>
    <s v="West"/>
    <s v="Pune"/>
    <s v="Regional Hub"/>
    <s v="Standard"/>
    <s v="Routing"/>
    <s v="Medium"/>
    <n v="5"/>
    <n v="6"/>
    <n v="1"/>
    <s v="Yes"/>
    <n v="356"/>
    <n v="1709"/>
    <n v="2845"/>
    <n v="0"/>
    <s v="No"/>
    <s v="Minor"/>
    <n v="2845"/>
    <n v="1709"/>
    <n v="2024"/>
    <n v="4"/>
    <n v="1"/>
  </r>
  <r>
    <s v="SHP-30767"/>
    <d v="2024-05-20T00:00:00"/>
    <s v="North"/>
    <s v="Delhi"/>
    <s v="Regional Hub"/>
    <s v="Critical"/>
    <s v="Weather"/>
    <s v="Low"/>
    <n v="2"/>
    <n v="9"/>
    <n v="7"/>
    <s v="Yes"/>
    <n v="102"/>
    <n v="15337"/>
    <n v="33166"/>
    <n v="0"/>
    <s v="No"/>
    <s v="Severe"/>
    <n v="4738"/>
    <n v="2191"/>
    <n v="2024"/>
    <n v="5"/>
    <n v="1"/>
  </r>
  <r>
    <s v="SHP-30768"/>
    <d v="2024-12-04T00:00:00"/>
    <s v="West"/>
    <s v="Pune"/>
    <s v="Central Hub"/>
    <s v="Critical"/>
    <s v="Documentation"/>
    <s v="Low"/>
    <n v="1"/>
    <n v="3"/>
    <n v="2"/>
    <s v="Yes"/>
    <n v="172"/>
    <n v="2382"/>
    <n v="7550"/>
    <n v="0"/>
    <s v="No"/>
    <s v="Minor"/>
    <n v="3775"/>
    <n v="1191"/>
    <n v="2024"/>
    <n v="12"/>
    <n v="1"/>
  </r>
  <r>
    <s v="SHP-30769"/>
    <d v="2024-08-10T00:00:00"/>
    <s v="West"/>
    <s v="Pune"/>
    <s v="Regional Hub"/>
    <s v="Standard"/>
    <s v="Weather"/>
    <s v="Medium"/>
    <n v="2"/>
    <n v="5"/>
    <n v="3"/>
    <s v="Yes"/>
    <n v="65"/>
    <n v="7191"/>
    <n v="9039"/>
    <n v="0"/>
    <s v="No"/>
    <s v="Major"/>
    <n v="3013"/>
    <n v="2397"/>
    <n v="2024"/>
    <n v="8"/>
    <n v="1"/>
  </r>
  <r>
    <s v="SHP-30770"/>
    <d v="2024-02-20T00:00:00"/>
    <s v="East"/>
    <s v="Bhubaneswar"/>
    <s v="Local Hub"/>
    <s v="Standard"/>
    <s v="Documentation"/>
    <s v="Medium"/>
    <n v="3"/>
    <n v="4"/>
    <n v="1"/>
    <s v="Yes"/>
    <n v="308"/>
    <n v="2287"/>
    <n v="3786"/>
    <n v="0"/>
    <s v="No"/>
    <s v="Minor"/>
    <n v="3786"/>
    <n v="2287"/>
    <n v="2024"/>
    <n v="2"/>
    <n v="1"/>
  </r>
  <r>
    <s v="SHP-30771"/>
    <d v="2024-09-23T00:00:00"/>
    <s v="West"/>
    <s v="Pune"/>
    <s v="Central Hub"/>
    <s v="Standard"/>
    <s v="Documentation"/>
    <s v="Medium"/>
    <n v="2"/>
    <n v="6"/>
    <n v="4"/>
    <s v="Yes"/>
    <n v="446"/>
    <n v="5848"/>
    <n v="15924"/>
    <n v="0"/>
    <s v="No"/>
    <s v="Major"/>
    <n v="3981"/>
    <n v="1462"/>
    <n v="2024"/>
    <n v="9"/>
    <n v="1"/>
  </r>
  <r>
    <s v="SHP-30772"/>
    <d v="2024-11-05T00:00:00"/>
    <s v="North"/>
    <s v="Noida"/>
    <s v="Regional Hub"/>
    <s v="Standard"/>
    <s v="Weather"/>
    <s v="High"/>
    <n v="3"/>
    <n v="7"/>
    <n v="4"/>
    <s v="Yes"/>
    <n v="278"/>
    <n v="5420"/>
    <n v="18116"/>
    <n v="0"/>
    <s v="No"/>
    <s v="Major"/>
    <n v="4529"/>
    <n v="1355"/>
    <n v="2024"/>
    <n v="11"/>
    <n v="1"/>
  </r>
  <r>
    <s v="SHP-30773"/>
    <d v="2024-02-22T00:00:00"/>
    <s v="South"/>
    <s v="Bengaluru"/>
    <s v="Central Hub"/>
    <s v="Express"/>
    <s v="Documentation"/>
    <s v="Medium"/>
    <n v="2"/>
    <n v="4"/>
    <n v="2"/>
    <s v="Yes"/>
    <n v="126"/>
    <n v="2578"/>
    <n v="3816"/>
    <n v="0"/>
    <s v="No"/>
    <s v="Minor"/>
    <n v="1908"/>
    <n v="1289"/>
    <n v="2024"/>
    <n v="2"/>
    <n v="1"/>
  </r>
  <r>
    <s v="SHP-30774"/>
    <d v="2024-10-13T00:00:00"/>
    <s v="West"/>
    <s v="Mumbai"/>
    <s v="Regional Hub"/>
    <s v="Express"/>
    <s v="Routing"/>
    <s v="Low"/>
    <n v="1"/>
    <n v="4"/>
    <n v="3"/>
    <s v="Yes"/>
    <n v="302"/>
    <n v="3789"/>
    <n v="14097"/>
    <n v="0"/>
    <s v="No"/>
    <s v="Major"/>
    <n v="4699"/>
    <n v="1263"/>
    <n v="2024"/>
    <n v="10"/>
    <n v="1"/>
  </r>
  <r>
    <s v="SHP-30775"/>
    <d v="2024-05-21T00:00:00"/>
    <s v="South"/>
    <s v="Chennai"/>
    <s v="Central Hub"/>
    <s v="Standard"/>
    <s v="Documentation"/>
    <s v="Low"/>
    <n v="2"/>
    <n v="7"/>
    <n v="5"/>
    <s v="Yes"/>
    <n v="57"/>
    <n v="5845"/>
    <n v="22170"/>
    <n v="0"/>
    <s v="No"/>
    <s v="Major"/>
    <n v="4434"/>
    <n v="1169"/>
    <n v="2024"/>
    <n v="5"/>
    <n v="1"/>
  </r>
  <r>
    <s v="SHP-30776"/>
    <d v="2024-12-22T00:00:00"/>
    <s v="South"/>
    <s v="Bengaluru"/>
    <s v="Central Hub"/>
    <s v="Standard"/>
    <s v="Documentation"/>
    <s v="Medium"/>
    <n v="2"/>
    <n v="2"/>
    <n v="0"/>
    <s v="No"/>
    <n v="344"/>
    <n v="0"/>
    <n v="0"/>
    <n v="1"/>
    <s v="No"/>
    <s v="On Time"/>
    <n v="0"/>
    <n v="0"/>
    <n v="2024"/>
    <n v="12"/>
    <n v="0"/>
  </r>
  <r>
    <s v="SHP-30777"/>
    <d v="2024-11-04T00:00:00"/>
    <s v="North"/>
    <s v="Noida"/>
    <s v="Central Hub"/>
    <s v="Express"/>
    <s v="Weather"/>
    <s v="High"/>
    <n v="3"/>
    <n v="8"/>
    <n v="5"/>
    <s v="Yes"/>
    <n v="68"/>
    <n v="4455"/>
    <n v="13735"/>
    <n v="0"/>
    <s v="No"/>
    <s v="Major"/>
    <n v="2747"/>
    <n v="891"/>
    <n v="2024"/>
    <n v="11"/>
    <n v="1"/>
  </r>
  <r>
    <s v="SHP-30778"/>
    <d v="2024-12-01T00:00:00"/>
    <s v="South"/>
    <s v="Bengaluru"/>
    <s v="Regional Hub"/>
    <s v="Standard"/>
    <s v="Weather"/>
    <s v="Low"/>
    <n v="2"/>
    <n v="6"/>
    <n v="4"/>
    <s v="Yes"/>
    <n v="230"/>
    <n v="4040"/>
    <n v="12672"/>
    <n v="0"/>
    <s v="No"/>
    <s v="Major"/>
    <n v="3168"/>
    <n v="1010"/>
    <n v="2024"/>
    <n v="12"/>
    <n v="1"/>
  </r>
  <r>
    <s v="SHP-30779"/>
    <d v="2024-09-19T00:00:00"/>
    <s v="West"/>
    <s v="Pune"/>
    <s v="Central Hub"/>
    <s v="Standard"/>
    <s v="Documentation"/>
    <s v="High"/>
    <n v="5"/>
    <n v="13"/>
    <n v="8"/>
    <s v="Yes"/>
    <n v="455"/>
    <n v="9160"/>
    <n v="16720"/>
    <n v="0"/>
    <s v="No"/>
    <s v="Severe"/>
    <n v="2090"/>
    <n v="1145"/>
    <n v="2024"/>
    <n v="9"/>
    <n v="1"/>
  </r>
  <r>
    <s v="SHP-30780"/>
    <d v="2024-01-31T00:00:00"/>
    <s v="East"/>
    <s v="Kolkata"/>
    <s v="Regional Hub"/>
    <s v="Standard"/>
    <s v="System"/>
    <s v="Low"/>
    <n v="2"/>
    <n v="2"/>
    <n v="0"/>
    <s v="No"/>
    <n v="144"/>
    <n v="0"/>
    <n v="0"/>
    <n v="1"/>
    <s v="No"/>
    <s v="On Time"/>
    <n v="0"/>
    <n v="0"/>
    <n v="2024"/>
    <n v="1"/>
    <n v="0"/>
  </r>
  <r>
    <s v="SHP-30781"/>
    <d v="2024-06-09T00:00:00"/>
    <s v="East"/>
    <s v="Bhubaneswar"/>
    <s v="Regional Hub"/>
    <s v="Standard"/>
    <s v="Documentation"/>
    <s v="Low"/>
    <n v="2"/>
    <n v="5"/>
    <n v="3"/>
    <s v="Yes"/>
    <n v="409"/>
    <n v="3828"/>
    <n v="4857"/>
    <n v="0"/>
    <s v="No"/>
    <s v="Major"/>
    <n v="1619"/>
    <n v="1276"/>
    <n v="2024"/>
    <n v="6"/>
    <n v="1"/>
  </r>
  <r>
    <s v="SHP-30782"/>
    <d v="2024-12-12T00:00:00"/>
    <s v="East"/>
    <s v="Bhubaneswar"/>
    <s v="Regional Hub"/>
    <s v="Critical"/>
    <s v="Weather"/>
    <s v="Medium"/>
    <n v="1"/>
    <n v="7"/>
    <n v="6"/>
    <s v="Yes"/>
    <n v="258"/>
    <n v="9018"/>
    <n v="12054"/>
    <n v="0"/>
    <s v="No"/>
    <s v="Severe"/>
    <n v="2009"/>
    <n v="1503"/>
    <n v="2024"/>
    <n v="12"/>
    <n v="1"/>
  </r>
  <r>
    <s v="SHP-30783"/>
    <d v="2024-11-28T00:00:00"/>
    <s v="South"/>
    <s v="Chennai"/>
    <s v="Regional Hub"/>
    <s v="Critical"/>
    <s v="Routing"/>
    <s v="Low"/>
    <n v="1"/>
    <n v="7"/>
    <n v="6"/>
    <s v="Yes"/>
    <n v="179"/>
    <n v="9930"/>
    <n v="25908"/>
    <n v="0"/>
    <s v="No"/>
    <s v="Severe"/>
    <n v="4318"/>
    <n v="1655"/>
    <n v="2024"/>
    <n v="11"/>
    <n v="1"/>
  </r>
  <r>
    <s v="SHP-30784"/>
    <d v="2024-06-16T00:00:00"/>
    <s v="East"/>
    <s v="Bhubaneswar"/>
    <s v="Local Hub"/>
    <s v="Critical"/>
    <s v="Documentation"/>
    <s v="Medium"/>
    <n v="1"/>
    <n v="7"/>
    <n v="6"/>
    <s v="Yes"/>
    <n v="482"/>
    <n v="13158"/>
    <n v="18234"/>
    <n v="0"/>
    <s v="No"/>
    <s v="Severe"/>
    <n v="3039"/>
    <n v="2193"/>
    <n v="2024"/>
    <n v="6"/>
    <n v="1"/>
  </r>
  <r>
    <s v="SHP-30785"/>
    <d v="2024-02-10T00:00:00"/>
    <s v="North"/>
    <s v="Delhi"/>
    <s v="Regional Hub"/>
    <s v="Express"/>
    <s v="Documentation"/>
    <s v="High"/>
    <n v="5"/>
    <n v="12"/>
    <n v="7"/>
    <s v="Yes"/>
    <n v="165"/>
    <n v="7602"/>
    <n v="17059"/>
    <n v="0"/>
    <s v="No"/>
    <s v="Severe"/>
    <n v="2437"/>
    <n v="1086"/>
    <n v="2024"/>
    <n v="2"/>
    <n v="1"/>
  </r>
  <r>
    <s v="SHP-30786"/>
    <d v="2024-09-30T00:00:00"/>
    <s v="East"/>
    <s v="Bhubaneswar"/>
    <s v="Local Hub"/>
    <s v="Standard"/>
    <s v="Weather"/>
    <s v="High"/>
    <n v="1"/>
    <n v="4"/>
    <n v="3"/>
    <s v="Yes"/>
    <n v="274"/>
    <n v="3516"/>
    <n v="8748"/>
    <n v="0"/>
    <s v="No"/>
    <s v="Major"/>
    <n v="2916"/>
    <n v="1172"/>
    <n v="2024"/>
    <n v="9"/>
    <n v="1"/>
  </r>
  <r>
    <s v="SHP-30787"/>
    <d v="2024-11-04T00:00:00"/>
    <s v="East"/>
    <s v="Bhubaneswar"/>
    <s v="Regional Hub"/>
    <s v="Standard"/>
    <s v="Weather"/>
    <s v="Low"/>
    <n v="3"/>
    <n v="5"/>
    <n v="2"/>
    <s v="Yes"/>
    <n v="386"/>
    <n v="3852"/>
    <n v="8666"/>
    <n v="0"/>
    <s v="No"/>
    <s v="Minor"/>
    <n v="4333"/>
    <n v="1926"/>
    <n v="2024"/>
    <n v="11"/>
    <n v="1"/>
  </r>
  <r>
    <s v="SHP-30788"/>
    <d v="2024-04-04T00:00:00"/>
    <s v="East"/>
    <s v="Bhubaneswar"/>
    <s v="Central Hub"/>
    <s v="Standard"/>
    <s v="Weather"/>
    <s v="High"/>
    <n v="2"/>
    <n v="10"/>
    <n v="8"/>
    <s v="Yes"/>
    <n v="465"/>
    <n v="15248"/>
    <n v="36928"/>
    <n v="0"/>
    <s v="No"/>
    <s v="Severe"/>
    <n v="4616"/>
    <n v="1906"/>
    <n v="2024"/>
    <n v="4"/>
    <n v="1"/>
  </r>
  <r>
    <s v="SHP-30789"/>
    <d v="2024-05-08T00:00:00"/>
    <s v="East"/>
    <s v="Kolkata"/>
    <s v="Central Hub"/>
    <s v="Standard"/>
    <s v="Documentation"/>
    <s v="Low"/>
    <n v="2"/>
    <n v="7"/>
    <n v="5"/>
    <s v="Yes"/>
    <n v="149"/>
    <n v="4455"/>
    <n v="11230"/>
    <n v="0"/>
    <s v="No"/>
    <s v="Major"/>
    <n v="2246"/>
    <n v="891"/>
    <n v="2024"/>
    <n v="5"/>
    <n v="1"/>
  </r>
  <r>
    <s v="SHP-30790"/>
    <d v="2024-07-12T00:00:00"/>
    <s v="East"/>
    <s v="Kolkata"/>
    <s v="Central Hub"/>
    <s v="Standard"/>
    <s v="Documentation"/>
    <s v="Medium"/>
    <n v="1"/>
    <n v="1"/>
    <n v="0"/>
    <s v="No"/>
    <n v="370"/>
    <n v="0"/>
    <n v="0"/>
    <n v="1"/>
    <s v="No"/>
    <s v="On Time"/>
    <n v="0"/>
    <n v="0"/>
    <n v="2024"/>
    <n v="7"/>
    <n v="0"/>
  </r>
  <r>
    <s v="SHP-30791"/>
    <d v="2024-12-23T00:00:00"/>
    <s v="West"/>
    <s v="Mumbai"/>
    <s v="Regional Hub"/>
    <s v="Critical"/>
    <s v="Weather"/>
    <s v="Low"/>
    <n v="2"/>
    <n v="4"/>
    <n v="2"/>
    <s v="Yes"/>
    <n v="390"/>
    <n v="1954"/>
    <n v="6946"/>
    <n v="0"/>
    <s v="No"/>
    <s v="Minor"/>
    <n v="3473"/>
    <n v="977"/>
    <n v="2024"/>
    <n v="12"/>
    <n v="1"/>
  </r>
  <r>
    <s v="SHP-30792"/>
    <d v="2024-07-19T00:00:00"/>
    <s v="North"/>
    <s v="Delhi"/>
    <s v="Local Hub"/>
    <s v="Critical"/>
    <s v="System"/>
    <s v="Medium"/>
    <n v="1"/>
    <n v="6"/>
    <n v="5"/>
    <s v="Yes"/>
    <n v="146"/>
    <n v="11475"/>
    <n v="21835"/>
    <n v="0"/>
    <s v="No"/>
    <s v="Major"/>
    <n v="4367"/>
    <n v="2295"/>
    <n v="2024"/>
    <n v="7"/>
    <n v="1"/>
  </r>
  <r>
    <s v="SHP-30793"/>
    <d v="2024-08-17T00:00:00"/>
    <s v="South"/>
    <s v="Chennai"/>
    <s v="Local Hub"/>
    <s v="Standard"/>
    <s v="Routing"/>
    <s v="Medium"/>
    <n v="2"/>
    <n v="7"/>
    <n v="5"/>
    <s v="Yes"/>
    <n v="139"/>
    <n v="9795"/>
    <n v="20750"/>
    <n v="0"/>
    <s v="No"/>
    <s v="Major"/>
    <n v="4150"/>
    <n v="1959"/>
    <n v="2024"/>
    <n v="8"/>
    <n v="1"/>
  </r>
  <r>
    <s v="SHP-30794"/>
    <d v="2024-02-09T00:00:00"/>
    <s v="South"/>
    <s v="Chennai"/>
    <s v="Local Hub"/>
    <s v="Standard"/>
    <s v="Capacity"/>
    <s v="High"/>
    <n v="5"/>
    <n v="8"/>
    <n v="3"/>
    <s v="Yes"/>
    <n v="81"/>
    <n v="6204"/>
    <n v="13068"/>
    <n v="0"/>
    <s v="No"/>
    <s v="Major"/>
    <n v="4356"/>
    <n v="2068"/>
    <n v="2024"/>
    <n v="2"/>
    <n v="1"/>
  </r>
  <r>
    <s v="SHP-30795"/>
    <d v="2024-07-21T00:00:00"/>
    <s v="East"/>
    <s v="Bhubaneswar"/>
    <s v="Regional Hub"/>
    <s v="Standard"/>
    <s v="Routing"/>
    <s v="Low"/>
    <n v="2"/>
    <n v="5"/>
    <n v="3"/>
    <s v="Yes"/>
    <n v="218"/>
    <n v="3534"/>
    <n v="8166"/>
    <n v="0"/>
    <s v="No"/>
    <s v="Major"/>
    <n v="2722"/>
    <n v="1178"/>
    <n v="2024"/>
    <n v="7"/>
    <n v="1"/>
  </r>
  <r>
    <s v="SHP-30796"/>
    <d v="2024-01-10T00:00:00"/>
    <s v="East"/>
    <s v="Bhubaneswar"/>
    <s v="Central Hub"/>
    <s v="Critical"/>
    <s v="Documentation"/>
    <s v="Low"/>
    <n v="2"/>
    <n v="3"/>
    <n v="1"/>
    <s v="Yes"/>
    <n v="471"/>
    <n v="2001"/>
    <n v="2687"/>
    <n v="0"/>
    <s v="No"/>
    <s v="Minor"/>
    <n v="2687"/>
    <n v="2001"/>
    <n v="2024"/>
    <n v="1"/>
    <n v="1"/>
  </r>
  <r>
    <s v="SHP-30797"/>
    <d v="2024-07-08T00:00:00"/>
    <s v="South"/>
    <s v="Chennai"/>
    <s v="Regional Hub"/>
    <s v="Standard"/>
    <s v="Routing"/>
    <s v="Medium"/>
    <n v="1"/>
    <n v="3"/>
    <n v="2"/>
    <s v="Yes"/>
    <n v="433"/>
    <n v="2978"/>
    <n v="9232"/>
    <n v="0"/>
    <s v="No"/>
    <s v="Minor"/>
    <n v="4616"/>
    <n v="1489"/>
    <n v="2024"/>
    <n v="7"/>
    <n v="1"/>
  </r>
  <r>
    <s v="SHP-30798"/>
    <d v="2024-08-05T00:00:00"/>
    <s v="South"/>
    <s v="Bengaluru"/>
    <s v="Regional Hub"/>
    <s v="Standard"/>
    <s v="Capacity"/>
    <s v="Low"/>
    <n v="3"/>
    <n v="5"/>
    <n v="2"/>
    <s v="Yes"/>
    <n v="303"/>
    <n v="2140"/>
    <n v="4832"/>
    <n v="0"/>
    <s v="No"/>
    <s v="Minor"/>
    <n v="2416"/>
    <n v="1070"/>
    <n v="2024"/>
    <n v="8"/>
    <n v="1"/>
  </r>
  <r>
    <s v="SHP-30799"/>
    <d v="2024-04-09T00:00:00"/>
    <s v="North"/>
    <s v="Delhi"/>
    <s v="Local Hub"/>
    <s v="Critical"/>
    <s v="Documentation"/>
    <s v="Medium"/>
    <n v="2"/>
    <n v="4"/>
    <n v="2"/>
    <s v="Yes"/>
    <n v="192"/>
    <n v="2184"/>
    <n v="6670"/>
    <n v="0"/>
    <s v="No"/>
    <s v="Minor"/>
    <n v="3335"/>
    <n v="1092"/>
    <n v="2024"/>
    <n v="4"/>
    <n v="1"/>
  </r>
  <r>
    <s v="SHP-30800"/>
    <d v="2024-07-06T00:00:00"/>
    <s v="South"/>
    <s v="Bengaluru"/>
    <s v="Central Hub"/>
    <s v="Express"/>
    <s v="Weather"/>
    <s v="Low"/>
    <n v="3"/>
    <n v="4"/>
    <n v="1"/>
    <s v="Yes"/>
    <n v="415"/>
    <n v="1027"/>
    <n v="1949"/>
    <n v="0"/>
    <s v="No"/>
    <s v="Minor"/>
    <n v="1949"/>
    <n v="1027"/>
    <n v="2024"/>
    <n v="7"/>
    <n v="1"/>
  </r>
  <r>
    <s v="SHP-30801"/>
    <d v="2024-08-25T00:00:00"/>
    <s v="South"/>
    <s v="Bengaluru"/>
    <s v="Central Hub"/>
    <s v="Express"/>
    <s v="System"/>
    <s v="Low"/>
    <n v="2"/>
    <n v="6"/>
    <n v="4"/>
    <s v="Yes"/>
    <n v="201"/>
    <n v="7808"/>
    <n v="8216"/>
    <n v="0"/>
    <s v="No"/>
    <s v="Major"/>
    <n v="2054"/>
    <n v="1952"/>
    <n v="2024"/>
    <n v="8"/>
    <n v="1"/>
  </r>
  <r>
    <s v="SHP-30802"/>
    <d v="2024-07-04T00:00:00"/>
    <s v="West"/>
    <s v="Pune"/>
    <s v="Central Hub"/>
    <s v="Express"/>
    <s v="Routing"/>
    <s v="Low"/>
    <n v="5"/>
    <n v="7"/>
    <n v="2"/>
    <s v="Yes"/>
    <n v="180"/>
    <n v="2906"/>
    <n v="4564"/>
    <n v="0"/>
    <s v="No"/>
    <s v="Minor"/>
    <n v="2282"/>
    <n v="1453"/>
    <n v="2024"/>
    <n v="7"/>
    <n v="1"/>
  </r>
  <r>
    <s v="SHP-30803"/>
    <d v="2024-01-27T00:00:00"/>
    <s v="West"/>
    <s v="Mumbai"/>
    <s v="Regional Hub"/>
    <s v="Standard"/>
    <s v="Weather"/>
    <s v="Low"/>
    <n v="2"/>
    <n v="5"/>
    <n v="3"/>
    <s v="Yes"/>
    <n v="190"/>
    <n v="7344"/>
    <n v="11088"/>
    <n v="0"/>
    <s v="No"/>
    <s v="Major"/>
    <n v="3696"/>
    <n v="2448"/>
    <n v="2024"/>
    <n v="1"/>
    <n v="1"/>
  </r>
  <r>
    <s v="SHP-30804"/>
    <d v="2024-05-09T00:00:00"/>
    <s v="South"/>
    <s v="Chennai"/>
    <s v="Regional Hub"/>
    <s v="Express"/>
    <s v="System"/>
    <s v="High"/>
    <n v="3"/>
    <n v="5"/>
    <n v="2"/>
    <s v="Yes"/>
    <n v="52"/>
    <n v="2640"/>
    <n v="9054"/>
    <n v="0"/>
    <s v="No"/>
    <s v="Minor"/>
    <n v="4527"/>
    <n v="1320"/>
    <n v="2024"/>
    <n v="5"/>
    <n v="1"/>
  </r>
  <r>
    <s v="SHP-30805"/>
    <d v="2024-05-31T00:00:00"/>
    <s v="East"/>
    <s v="Kolkata"/>
    <s v="Regional Hub"/>
    <s v="Express"/>
    <s v="Routing"/>
    <s v="Medium"/>
    <n v="2"/>
    <n v="2"/>
    <n v="0"/>
    <s v="No"/>
    <n v="126"/>
    <n v="0"/>
    <n v="0"/>
    <n v="1"/>
    <s v="No"/>
    <s v="On Time"/>
    <n v="0"/>
    <n v="0"/>
    <n v="2024"/>
    <n v="5"/>
    <n v="0"/>
  </r>
  <r>
    <s v="SHP-30806"/>
    <d v="2024-09-18T00:00:00"/>
    <s v="West"/>
    <s v="Pune"/>
    <s v="Local Hub"/>
    <s v="Critical"/>
    <s v="Capacity"/>
    <s v="Medium"/>
    <n v="2"/>
    <n v="3"/>
    <n v="1"/>
    <s v="Yes"/>
    <n v="167"/>
    <n v="2352"/>
    <n v="4848"/>
    <n v="0"/>
    <s v="No"/>
    <s v="Minor"/>
    <n v="4848"/>
    <n v="2352"/>
    <n v="2024"/>
    <n v="9"/>
    <n v="1"/>
  </r>
  <r>
    <s v="SHP-30807"/>
    <d v="2024-02-11T00:00:00"/>
    <s v="South"/>
    <s v="Bengaluru"/>
    <s v="Regional Hub"/>
    <s v="Standard"/>
    <s v="Capacity"/>
    <s v="Low"/>
    <n v="2"/>
    <n v="7"/>
    <n v="5"/>
    <s v="Yes"/>
    <n v="476"/>
    <n v="9355"/>
    <n v="13895"/>
    <n v="0"/>
    <s v="No"/>
    <s v="Major"/>
    <n v="2779"/>
    <n v="1871"/>
    <n v="2024"/>
    <n v="2"/>
    <n v="1"/>
  </r>
  <r>
    <s v="SHP-30808"/>
    <d v="2024-01-08T00:00:00"/>
    <s v="South"/>
    <s v="Chennai"/>
    <s v="Local Hub"/>
    <s v="Standard"/>
    <s v="System"/>
    <s v="High"/>
    <n v="2"/>
    <n v="8"/>
    <n v="6"/>
    <s v="Yes"/>
    <n v="128"/>
    <n v="13608"/>
    <n v="23628"/>
    <n v="0"/>
    <s v="No"/>
    <s v="Severe"/>
    <n v="3938"/>
    <n v="2268"/>
    <n v="2024"/>
    <n v="1"/>
    <n v="1"/>
  </r>
  <r>
    <s v="SHP-30809"/>
    <d v="2024-07-01T00:00:00"/>
    <s v="South"/>
    <s v="Bengaluru"/>
    <s v="Local Hub"/>
    <s v="Critical"/>
    <s v="Routing"/>
    <s v="Low"/>
    <n v="1"/>
    <n v="4"/>
    <n v="3"/>
    <s v="Yes"/>
    <n v="401"/>
    <n v="4560"/>
    <n v="5976"/>
    <n v="0"/>
    <s v="No"/>
    <s v="Major"/>
    <n v="1992"/>
    <n v="1520"/>
    <n v="2024"/>
    <n v="7"/>
    <n v="1"/>
  </r>
  <r>
    <s v="SHP-30810"/>
    <d v="2024-03-18T00:00:00"/>
    <s v="South"/>
    <s v="Chennai"/>
    <s v="Regional Hub"/>
    <s v="Critical"/>
    <s v="Routing"/>
    <s v="Low"/>
    <n v="2"/>
    <n v="8"/>
    <n v="6"/>
    <s v="Yes"/>
    <n v="237"/>
    <n v="12240"/>
    <n v="27432"/>
    <n v="0"/>
    <s v="No"/>
    <s v="Severe"/>
    <n v="4572"/>
    <n v="2040"/>
    <n v="2024"/>
    <n v="3"/>
    <n v="1"/>
  </r>
  <r>
    <s v="SHP-30811"/>
    <d v="2024-06-25T00:00:00"/>
    <s v="South"/>
    <s v="Chennai"/>
    <s v="Regional Hub"/>
    <s v="Express"/>
    <s v="Weather"/>
    <s v="Low"/>
    <n v="2"/>
    <n v="7"/>
    <n v="5"/>
    <s v="Yes"/>
    <n v="270"/>
    <n v="6565"/>
    <n v="21445"/>
    <n v="0"/>
    <s v="No"/>
    <s v="Major"/>
    <n v="4289"/>
    <n v="1313"/>
    <n v="2024"/>
    <n v="6"/>
    <n v="1"/>
  </r>
  <r>
    <s v="SHP-30812"/>
    <d v="2024-06-24T00:00:00"/>
    <s v="West"/>
    <s v="Pune"/>
    <s v="Central Hub"/>
    <s v="Critical"/>
    <s v="System"/>
    <s v="Medium"/>
    <n v="1"/>
    <n v="6"/>
    <n v="5"/>
    <s v="Yes"/>
    <n v="235"/>
    <n v="12435"/>
    <n v="23570"/>
    <n v="0"/>
    <s v="No"/>
    <s v="Major"/>
    <n v="4714"/>
    <n v="2487"/>
    <n v="2024"/>
    <n v="6"/>
    <n v="1"/>
  </r>
  <r>
    <s v="SHP-30813"/>
    <d v="2024-11-02T00:00:00"/>
    <s v="South"/>
    <s v="Chennai"/>
    <s v="Local Hub"/>
    <s v="Critical"/>
    <s v="Routing"/>
    <s v="Low"/>
    <n v="1"/>
    <n v="6"/>
    <n v="5"/>
    <s v="Yes"/>
    <n v="209"/>
    <n v="7630"/>
    <n v="10555"/>
    <n v="0"/>
    <s v="No"/>
    <s v="Major"/>
    <n v="2111"/>
    <n v="1526"/>
    <n v="2024"/>
    <n v="11"/>
    <n v="1"/>
  </r>
  <r>
    <s v="SHP-30814"/>
    <d v="2024-08-08T00:00:00"/>
    <s v="East"/>
    <s v="Kolkata"/>
    <s v="Local Hub"/>
    <s v="Standard"/>
    <s v="Weather"/>
    <s v="Low"/>
    <n v="2"/>
    <n v="4"/>
    <n v="2"/>
    <s v="Yes"/>
    <n v="189"/>
    <n v="1820"/>
    <n v="9288"/>
    <n v="0"/>
    <s v="No"/>
    <s v="Minor"/>
    <n v="4644"/>
    <n v="910"/>
    <n v="2024"/>
    <n v="8"/>
    <n v="1"/>
  </r>
  <r>
    <s v="SHP-30815"/>
    <d v="2024-12-29T00:00:00"/>
    <s v="North"/>
    <s v="Delhi"/>
    <s v="Central Hub"/>
    <s v="Express"/>
    <s v="Routing"/>
    <s v="Medium"/>
    <n v="3"/>
    <n v="3"/>
    <n v="0"/>
    <s v="No"/>
    <n v="443"/>
    <n v="0"/>
    <n v="0"/>
    <n v="1"/>
    <s v="No"/>
    <s v="On Time"/>
    <n v="0"/>
    <n v="0"/>
    <n v="2024"/>
    <n v="12"/>
    <n v="0"/>
  </r>
  <r>
    <s v="SHP-30816"/>
    <d v="2024-10-28T00:00:00"/>
    <s v="East"/>
    <s v="Kolkata"/>
    <s v="Local Hub"/>
    <s v="Express"/>
    <s v="Documentation"/>
    <s v="Medium"/>
    <n v="3"/>
    <n v="4"/>
    <n v="1"/>
    <s v="Yes"/>
    <n v="472"/>
    <n v="1887"/>
    <n v="4992"/>
    <n v="0"/>
    <s v="No"/>
    <s v="Minor"/>
    <n v="4992"/>
    <n v="1887"/>
    <n v="2024"/>
    <n v="10"/>
    <n v="1"/>
  </r>
  <r>
    <s v="SHP-30817"/>
    <d v="2024-10-30T00:00:00"/>
    <s v="South"/>
    <s v="Bengaluru"/>
    <s v="Local Hub"/>
    <s v="Express"/>
    <s v="Documentation"/>
    <s v="Low"/>
    <n v="3"/>
    <n v="3"/>
    <n v="0"/>
    <s v="No"/>
    <n v="265"/>
    <n v="0"/>
    <n v="0"/>
    <n v="1"/>
    <s v="No"/>
    <s v="On Time"/>
    <n v="0"/>
    <n v="0"/>
    <n v="2024"/>
    <n v="10"/>
    <n v="0"/>
  </r>
  <r>
    <s v="SHP-30818"/>
    <d v="2024-10-23T00:00:00"/>
    <s v="South"/>
    <s v="Bengaluru"/>
    <s v="Regional Hub"/>
    <s v="Express"/>
    <s v="Capacity"/>
    <s v="High"/>
    <n v="1"/>
    <n v="6"/>
    <n v="5"/>
    <s v="Yes"/>
    <n v="159"/>
    <n v="4070"/>
    <n v="20445"/>
    <n v="0"/>
    <s v="No"/>
    <s v="Major"/>
    <n v="4089"/>
    <n v="814"/>
    <n v="2024"/>
    <n v="10"/>
    <n v="1"/>
  </r>
  <r>
    <s v="SHP-30819"/>
    <d v="2024-09-06T00:00:00"/>
    <s v="East"/>
    <s v="Bhubaneswar"/>
    <s v="Local Hub"/>
    <s v="Express"/>
    <s v="Weather"/>
    <s v="Low"/>
    <n v="3"/>
    <n v="7"/>
    <n v="4"/>
    <s v="Yes"/>
    <n v="211"/>
    <n v="9336"/>
    <n v="16084"/>
    <n v="0"/>
    <s v="No"/>
    <s v="Major"/>
    <n v="4021"/>
    <n v="2334"/>
    <n v="2024"/>
    <n v="9"/>
    <n v="1"/>
  </r>
  <r>
    <s v="SHP-30820"/>
    <d v="2024-02-07T00:00:00"/>
    <s v="South"/>
    <s v="Bengaluru"/>
    <s v="Central Hub"/>
    <s v="Standard"/>
    <s v="Routing"/>
    <s v="High"/>
    <n v="3"/>
    <n v="6"/>
    <n v="3"/>
    <s v="Yes"/>
    <n v="124"/>
    <n v="4488"/>
    <n v="6930"/>
    <n v="0"/>
    <s v="No"/>
    <s v="Major"/>
    <n v="2310"/>
    <n v="1496"/>
    <n v="2024"/>
    <n v="2"/>
    <n v="1"/>
  </r>
  <r>
    <s v="SHP-30821"/>
    <d v="2024-03-17T00:00:00"/>
    <s v="West"/>
    <s v="Mumbai"/>
    <s v="Local Hub"/>
    <s v="Standard"/>
    <s v="Weather"/>
    <s v="Low"/>
    <n v="5"/>
    <n v="7"/>
    <n v="2"/>
    <s v="Yes"/>
    <n v="126"/>
    <n v="3146"/>
    <n v="5536"/>
    <n v="0"/>
    <s v="No"/>
    <s v="Minor"/>
    <n v="2768"/>
    <n v="1573"/>
    <n v="2024"/>
    <n v="3"/>
    <n v="1"/>
  </r>
  <r>
    <s v="SHP-30822"/>
    <d v="2024-01-15T00:00:00"/>
    <s v="East"/>
    <s v="Kolkata"/>
    <s v="Central Hub"/>
    <s v="Standard"/>
    <s v="Weather"/>
    <s v="High"/>
    <n v="2"/>
    <n v="6"/>
    <n v="4"/>
    <s v="Yes"/>
    <n v="420"/>
    <n v="5760"/>
    <n v="13532"/>
    <n v="0"/>
    <s v="No"/>
    <s v="Major"/>
    <n v="3383"/>
    <n v="1440"/>
    <n v="2024"/>
    <n v="1"/>
    <n v="1"/>
  </r>
  <r>
    <s v="SHP-30823"/>
    <d v="2024-08-17T00:00:00"/>
    <s v="West"/>
    <s v="Pune"/>
    <s v="Regional Hub"/>
    <s v="Critical"/>
    <s v="System"/>
    <s v="Low"/>
    <n v="1"/>
    <n v="3"/>
    <n v="2"/>
    <s v="Yes"/>
    <n v="290"/>
    <n v="4850"/>
    <n v="7886"/>
    <n v="0"/>
    <s v="No"/>
    <s v="Minor"/>
    <n v="3943"/>
    <n v="2425"/>
    <n v="2024"/>
    <n v="8"/>
    <n v="1"/>
  </r>
  <r>
    <s v="SHP-30824"/>
    <d v="2024-05-21T00:00:00"/>
    <s v="West"/>
    <s v="Mumbai"/>
    <s v="Local Hub"/>
    <s v="Express"/>
    <s v="Routing"/>
    <s v="Medium"/>
    <n v="3"/>
    <n v="6"/>
    <n v="3"/>
    <s v="Yes"/>
    <n v="118"/>
    <n v="6573"/>
    <n v="10902"/>
    <n v="0"/>
    <s v="No"/>
    <s v="Major"/>
    <n v="3634"/>
    <n v="2191"/>
    <n v="2024"/>
    <n v="5"/>
    <n v="1"/>
  </r>
  <r>
    <s v="SHP-30825"/>
    <d v="2024-02-05T00:00:00"/>
    <s v="West"/>
    <s v="Pune"/>
    <s v="Local Hub"/>
    <s v="Standard"/>
    <s v="Routing"/>
    <s v="Medium"/>
    <n v="2"/>
    <n v="3"/>
    <n v="1"/>
    <s v="Yes"/>
    <n v="70"/>
    <n v="1518"/>
    <n v="2129"/>
    <n v="0"/>
    <s v="No"/>
    <s v="Minor"/>
    <n v="2129"/>
    <n v="1518"/>
    <n v="2024"/>
    <n v="2"/>
    <n v="1"/>
  </r>
  <r>
    <s v="SHP-30826"/>
    <d v="2024-08-01T00:00:00"/>
    <s v="East"/>
    <s v="Kolkata"/>
    <s v="Local Hub"/>
    <s v="Standard"/>
    <s v="Weather"/>
    <s v="High"/>
    <n v="2"/>
    <n v="5"/>
    <n v="3"/>
    <s v="Yes"/>
    <n v="435"/>
    <n v="7074"/>
    <n v="11133"/>
    <n v="0"/>
    <s v="No"/>
    <s v="Major"/>
    <n v="3711"/>
    <n v="2358"/>
    <n v="2024"/>
    <n v="8"/>
    <n v="1"/>
  </r>
  <r>
    <s v="SHP-30827"/>
    <d v="2024-10-10T00:00:00"/>
    <s v="South"/>
    <s v="Chennai"/>
    <s v="Regional Hub"/>
    <s v="Express"/>
    <s v="Documentation"/>
    <s v="Low"/>
    <n v="1"/>
    <n v="3"/>
    <n v="2"/>
    <s v="Yes"/>
    <n v="160"/>
    <n v="2450"/>
    <n v="5312"/>
    <n v="0"/>
    <s v="No"/>
    <s v="Minor"/>
    <n v="2656"/>
    <n v="1225"/>
    <n v="2024"/>
    <n v="10"/>
    <n v="1"/>
  </r>
  <r>
    <s v="SHP-30828"/>
    <d v="2024-04-20T00:00:00"/>
    <s v="East"/>
    <s v="Bhubaneswar"/>
    <s v="Regional Hub"/>
    <s v="Express"/>
    <s v="Weather"/>
    <s v="Low"/>
    <n v="1"/>
    <n v="6"/>
    <n v="5"/>
    <s v="Yes"/>
    <n v="479"/>
    <n v="5000"/>
    <n v="11765"/>
    <n v="0"/>
    <s v="No"/>
    <s v="Major"/>
    <n v="2353"/>
    <n v="1000"/>
    <n v="2024"/>
    <n v="4"/>
    <n v="1"/>
  </r>
  <r>
    <s v="SHP-30829"/>
    <d v="2024-07-13T00:00:00"/>
    <s v="West"/>
    <s v="Mumbai"/>
    <s v="Central Hub"/>
    <s v="Standard"/>
    <s v="Weather"/>
    <s v="High"/>
    <n v="2"/>
    <n v="6"/>
    <n v="4"/>
    <s v="Yes"/>
    <n v="463"/>
    <n v="3412"/>
    <n v="12644"/>
    <n v="0"/>
    <s v="No"/>
    <s v="Major"/>
    <n v="3161"/>
    <n v="853"/>
    <n v="2024"/>
    <n v="7"/>
    <n v="1"/>
  </r>
  <r>
    <s v="SHP-30830"/>
    <d v="2024-11-27T00:00:00"/>
    <s v="West"/>
    <s v="Mumbai"/>
    <s v="Central Hub"/>
    <s v="Critical"/>
    <s v="System"/>
    <s v="Low"/>
    <n v="3"/>
    <n v="5"/>
    <n v="2"/>
    <s v="Yes"/>
    <n v="76"/>
    <n v="3252"/>
    <n v="9470"/>
    <n v="0"/>
    <s v="No"/>
    <s v="Minor"/>
    <n v="4735"/>
    <n v="1626"/>
    <n v="2024"/>
    <n v="11"/>
    <n v="1"/>
  </r>
  <r>
    <s v="SHP-30831"/>
    <d v="2024-04-10T00:00:00"/>
    <s v="East"/>
    <s v="Kolkata"/>
    <s v="Regional Hub"/>
    <s v="Standard"/>
    <s v="System"/>
    <s v="Low"/>
    <n v="1"/>
    <n v="3"/>
    <n v="2"/>
    <s v="Yes"/>
    <n v="156"/>
    <n v="3594"/>
    <n v="8212"/>
    <n v="0"/>
    <s v="No"/>
    <s v="Minor"/>
    <n v="4106"/>
    <n v="1797"/>
    <n v="2024"/>
    <n v="4"/>
    <n v="1"/>
  </r>
  <r>
    <s v="SHP-30832"/>
    <d v="2024-11-29T00:00:00"/>
    <s v="South"/>
    <s v="Chennai"/>
    <s v="Local Hub"/>
    <s v="Standard"/>
    <s v="Capacity"/>
    <s v="Medium"/>
    <n v="5"/>
    <n v="6"/>
    <n v="1"/>
    <s v="Yes"/>
    <n v="293"/>
    <n v="1312"/>
    <n v="2375"/>
    <n v="0"/>
    <s v="No"/>
    <s v="Minor"/>
    <n v="2375"/>
    <n v="1312"/>
    <n v="2024"/>
    <n v="11"/>
    <n v="1"/>
  </r>
  <r>
    <s v="SHP-30833"/>
    <d v="2024-08-27T00:00:00"/>
    <s v="East"/>
    <s v="Kolkata"/>
    <s v="Regional Hub"/>
    <s v="Standard"/>
    <s v="Weather"/>
    <s v="Low"/>
    <n v="2"/>
    <n v="3"/>
    <n v="1"/>
    <s v="Yes"/>
    <n v="377"/>
    <n v="848"/>
    <n v="3271"/>
    <n v="0"/>
    <s v="No"/>
    <s v="Minor"/>
    <n v="3271"/>
    <n v="848"/>
    <n v="2024"/>
    <n v="8"/>
    <n v="1"/>
  </r>
  <r>
    <s v="SHP-30834"/>
    <d v="2024-11-13T00:00:00"/>
    <s v="North"/>
    <s v="Noida"/>
    <s v="Regional Hub"/>
    <s v="Standard"/>
    <s v="Weather"/>
    <s v="Low"/>
    <n v="5"/>
    <n v="7"/>
    <n v="2"/>
    <s v="Yes"/>
    <n v="306"/>
    <n v="2688"/>
    <n v="5126"/>
    <n v="0"/>
    <s v="No"/>
    <s v="Minor"/>
    <n v="2563"/>
    <n v="1344"/>
    <n v="2024"/>
    <n v="11"/>
    <n v="1"/>
  </r>
  <r>
    <s v="SHP-30835"/>
    <d v="2024-02-06T00:00:00"/>
    <s v="South"/>
    <s v="Chennai"/>
    <s v="Regional Hub"/>
    <s v="Standard"/>
    <s v="Capacity"/>
    <s v="Medium"/>
    <n v="5"/>
    <n v="6"/>
    <n v="1"/>
    <s v="Yes"/>
    <n v="183"/>
    <n v="2115"/>
    <n v="4325"/>
    <n v="0"/>
    <s v="No"/>
    <s v="Minor"/>
    <n v="4325"/>
    <n v="2115"/>
    <n v="2024"/>
    <n v="2"/>
    <n v="1"/>
  </r>
  <r>
    <s v="SHP-30836"/>
    <d v="2024-11-02T00:00:00"/>
    <s v="East"/>
    <s v="Bhubaneswar"/>
    <s v="Local Hub"/>
    <s v="Standard"/>
    <s v="Capacity"/>
    <s v="Medium"/>
    <n v="1"/>
    <n v="3"/>
    <n v="2"/>
    <s v="Yes"/>
    <n v="100"/>
    <n v="2730"/>
    <n v="4530"/>
    <n v="0"/>
    <s v="No"/>
    <s v="Minor"/>
    <n v="2265"/>
    <n v="1365"/>
    <n v="2024"/>
    <n v="11"/>
    <n v="1"/>
  </r>
  <r>
    <s v="SHP-30837"/>
    <d v="2024-10-28T00:00:00"/>
    <s v="South"/>
    <s v="Bengaluru"/>
    <s v="Central Hub"/>
    <s v="Standard"/>
    <s v="Capacity"/>
    <s v="High"/>
    <n v="3"/>
    <n v="10"/>
    <n v="7"/>
    <s v="Yes"/>
    <n v="126"/>
    <n v="10913"/>
    <n v="14119"/>
    <n v="0"/>
    <s v="No"/>
    <s v="Severe"/>
    <n v="2017"/>
    <n v="1559"/>
    <n v="2024"/>
    <n v="10"/>
    <n v="1"/>
  </r>
  <r>
    <s v="SHP-30838"/>
    <d v="2024-09-16T00:00:00"/>
    <s v="North"/>
    <s v="Noida"/>
    <s v="Local Hub"/>
    <s v="Standard"/>
    <s v="Capacity"/>
    <s v="Low"/>
    <n v="1"/>
    <n v="6"/>
    <n v="5"/>
    <s v="Yes"/>
    <n v="175"/>
    <n v="4400"/>
    <n v="20935"/>
    <n v="0"/>
    <s v="No"/>
    <s v="Major"/>
    <n v="4187"/>
    <n v="880"/>
    <n v="2024"/>
    <n v="9"/>
    <n v="1"/>
  </r>
  <r>
    <s v="SHP-30839"/>
    <d v="2024-04-08T00:00:00"/>
    <s v="North"/>
    <s v="Delhi"/>
    <s v="Central Hub"/>
    <s v="Standard"/>
    <s v="Routing"/>
    <s v="Low"/>
    <n v="1"/>
    <n v="1"/>
    <n v="0"/>
    <s v="No"/>
    <n v="379"/>
    <n v="0"/>
    <n v="0"/>
    <n v="1"/>
    <s v="No"/>
    <s v="On Time"/>
    <n v="0"/>
    <n v="0"/>
    <n v="2024"/>
    <n v="4"/>
    <n v="0"/>
  </r>
  <r>
    <s v="SHP-30840"/>
    <d v="2024-07-28T00:00:00"/>
    <s v="North"/>
    <s v="Delhi"/>
    <s v="Regional Hub"/>
    <s v="Standard"/>
    <s v="Weather"/>
    <s v="Low"/>
    <n v="1"/>
    <n v="2"/>
    <n v="1"/>
    <s v="Yes"/>
    <n v="312"/>
    <n v="2067"/>
    <n v="2598"/>
    <n v="0"/>
    <s v="No"/>
    <s v="Minor"/>
    <n v="2598"/>
    <n v="2067"/>
    <n v="2024"/>
    <n v="7"/>
    <n v="1"/>
  </r>
  <r>
    <s v="SHP-30841"/>
    <d v="2024-11-26T00:00:00"/>
    <s v="West"/>
    <s v="Pune"/>
    <s v="Regional Hub"/>
    <s v="Standard"/>
    <s v="Capacity"/>
    <s v="High"/>
    <n v="1"/>
    <n v="9"/>
    <n v="8"/>
    <s v="Yes"/>
    <n v="257"/>
    <n v="8672"/>
    <n v="25048"/>
    <n v="0"/>
    <s v="No"/>
    <s v="Severe"/>
    <n v="3131"/>
    <n v="1084"/>
    <n v="2024"/>
    <n v="11"/>
    <n v="1"/>
  </r>
  <r>
    <s v="SHP-30842"/>
    <d v="2024-09-26T00:00:00"/>
    <s v="South"/>
    <s v="Chennai"/>
    <s v="Regional Hub"/>
    <s v="Express"/>
    <s v="Capacity"/>
    <s v="High"/>
    <n v="2"/>
    <n v="9"/>
    <n v="7"/>
    <s v="Yes"/>
    <n v="115"/>
    <n v="6853"/>
    <n v="23212"/>
    <n v="0"/>
    <s v="No"/>
    <s v="Severe"/>
    <n v="3316"/>
    <n v="979"/>
    <n v="2024"/>
    <n v="9"/>
    <n v="1"/>
  </r>
  <r>
    <s v="SHP-30843"/>
    <d v="2024-11-11T00:00:00"/>
    <s v="North"/>
    <s v="Noida"/>
    <s v="Regional Hub"/>
    <s v="Express"/>
    <s v="Capacity"/>
    <s v="Low"/>
    <n v="5"/>
    <n v="9"/>
    <n v="4"/>
    <s v="Yes"/>
    <n v="376"/>
    <n v="3288"/>
    <n v="13788"/>
    <n v="0"/>
    <s v="No"/>
    <s v="Major"/>
    <n v="3447"/>
    <n v="822"/>
    <n v="2024"/>
    <n v="11"/>
    <n v="1"/>
  </r>
  <r>
    <s v="SHP-30844"/>
    <d v="2024-05-02T00:00:00"/>
    <s v="East"/>
    <s v="Bhubaneswar"/>
    <s v="Central Hub"/>
    <s v="Express"/>
    <s v="Documentation"/>
    <s v="High"/>
    <n v="1"/>
    <n v="9"/>
    <n v="8"/>
    <s v="Yes"/>
    <n v="169"/>
    <n v="7920"/>
    <n v="31400"/>
    <n v="0"/>
    <s v="No"/>
    <s v="Severe"/>
    <n v="3925"/>
    <n v="990"/>
    <n v="2024"/>
    <n v="5"/>
    <n v="1"/>
  </r>
  <r>
    <s v="SHP-30845"/>
    <d v="2024-06-26T00:00:00"/>
    <s v="West"/>
    <s v="Mumbai"/>
    <s v="Central Hub"/>
    <s v="Standard"/>
    <s v="Capacity"/>
    <s v="Low"/>
    <n v="5"/>
    <n v="8"/>
    <n v="3"/>
    <s v="Yes"/>
    <n v="336"/>
    <n v="3900"/>
    <n v="11034"/>
    <n v="0"/>
    <s v="No"/>
    <s v="Major"/>
    <n v="3678"/>
    <n v="1300"/>
    <n v="2024"/>
    <n v="6"/>
    <n v="1"/>
  </r>
  <r>
    <s v="SHP-30846"/>
    <d v="2024-09-05T00:00:00"/>
    <s v="East"/>
    <s v="Bhubaneswar"/>
    <s v="Central Hub"/>
    <s v="Standard"/>
    <s v="System"/>
    <s v="Low"/>
    <n v="3"/>
    <n v="6"/>
    <n v="3"/>
    <s v="Yes"/>
    <n v="114"/>
    <n v="3657"/>
    <n v="14742"/>
    <n v="0"/>
    <s v="No"/>
    <s v="Major"/>
    <n v="4914"/>
    <n v="1219"/>
    <n v="2024"/>
    <n v="9"/>
    <n v="1"/>
  </r>
  <r>
    <s v="SHP-30847"/>
    <d v="2024-01-13T00:00:00"/>
    <s v="East"/>
    <s v="Kolkata"/>
    <s v="Regional Hub"/>
    <s v="Express"/>
    <s v="Weather"/>
    <s v="Low"/>
    <n v="2"/>
    <n v="7"/>
    <n v="5"/>
    <s v="Yes"/>
    <n v="477"/>
    <n v="8115"/>
    <n v="12140"/>
    <n v="0"/>
    <s v="No"/>
    <s v="Major"/>
    <n v="2428"/>
    <n v="1623"/>
    <n v="2024"/>
    <n v="1"/>
    <n v="1"/>
  </r>
  <r>
    <s v="SHP-30848"/>
    <d v="2024-03-03T00:00:00"/>
    <s v="East"/>
    <s v="Bhubaneswar"/>
    <s v="Central Hub"/>
    <s v="Critical"/>
    <s v="Documentation"/>
    <s v="Medium"/>
    <n v="3"/>
    <n v="8"/>
    <n v="5"/>
    <s v="Yes"/>
    <n v="487"/>
    <n v="9730"/>
    <n v="14730"/>
    <n v="0"/>
    <s v="No"/>
    <s v="Major"/>
    <n v="2946"/>
    <n v="1946"/>
    <n v="2024"/>
    <n v="3"/>
    <n v="1"/>
  </r>
  <r>
    <s v="SHP-30849"/>
    <d v="2024-08-14T00:00:00"/>
    <s v="East"/>
    <s v="Bhubaneswar"/>
    <s v="Central Hub"/>
    <s v="Standard"/>
    <s v="Capacity"/>
    <s v="Medium"/>
    <n v="2"/>
    <n v="5"/>
    <n v="3"/>
    <s v="Yes"/>
    <n v="456"/>
    <n v="4656"/>
    <n v="13722"/>
    <n v="0"/>
    <s v="No"/>
    <s v="Major"/>
    <n v="4574"/>
    <n v="1552"/>
    <n v="2024"/>
    <n v="8"/>
    <n v="1"/>
  </r>
  <r>
    <s v="SHP-30850"/>
    <d v="2024-05-08T00:00:00"/>
    <s v="North"/>
    <s v="Noida"/>
    <s v="Local Hub"/>
    <s v="Standard"/>
    <s v="Routing"/>
    <s v="Low"/>
    <n v="3"/>
    <n v="7"/>
    <n v="4"/>
    <s v="Yes"/>
    <n v="250"/>
    <n v="9876"/>
    <n v="18224"/>
    <n v="0"/>
    <s v="No"/>
    <s v="Major"/>
    <n v="4556"/>
    <n v="2469"/>
    <n v="2024"/>
    <n v="5"/>
    <n v="1"/>
  </r>
  <r>
    <s v="SHP-30851"/>
    <d v="2024-06-19T00:00:00"/>
    <s v="West"/>
    <s v="Pune"/>
    <s v="Central Hub"/>
    <s v="Standard"/>
    <s v="Capacity"/>
    <s v="Low"/>
    <n v="1"/>
    <n v="4"/>
    <n v="3"/>
    <s v="Yes"/>
    <n v="360"/>
    <n v="4509"/>
    <n v="12903"/>
    <n v="0"/>
    <s v="No"/>
    <s v="Major"/>
    <n v="4301"/>
    <n v="1503"/>
    <n v="2024"/>
    <n v="6"/>
    <n v="1"/>
  </r>
  <r>
    <s v="SHP-30852"/>
    <d v="2024-02-19T00:00:00"/>
    <s v="West"/>
    <s v="Pune"/>
    <s v="Central Hub"/>
    <s v="Critical"/>
    <s v="Capacity"/>
    <s v="High"/>
    <n v="3"/>
    <n v="12"/>
    <n v="9"/>
    <s v="Yes"/>
    <n v="467"/>
    <n v="19035"/>
    <n v="44379"/>
    <n v="0"/>
    <s v="No"/>
    <s v="Severe"/>
    <n v="4931"/>
    <n v="2115"/>
    <n v="2024"/>
    <n v="2"/>
    <n v="1"/>
  </r>
  <r>
    <s v="SHP-30853"/>
    <d v="2024-06-07T00:00:00"/>
    <s v="West"/>
    <s v="Mumbai"/>
    <s v="Local Hub"/>
    <s v="Standard"/>
    <s v="Capacity"/>
    <s v="Low"/>
    <n v="2"/>
    <n v="2"/>
    <n v="0"/>
    <s v="No"/>
    <n v="187"/>
    <n v="0"/>
    <n v="0"/>
    <n v="1"/>
    <s v="No"/>
    <s v="On Time"/>
    <n v="0"/>
    <n v="0"/>
    <n v="2024"/>
    <n v="6"/>
    <n v="0"/>
  </r>
  <r>
    <s v="SHP-30854"/>
    <d v="2024-09-18T00:00:00"/>
    <s v="West"/>
    <s v="Mumbai"/>
    <s v="Local Hub"/>
    <s v="Standard"/>
    <s v="Weather"/>
    <s v="Low"/>
    <n v="1"/>
    <n v="3"/>
    <n v="2"/>
    <s v="Yes"/>
    <n v="72"/>
    <n v="4636"/>
    <n v="3848"/>
    <n v="0"/>
    <s v="No"/>
    <s v="Minor"/>
    <n v="1924"/>
    <n v="2318"/>
    <n v="2024"/>
    <n v="9"/>
    <n v="1"/>
  </r>
  <r>
    <s v="SHP-30855"/>
    <d v="2024-09-04T00:00:00"/>
    <s v="East"/>
    <s v="Kolkata"/>
    <s v="Regional Hub"/>
    <s v="Standard"/>
    <s v="Capacity"/>
    <s v="Low"/>
    <n v="5"/>
    <n v="5"/>
    <n v="0"/>
    <s v="No"/>
    <n v="235"/>
    <n v="0"/>
    <n v="0"/>
    <n v="1"/>
    <s v="No"/>
    <s v="On Time"/>
    <n v="0"/>
    <n v="0"/>
    <n v="2024"/>
    <n v="9"/>
    <n v="0"/>
  </r>
  <r>
    <s v="SHP-30856"/>
    <d v="2024-08-07T00:00:00"/>
    <s v="West"/>
    <s v="Pune"/>
    <s v="Regional Hub"/>
    <s v="Standard"/>
    <s v="Weather"/>
    <s v="Low"/>
    <n v="1"/>
    <n v="1"/>
    <n v="0"/>
    <s v="No"/>
    <n v="301"/>
    <n v="0"/>
    <n v="0"/>
    <n v="1"/>
    <s v="No"/>
    <s v="On Time"/>
    <n v="0"/>
    <n v="0"/>
    <n v="2024"/>
    <n v="8"/>
    <n v="0"/>
  </r>
  <r>
    <s v="SHP-30857"/>
    <d v="2024-04-15T00:00:00"/>
    <s v="North"/>
    <s v="Delhi"/>
    <s v="Regional Hub"/>
    <s v="Standard"/>
    <s v="Weather"/>
    <s v="Low"/>
    <n v="2"/>
    <n v="5"/>
    <n v="3"/>
    <s v="Yes"/>
    <n v="247"/>
    <n v="3474"/>
    <n v="9093"/>
    <n v="0"/>
    <s v="No"/>
    <s v="Major"/>
    <n v="3031"/>
    <n v="1158"/>
    <n v="2024"/>
    <n v="4"/>
    <n v="1"/>
  </r>
  <r>
    <s v="SHP-30858"/>
    <d v="2024-06-11T00:00:00"/>
    <s v="West"/>
    <s v="Pune"/>
    <s v="Central Hub"/>
    <s v="Standard"/>
    <s v="Capacity"/>
    <s v="High"/>
    <n v="5"/>
    <n v="13"/>
    <n v="8"/>
    <s v="Yes"/>
    <n v="305"/>
    <n v="13032"/>
    <n v="21840"/>
    <n v="0"/>
    <s v="No"/>
    <s v="Severe"/>
    <n v="2730"/>
    <n v="1629"/>
    <n v="2024"/>
    <n v="6"/>
    <n v="1"/>
  </r>
  <r>
    <s v="SHP-30859"/>
    <d v="2024-08-24T00:00:00"/>
    <s v="South"/>
    <s v="Chennai"/>
    <s v="Central Hub"/>
    <s v="Express"/>
    <s v="Capacity"/>
    <s v="Low"/>
    <n v="1"/>
    <n v="6"/>
    <n v="5"/>
    <s v="Yes"/>
    <n v="363"/>
    <n v="9530"/>
    <n v="15290"/>
    <n v="0"/>
    <s v="No"/>
    <s v="Major"/>
    <n v="3058"/>
    <n v="1906"/>
    <n v="2024"/>
    <n v="8"/>
    <n v="1"/>
  </r>
  <r>
    <s v="SHP-30860"/>
    <d v="2024-12-25T00:00:00"/>
    <s v="East"/>
    <s v="Kolkata"/>
    <s v="Central Hub"/>
    <s v="Critical"/>
    <s v="Capacity"/>
    <s v="Medium"/>
    <n v="5"/>
    <n v="7"/>
    <n v="2"/>
    <s v="Yes"/>
    <n v="298"/>
    <n v="2352"/>
    <n v="8116"/>
    <n v="0"/>
    <s v="No"/>
    <s v="Minor"/>
    <n v="4058"/>
    <n v="1176"/>
    <n v="2024"/>
    <n v="12"/>
    <n v="1"/>
  </r>
  <r>
    <s v="SHP-30861"/>
    <d v="2024-07-13T00:00:00"/>
    <s v="East"/>
    <s v="Kolkata"/>
    <s v="Local Hub"/>
    <s v="Critical"/>
    <s v="Routing"/>
    <s v="Low"/>
    <n v="1"/>
    <n v="4"/>
    <n v="3"/>
    <s v="Yes"/>
    <n v="377"/>
    <n v="6936"/>
    <n v="11973"/>
    <n v="0"/>
    <s v="No"/>
    <s v="Major"/>
    <n v="3991"/>
    <n v="2312"/>
    <n v="2024"/>
    <n v="7"/>
    <n v="1"/>
  </r>
  <r>
    <s v="SHP-30862"/>
    <d v="2024-06-26T00:00:00"/>
    <s v="West"/>
    <s v="Pune"/>
    <s v="Local Hub"/>
    <s v="Standard"/>
    <s v="Weather"/>
    <s v="Medium"/>
    <n v="3"/>
    <n v="8"/>
    <n v="5"/>
    <s v="Yes"/>
    <n v="315"/>
    <n v="10935"/>
    <n v="9895"/>
    <n v="0"/>
    <s v="No"/>
    <s v="Major"/>
    <n v="1979"/>
    <n v="2187"/>
    <n v="2024"/>
    <n v="6"/>
    <n v="1"/>
  </r>
  <r>
    <s v="SHP-30863"/>
    <d v="2024-07-01T00:00:00"/>
    <s v="West"/>
    <s v="Mumbai"/>
    <s v="Central Hub"/>
    <s v="Standard"/>
    <s v="Documentation"/>
    <s v="Low"/>
    <n v="3"/>
    <n v="8"/>
    <n v="5"/>
    <s v="Yes"/>
    <n v="336"/>
    <n v="4555"/>
    <n v="23970"/>
    <n v="0"/>
    <s v="No"/>
    <s v="Major"/>
    <n v="4794"/>
    <n v="911"/>
    <n v="2024"/>
    <n v="7"/>
    <n v="1"/>
  </r>
  <r>
    <s v="SHP-30864"/>
    <d v="2024-07-22T00:00:00"/>
    <s v="North"/>
    <s v="Noida"/>
    <s v="Regional Hub"/>
    <s v="Critical"/>
    <s v="Capacity"/>
    <s v="Low"/>
    <n v="2"/>
    <n v="8"/>
    <n v="6"/>
    <s v="Yes"/>
    <n v="145"/>
    <n v="8664"/>
    <n v="22536"/>
    <n v="0"/>
    <s v="No"/>
    <s v="Severe"/>
    <n v="3756"/>
    <n v="1444"/>
    <n v="2024"/>
    <n v="7"/>
    <n v="1"/>
  </r>
  <r>
    <s v="SHP-30865"/>
    <d v="2024-11-03T00:00:00"/>
    <s v="West"/>
    <s v="Mumbai"/>
    <s v="Regional Hub"/>
    <s v="Standard"/>
    <s v="Capacity"/>
    <s v="Low"/>
    <n v="3"/>
    <n v="8"/>
    <n v="5"/>
    <s v="Yes"/>
    <n v="192"/>
    <n v="8590"/>
    <n v="15820"/>
    <n v="0"/>
    <s v="No"/>
    <s v="Major"/>
    <n v="3164"/>
    <n v="1718"/>
    <n v="2024"/>
    <n v="11"/>
    <n v="1"/>
  </r>
  <r>
    <s v="SHP-30866"/>
    <d v="2024-08-22T00:00:00"/>
    <s v="West"/>
    <s v="Mumbai"/>
    <s v="Central Hub"/>
    <s v="Critical"/>
    <s v="Routing"/>
    <s v="Medium"/>
    <n v="1"/>
    <n v="6"/>
    <n v="5"/>
    <s v="Yes"/>
    <n v="233"/>
    <n v="4755"/>
    <n v="21360"/>
    <n v="0"/>
    <s v="No"/>
    <s v="Major"/>
    <n v="4272"/>
    <n v="951"/>
    <n v="2024"/>
    <n v="8"/>
    <n v="1"/>
  </r>
  <r>
    <s v="SHP-30867"/>
    <d v="2024-07-18T00:00:00"/>
    <s v="North"/>
    <s v="Noida"/>
    <s v="Central Hub"/>
    <s v="Critical"/>
    <s v="Routing"/>
    <s v="Medium"/>
    <n v="2"/>
    <n v="7"/>
    <n v="5"/>
    <s v="Yes"/>
    <n v="101"/>
    <n v="11180"/>
    <n v="15010"/>
    <n v="0"/>
    <s v="No"/>
    <s v="Major"/>
    <n v="3002"/>
    <n v="2236"/>
    <n v="2024"/>
    <n v="7"/>
    <n v="1"/>
  </r>
  <r>
    <s v="SHP-30868"/>
    <d v="2024-05-21T00:00:00"/>
    <s v="East"/>
    <s v="Kolkata"/>
    <s v="Regional Hub"/>
    <s v="Standard"/>
    <s v="Capacity"/>
    <s v="Medium"/>
    <n v="2"/>
    <n v="3"/>
    <n v="1"/>
    <s v="Yes"/>
    <n v="176"/>
    <n v="2494"/>
    <n v="1782"/>
    <n v="0"/>
    <s v="No"/>
    <s v="Minor"/>
    <n v="1782"/>
    <n v="2494"/>
    <n v="2024"/>
    <n v="5"/>
    <n v="1"/>
  </r>
  <r>
    <s v="SHP-30869"/>
    <d v="2024-03-31T00:00:00"/>
    <s v="West"/>
    <s v="Mumbai"/>
    <s v="Local Hub"/>
    <s v="Express"/>
    <s v="Capacity"/>
    <s v="High"/>
    <n v="1"/>
    <n v="6"/>
    <n v="5"/>
    <s v="Yes"/>
    <n v="106"/>
    <n v="5965"/>
    <n v="20500"/>
    <n v="0"/>
    <s v="No"/>
    <s v="Major"/>
    <n v="4100"/>
    <n v="1193"/>
    <n v="2024"/>
    <n v="3"/>
    <n v="1"/>
  </r>
  <r>
    <s v="SHP-30870"/>
    <d v="2024-05-08T00:00:00"/>
    <s v="West"/>
    <s v="Pune"/>
    <s v="Regional Hub"/>
    <s v="Express"/>
    <s v="Weather"/>
    <s v="Medium"/>
    <n v="5"/>
    <n v="8"/>
    <n v="3"/>
    <s v="Yes"/>
    <n v="275"/>
    <n v="2880"/>
    <n v="12519"/>
    <n v="0"/>
    <s v="No"/>
    <s v="Major"/>
    <n v="4173"/>
    <n v="960"/>
    <n v="2024"/>
    <n v="5"/>
    <n v="1"/>
  </r>
  <r>
    <s v="SHP-30871"/>
    <d v="2024-12-19T00:00:00"/>
    <s v="East"/>
    <s v="Bhubaneswar"/>
    <s v="Local Hub"/>
    <s v="Critical"/>
    <s v="Documentation"/>
    <s v="Low"/>
    <n v="3"/>
    <n v="9"/>
    <n v="6"/>
    <s v="Yes"/>
    <n v="79"/>
    <n v="12666"/>
    <n v="18042"/>
    <n v="0"/>
    <s v="No"/>
    <s v="Severe"/>
    <n v="3007"/>
    <n v="2111"/>
    <n v="2024"/>
    <n v="12"/>
    <n v="1"/>
  </r>
  <r>
    <s v="SHP-30872"/>
    <d v="2024-08-06T00:00:00"/>
    <s v="North"/>
    <s v="Delhi"/>
    <s v="Regional Hub"/>
    <s v="Standard"/>
    <s v="Capacity"/>
    <s v="Medium"/>
    <n v="1"/>
    <n v="2"/>
    <n v="1"/>
    <s v="Yes"/>
    <n v="266"/>
    <n v="1838"/>
    <n v="4404"/>
    <n v="0"/>
    <s v="No"/>
    <s v="Minor"/>
    <n v="4404"/>
    <n v="1838"/>
    <n v="2024"/>
    <n v="8"/>
    <n v="1"/>
  </r>
  <r>
    <s v="SHP-30873"/>
    <d v="2024-08-24T00:00:00"/>
    <s v="South"/>
    <s v="Bengaluru"/>
    <s v="Local Hub"/>
    <s v="Standard"/>
    <s v="Capacity"/>
    <s v="Medium"/>
    <n v="5"/>
    <n v="8"/>
    <n v="3"/>
    <s v="Yes"/>
    <n v="333"/>
    <n v="5841"/>
    <n v="4677"/>
    <n v="0"/>
    <s v="No"/>
    <s v="Major"/>
    <n v="1559"/>
    <n v="1947"/>
    <n v="2024"/>
    <n v="8"/>
    <n v="1"/>
  </r>
  <r>
    <s v="SHP-30874"/>
    <d v="2024-11-29T00:00:00"/>
    <s v="East"/>
    <s v="Kolkata"/>
    <s v="Regional Hub"/>
    <s v="Standard"/>
    <s v="Routing"/>
    <s v="Low"/>
    <n v="2"/>
    <n v="3"/>
    <n v="1"/>
    <s v="Yes"/>
    <n v="149"/>
    <n v="1249"/>
    <n v="2967"/>
    <n v="0"/>
    <s v="No"/>
    <s v="Minor"/>
    <n v="2967"/>
    <n v="1249"/>
    <n v="2024"/>
    <n v="11"/>
    <n v="1"/>
  </r>
  <r>
    <s v="SHP-30875"/>
    <d v="2024-02-12T00:00:00"/>
    <s v="North"/>
    <s v="Noida"/>
    <s v="Regional Hub"/>
    <s v="Express"/>
    <s v="Capacity"/>
    <s v="High"/>
    <n v="3"/>
    <n v="6"/>
    <n v="3"/>
    <s v="Yes"/>
    <n v="394"/>
    <n v="4503"/>
    <n v="9621"/>
    <n v="0"/>
    <s v="No"/>
    <s v="Major"/>
    <n v="3207"/>
    <n v="1501"/>
    <n v="2024"/>
    <n v="2"/>
    <n v="1"/>
  </r>
  <r>
    <s v="SHP-30876"/>
    <d v="2024-04-25T00:00:00"/>
    <s v="South"/>
    <s v="Bengaluru"/>
    <s v="Regional Hub"/>
    <s v="Critical"/>
    <s v="System"/>
    <s v="Medium"/>
    <n v="5"/>
    <n v="10"/>
    <n v="5"/>
    <s v="Yes"/>
    <n v="367"/>
    <n v="6130"/>
    <n v="12890"/>
    <n v="0"/>
    <s v="No"/>
    <s v="Major"/>
    <n v="2578"/>
    <n v="1226"/>
    <n v="2024"/>
    <n v="4"/>
    <n v="1"/>
  </r>
  <r>
    <s v="SHP-30877"/>
    <d v="2024-07-03T00:00:00"/>
    <s v="North"/>
    <s v="Delhi"/>
    <s v="Central Hub"/>
    <s v="Standard"/>
    <s v="System"/>
    <s v="High"/>
    <n v="3"/>
    <n v="8"/>
    <n v="5"/>
    <s v="Yes"/>
    <n v="397"/>
    <n v="11220"/>
    <n v="18035"/>
    <n v="0"/>
    <s v="No"/>
    <s v="Major"/>
    <n v="3607"/>
    <n v="2244"/>
    <n v="2024"/>
    <n v="7"/>
    <n v="1"/>
  </r>
  <r>
    <s v="SHP-30878"/>
    <d v="2024-10-31T00:00:00"/>
    <s v="East"/>
    <s v="Kolkata"/>
    <s v="Central Hub"/>
    <s v="Standard"/>
    <s v="Documentation"/>
    <s v="Medium"/>
    <n v="1"/>
    <n v="1"/>
    <n v="0"/>
    <s v="No"/>
    <n v="423"/>
    <n v="0"/>
    <n v="0"/>
    <n v="1"/>
    <s v="No"/>
    <s v="On Time"/>
    <n v="0"/>
    <n v="0"/>
    <n v="2024"/>
    <n v="10"/>
    <n v="0"/>
  </r>
  <r>
    <s v="SHP-30879"/>
    <d v="2024-01-11T00:00:00"/>
    <s v="South"/>
    <s v="Chennai"/>
    <s v="Regional Hub"/>
    <s v="Standard"/>
    <s v="System"/>
    <s v="Low"/>
    <n v="1"/>
    <n v="1"/>
    <n v="0"/>
    <s v="No"/>
    <n v="324"/>
    <n v="0"/>
    <n v="0"/>
    <n v="1"/>
    <s v="No"/>
    <s v="On Time"/>
    <n v="0"/>
    <n v="0"/>
    <n v="2024"/>
    <n v="1"/>
    <n v="0"/>
  </r>
  <r>
    <s v="SHP-30880"/>
    <d v="2024-09-21T00:00:00"/>
    <s v="North"/>
    <s v="Noida"/>
    <s v="Central Hub"/>
    <s v="Standard"/>
    <s v="Weather"/>
    <s v="Medium"/>
    <n v="2"/>
    <n v="6"/>
    <n v="4"/>
    <s v="Yes"/>
    <n v="199"/>
    <n v="8972"/>
    <n v="6832"/>
    <n v="0"/>
    <s v="No"/>
    <s v="Major"/>
    <n v="1708"/>
    <n v="2243"/>
    <n v="2024"/>
    <n v="9"/>
    <n v="1"/>
  </r>
  <r>
    <s v="SHP-30881"/>
    <d v="2024-05-31T00:00:00"/>
    <s v="South"/>
    <s v="Chennai"/>
    <s v="Local Hub"/>
    <s v="Express"/>
    <s v="Documentation"/>
    <s v="Medium"/>
    <n v="2"/>
    <n v="6"/>
    <n v="4"/>
    <s v="Yes"/>
    <n v="259"/>
    <n v="7860"/>
    <n v="9420"/>
    <n v="0"/>
    <s v="No"/>
    <s v="Major"/>
    <n v="2355"/>
    <n v="1965"/>
    <n v="2024"/>
    <n v="5"/>
    <n v="1"/>
  </r>
  <r>
    <s v="SHP-30882"/>
    <d v="2024-08-07T00:00:00"/>
    <s v="North"/>
    <s v="Noida"/>
    <s v="Central Hub"/>
    <s v="Standard"/>
    <s v="System"/>
    <s v="Low"/>
    <n v="2"/>
    <n v="4"/>
    <n v="2"/>
    <s v="Yes"/>
    <n v="135"/>
    <n v="1794"/>
    <n v="8556"/>
    <n v="0"/>
    <s v="No"/>
    <s v="Minor"/>
    <n v="4278"/>
    <n v="897"/>
    <n v="2024"/>
    <n v="8"/>
    <n v="1"/>
  </r>
  <r>
    <s v="SHP-30883"/>
    <d v="2024-11-23T00:00:00"/>
    <s v="West"/>
    <s v="Pune"/>
    <s v="Local Hub"/>
    <s v="Standard"/>
    <s v="Weather"/>
    <s v="Low"/>
    <n v="2"/>
    <n v="3"/>
    <n v="1"/>
    <s v="Yes"/>
    <n v="121"/>
    <n v="1395"/>
    <n v="1827"/>
    <n v="0"/>
    <s v="No"/>
    <s v="Minor"/>
    <n v="1827"/>
    <n v="1395"/>
    <n v="2024"/>
    <n v="11"/>
    <n v="1"/>
  </r>
  <r>
    <s v="SHP-30884"/>
    <d v="2024-02-14T00:00:00"/>
    <s v="East"/>
    <s v="Kolkata"/>
    <s v="Central Hub"/>
    <s v="Standard"/>
    <s v="Weather"/>
    <s v="High"/>
    <n v="2"/>
    <n v="8"/>
    <n v="6"/>
    <s v="Yes"/>
    <n v="292"/>
    <n v="10266"/>
    <n v="10530"/>
    <n v="0"/>
    <s v="No"/>
    <s v="Severe"/>
    <n v="1755"/>
    <n v="1711"/>
    <n v="2024"/>
    <n v="2"/>
    <n v="1"/>
  </r>
  <r>
    <s v="SHP-30885"/>
    <d v="2024-07-30T00:00:00"/>
    <s v="North"/>
    <s v="Noida"/>
    <s v="Central Hub"/>
    <s v="Standard"/>
    <s v="Capacity"/>
    <s v="Low"/>
    <n v="2"/>
    <n v="2"/>
    <n v="0"/>
    <s v="No"/>
    <n v="240"/>
    <n v="0"/>
    <n v="0"/>
    <n v="1"/>
    <s v="No"/>
    <s v="On Time"/>
    <n v="0"/>
    <n v="0"/>
    <n v="2024"/>
    <n v="7"/>
    <n v="0"/>
  </r>
  <r>
    <s v="SHP-30886"/>
    <d v="2024-02-14T00:00:00"/>
    <s v="West"/>
    <s v="Pune"/>
    <s v="Regional Hub"/>
    <s v="Standard"/>
    <s v="Routing"/>
    <s v="Medium"/>
    <n v="2"/>
    <n v="2"/>
    <n v="0"/>
    <s v="No"/>
    <n v="310"/>
    <n v="0"/>
    <n v="0"/>
    <n v="1"/>
    <s v="No"/>
    <s v="On Time"/>
    <n v="0"/>
    <n v="0"/>
    <n v="2024"/>
    <n v="2"/>
    <n v="0"/>
  </r>
  <r>
    <s v="SHP-30887"/>
    <d v="2024-03-21T00:00:00"/>
    <s v="South"/>
    <s v="Chennai"/>
    <s v="Regional Hub"/>
    <s v="Critical"/>
    <s v="Capacity"/>
    <s v="Medium"/>
    <n v="2"/>
    <n v="7"/>
    <n v="5"/>
    <s v="Yes"/>
    <n v="65"/>
    <n v="5460"/>
    <n v="18820"/>
    <n v="0"/>
    <s v="No"/>
    <s v="Major"/>
    <n v="3764"/>
    <n v="1092"/>
    <n v="2024"/>
    <n v="3"/>
    <n v="1"/>
  </r>
  <r>
    <s v="SHP-30888"/>
    <d v="2024-11-29T00:00:00"/>
    <s v="North"/>
    <s v="Delhi"/>
    <s v="Regional Hub"/>
    <s v="Express"/>
    <s v="Documentation"/>
    <s v="Low"/>
    <n v="1"/>
    <n v="3"/>
    <n v="2"/>
    <s v="Yes"/>
    <n v="431"/>
    <n v="1682"/>
    <n v="3202"/>
    <n v="0"/>
    <s v="No"/>
    <s v="Minor"/>
    <n v="1601"/>
    <n v="841"/>
    <n v="2024"/>
    <n v="11"/>
    <n v="1"/>
  </r>
  <r>
    <s v="SHP-30889"/>
    <d v="2024-09-20T00:00:00"/>
    <s v="West"/>
    <s v="Mumbai"/>
    <s v="Central Hub"/>
    <s v="Express"/>
    <s v="Capacity"/>
    <s v="Medium"/>
    <n v="1"/>
    <n v="4"/>
    <n v="3"/>
    <s v="Yes"/>
    <n v="190"/>
    <n v="5838"/>
    <n v="8190"/>
    <n v="0"/>
    <s v="No"/>
    <s v="Major"/>
    <n v="2730"/>
    <n v="1946"/>
    <n v="2024"/>
    <n v="9"/>
    <n v="1"/>
  </r>
  <r>
    <s v="SHP-30890"/>
    <d v="2024-02-19T00:00:00"/>
    <s v="West"/>
    <s v="Pune"/>
    <s v="Local Hub"/>
    <s v="Standard"/>
    <s v="Capacity"/>
    <s v="Low"/>
    <n v="1"/>
    <n v="4"/>
    <n v="3"/>
    <s v="Yes"/>
    <n v="406"/>
    <n v="4818"/>
    <n v="6630"/>
    <n v="0"/>
    <s v="No"/>
    <s v="Major"/>
    <n v="2210"/>
    <n v="1606"/>
    <n v="2024"/>
    <n v="2"/>
    <n v="1"/>
  </r>
  <r>
    <s v="SHP-30891"/>
    <d v="2024-02-22T00:00:00"/>
    <s v="West"/>
    <s v="Mumbai"/>
    <s v="Central Hub"/>
    <s v="Standard"/>
    <s v="Weather"/>
    <s v="Medium"/>
    <n v="2"/>
    <n v="4"/>
    <n v="2"/>
    <s v="Yes"/>
    <n v="115"/>
    <n v="4892"/>
    <n v="3502"/>
    <n v="0"/>
    <s v="No"/>
    <s v="Minor"/>
    <n v="1751"/>
    <n v="2446"/>
    <n v="2024"/>
    <n v="2"/>
    <n v="1"/>
  </r>
  <r>
    <s v="SHP-30892"/>
    <d v="2024-05-18T00:00:00"/>
    <s v="East"/>
    <s v="Bhubaneswar"/>
    <s v="Local Hub"/>
    <s v="Express"/>
    <s v="Weather"/>
    <s v="Low"/>
    <n v="1"/>
    <n v="2"/>
    <n v="1"/>
    <s v="Yes"/>
    <n v="265"/>
    <n v="2243"/>
    <n v="3007"/>
    <n v="0"/>
    <s v="No"/>
    <s v="Minor"/>
    <n v="3007"/>
    <n v="2243"/>
    <n v="2024"/>
    <n v="5"/>
    <n v="1"/>
  </r>
  <r>
    <s v="SHP-30893"/>
    <d v="2024-08-12T00:00:00"/>
    <s v="North"/>
    <s v="Noida"/>
    <s v="Local Hub"/>
    <s v="Standard"/>
    <s v="Capacity"/>
    <s v="Low"/>
    <n v="2"/>
    <n v="6"/>
    <n v="4"/>
    <s v="Yes"/>
    <n v="54"/>
    <n v="9256"/>
    <n v="7984"/>
    <n v="0"/>
    <s v="No"/>
    <s v="Major"/>
    <n v="1996"/>
    <n v="2314"/>
    <n v="2024"/>
    <n v="8"/>
    <n v="1"/>
  </r>
  <r>
    <s v="SHP-30894"/>
    <d v="2024-09-26T00:00:00"/>
    <s v="South"/>
    <s v="Bengaluru"/>
    <s v="Local Hub"/>
    <s v="Express"/>
    <s v="Documentation"/>
    <s v="Medium"/>
    <n v="1"/>
    <n v="3"/>
    <n v="2"/>
    <s v="Yes"/>
    <n v="234"/>
    <n v="3176"/>
    <n v="3172"/>
    <n v="0"/>
    <s v="No"/>
    <s v="Minor"/>
    <n v="1586"/>
    <n v="1588"/>
    <n v="2024"/>
    <n v="9"/>
    <n v="1"/>
  </r>
  <r>
    <s v="SHP-30895"/>
    <d v="2024-02-07T00:00:00"/>
    <s v="South"/>
    <s v="Bengaluru"/>
    <s v="Regional Hub"/>
    <s v="Standard"/>
    <s v="Routing"/>
    <s v="Medium"/>
    <n v="3"/>
    <n v="6"/>
    <n v="3"/>
    <s v="Yes"/>
    <n v="477"/>
    <n v="3891"/>
    <n v="13755"/>
    <n v="0"/>
    <s v="No"/>
    <s v="Major"/>
    <n v="4585"/>
    <n v="1297"/>
    <n v="2024"/>
    <n v="2"/>
    <n v="1"/>
  </r>
  <r>
    <s v="SHP-30896"/>
    <d v="2024-07-16T00:00:00"/>
    <s v="West"/>
    <s v="Mumbai"/>
    <s v="Regional Hub"/>
    <s v="Standard"/>
    <s v="Routing"/>
    <s v="Medium"/>
    <n v="3"/>
    <n v="3"/>
    <n v="0"/>
    <s v="No"/>
    <n v="453"/>
    <n v="0"/>
    <n v="0"/>
    <n v="1"/>
    <s v="No"/>
    <s v="On Time"/>
    <n v="0"/>
    <n v="0"/>
    <n v="2024"/>
    <n v="7"/>
    <n v="0"/>
  </r>
  <r>
    <s v="SHP-30897"/>
    <d v="2024-04-02T00:00:00"/>
    <s v="West"/>
    <s v="Mumbai"/>
    <s v="Regional Hub"/>
    <s v="Express"/>
    <s v="Capacity"/>
    <s v="Low"/>
    <n v="1"/>
    <n v="5"/>
    <n v="4"/>
    <s v="Yes"/>
    <n v="223"/>
    <n v="3608"/>
    <n v="16800"/>
    <n v="0"/>
    <s v="No"/>
    <s v="Major"/>
    <n v="4200"/>
    <n v="902"/>
    <n v="2024"/>
    <n v="4"/>
    <n v="1"/>
  </r>
  <r>
    <s v="SHP-30898"/>
    <d v="2024-11-15T00:00:00"/>
    <s v="North"/>
    <s v="Delhi"/>
    <s v="Local Hub"/>
    <s v="Standard"/>
    <s v="Capacity"/>
    <s v="Low"/>
    <n v="2"/>
    <n v="4"/>
    <n v="2"/>
    <s v="Yes"/>
    <n v="194"/>
    <n v="4402"/>
    <n v="3808"/>
    <n v="0"/>
    <s v="No"/>
    <s v="Minor"/>
    <n v="1904"/>
    <n v="2201"/>
    <n v="2024"/>
    <n v="11"/>
    <n v="1"/>
  </r>
  <r>
    <s v="SHP-30899"/>
    <d v="2024-04-19T00:00:00"/>
    <s v="North"/>
    <s v="Delhi"/>
    <s v="Local Hub"/>
    <s v="Standard"/>
    <s v="Weather"/>
    <s v="Low"/>
    <n v="1"/>
    <n v="1"/>
    <n v="0"/>
    <s v="No"/>
    <n v="103"/>
    <n v="0"/>
    <n v="0"/>
    <n v="1"/>
    <s v="No"/>
    <s v="On Time"/>
    <n v="0"/>
    <n v="0"/>
    <n v="2024"/>
    <n v="4"/>
    <n v="0"/>
  </r>
  <r>
    <s v="SHP-30900"/>
    <d v="2024-09-06T00:00:00"/>
    <s v="South"/>
    <s v="Chennai"/>
    <s v="Local Hub"/>
    <s v="Express"/>
    <s v="System"/>
    <s v="Medium"/>
    <n v="1"/>
    <n v="2"/>
    <n v="1"/>
    <s v="Yes"/>
    <n v="280"/>
    <n v="842"/>
    <n v="4966"/>
    <n v="0"/>
    <s v="No"/>
    <s v="Minor"/>
    <n v="4966"/>
    <n v="842"/>
    <n v="2024"/>
    <n v="9"/>
    <n v="1"/>
  </r>
  <r>
    <s v="SHP-30901"/>
    <d v="2024-06-15T00:00:00"/>
    <s v="South"/>
    <s v="Bengaluru"/>
    <s v="Central Hub"/>
    <s v="Critical"/>
    <s v="Routing"/>
    <s v="High"/>
    <n v="1"/>
    <n v="5"/>
    <n v="4"/>
    <s v="Yes"/>
    <n v="361"/>
    <n v="8688"/>
    <n v="12560"/>
    <n v="0"/>
    <s v="No"/>
    <s v="Major"/>
    <n v="3140"/>
    <n v="2172"/>
    <n v="2024"/>
    <n v="6"/>
    <n v="1"/>
  </r>
  <r>
    <s v="SHP-30902"/>
    <d v="2024-07-15T00:00:00"/>
    <s v="North"/>
    <s v="Delhi"/>
    <s v="Regional Hub"/>
    <s v="Critical"/>
    <s v="Weather"/>
    <s v="High"/>
    <n v="5"/>
    <n v="11"/>
    <n v="6"/>
    <s v="Yes"/>
    <n v="268"/>
    <n v="13062"/>
    <n v="11364"/>
    <n v="0"/>
    <s v="No"/>
    <s v="Severe"/>
    <n v="1894"/>
    <n v="2177"/>
    <n v="2024"/>
    <n v="7"/>
    <n v="1"/>
  </r>
  <r>
    <s v="SHP-30903"/>
    <d v="2024-02-13T00:00:00"/>
    <s v="West"/>
    <s v="Mumbai"/>
    <s v="Central Hub"/>
    <s v="Express"/>
    <s v="Routing"/>
    <s v="Low"/>
    <n v="1"/>
    <n v="2"/>
    <n v="1"/>
    <s v="Yes"/>
    <n v="448"/>
    <n v="1426"/>
    <n v="4585"/>
    <n v="0"/>
    <s v="No"/>
    <s v="Minor"/>
    <n v="4585"/>
    <n v="1426"/>
    <n v="2024"/>
    <n v="2"/>
    <n v="1"/>
  </r>
  <r>
    <s v="SHP-30904"/>
    <d v="2024-03-30T00:00:00"/>
    <s v="West"/>
    <s v="Mumbai"/>
    <s v="Central Hub"/>
    <s v="Standard"/>
    <s v="Weather"/>
    <s v="High"/>
    <n v="2"/>
    <n v="7"/>
    <n v="5"/>
    <s v="Yes"/>
    <n v="298"/>
    <n v="11790"/>
    <n v="9195"/>
    <n v="0"/>
    <s v="No"/>
    <s v="Major"/>
    <n v="1839"/>
    <n v="2358"/>
    <n v="2024"/>
    <n v="3"/>
    <n v="1"/>
  </r>
  <r>
    <s v="SHP-30905"/>
    <d v="2024-07-25T00:00:00"/>
    <s v="South"/>
    <s v="Bengaluru"/>
    <s v="Regional Hub"/>
    <s v="Express"/>
    <s v="Weather"/>
    <s v="High"/>
    <n v="3"/>
    <n v="8"/>
    <n v="5"/>
    <s v="Yes"/>
    <n v="448"/>
    <n v="11475"/>
    <n v="16735"/>
    <n v="0"/>
    <s v="No"/>
    <s v="Major"/>
    <n v="3347"/>
    <n v="2295"/>
    <n v="2024"/>
    <n v="7"/>
    <n v="1"/>
  </r>
  <r>
    <s v="SHP-30906"/>
    <d v="2024-03-20T00:00:00"/>
    <s v="North"/>
    <s v="Noida"/>
    <s v="Regional Hub"/>
    <s v="Express"/>
    <s v="Documentation"/>
    <s v="Medium"/>
    <n v="2"/>
    <n v="5"/>
    <n v="3"/>
    <s v="Yes"/>
    <n v="269"/>
    <n v="7341"/>
    <n v="5967"/>
    <n v="0"/>
    <s v="No"/>
    <s v="Major"/>
    <n v="1989"/>
    <n v="2447"/>
    <n v="2024"/>
    <n v="3"/>
    <n v="1"/>
  </r>
  <r>
    <s v="SHP-30907"/>
    <d v="2024-01-04T00:00:00"/>
    <s v="North"/>
    <s v="Delhi"/>
    <s v="Regional Hub"/>
    <s v="Critical"/>
    <s v="Weather"/>
    <s v="Low"/>
    <n v="1"/>
    <n v="6"/>
    <n v="5"/>
    <s v="Yes"/>
    <n v="157"/>
    <n v="12275"/>
    <n v="11625"/>
    <n v="0"/>
    <s v="No"/>
    <s v="Major"/>
    <n v="2325"/>
    <n v="2455"/>
    <n v="2024"/>
    <n v="1"/>
    <n v="1"/>
  </r>
  <r>
    <s v="SHP-30908"/>
    <d v="2024-07-08T00:00:00"/>
    <s v="North"/>
    <s v="Delhi"/>
    <s v="Central Hub"/>
    <s v="Express"/>
    <s v="Weather"/>
    <s v="Medium"/>
    <n v="2"/>
    <n v="3"/>
    <n v="1"/>
    <s v="Yes"/>
    <n v="268"/>
    <n v="1627"/>
    <n v="1836"/>
    <n v="0"/>
    <s v="No"/>
    <s v="Minor"/>
    <n v="1836"/>
    <n v="1627"/>
    <n v="2024"/>
    <n v="7"/>
    <n v="1"/>
  </r>
  <r>
    <s v="SHP-30909"/>
    <d v="2024-01-02T00:00:00"/>
    <s v="West"/>
    <s v="Mumbai"/>
    <s v="Local Hub"/>
    <s v="Express"/>
    <s v="Routing"/>
    <s v="High"/>
    <n v="3"/>
    <n v="9"/>
    <n v="6"/>
    <s v="Yes"/>
    <n v="208"/>
    <n v="9408"/>
    <n v="21666"/>
    <n v="0"/>
    <s v="No"/>
    <s v="Severe"/>
    <n v="3611"/>
    <n v="1568"/>
    <n v="2024"/>
    <n v="1"/>
    <n v="1"/>
  </r>
  <r>
    <s v="SHP-30910"/>
    <d v="2024-10-18T00:00:00"/>
    <s v="North"/>
    <s v="Noida"/>
    <s v="Local Hub"/>
    <s v="Standard"/>
    <s v="Routing"/>
    <s v="Medium"/>
    <n v="1"/>
    <n v="3"/>
    <n v="2"/>
    <s v="Yes"/>
    <n v="111"/>
    <n v="1722"/>
    <n v="4648"/>
    <n v="0"/>
    <s v="No"/>
    <s v="Minor"/>
    <n v="2324"/>
    <n v="861"/>
    <n v="2024"/>
    <n v="10"/>
    <n v="1"/>
  </r>
  <r>
    <s v="SHP-30911"/>
    <d v="2024-07-08T00:00:00"/>
    <s v="West"/>
    <s v="Pune"/>
    <s v="Regional Hub"/>
    <s v="Standard"/>
    <s v="Weather"/>
    <s v="Low"/>
    <n v="2"/>
    <n v="4"/>
    <n v="2"/>
    <s v="Yes"/>
    <n v="362"/>
    <n v="2162"/>
    <n v="7242"/>
    <n v="0"/>
    <s v="No"/>
    <s v="Minor"/>
    <n v="3621"/>
    <n v="1081"/>
    <n v="2024"/>
    <n v="7"/>
    <n v="1"/>
  </r>
  <r>
    <s v="SHP-30912"/>
    <d v="2024-10-08T00:00:00"/>
    <s v="South"/>
    <s v="Chennai"/>
    <s v="Regional Hub"/>
    <s v="Standard"/>
    <s v="Weather"/>
    <s v="High"/>
    <n v="2"/>
    <n v="7"/>
    <n v="5"/>
    <s v="Yes"/>
    <n v="334"/>
    <n v="7640"/>
    <n v="9170"/>
    <n v="0"/>
    <s v="No"/>
    <s v="Major"/>
    <n v="1834"/>
    <n v="1528"/>
    <n v="2024"/>
    <n v="10"/>
    <n v="1"/>
  </r>
  <r>
    <s v="SHP-30913"/>
    <d v="2024-07-25T00:00:00"/>
    <s v="East"/>
    <s v="Kolkata"/>
    <s v="Local Hub"/>
    <s v="Express"/>
    <s v="Documentation"/>
    <s v="Low"/>
    <n v="1"/>
    <n v="3"/>
    <n v="2"/>
    <s v="Yes"/>
    <n v="221"/>
    <n v="3142"/>
    <n v="9766"/>
    <n v="0"/>
    <s v="No"/>
    <s v="Minor"/>
    <n v="4883"/>
    <n v="1571"/>
    <n v="2024"/>
    <n v="7"/>
    <n v="1"/>
  </r>
  <r>
    <s v="SHP-30914"/>
    <d v="2024-03-26T00:00:00"/>
    <s v="North"/>
    <s v="Delhi"/>
    <s v="Regional Hub"/>
    <s v="Critical"/>
    <s v="Weather"/>
    <s v="Medium"/>
    <n v="3"/>
    <n v="6"/>
    <n v="3"/>
    <s v="Yes"/>
    <n v="94"/>
    <n v="6510"/>
    <n v="8874"/>
    <n v="0"/>
    <s v="No"/>
    <s v="Major"/>
    <n v="2958"/>
    <n v="2170"/>
    <n v="2024"/>
    <n v="3"/>
    <n v="1"/>
  </r>
  <r>
    <s v="SHP-30915"/>
    <d v="2024-06-21T00:00:00"/>
    <s v="North"/>
    <s v="Noida"/>
    <s v="Local Hub"/>
    <s v="Standard"/>
    <s v="System"/>
    <s v="High"/>
    <n v="5"/>
    <n v="9"/>
    <n v="4"/>
    <s v="Yes"/>
    <n v="110"/>
    <n v="5520"/>
    <n v="7044"/>
    <n v="0"/>
    <s v="No"/>
    <s v="Major"/>
    <n v="1761"/>
    <n v="1380"/>
    <n v="2024"/>
    <n v="6"/>
    <n v="1"/>
  </r>
  <r>
    <s v="SHP-30916"/>
    <d v="2024-02-06T00:00:00"/>
    <s v="South"/>
    <s v="Chennai"/>
    <s v="Local Hub"/>
    <s v="Standard"/>
    <s v="Routing"/>
    <s v="Medium"/>
    <n v="2"/>
    <n v="2"/>
    <n v="0"/>
    <s v="No"/>
    <n v="417"/>
    <n v="0"/>
    <n v="0"/>
    <n v="1"/>
    <s v="No"/>
    <s v="On Time"/>
    <n v="0"/>
    <n v="0"/>
    <n v="2024"/>
    <n v="2"/>
    <n v="0"/>
  </r>
  <r>
    <s v="SHP-30917"/>
    <d v="2024-01-03T00:00:00"/>
    <s v="South"/>
    <s v="Chennai"/>
    <s v="Local Hub"/>
    <s v="Express"/>
    <s v="System"/>
    <s v="Medium"/>
    <n v="1"/>
    <n v="5"/>
    <n v="4"/>
    <s v="Yes"/>
    <n v="259"/>
    <n v="9056"/>
    <n v="19088"/>
    <n v="0"/>
    <s v="No"/>
    <s v="Major"/>
    <n v="4772"/>
    <n v="2264"/>
    <n v="2024"/>
    <n v="1"/>
    <n v="1"/>
  </r>
  <r>
    <s v="SHP-30918"/>
    <d v="2024-10-15T00:00:00"/>
    <s v="East"/>
    <s v="Kolkata"/>
    <s v="Central Hub"/>
    <s v="Standard"/>
    <s v="Capacity"/>
    <s v="Low"/>
    <n v="2"/>
    <n v="4"/>
    <n v="2"/>
    <s v="Yes"/>
    <n v="177"/>
    <n v="3838"/>
    <n v="3808"/>
    <n v="0"/>
    <s v="No"/>
    <s v="Minor"/>
    <n v="1904"/>
    <n v="1919"/>
    <n v="2024"/>
    <n v="10"/>
    <n v="1"/>
  </r>
  <r>
    <s v="SHP-30919"/>
    <d v="2024-09-22T00:00:00"/>
    <s v="West"/>
    <s v="Pune"/>
    <s v="Local Hub"/>
    <s v="Standard"/>
    <s v="Routing"/>
    <s v="Low"/>
    <n v="3"/>
    <n v="4"/>
    <n v="1"/>
    <s v="Yes"/>
    <n v="291"/>
    <n v="1869"/>
    <n v="3531"/>
    <n v="0"/>
    <s v="No"/>
    <s v="Minor"/>
    <n v="3531"/>
    <n v="1869"/>
    <n v="2024"/>
    <n v="9"/>
    <n v="1"/>
  </r>
  <r>
    <s v="SHP-30920"/>
    <d v="2024-06-01T00:00:00"/>
    <s v="East"/>
    <s v="Bhubaneswar"/>
    <s v="Local Hub"/>
    <s v="Standard"/>
    <s v="System"/>
    <s v="Low"/>
    <n v="2"/>
    <n v="4"/>
    <n v="2"/>
    <s v="Yes"/>
    <n v="306"/>
    <n v="2826"/>
    <n v="4144"/>
    <n v="0"/>
    <s v="No"/>
    <s v="Minor"/>
    <n v="2072"/>
    <n v="1413"/>
    <n v="2024"/>
    <n v="6"/>
    <n v="1"/>
  </r>
  <r>
    <s v="SHP-30921"/>
    <d v="2024-12-16T00:00:00"/>
    <s v="South"/>
    <s v="Chennai"/>
    <s v="Regional Hub"/>
    <s v="Express"/>
    <s v="Weather"/>
    <s v="Low"/>
    <n v="2"/>
    <n v="7"/>
    <n v="5"/>
    <s v="Yes"/>
    <n v="67"/>
    <n v="7750"/>
    <n v="11895"/>
    <n v="0"/>
    <s v="No"/>
    <s v="Major"/>
    <n v="2379"/>
    <n v="1550"/>
    <n v="2024"/>
    <n v="12"/>
    <n v="1"/>
  </r>
  <r>
    <s v="SHP-30922"/>
    <d v="2024-04-16T00:00:00"/>
    <s v="North"/>
    <s v="Noida"/>
    <s v="Regional Hub"/>
    <s v="Standard"/>
    <s v="System"/>
    <s v="High"/>
    <n v="2"/>
    <n v="6"/>
    <n v="4"/>
    <s v="Yes"/>
    <n v="280"/>
    <n v="9012"/>
    <n v="9184"/>
    <n v="0"/>
    <s v="No"/>
    <s v="Major"/>
    <n v="2296"/>
    <n v="2253"/>
    <n v="2024"/>
    <n v="4"/>
    <n v="1"/>
  </r>
  <r>
    <s v="SHP-30923"/>
    <d v="2024-09-20T00:00:00"/>
    <s v="East"/>
    <s v="Bhubaneswar"/>
    <s v="Central Hub"/>
    <s v="Critical"/>
    <s v="Capacity"/>
    <s v="Medium"/>
    <n v="1"/>
    <n v="8"/>
    <n v="7"/>
    <s v="Yes"/>
    <n v="438"/>
    <n v="15379"/>
    <n v="28910"/>
    <n v="0"/>
    <s v="No"/>
    <s v="Severe"/>
    <n v="4130"/>
    <n v="2197"/>
    <n v="2024"/>
    <n v="9"/>
    <n v="1"/>
  </r>
  <r>
    <s v="SHP-30924"/>
    <d v="2024-08-01T00:00:00"/>
    <s v="North"/>
    <s v="Noida"/>
    <s v="Local Hub"/>
    <s v="Express"/>
    <s v="System"/>
    <s v="High"/>
    <n v="1"/>
    <n v="7"/>
    <n v="6"/>
    <s v="Yes"/>
    <n v="499"/>
    <n v="11904"/>
    <n v="14688"/>
    <n v="0"/>
    <s v="No"/>
    <s v="Severe"/>
    <n v="2448"/>
    <n v="1984"/>
    <n v="2024"/>
    <n v="8"/>
    <n v="1"/>
  </r>
  <r>
    <s v="SHP-30925"/>
    <d v="2024-03-27T00:00:00"/>
    <s v="East"/>
    <s v="Kolkata"/>
    <s v="Local Hub"/>
    <s v="Standard"/>
    <s v="Weather"/>
    <s v="Low"/>
    <n v="3"/>
    <n v="6"/>
    <n v="3"/>
    <s v="Yes"/>
    <n v="413"/>
    <n v="5691"/>
    <n v="5784"/>
    <n v="0"/>
    <s v="No"/>
    <s v="Major"/>
    <n v="1928"/>
    <n v="1897"/>
    <n v="2024"/>
    <n v="3"/>
    <n v="1"/>
  </r>
  <r>
    <s v="SHP-30926"/>
    <d v="2024-02-18T00:00:00"/>
    <s v="South"/>
    <s v="Bengaluru"/>
    <s v="Regional Hub"/>
    <s v="Standard"/>
    <s v="Capacity"/>
    <s v="Low"/>
    <n v="1"/>
    <n v="4"/>
    <n v="3"/>
    <s v="Yes"/>
    <n v="414"/>
    <n v="6330"/>
    <n v="4821"/>
    <n v="0"/>
    <s v="No"/>
    <s v="Major"/>
    <n v="1607"/>
    <n v="2110"/>
    <n v="2024"/>
    <n v="2"/>
    <n v="1"/>
  </r>
  <r>
    <s v="SHP-30927"/>
    <d v="2024-01-08T00:00:00"/>
    <s v="South"/>
    <s v="Chennai"/>
    <s v="Regional Hub"/>
    <s v="Express"/>
    <s v="Documentation"/>
    <s v="Low"/>
    <n v="2"/>
    <n v="7"/>
    <n v="5"/>
    <s v="Yes"/>
    <n v="97"/>
    <n v="5005"/>
    <n v="11510"/>
    <n v="0"/>
    <s v="No"/>
    <s v="Major"/>
    <n v="2302"/>
    <n v="1001"/>
    <n v="2024"/>
    <n v="1"/>
    <n v="1"/>
  </r>
  <r>
    <s v="SHP-30928"/>
    <d v="2024-06-08T00:00:00"/>
    <s v="East"/>
    <s v="Bhubaneswar"/>
    <s v="Regional Hub"/>
    <s v="Critical"/>
    <s v="Routing"/>
    <s v="Medium"/>
    <n v="3"/>
    <n v="10"/>
    <n v="7"/>
    <s v="Yes"/>
    <n v="93"/>
    <n v="7434"/>
    <n v="26488"/>
    <n v="0"/>
    <s v="No"/>
    <s v="Severe"/>
    <n v="3784"/>
    <n v="1062"/>
    <n v="2024"/>
    <n v="6"/>
    <n v="1"/>
  </r>
  <r>
    <s v="SHP-30929"/>
    <d v="2024-01-01T00:00:00"/>
    <s v="South"/>
    <s v="Bengaluru"/>
    <s v="Central Hub"/>
    <s v="Express"/>
    <s v="Documentation"/>
    <s v="High"/>
    <n v="1"/>
    <n v="6"/>
    <n v="5"/>
    <s v="Yes"/>
    <n v="299"/>
    <n v="11990"/>
    <n v="9715"/>
    <n v="0"/>
    <s v="No"/>
    <s v="Major"/>
    <n v="1943"/>
    <n v="2398"/>
    <n v="2024"/>
    <n v="1"/>
    <n v="1"/>
  </r>
  <r>
    <s v="SHP-30930"/>
    <d v="2024-10-08T00:00:00"/>
    <s v="West"/>
    <s v="Mumbai"/>
    <s v="Regional Hub"/>
    <s v="Critical"/>
    <s v="Routing"/>
    <s v="Low"/>
    <n v="1"/>
    <n v="7"/>
    <n v="6"/>
    <s v="Yes"/>
    <n v="97"/>
    <n v="12828"/>
    <n v="22662"/>
    <n v="0"/>
    <s v="No"/>
    <s v="Severe"/>
    <n v="3777"/>
    <n v="2138"/>
    <n v="2024"/>
    <n v="10"/>
    <n v="1"/>
  </r>
  <r>
    <s v="SHP-30931"/>
    <d v="2024-02-17T00:00:00"/>
    <s v="West"/>
    <s v="Pune"/>
    <s v="Regional Hub"/>
    <s v="Critical"/>
    <s v="Capacity"/>
    <s v="High"/>
    <n v="2"/>
    <n v="12"/>
    <n v="10"/>
    <s v="Yes"/>
    <n v="136"/>
    <n v="12070"/>
    <n v="27610"/>
    <n v="0"/>
    <s v="No"/>
    <s v="Severe"/>
    <n v="2761"/>
    <n v="1207"/>
    <n v="2024"/>
    <n v="2"/>
    <n v="1"/>
  </r>
  <r>
    <s v="SHP-30932"/>
    <d v="2024-07-04T00:00:00"/>
    <s v="South"/>
    <s v="Bengaluru"/>
    <s v="Regional Hub"/>
    <s v="Express"/>
    <s v="System"/>
    <s v="High"/>
    <n v="2"/>
    <n v="7"/>
    <n v="5"/>
    <s v="Yes"/>
    <n v="130"/>
    <n v="5730"/>
    <n v="22105"/>
    <n v="0"/>
    <s v="No"/>
    <s v="Major"/>
    <n v="4421"/>
    <n v="1146"/>
    <n v="2024"/>
    <n v="7"/>
    <n v="1"/>
  </r>
  <r>
    <s v="SHP-30933"/>
    <d v="2024-06-15T00:00:00"/>
    <s v="East"/>
    <s v="Kolkata"/>
    <s v="Regional Hub"/>
    <s v="Express"/>
    <s v="Capacity"/>
    <s v="Medium"/>
    <n v="2"/>
    <n v="2"/>
    <n v="0"/>
    <s v="No"/>
    <n v="393"/>
    <n v="0"/>
    <n v="0"/>
    <n v="1"/>
    <s v="No"/>
    <s v="On Time"/>
    <n v="0"/>
    <n v="0"/>
    <n v="2024"/>
    <n v="6"/>
    <n v="0"/>
  </r>
  <r>
    <s v="SHP-30934"/>
    <d v="2024-09-23T00:00:00"/>
    <s v="North"/>
    <s v="Delhi"/>
    <s v="Regional Hub"/>
    <s v="Express"/>
    <s v="Weather"/>
    <s v="Low"/>
    <n v="3"/>
    <n v="5"/>
    <n v="2"/>
    <s v="Yes"/>
    <n v="326"/>
    <n v="4988"/>
    <n v="6464"/>
    <n v="0"/>
    <s v="No"/>
    <s v="Minor"/>
    <n v="3232"/>
    <n v="2494"/>
    <n v="2024"/>
    <n v="9"/>
    <n v="1"/>
  </r>
  <r>
    <s v="SHP-30935"/>
    <d v="2024-05-02T00:00:00"/>
    <s v="West"/>
    <s v="Pune"/>
    <s v="Local Hub"/>
    <s v="Standard"/>
    <s v="Weather"/>
    <s v="Medium"/>
    <n v="2"/>
    <n v="2"/>
    <n v="0"/>
    <s v="No"/>
    <n v="264"/>
    <n v="0"/>
    <n v="0"/>
    <n v="1"/>
    <s v="No"/>
    <s v="On Time"/>
    <n v="0"/>
    <n v="0"/>
    <n v="2024"/>
    <n v="5"/>
    <n v="0"/>
  </r>
  <r>
    <s v="SHP-30936"/>
    <d v="2024-01-16T00:00:00"/>
    <s v="North"/>
    <s v="Noida"/>
    <s v="Regional Hub"/>
    <s v="Standard"/>
    <s v="Capacity"/>
    <s v="Low"/>
    <n v="5"/>
    <n v="5"/>
    <n v="0"/>
    <s v="No"/>
    <n v="353"/>
    <n v="0"/>
    <n v="0"/>
    <n v="1"/>
    <s v="No"/>
    <s v="On Time"/>
    <n v="0"/>
    <n v="0"/>
    <n v="2024"/>
    <n v="1"/>
    <n v="0"/>
  </r>
  <r>
    <s v="SHP-30937"/>
    <d v="2024-05-31T00:00:00"/>
    <s v="South"/>
    <s v="Bengaluru"/>
    <s v="Central Hub"/>
    <s v="Express"/>
    <s v="System"/>
    <s v="High"/>
    <n v="3"/>
    <n v="6"/>
    <n v="3"/>
    <s v="Yes"/>
    <n v="215"/>
    <n v="5691"/>
    <n v="11211"/>
    <n v="0"/>
    <s v="No"/>
    <s v="Major"/>
    <n v="3737"/>
    <n v="1897"/>
    <n v="2024"/>
    <n v="5"/>
    <n v="1"/>
  </r>
  <r>
    <s v="SHP-30938"/>
    <d v="2024-03-27T00:00:00"/>
    <s v="South"/>
    <s v="Chennai"/>
    <s v="Central Hub"/>
    <s v="Critical"/>
    <s v="Routing"/>
    <s v="Medium"/>
    <n v="1"/>
    <n v="6"/>
    <n v="5"/>
    <s v="Yes"/>
    <n v="304"/>
    <n v="6025"/>
    <n v="11215"/>
    <n v="0"/>
    <s v="No"/>
    <s v="Major"/>
    <n v="2243"/>
    <n v="1205"/>
    <n v="2024"/>
    <n v="3"/>
    <n v="1"/>
  </r>
  <r>
    <s v="SHP-30939"/>
    <d v="2024-06-14T00:00:00"/>
    <s v="West"/>
    <s v="Mumbai"/>
    <s v="Regional Hub"/>
    <s v="Critical"/>
    <s v="Documentation"/>
    <s v="Low"/>
    <n v="5"/>
    <n v="7"/>
    <n v="2"/>
    <s v="Yes"/>
    <n v="349"/>
    <n v="4208"/>
    <n v="9974"/>
    <n v="0"/>
    <s v="No"/>
    <s v="Minor"/>
    <n v="4987"/>
    <n v="2104"/>
    <n v="2024"/>
    <n v="6"/>
    <n v="1"/>
  </r>
  <r>
    <s v="SHP-30940"/>
    <d v="2024-11-30T00:00:00"/>
    <s v="East"/>
    <s v="Kolkata"/>
    <s v="Regional Hub"/>
    <s v="Express"/>
    <s v="Documentation"/>
    <s v="Low"/>
    <n v="5"/>
    <n v="9"/>
    <n v="4"/>
    <s v="Yes"/>
    <n v="327"/>
    <n v="9776"/>
    <n v="15388"/>
    <n v="0"/>
    <s v="No"/>
    <s v="Major"/>
    <n v="3847"/>
    <n v="2444"/>
    <n v="2024"/>
    <n v="11"/>
    <n v="1"/>
  </r>
  <r>
    <s v="SHP-30941"/>
    <d v="2024-06-17T00:00:00"/>
    <s v="West"/>
    <s v="Mumbai"/>
    <s v="Local Hub"/>
    <s v="Standard"/>
    <s v="Weather"/>
    <s v="Low"/>
    <n v="2"/>
    <n v="3"/>
    <n v="1"/>
    <s v="Yes"/>
    <n v="269"/>
    <n v="1546"/>
    <n v="2098"/>
    <n v="0"/>
    <s v="No"/>
    <s v="Minor"/>
    <n v="2098"/>
    <n v="1546"/>
    <n v="2024"/>
    <n v="6"/>
    <n v="1"/>
  </r>
  <r>
    <s v="SHP-30942"/>
    <d v="2024-11-23T00:00:00"/>
    <s v="South"/>
    <s v="Chennai"/>
    <s v="Regional Hub"/>
    <s v="Express"/>
    <s v="Routing"/>
    <s v="Low"/>
    <n v="5"/>
    <n v="5"/>
    <n v="0"/>
    <s v="No"/>
    <n v="430"/>
    <n v="0"/>
    <n v="0"/>
    <n v="1"/>
    <s v="No"/>
    <s v="On Time"/>
    <n v="0"/>
    <n v="0"/>
    <n v="2024"/>
    <n v="11"/>
    <n v="0"/>
  </r>
  <r>
    <s v="SHP-30943"/>
    <d v="2024-02-15T00:00:00"/>
    <s v="West"/>
    <s v="Mumbai"/>
    <s v="Regional Hub"/>
    <s v="Standard"/>
    <s v="Weather"/>
    <s v="Low"/>
    <n v="3"/>
    <n v="6"/>
    <n v="3"/>
    <s v="Yes"/>
    <n v="479"/>
    <n v="3309"/>
    <n v="9678"/>
    <n v="0"/>
    <s v="No"/>
    <s v="Major"/>
    <n v="3226"/>
    <n v="1103"/>
    <n v="2024"/>
    <n v="2"/>
    <n v="1"/>
  </r>
  <r>
    <s v="SHP-30944"/>
    <d v="2024-11-14T00:00:00"/>
    <s v="South"/>
    <s v="Bengaluru"/>
    <s v="Local Hub"/>
    <s v="Standard"/>
    <s v="Capacity"/>
    <s v="Medium"/>
    <n v="3"/>
    <n v="7"/>
    <n v="4"/>
    <s v="Yes"/>
    <n v="209"/>
    <n v="6924"/>
    <n v="17660"/>
    <n v="0"/>
    <s v="No"/>
    <s v="Major"/>
    <n v="4415"/>
    <n v="1731"/>
    <n v="2024"/>
    <n v="11"/>
    <n v="1"/>
  </r>
  <r>
    <s v="SHP-30945"/>
    <d v="2024-06-05T00:00:00"/>
    <s v="East"/>
    <s v="Kolkata"/>
    <s v="Central Hub"/>
    <s v="Standard"/>
    <s v="Weather"/>
    <s v="Low"/>
    <n v="3"/>
    <n v="3"/>
    <n v="0"/>
    <s v="No"/>
    <n v="409"/>
    <n v="0"/>
    <n v="0"/>
    <n v="1"/>
    <s v="No"/>
    <s v="On Time"/>
    <n v="0"/>
    <n v="0"/>
    <n v="2024"/>
    <n v="6"/>
    <n v="0"/>
  </r>
  <r>
    <s v="SHP-30946"/>
    <d v="2024-12-08T00:00:00"/>
    <s v="North"/>
    <s v="Noida"/>
    <s v="Regional Hub"/>
    <s v="Critical"/>
    <s v="Documentation"/>
    <s v="Low"/>
    <n v="5"/>
    <n v="11"/>
    <n v="6"/>
    <s v="Yes"/>
    <n v="363"/>
    <n v="10680"/>
    <n v="15972"/>
    <n v="0"/>
    <s v="No"/>
    <s v="Severe"/>
    <n v="2662"/>
    <n v="1780"/>
    <n v="2024"/>
    <n v="12"/>
    <n v="1"/>
  </r>
  <r>
    <s v="SHP-30947"/>
    <d v="2024-04-27T00:00:00"/>
    <s v="East"/>
    <s v="Bhubaneswar"/>
    <s v="Local Hub"/>
    <s v="Critical"/>
    <s v="System"/>
    <s v="Low"/>
    <n v="3"/>
    <n v="9"/>
    <n v="6"/>
    <s v="Yes"/>
    <n v="416"/>
    <n v="9798"/>
    <n v="16524"/>
    <n v="0"/>
    <s v="No"/>
    <s v="Severe"/>
    <n v="2754"/>
    <n v="1633"/>
    <n v="2024"/>
    <n v="4"/>
    <n v="1"/>
  </r>
  <r>
    <s v="SHP-30948"/>
    <d v="2024-03-12T00:00:00"/>
    <s v="South"/>
    <s v="Bengaluru"/>
    <s v="Central Hub"/>
    <s v="Express"/>
    <s v="Documentation"/>
    <s v="Medium"/>
    <n v="5"/>
    <n v="7"/>
    <n v="2"/>
    <s v="Yes"/>
    <n v="87"/>
    <n v="4262"/>
    <n v="9716"/>
    <n v="0"/>
    <s v="No"/>
    <s v="Minor"/>
    <n v="4858"/>
    <n v="2131"/>
    <n v="2024"/>
    <n v="3"/>
    <n v="1"/>
  </r>
  <r>
    <s v="SHP-30949"/>
    <d v="2024-07-15T00:00:00"/>
    <s v="North"/>
    <s v="Delhi"/>
    <s v="Central Hub"/>
    <s v="Critical"/>
    <s v="Routing"/>
    <s v="Low"/>
    <n v="1"/>
    <n v="7"/>
    <n v="6"/>
    <s v="Yes"/>
    <n v="329"/>
    <n v="14970"/>
    <n v="29940"/>
    <n v="0"/>
    <s v="No"/>
    <s v="Severe"/>
    <n v="4990"/>
    <n v="2495"/>
    <n v="2024"/>
    <n v="7"/>
    <n v="1"/>
  </r>
  <r>
    <s v="SHP-30950"/>
    <d v="2024-11-14T00:00:00"/>
    <s v="East"/>
    <s v="Kolkata"/>
    <s v="Regional Hub"/>
    <s v="Express"/>
    <s v="Capacity"/>
    <s v="Medium"/>
    <n v="3"/>
    <n v="7"/>
    <n v="4"/>
    <s v="Yes"/>
    <n v="213"/>
    <n v="7964"/>
    <n v="12372"/>
    <n v="0"/>
    <s v="No"/>
    <s v="Major"/>
    <n v="3093"/>
    <n v="1991"/>
    <n v="2024"/>
    <n v="11"/>
    <n v="1"/>
  </r>
  <r>
    <s v="SHP-30951"/>
    <d v="2024-07-23T00:00:00"/>
    <s v="South"/>
    <s v="Bengaluru"/>
    <s v="Regional Hub"/>
    <s v="Express"/>
    <s v="Documentation"/>
    <s v="Medium"/>
    <n v="3"/>
    <n v="4"/>
    <n v="1"/>
    <s v="Yes"/>
    <n v="386"/>
    <n v="2041"/>
    <n v="2012"/>
    <n v="0"/>
    <s v="No"/>
    <s v="Minor"/>
    <n v="2012"/>
    <n v="2041"/>
    <n v="2024"/>
    <n v="7"/>
    <n v="1"/>
  </r>
  <r>
    <s v="SHP-30952"/>
    <d v="2024-08-29T00:00:00"/>
    <s v="West"/>
    <s v="Pune"/>
    <s v="Regional Hub"/>
    <s v="Express"/>
    <s v="Documentation"/>
    <s v="Low"/>
    <n v="2"/>
    <n v="6"/>
    <n v="4"/>
    <s v="Yes"/>
    <n v="220"/>
    <n v="9160"/>
    <n v="16500"/>
    <n v="0"/>
    <s v="No"/>
    <s v="Major"/>
    <n v="4125"/>
    <n v="2290"/>
    <n v="2024"/>
    <n v="8"/>
    <n v="1"/>
  </r>
  <r>
    <s v="SHP-30953"/>
    <d v="2024-04-04T00:00:00"/>
    <s v="West"/>
    <s v="Mumbai"/>
    <s v="Regional Hub"/>
    <s v="Critical"/>
    <s v="Routing"/>
    <s v="High"/>
    <n v="2"/>
    <n v="6"/>
    <n v="4"/>
    <s v="Yes"/>
    <n v="251"/>
    <n v="8920"/>
    <n v="14436"/>
    <n v="0"/>
    <s v="No"/>
    <s v="Major"/>
    <n v="3609"/>
    <n v="2230"/>
    <n v="2024"/>
    <n v="4"/>
    <n v="1"/>
  </r>
  <r>
    <s v="SHP-30954"/>
    <d v="2024-07-04T00:00:00"/>
    <s v="North"/>
    <s v="Delhi"/>
    <s v="Central Hub"/>
    <s v="Standard"/>
    <s v="Routing"/>
    <s v="Low"/>
    <n v="2"/>
    <n v="5"/>
    <n v="3"/>
    <s v="Yes"/>
    <n v="233"/>
    <n v="3333"/>
    <n v="8361"/>
    <n v="0"/>
    <s v="No"/>
    <s v="Major"/>
    <n v="2787"/>
    <n v="1111"/>
    <n v="2024"/>
    <n v="7"/>
    <n v="1"/>
  </r>
  <r>
    <s v="SHP-30955"/>
    <d v="2024-01-13T00:00:00"/>
    <s v="North"/>
    <s v="Delhi"/>
    <s v="Local Hub"/>
    <s v="Express"/>
    <s v="System"/>
    <s v="High"/>
    <n v="3"/>
    <n v="11"/>
    <n v="8"/>
    <s v="Yes"/>
    <n v="321"/>
    <n v="14776"/>
    <n v="32288"/>
    <n v="0"/>
    <s v="No"/>
    <s v="Severe"/>
    <n v="4036"/>
    <n v="1847"/>
    <n v="2024"/>
    <n v="1"/>
    <n v="1"/>
  </r>
  <r>
    <s v="SHP-30956"/>
    <d v="2024-09-13T00:00:00"/>
    <s v="West"/>
    <s v="Pune"/>
    <s v="Regional Hub"/>
    <s v="Express"/>
    <s v="Documentation"/>
    <s v="Low"/>
    <n v="2"/>
    <n v="4"/>
    <n v="2"/>
    <s v="Yes"/>
    <n v="99"/>
    <n v="3180"/>
    <n v="5592"/>
    <n v="0"/>
    <s v="No"/>
    <s v="Minor"/>
    <n v="2796"/>
    <n v="1590"/>
    <n v="2024"/>
    <n v="9"/>
    <n v="1"/>
  </r>
  <r>
    <s v="SHP-30957"/>
    <d v="2024-09-30T00:00:00"/>
    <s v="North"/>
    <s v="Noida"/>
    <s v="Central Hub"/>
    <s v="Express"/>
    <s v="Routing"/>
    <s v="High"/>
    <n v="1"/>
    <n v="6"/>
    <n v="5"/>
    <s v="Yes"/>
    <n v="79"/>
    <n v="8845"/>
    <n v="22825"/>
    <n v="0"/>
    <s v="No"/>
    <s v="Major"/>
    <n v="4565"/>
    <n v="1769"/>
    <n v="2024"/>
    <n v="9"/>
    <n v="1"/>
  </r>
  <r>
    <s v="SHP-30958"/>
    <d v="2024-11-30T00:00:00"/>
    <s v="South"/>
    <s v="Chennai"/>
    <s v="Central Hub"/>
    <s v="Express"/>
    <s v="Weather"/>
    <s v="Low"/>
    <n v="1"/>
    <n v="2"/>
    <n v="1"/>
    <s v="Yes"/>
    <n v="154"/>
    <n v="2007"/>
    <n v="4990"/>
    <n v="0"/>
    <s v="No"/>
    <s v="Minor"/>
    <n v="4990"/>
    <n v="2007"/>
    <n v="2024"/>
    <n v="11"/>
    <n v="1"/>
  </r>
  <r>
    <s v="SHP-30959"/>
    <d v="2024-10-31T00:00:00"/>
    <s v="South"/>
    <s v="Chennai"/>
    <s v="Central Hub"/>
    <s v="Express"/>
    <s v="Weather"/>
    <s v="Medium"/>
    <n v="2"/>
    <n v="7"/>
    <n v="5"/>
    <s v="Yes"/>
    <n v="161"/>
    <n v="8615"/>
    <n v="12240"/>
    <n v="0"/>
    <s v="No"/>
    <s v="Major"/>
    <n v="2448"/>
    <n v="1723"/>
    <n v="2024"/>
    <n v="10"/>
    <n v="1"/>
  </r>
  <r>
    <s v="SHP-30960"/>
    <d v="2024-01-01T00:00:00"/>
    <s v="South"/>
    <s v="Chennai"/>
    <s v="Local Hub"/>
    <s v="Standard"/>
    <s v="Capacity"/>
    <s v="Medium"/>
    <n v="5"/>
    <n v="10"/>
    <n v="5"/>
    <s v="Yes"/>
    <n v="322"/>
    <n v="10655"/>
    <n v="8495"/>
    <n v="0"/>
    <s v="No"/>
    <s v="Major"/>
    <n v="1699"/>
    <n v="2131"/>
    <n v="2024"/>
    <n v="1"/>
    <n v="1"/>
  </r>
  <r>
    <s v="SHP-30961"/>
    <d v="2024-07-12T00:00:00"/>
    <s v="South"/>
    <s v="Chennai"/>
    <s v="Central Hub"/>
    <s v="Critical"/>
    <s v="Weather"/>
    <s v="Medium"/>
    <n v="2"/>
    <n v="8"/>
    <n v="6"/>
    <s v="Yes"/>
    <n v="62"/>
    <n v="8766"/>
    <n v="26676"/>
    <n v="0"/>
    <s v="No"/>
    <s v="Severe"/>
    <n v="4446"/>
    <n v="1461"/>
    <n v="2024"/>
    <n v="7"/>
    <n v="1"/>
  </r>
  <r>
    <s v="SHP-30962"/>
    <d v="2024-03-11T00:00:00"/>
    <s v="East"/>
    <s v="Bhubaneswar"/>
    <s v="Central Hub"/>
    <s v="Standard"/>
    <s v="Capacity"/>
    <s v="Low"/>
    <n v="2"/>
    <n v="5"/>
    <n v="3"/>
    <s v="Yes"/>
    <n v="471"/>
    <n v="3156"/>
    <n v="12786"/>
    <n v="0"/>
    <s v="No"/>
    <s v="Major"/>
    <n v="4262"/>
    <n v="1052"/>
    <n v="2024"/>
    <n v="3"/>
    <n v="1"/>
  </r>
  <r>
    <s v="SHP-30963"/>
    <d v="2024-04-26T00:00:00"/>
    <s v="East"/>
    <s v="Bhubaneswar"/>
    <s v="Regional Hub"/>
    <s v="Standard"/>
    <s v="Routing"/>
    <s v="High"/>
    <n v="1"/>
    <n v="9"/>
    <n v="8"/>
    <s v="Yes"/>
    <n v="355"/>
    <n v="16584"/>
    <n v="29688"/>
    <n v="0"/>
    <s v="No"/>
    <s v="Severe"/>
    <n v="3711"/>
    <n v="2073"/>
    <n v="2024"/>
    <n v="4"/>
    <n v="1"/>
  </r>
  <r>
    <s v="SHP-30964"/>
    <d v="2024-01-03T00:00:00"/>
    <s v="North"/>
    <s v="Delhi"/>
    <s v="Local Hub"/>
    <s v="Express"/>
    <s v="Capacity"/>
    <s v="Low"/>
    <n v="5"/>
    <n v="9"/>
    <n v="4"/>
    <s v="Yes"/>
    <n v="267"/>
    <n v="5064"/>
    <n v="18576"/>
    <n v="0"/>
    <s v="No"/>
    <s v="Major"/>
    <n v="4644"/>
    <n v="1266"/>
    <n v="2024"/>
    <n v="1"/>
    <n v="1"/>
  </r>
  <r>
    <s v="SHP-30965"/>
    <d v="2024-10-17T00:00:00"/>
    <s v="East"/>
    <s v="Kolkata"/>
    <s v="Central Hub"/>
    <s v="Express"/>
    <s v="Routing"/>
    <s v="High"/>
    <n v="1"/>
    <n v="9"/>
    <n v="8"/>
    <s v="Yes"/>
    <n v="418"/>
    <n v="9296"/>
    <n v="33376"/>
    <n v="0"/>
    <s v="No"/>
    <s v="Severe"/>
    <n v="4172"/>
    <n v="1162"/>
    <n v="2024"/>
    <n v="10"/>
    <n v="1"/>
  </r>
  <r>
    <s v="SHP-30966"/>
    <d v="2024-12-08T00:00:00"/>
    <s v="West"/>
    <s v="Mumbai"/>
    <s v="Regional Hub"/>
    <s v="Express"/>
    <s v="Documentation"/>
    <s v="Low"/>
    <n v="2"/>
    <n v="5"/>
    <n v="3"/>
    <s v="Yes"/>
    <n v="438"/>
    <n v="6315"/>
    <n v="11700"/>
    <n v="0"/>
    <s v="No"/>
    <s v="Major"/>
    <n v="3900"/>
    <n v="2105"/>
    <n v="2024"/>
    <n v="12"/>
    <n v="1"/>
  </r>
  <r>
    <s v="SHP-30967"/>
    <d v="2024-05-21T00:00:00"/>
    <s v="South"/>
    <s v="Chennai"/>
    <s v="Regional Hub"/>
    <s v="Express"/>
    <s v="Routing"/>
    <s v="High"/>
    <n v="2"/>
    <n v="6"/>
    <n v="4"/>
    <s v="Yes"/>
    <n v="202"/>
    <n v="6208"/>
    <n v="7216"/>
    <n v="0"/>
    <s v="No"/>
    <s v="Major"/>
    <n v="1804"/>
    <n v="1552"/>
    <n v="2024"/>
    <n v="5"/>
    <n v="1"/>
  </r>
  <r>
    <s v="SHP-30968"/>
    <d v="2024-08-11T00:00:00"/>
    <s v="North"/>
    <s v="Delhi"/>
    <s v="Central Hub"/>
    <s v="Standard"/>
    <s v="Routing"/>
    <s v="Low"/>
    <n v="2"/>
    <n v="7"/>
    <n v="5"/>
    <s v="Yes"/>
    <n v="433"/>
    <n v="7375"/>
    <n v="20930"/>
    <n v="0"/>
    <s v="No"/>
    <s v="Major"/>
    <n v="4186"/>
    <n v="1475"/>
    <n v="2024"/>
    <n v="8"/>
    <n v="1"/>
  </r>
  <r>
    <s v="SHP-30969"/>
    <d v="2024-11-04T00:00:00"/>
    <s v="South"/>
    <s v="Bengaluru"/>
    <s v="Regional Hub"/>
    <s v="Standard"/>
    <s v="Capacity"/>
    <s v="Medium"/>
    <n v="1"/>
    <n v="5"/>
    <n v="4"/>
    <s v="Yes"/>
    <n v="209"/>
    <n v="3540"/>
    <n v="18428"/>
    <n v="0"/>
    <s v="No"/>
    <s v="Major"/>
    <n v="4607"/>
    <n v="885"/>
    <n v="2024"/>
    <n v="11"/>
    <n v="1"/>
  </r>
  <r>
    <s v="SHP-30970"/>
    <d v="2024-07-25T00:00:00"/>
    <s v="East"/>
    <s v="Kolkata"/>
    <s v="Regional Hub"/>
    <s v="Standard"/>
    <s v="Weather"/>
    <s v="Medium"/>
    <n v="2"/>
    <n v="5"/>
    <n v="3"/>
    <s v="Yes"/>
    <n v="313"/>
    <n v="6300"/>
    <n v="7434"/>
    <n v="0"/>
    <s v="No"/>
    <s v="Major"/>
    <n v="2478"/>
    <n v="2100"/>
    <n v="2024"/>
    <n v="7"/>
    <n v="1"/>
  </r>
  <r>
    <s v="SHP-30971"/>
    <d v="2024-07-25T00:00:00"/>
    <s v="East"/>
    <s v="Bhubaneswar"/>
    <s v="Regional Hub"/>
    <s v="Standard"/>
    <s v="Capacity"/>
    <s v="High"/>
    <n v="5"/>
    <n v="10"/>
    <n v="5"/>
    <s v="Yes"/>
    <n v="198"/>
    <n v="10255"/>
    <n v="23660"/>
    <n v="0"/>
    <s v="No"/>
    <s v="Major"/>
    <n v="4732"/>
    <n v="2051"/>
    <n v="2024"/>
    <n v="7"/>
    <n v="1"/>
  </r>
  <r>
    <s v="SHP-30972"/>
    <d v="2024-09-01T00:00:00"/>
    <s v="North"/>
    <s v="Delhi"/>
    <s v="Local Hub"/>
    <s v="Standard"/>
    <s v="Capacity"/>
    <s v="Medium"/>
    <n v="2"/>
    <n v="6"/>
    <n v="4"/>
    <s v="Yes"/>
    <n v="405"/>
    <n v="9884"/>
    <n v="11088"/>
    <n v="0"/>
    <s v="No"/>
    <s v="Major"/>
    <n v="2772"/>
    <n v="2471"/>
    <n v="2024"/>
    <n v="9"/>
    <n v="1"/>
  </r>
  <r>
    <s v="SHP-30973"/>
    <d v="2024-10-13T00:00:00"/>
    <s v="South"/>
    <s v="Chennai"/>
    <s v="Central Hub"/>
    <s v="Standard"/>
    <s v="Capacity"/>
    <s v="Low"/>
    <n v="1"/>
    <n v="2"/>
    <n v="1"/>
    <s v="Yes"/>
    <n v="123"/>
    <n v="1179"/>
    <n v="4324"/>
    <n v="0"/>
    <s v="No"/>
    <s v="Minor"/>
    <n v="4324"/>
    <n v="1179"/>
    <n v="2024"/>
    <n v="10"/>
    <n v="1"/>
  </r>
  <r>
    <s v="SHP-30974"/>
    <d v="2024-03-13T00:00:00"/>
    <s v="West"/>
    <s v="Mumbai"/>
    <s v="Central Hub"/>
    <s v="Standard"/>
    <s v="System"/>
    <s v="Low"/>
    <n v="3"/>
    <n v="5"/>
    <n v="2"/>
    <s v="Yes"/>
    <n v="284"/>
    <n v="3084"/>
    <n v="8714"/>
    <n v="0"/>
    <s v="No"/>
    <s v="Minor"/>
    <n v="4357"/>
    <n v="1542"/>
    <n v="2024"/>
    <n v="3"/>
    <n v="1"/>
  </r>
  <r>
    <s v="SHP-30975"/>
    <d v="2024-06-21T00:00:00"/>
    <s v="East"/>
    <s v="Bhubaneswar"/>
    <s v="Central Hub"/>
    <s v="Standard"/>
    <s v="Weather"/>
    <s v="High"/>
    <n v="2"/>
    <n v="7"/>
    <n v="5"/>
    <s v="Yes"/>
    <n v="148"/>
    <n v="10075"/>
    <n v="14550"/>
    <n v="0"/>
    <s v="No"/>
    <s v="Major"/>
    <n v="2910"/>
    <n v="2015"/>
    <n v="2024"/>
    <n v="6"/>
    <n v="1"/>
  </r>
  <r>
    <s v="SHP-30976"/>
    <d v="2024-09-04T00:00:00"/>
    <s v="North"/>
    <s v="Noida"/>
    <s v="Regional Hub"/>
    <s v="Express"/>
    <s v="Weather"/>
    <s v="Medium"/>
    <n v="1"/>
    <n v="3"/>
    <n v="2"/>
    <s v="Yes"/>
    <n v="216"/>
    <n v="3912"/>
    <n v="6038"/>
    <n v="0"/>
    <s v="No"/>
    <s v="Minor"/>
    <n v="3019"/>
    <n v="1956"/>
    <n v="2024"/>
    <n v="9"/>
    <n v="1"/>
  </r>
  <r>
    <s v="SHP-30977"/>
    <d v="2024-07-17T00:00:00"/>
    <s v="North"/>
    <s v="Delhi"/>
    <s v="Local Hub"/>
    <s v="Standard"/>
    <s v="System"/>
    <s v="Medium"/>
    <n v="2"/>
    <n v="3"/>
    <n v="1"/>
    <s v="Yes"/>
    <n v="161"/>
    <n v="1093"/>
    <n v="4160"/>
    <n v="0"/>
    <s v="No"/>
    <s v="Minor"/>
    <n v="4160"/>
    <n v="1093"/>
    <n v="2024"/>
    <n v="7"/>
    <n v="1"/>
  </r>
  <r>
    <s v="SHP-30978"/>
    <d v="2024-10-31T00:00:00"/>
    <s v="East"/>
    <s v="Kolkata"/>
    <s v="Central Hub"/>
    <s v="Express"/>
    <s v="Documentation"/>
    <s v="Medium"/>
    <n v="2"/>
    <n v="2"/>
    <n v="0"/>
    <s v="No"/>
    <n v="164"/>
    <n v="0"/>
    <n v="0"/>
    <n v="1"/>
    <s v="No"/>
    <s v="On Time"/>
    <n v="0"/>
    <n v="0"/>
    <n v="2024"/>
    <n v="10"/>
    <n v="0"/>
  </r>
  <r>
    <s v="SHP-30979"/>
    <d v="2024-02-10T00:00:00"/>
    <s v="West"/>
    <s v="Mumbai"/>
    <s v="Regional Hub"/>
    <s v="Standard"/>
    <s v="System"/>
    <s v="Low"/>
    <n v="3"/>
    <n v="4"/>
    <n v="1"/>
    <s v="Yes"/>
    <n v="180"/>
    <n v="1852"/>
    <n v="4537"/>
    <n v="0"/>
    <s v="No"/>
    <s v="Minor"/>
    <n v="4537"/>
    <n v="1852"/>
    <n v="2024"/>
    <n v="2"/>
    <n v="1"/>
  </r>
  <r>
    <s v="SHP-30980"/>
    <d v="2024-06-04T00:00:00"/>
    <s v="South"/>
    <s v="Chennai"/>
    <s v="Regional Hub"/>
    <s v="Critical"/>
    <s v="Documentation"/>
    <s v="High"/>
    <n v="2"/>
    <n v="6"/>
    <n v="4"/>
    <s v="Yes"/>
    <n v="288"/>
    <n v="4324"/>
    <n v="14652"/>
    <n v="0"/>
    <s v="No"/>
    <s v="Major"/>
    <n v="3663"/>
    <n v="1081"/>
    <n v="2024"/>
    <n v="6"/>
    <n v="1"/>
  </r>
  <r>
    <s v="SHP-30981"/>
    <d v="2024-10-09T00:00:00"/>
    <s v="West"/>
    <s v="Pune"/>
    <s v="Central Hub"/>
    <s v="Critical"/>
    <s v="System"/>
    <s v="Medium"/>
    <n v="1"/>
    <n v="4"/>
    <n v="3"/>
    <s v="Yes"/>
    <n v="338"/>
    <n v="7239"/>
    <n v="4875"/>
    <n v="0"/>
    <s v="No"/>
    <s v="Major"/>
    <n v="1625"/>
    <n v="2413"/>
    <n v="2024"/>
    <n v="10"/>
    <n v="1"/>
  </r>
  <r>
    <s v="SHP-30982"/>
    <d v="2024-06-12T00:00:00"/>
    <s v="North"/>
    <s v="Delhi"/>
    <s v="Central Hub"/>
    <s v="Express"/>
    <s v="System"/>
    <s v="Medium"/>
    <n v="1"/>
    <n v="1"/>
    <n v="0"/>
    <s v="No"/>
    <n v="281"/>
    <n v="0"/>
    <n v="0"/>
    <n v="1"/>
    <s v="No"/>
    <s v="On Time"/>
    <n v="0"/>
    <n v="0"/>
    <n v="2024"/>
    <n v="6"/>
    <n v="0"/>
  </r>
  <r>
    <s v="SHP-30983"/>
    <d v="2024-03-19T00:00:00"/>
    <s v="East"/>
    <s v="Bhubaneswar"/>
    <s v="Local Hub"/>
    <s v="Express"/>
    <s v="Capacity"/>
    <s v="Low"/>
    <n v="2"/>
    <n v="2"/>
    <n v="0"/>
    <s v="No"/>
    <n v="130"/>
    <n v="0"/>
    <n v="0"/>
    <n v="1"/>
    <s v="No"/>
    <s v="On Time"/>
    <n v="0"/>
    <n v="0"/>
    <n v="2024"/>
    <n v="3"/>
    <n v="0"/>
  </r>
  <r>
    <s v="SHP-30984"/>
    <d v="2024-08-17T00:00:00"/>
    <s v="North"/>
    <s v="Noida"/>
    <s v="Regional Hub"/>
    <s v="Standard"/>
    <s v="Capacity"/>
    <s v="Low"/>
    <n v="3"/>
    <n v="3"/>
    <n v="0"/>
    <s v="No"/>
    <n v="350"/>
    <n v="0"/>
    <n v="0"/>
    <n v="1"/>
    <s v="No"/>
    <s v="On Time"/>
    <n v="0"/>
    <n v="0"/>
    <n v="2024"/>
    <n v="8"/>
    <n v="0"/>
  </r>
  <r>
    <s v="SHP-30985"/>
    <d v="2024-08-07T00:00:00"/>
    <s v="North"/>
    <s v="Noida"/>
    <s v="Central Hub"/>
    <s v="Standard"/>
    <s v="Documentation"/>
    <s v="High"/>
    <n v="1"/>
    <n v="6"/>
    <n v="5"/>
    <s v="Yes"/>
    <n v="145"/>
    <n v="12345"/>
    <n v="7945"/>
    <n v="0"/>
    <s v="No"/>
    <s v="Major"/>
    <n v="1589"/>
    <n v="2469"/>
    <n v="2024"/>
    <n v="8"/>
    <n v="1"/>
  </r>
  <r>
    <s v="SHP-30986"/>
    <d v="2024-02-03T00:00:00"/>
    <s v="West"/>
    <s v="Pune"/>
    <s v="Local Hub"/>
    <s v="Express"/>
    <s v="Documentation"/>
    <s v="Low"/>
    <n v="5"/>
    <n v="8"/>
    <n v="3"/>
    <s v="Yes"/>
    <n v="184"/>
    <n v="7257"/>
    <n v="13914"/>
    <n v="0"/>
    <s v="No"/>
    <s v="Major"/>
    <n v="4638"/>
    <n v="2419"/>
    <n v="2024"/>
    <n v="2"/>
    <n v="1"/>
  </r>
  <r>
    <s v="SHP-30987"/>
    <d v="2024-06-05T00:00:00"/>
    <s v="West"/>
    <s v="Pune"/>
    <s v="Local Hub"/>
    <s v="Express"/>
    <s v="Routing"/>
    <s v="Low"/>
    <n v="3"/>
    <n v="3"/>
    <n v="0"/>
    <s v="No"/>
    <n v="68"/>
    <n v="0"/>
    <n v="0"/>
    <n v="1"/>
    <s v="No"/>
    <s v="On Time"/>
    <n v="0"/>
    <n v="0"/>
    <n v="2024"/>
    <n v="6"/>
    <n v="0"/>
  </r>
  <r>
    <s v="SHP-30988"/>
    <d v="2024-04-24T00:00:00"/>
    <s v="East"/>
    <s v="Kolkata"/>
    <s v="Local Hub"/>
    <s v="Express"/>
    <s v="Weather"/>
    <s v="Low"/>
    <n v="1"/>
    <n v="3"/>
    <n v="2"/>
    <s v="Yes"/>
    <n v="296"/>
    <n v="4550"/>
    <n v="7174"/>
    <n v="0"/>
    <s v="No"/>
    <s v="Minor"/>
    <n v="3587"/>
    <n v="2275"/>
    <n v="2024"/>
    <n v="4"/>
    <n v="1"/>
  </r>
  <r>
    <s v="SHP-30989"/>
    <d v="2024-04-30T00:00:00"/>
    <s v="North"/>
    <s v="Noida"/>
    <s v="Central Hub"/>
    <s v="Critical"/>
    <s v="Documentation"/>
    <s v="Medium"/>
    <n v="2"/>
    <n v="6"/>
    <n v="4"/>
    <s v="Yes"/>
    <n v="151"/>
    <n v="5864"/>
    <n v="11416"/>
    <n v="0"/>
    <s v="No"/>
    <s v="Major"/>
    <n v="2854"/>
    <n v="1466"/>
    <n v="2024"/>
    <n v="4"/>
    <n v="1"/>
  </r>
  <r>
    <s v="SHP-30990"/>
    <d v="2024-10-04T00:00:00"/>
    <s v="West"/>
    <s v="Mumbai"/>
    <s v="Regional Hub"/>
    <s v="Express"/>
    <s v="Weather"/>
    <s v="Low"/>
    <n v="2"/>
    <n v="6"/>
    <n v="4"/>
    <s v="Yes"/>
    <n v="386"/>
    <n v="9764"/>
    <n v="9052"/>
    <n v="0"/>
    <s v="No"/>
    <s v="Major"/>
    <n v="2263"/>
    <n v="2441"/>
    <n v="2024"/>
    <n v="10"/>
    <n v="1"/>
  </r>
  <r>
    <s v="SHP-30991"/>
    <d v="2024-07-07T00:00:00"/>
    <s v="North"/>
    <s v="Delhi"/>
    <s v="Local Hub"/>
    <s v="Standard"/>
    <s v="Capacity"/>
    <s v="Medium"/>
    <n v="2"/>
    <n v="2"/>
    <n v="0"/>
    <s v="No"/>
    <n v="238"/>
    <n v="0"/>
    <n v="0"/>
    <n v="1"/>
    <s v="No"/>
    <s v="On Time"/>
    <n v="0"/>
    <n v="0"/>
    <n v="2024"/>
    <n v="7"/>
    <n v="0"/>
  </r>
  <r>
    <s v="SHP-30992"/>
    <d v="2024-02-05T00:00:00"/>
    <s v="East"/>
    <s v="Bhubaneswar"/>
    <s v="Central Hub"/>
    <s v="Standard"/>
    <s v="Routing"/>
    <s v="Low"/>
    <n v="2"/>
    <n v="7"/>
    <n v="5"/>
    <s v="Yes"/>
    <n v="162"/>
    <n v="8730"/>
    <n v="23715"/>
    <n v="0"/>
    <s v="No"/>
    <s v="Major"/>
    <n v="4743"/>
    <n v="1746"/>
    <n v="2024"/>
    <n v="2"/>
    <n v="1"/>
  </r>
  <r>
    <s v="SHP-30993"/>
    <d v="2024-05-17T00:00:00"/>
    <s v="South"/>
    <s v="Bengaluru"/>
    <s v="Central Hub"/>
    <s v="Express"/>
    <s v="Capacity"/>
    <s v="Low"/>
    <n v="5"/>
    <n v="9"/>
    <n v="4"/>
    <s v="Yes"/>
    <n v="442"/>
    <n v="5696"/>
    <n v="13724"/>
    <n v="0"/>
    <s v="No"/>
    <s v="Major"/>
    <n v="3431"/>
    <n v="1424"/>
    <n v="2024"/>
    <n v="5"/>
    <n v="1"/>
  </r>
  <r>
    <s v="SHP-30994"/>
    <d v="2024-10-11T00:00:00"/>
    <s v="East"/>
    <s v="Bhubaneswar"/>
    <s v="Local Hub"/>
    <s v="Critical"/>
    <s v="Capacity"/>
    <s v="Low"/>
    <n v="2"/>
    <n v="9"/>
    <n v="7"/>
    <s v="Yes"/>
    <n v="390"/>
    <n v="13881"/>
    <n v="14665"/>
    <n v="0"/>
    <s v="No"/>
    <s v="Severe"/>
    <n v="2095"/>
    <n v="1983"/>
    <n v="2024"/>
    <n v="10"/>
    <n v="1"/>
  </r>
  <r>
    <s v="SHP-30995"/>
    <d v="2024-08-21T00:00:00"/>
    <s v="South"/>
    <s v="Chennai"/>
    <s v="Central Hub"/>
    <s v="Critical"/>
    <s v="System"/>
    <s v="Medium"/>
    <n v="2"/>
    <n v="3"/>
    <n v="1"/>
    <s v="Yes"/>
    <n v="104"/>
    <n v="1750"/>
    <n v="2998"/>
    <n v="0"/>
    <s v="No"/>
    <s v="Minor"/>
    <n v="2998"/>
    <n v="1750"/>
    <n v="2024"/>
    <n v="8"/>
    <n v="1"/>
  </r>
  <r>
    <s v="SHP-30996"/>
    <d v="2024-07-14T00:00:00"/>
    <s v="East"/>
    <s v="Kolkata"/>
    <s v="Local Hub"/>
    <s v="Standard"/>
    <s v="System"/>
    <s v="Medium"/>
    <n v="3"/>
    <n v="6"/>
    <n v="3"/>
    <s v="Yes"/>
    <n v="253"/>
    <n v="7431"/>
    <n v="7695"/>
    <n v="0"/>
    <s v="No"/>
    <s v="Major"/>
    <n v="2565"/>
    <n v="2477"/>
    <n v="2024"/>
    <n v="7"/>
    <n v="1"/>
  </r>
  <r>
    <s v="SHP-30997"/>
    <d v="2024-07-30T00:00:00"/>
    <s v="South"/>
    <s v="Bengaluru"/>
    <s v="Central Hub"/>
    <s v="Express"/>
    <s v="Routing"/>
    <s v="High"/>
    <n v="3"/>
    <n v="11"/>
    <n v="8"/>
    <s v="Yes"/>
    <n v="464"/>
    <n v="17216"/>
    <n v="21400"/>
    <n v="0"/>
    <s v="No"/>
    <s v="Severe"/>
    <n v="2675"/>
    <n v="2152"/>
    <n v="2024"/>
    <n v="7"/>
    <n v="1"/>
  </r>
  <r>
    <s v="SHP-30998"/>
    <d v="2024-10-22T00:00:00"/>
    <s v="South"/>
    <s v="Chennai"/>
    <s v="Regional Hub"/>
    <s v="Standard"/>
    <s v="Documentation"/>
    <s v="Low"/>
    <n v="1"/>
    <n v="2"/>
    <n v="1"/>
    <s v="Yes"/>
    <n v="251"/>
    <n v="1780"/>
    <n v="2560"/>
    <n v="0"/>
    <s v="No"/>
    <s v="Minor"/>
    <n v="2560"/>
    <n v="1780"/>
    <n v="2024"/>
    <n v="10"/>
    <n v="1"/>
  </r>
  <r>
    <s v="SHP-30999"/>
    <d v="2024-09-22T00:00:00"/>
    <s v="West"/>
    <s v="Pune"/>
    <s v="Regional Hub"/>
    <s v="Standard"/>
    <s v="Weather"/>
    <s v="Medium"/>
    <n v="3"/>
    <n v="6"/>
    <n v="3"/>
    <s v="Yes"/>
    <n v="104"/>
    <n v="5070"/>
    <n v="10338"/>
    <n v="0"/>
    <s v="No"/>
    <s v="Major"/>
    <n v="3446"/>
    <n v="1690"/>
    <n v="2024"/>
    <n v="9"/>
    <n v="1"/>
  </r>
  <r>
    <s v="SHP-31000"/>
    <d v="2024-10-01T00:00:00"/>
    <s v="West"/>
    <s v="Mumbai"/>
    <s v="Central Hub"/>
    <s v="Standard"/>
    <s v="Routing"/>
    <s v="Medium"/>
    <n v="2"/>
    <n v="7"/>
    <n v="5"/>
    <s v="Yes"/>
    <n v="75"/>
    <n v="11920"/>
    <n v="9675"/>
    <n v="0"/>
    <s v="No"/>
    <s v="Major"/>
    <n v="1935"/>
    <n v="2384"/>
    <n v="2024"/>
    <n v="10"/>
    <n v="1"/>
  </r>
  <r>
    <s v="SHP-31001"/>
    <d v="2024-09-12T00:00:00"/>
    <s v="East"/>
    <s v="Kolkata"/>
    <s v="Local Hub"/>
    <s v="Express"/>
    <s v="Capacity"/>
    <s v="Medium"/>
    <n v="3"/>
    <n v="4"/>
    <n v="1"/>
    <s v="Yes"/>
    <n v="181"/>
    <n v="2222"/>
    <n v="2241"/>
    <n v="0"/>
    <s v="No"/>
    <s v="Minor"/>
    <n v="2241"/>
    <n v="2222"/>
    <n v="2024"/>
    <n v="9"/>
    <n v="1"/>
  </r>
  <r>
    <s v="SHP-31002"/>
    <d v="2024-08-19T00:00:00"/>
    <s v="West"/>
    <s v="Mumbai"/>
    <s v="Regional Hub"/>
    <s v="Critical"/>
    <s v="Routing"/>
    <s v="Medium"/>
    <n v="1"/>
    <n v="5"/>
    <n v="4"/>
    <s v="Yes"/>
    <n v="436"/>
    <n v="6792"/>
    <n v="9400"/>
    <n v="0"/>
    <s v="No"/>
    <s v="Major"/>
    <n v="2350"/>
    <n v="1698"/>
    <n v="2024"/>
    <n v="8"/>
    <n v="1"/>
  </r>
  <r>
    <s v="SHP-31003"/>
    <d v="2024-07-13T00:00:00"/>
    <s v="North"/>
    <s v="Noida"/>
    <s v="Regional Hub"/>
    <s v="Express"/>
    <s v="Routing"/>
    <s v="High"/>
    <n v="2"/>
    <n v="10"/>
    <n v="8"/>
    <s v="Yes"/>
    <n v="275"/>
    <n v="17392"/>
    <n v="27776"/>
    <n v="0"/>
    <s v="No"/>
    <s v="Severe"/>
    <n v="3472"/>
    <n v="2174"/>
    <n v="2024"/>
    <n v="7"/>
    <n v="1"/>
  </r>
  <r>
    <s v="SHP-31004"/>
    <d v="2024-03-04T00:00:00"/>
    <s v="West"/>
    <s v="Mumbai"/>
    <s v="Regional Hub"/>
    <s v="Express"/>
    <s v="System"/>
    <s v="High"/>
    <n v="3"/>
    <n v="8"/>
    <n v="5"/>
    <s v="Yes"/>
    <n v="154"/>
    <n v="8485"/>
    <n v="17925"/>
    <n v="0"/>
    <s v="No"/>
    <s v="Major"/>
    <n v="3585"/>
    <n v="1697"/>
    <n v="2024"/>
    <n v="3"/>
    <n v="1"/>
  </r>
  <r>
    <s v="SHP-31005"/>
    <d v="2024-09-25T00:00:00"/>
    <s v="West"/>
    <s v="Pune"/>
    <s v="Regional Hub"/>
    <s v="Express"/>
    <s v="System"/>
    <s v="Low"/>
    <n v="3"/>
    <n v="5"/>
    <n v="2"/>
    <s v="Yes"/>
    <n v="389"/>
    <n v="4930"/>
    <n v="4652"/>
    <n v="0"/>
    <s v="No"/>
    <s v="Minor"/>
    <n v="2326"/>
    <n v="2465"/>
    <n v="2024"/>
    <n v="9"/>
    <n v="1"/>
  </r>
  <r>
    <s v="SHP-31006"/>
    <d v="2024-08-17T00:00:00"/>
    <s v="South"/>
    <s v="Chennai"/>
    <s v="Central Hub"/>
    <s v="Express"/>
    <s v="Capacity"/>
    <s v="Medium"/>
    <n v="1"/>
    <n v="3"/>
    <n v="2"/>
    <s v="Yes"/>
    <n v="391"/>
    <n v="3378"/>
    <n v="4072"/>
    <n v="0"/>
    <s v="No"/>
    <s v="Minor"/>
    <n v="2036"/>
    <n v="1689"/>
    <n v="2024"/>
    <n v="8"/>
    <n v="1"/>
  </r>
  <r>
    <s v="SHP-31007"/>
    <d v="2024-07-14T00:00:00"/>
    <s v="North"/>
    <s v="Delhi"/>
    <s v="Central Hub"/>
    <s v="Critical"/>
    <s v="Weather"/>
    <s v="High"/>
    <n v="1"/>
    <n v="9"/>
    <n v="8"/>
    <s v="Yes"/>
    <n v="206"/>
    <n v="8192"/>
    <n v="36872"/>
    <n v="0"/>
    <s v="No"/>
    <s v="Severe"/>
    <n v="4609"/>
    <n v="1024"/>
    <n v="2024"/>
    <n v="7"/>
    <n v="1"/>
  </r>
  <r>
    <s v="SHP-31008"/>
    <d v="2024-08-26T00:00:00"/>
    <s v="East"/>
    <s v="Bhubaneswar"/>
    <s v="Regional Hub"/>
    <s v="Standard"/>
    <s v="Capacity"/>
    <s v="Low"/>
    <n v="1"/>
    <n v="6"/>
    <n v="5"/>
    <s v="Yes"/>
    <n v="389"/>
    <n v="9550"/>
    <n v="14745"/>
    <n v="0"/>
    <s v="No"/>
    <s v="Major"/>
    <n v="2949"/>
    <n v="1910"/>
    <n v="2024"/>
    <n v="8"/>
    <n v="1"/>
  </r>
  <r>
    <s v="SHP-31009"/>
    <d v="2024-05-08T00:00:00"/>
    <s v="North"/>
    <s v="Delhi"/>
    <s v="Regional Hub"/>
    <s v="Standard"/>
    <s v="Routing"/>
    <s v="Medium"/>
    <n v="1"/>
    <n v="6"/>
    <n v="5"/>
    <s v="Yes"/>
    <n v="254"/>
    <n v="5340"/>
    <n v="11490"/>
    <n v="0"/>
    <s v="No"/>
    <s v="Major"/>
    <n v="2298"/>
    <n v="1068"/>
    <n v="2024"/>
    <n v="5"/>
    <n v="1"/>
  </r>
  <r>
    <s v="SHP-31010"/>
    <d v="2024-09-09T00:00:00"/>
    <s v="South"/>
    <s v="Chennai"/>
    <s v="Regional Hub"/>
    <s v="Standard"/>
    <s v="Routing"/>
    <s v="Low"/>
    <n v="2"/>
    <n v="7"/>
    <n v="5"/>
    <s v="Yes"/>
    <n v="386"/>
    <n v="10105"/>
    <n v="13255"/>
    <n v="0"/>
    <s v="No"/>
    <s v="Major"/>
    <n v="2651"/>
    <n v="2021"/>
    <n v="2024"/>
    <n v="9"/>
    <n v="1"/>
  </r>
  <r>
    <s v="SHP-31011"/>
    <d v="2024-10-20T00:00:00"/>
    <s v="West"/>
    <s v="Pune"/>
    <s v="Regional Hub"/>
    <s v="Express"/>
    <s v="Routing"/>
    <s v="High"/>
    <n v="1"/>
    <n v="3"/>
    <n v="2"/>
    <s v="Yes"/>
    <n v="313"/>
    <n v="4860"/>
    <n v="9534"/>
    <n v="0"/>
    <s v="No"/>
    <s v="Minor"/>
    <n v="4767"/>
    <n v="2430"/>
    <n v="2024"/>
    <n v="10"/>
    <n v="1"/>
  </r>
  <r>
    <s v="SHP-31012"/>
    <d v="2024-01-09T00:00:00"/>
    <s v="North"/>
    <s v="Noida"/>
    <s v="Local Hub"/>
    <s v="Critical"/>
    <s v="System"/>
    <s v="Medium"/>
    <n v="1"/>
    <n v="6"/>
    <n v="5"/>
    <s v="Yes"/>
    <n v="337"/>
    <n v="4790"/>
    <n v="9125"/>
    <n v="0"/>
    <s v="No"/>
    <s v="Major"/>
    <n v="1825"/>
    <n v="958"/>
    <n v="2024"/>
    <n v="1"/>
    <n v="1"/>
  </r>
  <r>
    <s v="SHP-31013"/>
    <d v="2024-03-02T00:00:00"/>
    <s v="South"/>
    <s v="Bengaluru"/>
    <s v="Local Hub"/>
    <s v="Standard"/>
    <s v="Routing"/>
    <s v="Low"/>
    <n v="5"/>
    <n v="8"/>
    <n v="3"/>
    <s v="Yes"/>
    <n v="295"/>
    <n v="7329"/>
    <n v="6180"/>
    <n v="0"/>
    <s v="No"/>
    <s v="Major"/>
    <n v="2060"/>
    <n v="2443"/>
    <n v="2024"/>
    <n v="3"/>
    <n v="1"/>
  </r>
  <r>
    <s v="SHP-31014"/>
    <d v="2024-06-19T00:00:00"/>
    <s v="South"/>
    <s v="Chennai"/>
    <s v="Regional Hub"/>
    <s v="Standard"/>
    <s v="Documentation"/>
    <s v="Medium"/>
    <n v="2"/>
    <n v="4"/>
    <n v="2"/>
    <s v="Yes"/>
    <n v="493"/>
    <n v="4848"/>
    <n v="6738"/>
    <n v="0"/>
    <s v="No"/>
    <s v="Minor"/>
    <n v="3369"/>
    <n v="2424"/>
    <n v="2024"/>
    <n v="6"/>
    <n v="1"/>
  </r>
  <r>
    <s v="SHP-31015"/>
    <d v="2024-08-24T00:00:00"/>
    <s v="East"/>
    <s v="Kolkata"/>
    <s v="Local Hub"/>
    <s v="Standard"/>
    <s v="Capacity"/>
    <s v="Low"/>
    <n v="2"/>
    <n v="4"/>
    <n v="2"/>
    <s v="Yes"/>
    <n v="224"/>
    <n v="2492"/>
    <n v="8566"/>
    <n v="0"/>
    <s v="No"/>
    <s v="Minor"/>
    <n v="4283"/>
    <n v="1246"/>
    <n v="2024"/>
    <n v="8"/>
    <n v="1"/>
  </r>
  <r>
    <s v="SHP-31016"/>
    <d v="2024-11-09T00:00:00"/>
    <s v="East"/>
    <s v="Kolkata"/>
    <s v="Central Hub"/>
    <s v="Standard"/>
    <s v="Weather"/>
    <s v="Low"/>
    <n v="3"/>
    <n v="7"/>
    <n v="4"/>
    <s v="Yes"/>
    <n v="256"/>
    <n v="9864"/>
    <n v="10308"/>
    <n v="0"/>
    <s v="No"/>
    <s v="Major"/>
    <n v="2577"/>
    <n v="2466"/>
    <n v="2024"/>
    <n v="11"/>
    <n v="1"/>
  </r>
  <r>
    <s v="SHP-31017"/>
    <d v="2024-12-19T00:00:00"/>
    <s v="South"/>
    <s v="Chennai"/>
    <s v="Local Hub"/>
    <s v="Express"/>
    <s v="Capacity"/>
    <s v="Low"/>
    <n v="1"/>
    <n v="2"/>
    <n v="1"/>
    <s v="Yes"/>
    <n v="450"/>
    <n v="1036"/>
    <n v="3856"/>
    <n v="0"/>
    <s v="No"/>
    <s v="Minor"/>
    <n v="3856"/>
    <n v="1036"/>
    <n v="2024"/>
    <n v="12"/>
    <n v="1"/>
  </r>
  <r>
    <s v="SHP-31018"/>
    <d v="2024-05-09T00:00:00"/>
    <s v="East"/>
    <s v="Kolkata"/>
    <s v="Regional Hub"/>
    <s v="Express"/>
    <s v="Routing"/>
    <s v="Medium"/>
    <n v="2"/>
    <n v="6"/>
    <n v="4"/>
    <s v="Yes"/>
    <n v="59"/>
    <n v="9900"/>
    <n v="6348"/>
    <n v="0"/>
    <s v="No"/>
    <s v="Major"/>
    <n v="1587"/>
    <n v="2475"/>
    <n v="2024"/>
    <n v="5"/>
    <n v="1"/>
  </r>
  <r>
    <s v="SHP-31019"/>
    <d v="2024-12-25T00:00:00"/>
    <s v="South"/>
    <s v="Chennai"/>
    <s v="Local Hub"/>
    <s v="Express"/>
    <s v="System"/>
    <s v="Medium"/>
    <n v="1"/>
    <n v="5"/>
    <n v="4"/>
    <s v="Yes"/>
    <n v="285"/>
    <n v="9336"/>
    <n v="9024"/>
    <n v="0"/>
    <s v="No"/>
    <s v="Major"/>
    <n v="2256"/>
    <n v="2334"/>
    <n v="2024"/>
    <n v="12"/>
    <n v="1"/>
  </r>
  <r>
    <s v="SHP-31020"/>
    <d v="2024-01-21T00:00:00"/>
    <s v="South"/>
    <s v="Bengaluru"/>
    <s v="Local Hub"/>
    <s v="Express"/>
    <s v="Documentation"/>
    <s v="Low"/>
    <n v="1"/>
    <n v="6"/>
    <n v="5"/>
    <s v="Yes"/>
    <n v="355"/>
    <n v="4720"/>
    <n v="18885"/>
    <n v="0"/>
    <s v="No"/>
    <s v="Major"/>
    <n v="3777"/>
    <n v="944"/>
    <n v="2024"/>
    <n v="1"/>
    <n v="1"/>
  </r>
  <r>
    <s v="SHP-31021"/>
    <d v="2024-06-12T00:00:00"/>
    <s v="North"/>
    <s v="Noida"/>
    <s v="Regional Hub"/>
    <s v="Standard"/>
    <s v="System"/>
    <s v="Medium"/>
    <n v="3"/>
    <n v="5"/>
    <n v="2"/>
    <s v="Yes"/>
    <n v="122"/>
    <n v="4414"/>
    <n v="3964"/>
    <n v="0"/>
    <s v="No"/>
    <s v="Minor"/>
    <n v="1982"/>
    <n v="2207"/>
    <n v="2024"/>
    <n v="6"/>
    <n v="1"/>
  </r>
  <r>
    <s v="SHP-31022"/>
    <d v="2024-11-27T00:00:00"/>
    <s v="North"/>
    <s v="Delhi"/>
    <s v="Regional Hub"/>
    <s v="Standard"/>
    <s v="Weather"/>
    <s v="Medium"/>
    <n v="3"/>
    <n v="4"/>
    <n v="1"/>
    <s v="Yes"/>
    <n v="188"/>
    <n v="1276"/>
    <n v="3716"/>
    <n v="0"/>
    <s v="No"/>
    <s v="Minor"/>
    <n v="3716"/>
    <n v="1276"/>
    <n v="2024"/>
    <n v="11"/>
    <n v="1"/>
  </r>
  <r>
    <s v="SHP-31023"/>
    <d v="2024-10-29T00:00:00"/>
    <s v="West"/>
    <s v="Pune"/>
    <s v="Local Hub"/>
    <s v="Standard"/>
    <s v="Capacity"/>
    <s v="Medium"/>
    <n v="2"/>
    <n v="3"/>
    <n v="1"/>
    <s v="Yes"/>
    <n v="330"/>
    <n v="1883"/>
    <n v="1548"/>
    <n v="0"/>
    <s v="No"/>
    <s v="Minor"/>
    <n v="1548"/>
    <n v="1883"/>
    <n v="2024"/>
    <n v="10"/>
    <n v="1"/>
  </r>
  <r>
    <s v="SHP-31024"/>
    <d v="2024-09-24T00:00:00"/>
    <s v="North"/>
    <s v="Noida"/>
    <s v="Regional Hub"/>
    <s v="Express"/>
    <s v="Capacity"/>
    <s v="Low"/>
    <n v="2"/>
    <n v="4"/>
    <n v="2"/>
    <s v="Yes"/>
    <n v="331"/>
    <n v="2912"/>
    <n v="8780"/>
    <n v="0"/>
    <s v="No"/>
    <s v="Minor"/>
    <n v="4390"/>
    <n v="1456"/>
    <n v="2024"/>
    <n v="9"/>
    <n v="1"/>
  </r>
  <r>
    <s v="SHP-31025"/>
    <d v="2024-01-13T00:00:00"/>
    <s v="West"/>
    <s v="Mumbai"/>
    <s v="Central Hub"/>
    <s v="Standard"/>
    <s v="System"/>
    <s v="Low"/>
    <n v="2"/>
    <n v="4"/>
    <n v="2"/>
    <s v="Yes"/>
    <n v="332"/>
    <n v="4660"/>
    <n v="9502"/>
    <n v="0"/>
    <s v="No"/>
    <s v="Minor"/>
    <n v="4751"/>
    <n v="2330"/>
    <n v="2024"/>
    <n v="1"/>
    <n v="1"/>
  </r>
  <r>
    <s v="SHP-31026"/>
    <d v="2024-09-03T00:00:00"/>
    <s v="South"/>
    <s v="Chennai"/>
    <s v="Regional Hub"/>
    <s v="Standard"/>
    <s v="Routing"/>
    <s v="Medium"/>
    <n v="1"/>
    <n v="6"/>
    <n v="5"/>
    <s v="Yes"/>
    <n v="479"/>
    <n v="12435"/>
    <n v="21420"/>
    <n v="0"/>
    <s v="No"/>
    <s v="Major"/>
    <n v="4284"/>
    <n v="2487"/>
    <n v="2024"/>
    <n v="9"/>
    <n v="1"/>
  </r>
  <r>
    <s v="SHP-31027"/>
    <d v="2024-04-10T00:00:00"/>
    <s v="West"/>
    <s v="Pune"/>
    <s v="Local Hub"/>
    <s v="Express"/>
    <s v="Routing"/>
    <s v="Low"/>
    <n v="2"/>
    <n v="4"/>
    <n v="2"/>
    <s v="Yes"/>
    <n v="488"/>
    <n v="4408"/>
    <n v="5028"/>
    <n v="0"/>
    <s v="No"/>
    <s v="Minor"/>
    <n v="2514"/>
    <n v="2204"/>
    <n v="2024"/>
    <n v="4"/>
    <n v="1"/>
  </r>
  <r>
    <s v="SHP-31028"/>
    <d v="2024-02-05T00:00:00"/>
    <s v="East"/>
    <s v="Kolkata"/>
    <s v="Regional Hub"/>
    <s v="Express"/>
    <s v="Capacity"/>
    <s v="Low"/>
    <n v="5"/>
    <n v="8"/>
    <n v="3"/>
    <s v="Yes"/>
    <n v="249"/>
    <n v="6474"/>
    <n v="11160"/>
    <n v="0"/>
    <s v="No"/>
    <s v="Major"/>
    <n v="3720"/>
    <n v="2158"/>
    <n v="2024"/>
    <n v="2"/>
    <n v="1"/>
  </r>
  <r>
    <s v="SHP-31029"/>
    <d v="2024-02-18T00:00:00"/>
    <s v="East"/>
    <s v="Kolkata"/>
    <s v="Local Hub"/>
    <s v="Critical"/>
    <s v="Documentation"/>
    <s v="Medium"/>
    <n v="2"/>
    <n v="6"/>
    <n v="4"/>
    <s v="Yes"/>
    <n v="308"/>
    <n v="6212"/>
    <n v="8112"/>
    <n v="0"/>
    <s v="No"/>
    <s v="Major"/>
    <n v="2028"/>
    <n v="1553"/>
    <n v="2024"/>
    <n v="2"/>
    <n v="1"/>
  </r>
  <r>
    <s v="SHP-31030"/>
    <d v="2024-09-01T00:00:00"/>
    <s v="South"/>
    <s v="Bengaluru"/>
    <s v="Central Hub"/>
    <s v="Standard"/>
    <s v="Documentation"/>
    <s v="Low"/>
    <n v="1"/>
    <n v="1"/>
    <n v="0"/>
    <s v="No"/>
    <n v="381"/>
    <n v="0"/>
    <n v="0"/>
    <n v="1"/>
    <s v="No"/>
    <s v="On Time"/>
    <n v="0"/>
    <n v="0"/>
    <n v="2024"/>
    <n v="9"/>
    <n v="0"/>
  </r>
  <r>
    <s v="SHP-31031"/>
    <d v="2024-12-11T00:00:00"/>
    <s v="South"/>
    <s v="Bengaluru"/>
    <s v="Central Hub"/>
    <s v="Standard"/>
    <s v="Weather"/>
    <s v="High"/>
    <n v="2"/>
    <n v="5"/>
    <n v="3"/>
    <s v="Yes"/>
    <n v="176"/>
    <n v="6279"/>
    <n v="7407"/>
    <n v="0"/>
    <s v="No"/>
    <s v="Major"/>
    <n v="2469"/>
    <n v="2093"/>
    <n v="2024"/>
    <n v="12"/>
    <n v="1"/>
  </r>
  <r>
    <s v="SHP-31032"/>
    <d v="2024-10-19T00:00:00"/>
    <s v="North"/>
    <s v="Noida"/>
    <s v="Regional Hub"/>
    <s v="Express"/>
    <s v="Capacity"/>
    <s v="Medium"/>
    <n v="3"/>
    <n v="8"/>
    <n v="5"/>
    <s v="Yes"/>
    <n v="394"/>
    <n v="11115"/>
    <n v="14695"/>
    <n v="0"/>
    <s v="No"/>
    <s v="Major"/>
    <n v="2939"/>
    <n v="2223"/>
    <n v="2024"/>
    <n v="10"/>
    <n v="1"/>
  </r>
  <r>
    <s v="SHP-31033"/>
    <d v="2024-05-13T00:00:00"/>
    <s v="South"/>
    <s v="Chennai"/>
    <s v="Local Hub"/>
    <s v="Express"/>
    <s v="Capacity"/>
    <s v="Medium"/>
    <n v="2"/>
    <n v="2"/>
    <n v="0"/>
    <s v="No"/>
    <n v="348"/>
    <n v="0"/>
    <n v="0"/>
    <n v="1"/>
    <s v="No"/>
    <s v="On Time"/>
    <n v="0"/>
    <n v="0"/>
    <n v="2024"/>
    <n v="5"/>
    <n v="0"/>
  </r>
  <r>
    <s v="SHP-31034"/>
    <d v="2024-12-29T00:00:00"/>
    <s v="South"/>
    <s v="Chennai"/>
    <s v="Regional Hub"/>
    <s v="Standard"/>
    <s v="Capacity"/>
    <s v="Medium"/>
    <n v="1"/>
    <n v="5"/>
    <n v="4"/>
    <s v="Yes"/>
    <n v="443"/>
    <n v="4352"/>
    <n v="6060"/>
    <n v="0"/>
    <s v="No"/>
    <s v="Major"/>
    <n v="1515"/>
    <n v="1088"/>
    <n v="2024"/>
    <n v="12"/>
    <n v="1"/>
  </r>
  <r>
    <s v="SHP-31035"/>
    <d v="2024-01-18T00:00:00"/>
    <s v="South"/>
    <s v="Chennai"/>
    <s v="Regional Hub"/>
    <s v="Critical"/>
    <s v="Routing"/>
    <s v="Low"/>
    <n v="3"/>
    <n v="10"/>
    <n v="7"/>
    <s v="Yes"/>
    <n v="259"/>
    <n v="13986"/>
    <n v="24248"/>
    <n v="0"/>
    <s v="No"/>
    <s v="Severe"/>
    <n v="3464"/>
    <n v="1998"/>
    <n v="2024"/>
    <n v="1"/>
    <n v="1"/>
  </r>
  <r>
    <s v="SHP-31036"/>
    <d v="2024-01-25T00:00:00"/>
    <s v="North"/>
    <s v="Noida"/>
    <s v="Central Hub"/>
    <s v="Standard"/>
    <s v="Routing"/>
    <s v="Low"/>
    <n v="3"/>
    <n v="5"/>
    <n v="2"/>
    <s v="Yes"/>
    <n v="169"/>
    <n v="2176"/>
    <n v="7342"/>
    <n v="0"/>
    <s v="No"/>
    <s v="Minor"/>
    <n v="3671"/>
    <n v="1088"/>
    <n v="2024"/>
    <n v="1"/>
    <n v="1"/>
  </r>
  <r>
    <s v="SHP-31037"/>
    <d v="2024-12-26T00:00:00"/>
    <s v="East"/>
    <s v="Kolkata"/>
    <s v="Central Hub"/>
    <s v="Standard"/>
    <s v="Documentation"/>
    <s v="Low"/>
    <n v="2"/>
    <n v="7"/>
    <n v="5"/>
    <s v="Yes"/>
    <n v="235"/>
    <n v="4595"/>
    <n v="24605"/>
    <n v="0"/>
    <s v="No"/>
    <s v="Major"/>
    <n v="4921"/>
    <n v="919"/>
    <n v="2024"/>
    <n v="12"/>
    <n v="1"/>
  </r>
  <r>
    <s v="SHP-31038"/>
    <d v="2024-05-19T00:00:00"/>
    <s v="West"/>
    <s v="Pune"/>
    <s v="Central Hub"/>
    <s v="Standard"/>
    <s v="Routing"/>
    <s v="High"/>
    <n v="3"/>
    <n v="10"/>
    <n v="7"/>
    <s v="Yes"/>
    <n v="326"/>
    <n v="12908"/>
    <n v="33551"/>
    <n v="0"/>
    <s v="No"/>
    <s v="Severe"/>
    <n v="4793"/>
    <n v="1844"/>
    <n v="2024"/>
    <n v="5"/>
    <n v="1"/>
  </r>
  <r>
    <s v="SHP-31039"/>
    <d v="2024-08-26T00:00:00"/>
    <s v="West"/>
    <s v="Pune"/>
    <s v="Local Hub"/>
    <s v="Express"/>
    <s v="Routing"/>
    <s v="Low"/>
    <n v="1"/>
    <n v="6"/>
    <n v="5"/>
    <s v="Yes"/>
    <n v="318"/>
    <n v="9300"/>
    <n v="8815"/>
    <n v="0"/>
    <s v="No"/>
    <s v="Major"/>
    <n v="1763"/>
    <n v="1860"/>
    <n v="2024"/>
    <n v="8"/>
    <n v="1"/>
  </r>
  <r>
    <s v="SHP-31040"/>
    <d v="2024-08-24T00:00:00"/>
    <s v="East"/>
    <s v="Bhubaneswar"/>
    <s v="Regional Hub"/>
    <s v="Standard"/>
    <s v="Weather"/>
    <s v="Medium"/>
    <n v="3"/>
    <n v="5"/>
    <n v="2"/>
    <s v="Yes"/>
    <n v="293"/>
    <n v="4028"/>
    <n v="3082"/>
    <n v="0"/>
    <s v="No"/>
    <s v="Minor"/>
    <n v="1541"/>
    <n v="2014"/>
    <n v="2024"/>
    <n v="8"/>
    <n v="1"/>
  </r>
  <r>
    <s v="SHP-31041"/>
    <d v="2024-07-29T00:00:00"/>
    <s v="West"/>
    <s v="Mumbai"/>
    <s v="Central Hub"/>
    <s v="Standard"/>
    <s v="Capacity"/>
    <s v="Medium"/>
    <n v="2"/>
    <n v="2"/>
    <n v="0"/>
    <s v="No"/>
    <n v="404"/>
    <n v="0"/>
    <n v="0"/>
    <n v="1"/>
    <s v="No"/>
    <s v="On Time"/>
    <n v="0"/>
    <n v="0"/>
    <n v="2024"/>
    <n v="7"/>
    <n v="0"/>
  </r>
  <r>
    <s v="SHP-31042"/>
    <d v="2024-08-15T00:00:00"/>
    <s v="South"/>
    <s v="Chennai"/>
    <s v="Regional Hub"/>
    <s v="Standard"/>
    <s v="Weather"/>
    <s v="Low"/>
    <n v="1"/>
    <n v="5"/>
    <n v="4"/>
    <s v="Yes"/>
    <n v="64"/>
    <n v="5768"/>
    <n v="18944"/>
    <n v="0"/>
    <s v="No"/>
    <s v="Major"/>
    <n v="4736"/>
    <n v="1442"/>
    <n v="2024"/>
    <n v="8"/>
    <n v="1"/>
  </r>
  <r>
    <s v="SHP-31043"/>
    <d v="2024-05-18T00:00:00"/>
    <s v="West"/>
    <s v="Pune"/>
    <s v="Central Hub"/>
    <s v="Express"/>
    <s v="Weather"/>
    <s v="Medium"/>
    <n v="2"/>
    <n v="5"/>
    <n v="3"/>
    <s v="Yes"/>
    <n v="121"/>
    <n v="6000"/>
    <n v="10662"/>
    <n v="0"/>
    <s v="No"/>
    <s v="Major"/>
    <n v="3554"/>
    <n v="2000"/>
    <n v="2024"/>
    <n v="5"/>
    <n v="1"/>
  </r>
  <r>
    <s v="SHP-31044"/>
    <d v="2024-04-12T00:00:00"/>
    <s v="East"/>
    <s v="Bhubaneswar"/>
    <s v="Local Hub"/>
    <s v="Critical"/>
    <s v="System"/>
    <s v="Low"/>
    <n v="2"/>
    <n v="4"/>
    <n v="2"/>
    <s v="Yes"/>
    <n v="471"/>
    <n v="1840"/>
    <n v="9054"/>
    <n v="0"/>
    <s v="No"/>
    <s v="Minor"/>
    <n v="4527"/>
    <n v="920"/>
    <n v="2024"/>
    <n v="4"/>
    <n v="1"/>
  </r>
  <r>
    <s v="SHP-31045"/>
    <d v="2024-11-20T00:00:00"/>
    <s v="South"/>
    <s v="Chennai"/>
    <s v="Central Hub"/>
    <s v="Standard"/>
    <s v="Capacity"/>
    <s v="Low"/>
    <n v="1"/>
    <n v="3"/>
    <n v="2"/>
    <s v="Yes"/>
    <n v="294"/>
    <n v="4096"/>
    <n v="9344"/>
    <n v="0"/>
    <s v="No"/>
    <s v="Minor"/>
    <n v="4672"/>
    <n v="2048"/>
    <n v="2024"/>
    <n v="11"/>
    <n v="1"/>
  </r>
  <r>
    <s v="SHP-31046"/>
    <d v="2024-03-22T00:00:00"/>
    <s v="North"/>
    <s v="Noida"/>
    <s v="Local Hub"/>
    <s v="Critical"/>
    <s v="Capacity"/>
    <s v="High"/>
    <n v="2"/>
    <n v="9"/>
    <n v="7"/>
    <s v="Yes"/>
    <n v="387"/>
    <n v="8484"/>
    <n v="16086"/>
    <n v="0"/>
    <s v="No"/>
    <s v="Severe"/>
    <n v="2298"/>
    <n v="1212"/>
    <n v="2024"/>
    <n v="3"/>
    <n v="1"/>
  </r>
  <r>
    <s v="SHP-31047"/>
    <d v="2024-11-19T00:00:00"/>
    <s v="North"/>
    <s v="Noida"/>
    <s v="Regional Hub"/>
    <s v="Standard"/>
    <s v="Routing"/>
    <s v="Low"/>
    <n v="5"/>
    <n v="9"/>
    <n v="4"/>
    <s v="Yes"/>
    <n v="369"/>
    <n v="9532"/>
    <n v="12616"/>
    <n v="0"/>
    <s v="No"/>
    <s v="Major"/>
    <n v="3154"/>
    <n v="2383"/>
    <n v="2024"/>
    <n v="11"/>
    <n v="1"/>
  </r>
  <r>
    <s v="SHP-31048"/>
    <d v="2024-06-28T00:00:00"/>
    <s v="South"/>
    <s v="Bengaluru"/>
    <s v="Local Hub"/>
    <s v="Standard"/>
    <s v="Weather"/>
    <s v="Low"/>
    <n v="5"/>
    <n v="6"/>
    <n v="1"/>
    <s v="Yes"/>
    <n v="369"/>
    <n v="2115"/>
    <n v="3568"/>
    <n v="0"/>
    <s v="No"/>
    <s v="Minor"/>
    <n v="3568"/>
    <n v="2115"/>
    <n v="2024"/>
    <n v="6"/>
    <n v="1"/>
  </r>
  <r>
    <s v="SHP-31049"/>
    <d v="2024-04-08T00:00:00"/>
    <s v="North"/>
    <s v="Delhi"/>
    <s v="Regional Hub"/>
    <s v="Standard"/>
    <s v="Weather"/>
    <s v="Medium"/>
    <n v="2"/>
    <n v="3"/>
    <n v="1"/>
    <s v="Yes"/>
    <n v="344"/>
    <n v="1204"/>
    <n v="2036"/>
    <n v="0"/>
    <s v="No"/>
    <s v="Minor"/>
    <n v="2036"/>
    <n v="1204"/>
    <n v="2024"/>
    <n v="4"/>
    <n v="1"/>
  </r>
  <r>
    <s v="SHP-31050"/>
    <d v="2024-02-29T00:00:00"/>
    <s v="East"/>
    <s v="Bhubaneswar"/>
    <s v="Regional Hub"/>
    <s v="Express"/>
    <s v="Weather"/>
    <s v="Low"/>
    <n v="3"/>
    <n v="3"/>
    <n v="0"/>
    <s v="No"/>
    <n v="93"/>
    <n v="0"/>
    <n v="0"/>
    <n v="1"/>
    <s v="No"/>
    <s v="On Time"/>
    <n v="0"/>
    <n v="0"/>
    <n v="2024"/>
    <n v="2"/>
    <n v="0"/>
  </r>
  <r>
    <s v="SHP-31051"/>
    <d v="2024-01-07T00:00:00"/>
    <s v="West"/>
    <s v="Pune"/>
    <s v="Local Hub"/>
    <s v="Critical"/>
    <s v="Documentation"/>
    <s v="Low"/>
    <n v="3"/>
    <n v="9"/>
    <n v="6"/>
    <s v="Yes"/>
    <n v="318"/>
    <n v="12060"/>
    <n v="15378"/>
    <n v="0"/>
    <s v="No"/>
    <s v="Severe"/>
    <n v="2563"/>
    <n v="2010"/>
    <n v="2024"/>
    <n v="1"/>
    <n v="1"/>
  </r>
  <r>
    <s v="SHP-31052"/>
    <d v="2024-01-03T00:00:00"/>
    <s v="South"/>
    <s v="Chennai"/>
    <s v="Local Hub"/>
    <s v="Critical"/>
    <s v="Weather"/>
    <s v="Low"/>
    <n v="5"/>
    <n v="7"/>
    <n v="2"/>
    <s v="Yes"/>
    <n v="343"/>
    <n v="3842"/>
    <n v="5880"/>
    <n v="0"/>
    <s v="No"/>
    <s v="Minor"/>
    <n v="2940"/>
    <n v="1921"/>
    <n v="2024"/>
    <n v="1"/>
    <n v="1"/>
  </r>
  <r>
    <s v="SHP-31053"/>
    <d v="2024-03-29T00:00:00"/>
    <s v="North"/>
    <s v="Delhi"/>
    <s v="Regional Hub"/>
    <s v="Standard"/>
    <s v="Weather"/>
    <s v="Medium"/>
    <n v="3"/>
    <n v="4"/>
    <n v="1"/>
    <s v="Yes"/>
    <n v="90"/>
    <n v="2491"/>
    <n v="4986"/>
    <n v="0"/>
    <s v="No"/>
    <s v="Minor"/>
    <n v="4986"/>
    <n v="2491"/>
    <n v="2024"/>
    <n v="3"/>
    <n v="1"/>
  </r>
  <r>
    <s v="SHP-31054"/>
    <d v="2024-12-05T00:00:00"/>
    <s v="South"/>
    <s v="Chennai"/>
    <s v="Regional Hub"/>
    <s v="Express"/>
    <s v="Weather"/>
    <s v="Low"/>
    <n v="3"/>
    <n v="8"/>
    <n v="5"/>
    <s v="Yes"/>
    <n v="193"/>
    <n v="12220"/>
    <n v="12470"/>
    <n v="0"/>
    <s v="No"/>
    <s v="Major"/>
    <n v="2494"/>
    <n v="2444"/>
    <n v="2024"/>
    <n v="12"/>
    <n v="1"/>
  </r>
  <r>
    <s v="SHP-31055"/>
    <d v="2024-12-13T00:00:00"/>
    <s v="South"/>
    <s v="Bengaluru"/>
    <s v="Regional Hub"/>
    <s v="Critical"/>
    <s v="Weather"/>
    <s v="High"/>
    <n v="3"/>
    <n v="7"/>
    <n v="4"/>
    <s v="Yes"/>
    <n v="389"/>
    <n v="9708"/>
    <n v="10844"/>
    <n v="0"/>
    <s v="No"/>
    <s v="Major"/>
    <n v="2711"/>
    <n v="2427"/>
    <n v="2024"/>
    <n v="12"/>
    <n v="1"/>
  </r>
  <r>
    <s v="SHP-31056"/>
    <d v="2024-12-14T00:00:00"/>
    <s v="West"/>
    <s v="Mumbai"/>
    <s v="Regional Hub"/>
    <s v="Critical"/>
    <s v="Routing"/>
    <s v="Low"/>
    <n v="1"/>
    <n v="5"/>
    <n v="4"/>
    <s v="Yes"/>
    <n v="51"/>
    <n v="9788"/>
    <n v="10396"/>
    <n v="0"/>
    <s v="No"/>
    <s v="Major"/>
    <n v="2599"/>
    <n v="2447"/>
    <n v="2024"/>
    <n v="12"/>
    <n v="1"/>
  </r>
  <r>
    <s v="SHP-31057"/>
    <d v="2024-03-26T00:00:00"/>
    <s v="West"/>
    <s v="Pune"/>
    <s v="Local Hub"/>
    <s v="Express"/>
    <s v="Capacity"/>
    <s v="Low"/>
    <n v="3"/>
    <n v="4"/>
    <n v="1"/>
    <s v="Yes"/>
    <n v="361"/>
    <n v="908"/>
    <n v="4387"/>
    <n v="0"/>
    <s v="No"/>
    <s v="Minor"/>
    <n v="4387"/>
    <n v="908"/>
    <n v="2024"/>
    <n v="3"/>
    <n v="1"/>
  </r>
  <r>
    <s v="SHP-31058"/>
    <d v="2024-12-05T00:00:00"/>
    <s v="South"/>
    <s v="Bengaluru"/>
    <s v="Regional Hub"/>
    <s v="Standard"/>
    <s v="System"/>
    <s v="High"/>
    <n v="3"/>
    <n v="8"/>
    <n v="5"/>
    <s v="Yes"/>
    <n v="111"/>
    <n v="9285"/>
    <n v="10525"/>
    <n v="0"/>
    <s v="No"/>
    <s v="Major"/>
    <n v="2105"/>
    <n v="1857"/>
    <n v="2024"/>
    <n v="12"/>
    <n v="1"/>
  </r>
  <r>
    <s v="SHP-31059"/>
    <d v="2024-09-24T00:00:00"/>
    <s v="East"/>
    <s v="Bhubaneswar"/>
    <s v="Regional Hub"/>
    <s v="Standard"/>
    <s v="Capacity"/>
    <s v="Medium"/>
    <n v="3"/>
    <n v="8"/>
    <n v="5"/>
    <s v="Yes"/>
    <n v="407"/>
    <n v="4760"/>
    <n v="20835"/>
    <n v="0"/>
    <s v="No"/>
    <s v="Major"/>
    <n v="4167"/>
    <n v="952"/>
    <n v="2024"/>
    <n v="9"/>
    <n v="1"/>
  </r>
  <r>
    <s v="SHP-31060"/>
    <d v="2024-06-26T00:00:00"/>
    <s v="South"/>
    <s v="Chennai"/>
    <s v="Local Hub"/>
    <s v="Express"/>
    <s v="Routing"/>
    <s v="Low"/>
    <n v="1"/>
    <n v="1"/>
    <n v="0"/>
    <s v="No"/>
    <n v="227"/>
    <n v="0"/>
    <n v="0"/>
    <n v="1"/>
    <s v="No"/>
    <s v="On Time"/>
    <n v="0"/>
    <n v="0"/>
    <n v="2024"/>
    <n v="6"/>
    <n v="0"/>
  </r>
  <r>
    <s v="SHP-31061"/>
    <d v="2024-06-22T00:00:00"/>
    <s v="East"/>
    <s v="Kolkata"/>
    <s v="Regional Hub"/>
    <s v="Standard"/>
    <s v="Capacity"/>
    <s v="Medium"/>
    <n v="2"/>
    <n v="4"/>
    <n v="2"/>
    <s v="Yes"/>
    <n v="247"/>
    <n v="4732"/>
    <n v="8338"/>
    <n v="0"/>
    <s v="No"/>
    <s v="Minor"/>
    <n v="4169"/>
    <n v="2366"/>
    <n v="2024"/>
    <n v="6"/>
    <n v="1"/>
  </r>
  <r>
    <s v="SHP-31062"/>
    <d v="2024-05-18T00:00:00"/>
    <s v="East"/>
    <s v="Kolkata"/>
    <s v="Regional Hub"/>
    <s v="Standard"/>
    <s v="Capacity"/>
    <s v="Low"/>
    <n v="1"/>
    <n v="5"/>
    <n v="4"/>
    <s v="Yes"/>
    <n v="152"/>
    <n v="6024"/>
    <n v="17248"/>
    <n v="0"/>
    <s v="No"/>
    <s v="Major"/>
    <n v="4312"/>
    <n v="1506"/>
    <n v="2024"/>
    <n v="5"/>
    <n v="1"/>
  </r>
  <r>
    <s v="SHP-31063"/>
    <d v="2024-11-30T00:00:00"/>
    <s v="South"/>
    <s v="Chennai"/>
    <s v="Regional Hub"/>
    <s v="Express"/>
    <s v="Capacity"/>
    <s v="Low"/>
    <n v="3"/>
    <n v="7"/>
    <n v="4"/>
    <s v="Yes"/>
    <n v="425"/>
    <n v="8452"/>
    <n v="6744"/>
    <n v="0"/>
    <s v="No"/>
    <s v="Major"/>
    <n v="1686"/>
    <n v="2113"/>
    <n v="2024"/>
    <n v="11"/>
    <n v="1"/>
  </r>
  <r>
    <s v="SHP-31064"/>
    <d v="2024-11-25T00:00:00"/>
    <s v="East"/>
    <s v="Kolkata"/>
    <s v="Regional Hub"/>
    <s v="Standard"/>
    <s v="System"/>
    <s v="Medium"/>
    <n v="2"/>
    <n v="5"/>
    <n v="3"/>
    <s v="Yes"/>
    <n v="374"/>
    <n v="7266"/>
    <n v="11271"/>
    <n v="0"/>
    <s v="No"/>
    <s v="Major"/>
    <n v="3757"/>
    <n v="2422"/>
    <n v="2024"/>
    <n v="11"/>
    <n v="1"/>
  </r>
  <r>
    <s v="SHP-31065"/>
    <d v="2024-01-18T00:00:00"/>
    <s v="North"/>
    <s v="Noida"/>
    <s v="Local Hub"/>
    <s v="Standard"/>
    <s v="Documentation"/>
    <s v="Low"/>
    <n v="3"/>
    <n v="7"/>
    <n v="4"/>
    <s v="Yes"/>
    <n v="273"/>
    <n v="7392"/>
    <n v="10180"/>
    <n v="0"/>
    <s v="No"/>
    <s v="Major"/>
    <n v="2545"/>
    <n v="1848"/>
    <n v="2024"/>
    <n v="1"/>
    <n v="1"/>
  </r>
  <r>
    <s v="SHP-31066"/>
    <d v="2024-03-30T00:00:00"/>
    <s v="South"/>
    <s v="Bengaluru"/>
    <s v="Local Hub"/>
    <s v="Express"/>
    <s v="Routing"/>
    <s v="Low"/>
    <n v="1"/>
    <n v="4"/>
    <n v="3"/>
    <s v="Yes"/>
    <n v="230"/>
    <n v="5931"/>
    <n v="10365"/>
    <n v="0"/>
    <s v="No"/>
    <s v="Major"/>
    <n v="3455"/>
    <n v="1977"/>
    <n v="2024"/>
    <n v="3"/>
    <n v="1"/>
  </r>
  <r>
    <s v="SHP-31067"/>
    <d v="2024-07-21T00:00:00"/>
    <s v="West"/>
    <s v="Mumbai"/>
    <s v="Central Hub"/>
    <s v="Standard"/>
    <s v="Capacity"/>
    <s v="Low"/>
    <n v="1"/>
    <n v="3"/>
    <n v="2"/>
    <s v="Yes"/>
    <n v="344"/>
    <n v="2508"/>
    <n v="9616"/>
    <n v="0"/>
    <s v="No"/>
    <s v="Minor"/>
    <n v="4808"/>
    <n v="1254"/>
    <n v="2024"/>
    <n v="7"/>
    <n v="1"/>
  </r>
  <r>
    <s v="SHP-31068"/>
    <d v="2024-09-01T00:00:00"/>
    <s v="South"/>
    <s v="Chennai"/>
    <s v="Central Hub"/>
    <s v="Standard"/>
    <s v="Documentation"/>
    <s v="Medium"/>
    <n v="2"/>
    <n v="6"/>
    <n v="4"/>
    <s v="Yes"/>
    <n v="448"/>
    <n v="8272"/>
    <n v="10844"/>
    <n v="0"/>
    <s v="No"/>
    <s v="Major"/>
    <n v="2711"/>
    <n v="2068"/>
    <n v="2024"/>
    <n v="9"/>
    <n v="1"/>
  </r>
  <r>
    <s v="SHP-31069"/>
    <d v="2024-06-08T00:00:00"/>
    <s v="North"/>
    <s v="Noida"/>
    <s v="Local Hub"/>
    <s v="Critical"/>
    <s v="Capacity"/>
    <s v="High"/>
    <n v="3"/>
    <n v="12"/>
    <n v="9"/>
    <s v="Yes"/>
    <n v="325"/>
    <n v="15489"/>
    <n v="43578"/>
    <n v="0"/>
    <s v="No"/>
    <s v="Severe"/>
    <n v="4842"/>
    <n v="1721"/>
    <n v="2024"/>
    <n v="6"/>
    <n v="1"/>
  </r>
  <r>
    <s v="SHP-31070"/>
    <d v="2024-11-14T00:00:00"/>
    <s v="North"/>
    <s v="Delhi"/>
    <s v="Central Hub"/>
    <s v="Standard"/>
    <s v="Weather"/>
    <s v="Low"/>
    <n v="1"/>
    <n v="1"/>
    <n v="0"/>
    <s v="No"/>
    <n v="146"/>
    <n v="0"/>
    <n v="0"/>
    <n v="1"/>
    <s v="No"/>
    <s v="On Time"/>
    <n v="0"/>
    <n v="0"/>
    <n v="2024"/>
    <n v="11"/>
    <n v="0"/>
  </r>
  <r>
    <s v="SHP-31071"/>
    <d v="2024-06-18T00:00:00"/>
    <s v="East"/>
    <s v="Kolkata"/>
    <s v="Regional Hub"/>
    <s v="Critical"/>
    <s v="System"/>
    <s v="High"/>
    <n v="1"/>
    <n v="8"/>
    <n v="7"/>
    <s v="Yes"/>
    <n v="462"/>
    <n v="9163"/>
    <n v="24094"/>
    <n v="0"/>
    <s v="No"/>
    <s v="Severe"/>
    <n v="3442"/>
    <n v="1309"/>
    <n v="2024"/>
    <n v="6"/>
    <n v="1"/>
  </r>
  <r>
    <s v="SHP-31072"/>
    <d v="2024-06-09T00:00:00"/>
    <s v="West"/>
    <s v="Pune"/>
    <s v="Central Hub"/>
    <s v="Critical"/>
    <s v="Weather"/>
    <s v="Medium"/>
    <n v="2"/>
    <n v="7"/>
    <n v="5"/>
    <s v="Yes"/>
    <n v="485"/>
    <n v="10840"/>
    <n v="11370"/>
    <n v="0"/>
    <s v="No"/>
    <s v="Major"/>
    <n v="2274"/>
    <n v="2168"/>
    <n v="2024"/>
    <n v="6"/>
    <n v="1"/>
  </r>
  <r>
    <s v="SHP-31073"/>
    <d v="2024-02-29T00:00:00"/>
    <s v="North"/>
    <s v="Delhi"/>
    <s v="Regional Hub"/>
    <s v="Critical"/>
    <s v="Routing"/>
    <s v="Medium"/>
    <n v="1"/>
    <n v="3"/>
    <n v="2"/>
    <s v="Yes"/>
    <n v="276"/>
    <n v="1994"/>
    <n v="4000"/>
    <n v="0"/>
    <s v="No"/>
    <s v="Minor"/>
    <n v="2000"/>
    <n v="997"/>
    <n v="2024"/>
    <n v="2"/>
    <n v="1"/>
  </r>
  <r>
    <s v="SHP-31074"/>
    <d v="2024-07-16T00:00:00"/>
    <s v="East"/>
    <s v="Kolkata"/>
    <s v="Regional Hub"/>
    <s v="Standard"/>
    <s v="System"/>
    <s v="Low"/>
    <n v="1"/>
    <n v="2"/>
    <n v="1"/>
    <s v="Yes"/>
    <n v="220"/>
    <n v="1533"/>
    <n v="2176"/>
    <n v="0"/>
    <s v="No"/>
    <s v="Minor"/>
    <n v="2176"/>
    <n v="1533"/>
    <n v="2024"/>
    <n v="7"/>
    <n v="1"/>
  </r>
  <r>
    <s v="SHP-31075"/>
    <d v="2024-04-07T00:00:00"/>
    <s v="West"/>
    <s v="Pune"/>
    <s v="Regional Hub"/>
    <s v="Express"/>
    <s v="System"/>
    <s v="Low"/>
    <n v="3"/>
    <n v="4"/>
    <n v="1"/>
    <s v="Yes"/>
    <n v="472"/>
    <n v="1991"/>
    <n v="2531"/>
    <n v="0"/>
    <s v="No"/>
    <s v="Minor"/>
    <n v="2531"/>
    <n v="1991"/>
    <n v="2024"/>
    <n v="4"/>
    <n v="1"/>
  </r>
  <r>
    <s v="SHP-31076"/>
    <d v="2024-04-23T00:00:00"/>
    <s v="South"/>
    <s v="Bengaluru"/>
    <s v="Regional Hub"/>
    <s v="Standard"/>
    <s v="Capacity"/>
    <s v="Low"/>
    <n v="3"/>
    <n v="6"/>
    <n v="3"/>
    <s v="Yes"/>
    <n v="130"/>
    <n v="4443"/>
    <n v="9660"/>
    <n v="0"/>
    <s v="No"/>
    <s v="Major"/>
    <n v="3220"/>
    <n v="1481"/>
    <n v="2024"/>
    <n v="4"/>
    <n v="1"/>
  </r>
  <r>
    <s v="SHP-31077"/>
    <d v="2024-10-16T00:00:00"/>
    <s v="West"/>
    <s v="Pune"/>
    <s v="Central Hub"/>
    <s v="Standard"/>
    <s v="Weather"/>
    <s v="High"/>
    <n v="3"/>
    <n v="9"/>
    <n v="6"/>
    <s v="Yes"/>
    <n v="234"/>
    <n v="6240"/>
    <n v="28218"/>
    <n v="0"/>
    <s v="No"/>
    <s v="Severe"/>
    <n v="4703"/>
    <n v="1040"/>
    <n v="2024"/>
    <n v="10"/>
    <n v="1"/>
  </r>
  <r>
    <s v="SHP-31078"/>
    <d v="2024-12-29T00:00:00"/>
    <s v="East"/>
    <s v="Kolkata"/>
    <s v="Central Hub"/>
    <s v="Express"/>
    <s v="Capacity"/>
    <s v="Medium"/>
    <n v="2"/>
    <n v="5"/>
    <n v="3"/>
    <s v="Yes"/>
    <n v="322"/>
    <n v="4659"/>
    <n v="10743"/>
    <n v="0"/>
    <s v="No"/>
    <s v="Major"/>
    <n v="3581"/>
    <n v="1553"/>
    <n v="2024"/>
    <n v="12"/>
    <n v="1"/>
  </r>
  <r>
    <s v="SHP-31079"/>
    <d v="2024-02-07T00:00:00"/>
    <s v="South"/>
    <s v="Chennai"/>
    <s v="Local Hub"/>
    <s v="Express"/>
    <s v="Documentation"/>
    <s v="Low"/>
    <n v="2"/>
    <n v="6"/>
    <n v="4"/>
    <s v="Yes"/>
    <n v="239"/>
    <n v="5164"/>
    <n v="13520"/>
    <n v="0"/>
    <s v="No"/>
    <s v="Major"/>
    <n v="3380"/>
    <n v="1291"/>
    <n v="2024"/>
    <n v="2"/>
    <n v="1"/>
  </r>
  <r>
    <s v="SHP-31080"/>
    <d v="2024-11-11T00:00:00"/>
    <s v="West"/>
    <s v="Mumbai"/>
    <s v="Central Hub"/>
    <s v="Critical"/>
    <s v="Routing"/>
    <s v="Low"/>
    <n v="2"/>
    <n v="5"/>
    <n v="3"/>
    <s v="Yes"/>
    <n v="313"/>
    <n v="7035"/>
    <n v="6387"/>
    <n v="0"/>
    <s v="No"/>
    <s v="Major"/>
    <n v="2129"/>
    <n v="2345"/>
    <n v="2024"/>
    <n v="11"/>
    <n v="1"/>
  </r>
  <r>
    <s v="SHP-31081"/>
    <d v="2024-01-15T00:00:00"/>
    <s v="West"/>
    <s v="Pune"/>
    <s v="Local Hub"/>
    <s v="Standard"/>
    <s v="System"/>
    <s v="Low"/>
    <n v="2"/>
    <n v="7"/>
    <n v="5"/>
    <s v="Yes"/>
    <n v="107"/>
    <n v="8455"/>
    <n v="23765"/>
    <n v="0"/>
    <s v="No"/>
    <s v="Major"/>
    <n v="4753"/>
    <n v="1691"/>
    <n v="2024"/>
    <n v="1"/>
    <n v="1"/>
  </r>
  <r>
    <s v="SHP-31082"/>
    <d v="2024-01-13T00:00:00"/>
    <s v="North"/>
    <s v="Delhi"/>
    <s v="Regional Hub"/>
    <s v="Standard"/>
    <s v="Routing"/>
    <s v="High"/>
    <n v="2"/>
    <n v="10"/>
    <n v="8"/>
    <s v="Yes"/>
    <n v="294"/>
    <n v="11648"/>
    <n v="20248"/>
    <n v="0"/>
    <s v="No"/>
    <s v="Severe"/>
    <n v="2531"/>
    <n v="1456"/>
    <n v="2024"/>
    <n v="1"/>
    <n v="1"/>
  </r>
  <r>
    <s v="SHP-31083"/>
    <d v="2024-02-10T00:00:00"/>
    <s v="West"/>
    <s v="Mumbai"/>
    <s v="Local Hub"/>
    <s v="Express"/>
    <s v="Capacity"/>
    <s v="Low"/>
    <n v="1"/>
    <n v="2"/>
    <n v="1"/>
    <s v="Yes"/>
    <n v="262"/>
    <n v="1297"/>
    <n v="2257"/>
    <n v="0"/>
    <s v="No"/>
    <s v="Minor"/>
    <n v="2257"/>
    <n v="1297"/>
    <n v="2024"/>
    <n v="2"/>
    <n v="1"/>
  </r>
  <r>
    <s v="SHP-31084"/>
    <d v="2024-11-02T00:00:00"/>
    <s v="North"/>
    <s v="Delhi"/>
    <s v="Local Hub"/>
    <s v="Standard"/>
    <s v="Routing"/>
    <s v="Low"/>
    <n v="1"/>
    <n v="1"/>
    <n v="0"/>
    <s v="No"/>
    <n v="485"/>
    <n v="0"/>
    <n v="0"/>
    <n v="1"/>
    <s v="No"/>
    <s v="On Time"/>
    <n v="0"/>
    <n v="0"/>
    <n v="2024"/>
    <n v="11"/>
    <n v="0"/>
  </r>
  <r>
    <s v="SHP-31085"/>
    <d v="2024-03-16T00:00:00"/>
    <s v="West"/>
    <s v="Pune"/>
    <s v="Regional Hub"/>
    <s v="Express"/>
    <s v="Weather"/>
    <s v="Low"/>
    <n v="2"/>
    <n v="6"/>
    <n v="4"/>
    <s v="Yes"/>
    <n v="305"/>
    <n v="7260"/>
    <n v="14196"/>
    <n v="0"/>
    <s v="No"/>
    <s v="Major"/>
    <n v="3549"/>
    <n v="1815"/>
    <n v="2024"/>
    <n v="3"/>
    <n v="1"/>
  </r>
  <r>
    <s v="SHP-31086"/>
    <d v="2024-09-01T00:00:00"/>
    <s v="West"/>
    <s v="Pune"/>
    <s v="Local Hub"/>
    <s v="Express"/>
    <s v="System"/>
    <s v="Low"/>
    <n v="3"/>
    <n v="4"/>
    <n v="1"/>
    <s v="Yes"/>
    <n v="170"/>
    <n v="1328"/>
    <n v="2762"/>
    <n v="0"/>
    <s v="No"/>
    <s v="Minor"/>
    <n v="2762"/>
    <n v="1328"/>
    <n v="2024"/>
    <n v="9"/>
    <n v="1"/>
  </r>
  <r>
    <s v="SHP-31087"/>
    <d v="2024-11-06T00:00:00"/>
    <s v="East"/>
    <s v="Kolkata"/>
    <s v="Regional Hub"/>
    <s v="Express"/>
    <s v="Weather"/>
    <s v="Low"/>
    <n v="1"/>
    <n v="6"/>
    <n v="5"/>
    <s v="Yes"/>
    <n v="154"/>
    <n v="9685"/>
    <n v="21025"/>
    <n v="0"/>
    <s v="No"/>
    <s v="Major"/>
    <n v="4205"/>
    <n v="1937"/>
    <n v="2024"/>
    <n v="11"/>
    <n v="1"/>
  </r>
  <r>
    <s v="SHP-31088"/>
    <d v="2024-09-25T00:00:00"/>
    <s v="East"/>
    <s v="Bhubaneswar"/>
    <s v="Regional Hub"/>
    <s v="Standard"/>
    <s v="Routing"/>
    <s v="Medium"/>
    <n v="1"/>
    <n v="5"/>
    <n v="4"/>
    <s v="Yes"/>
    <n v="171"/>
    <n v="9352"/>
    <n v="9592"/>
    <n v="0"/>
    <s v="No"/>
    <s v="Major"/>
    <n v="2398"/>
    <n v="2338"/>
    <n v="2024"/>
    <n v="9"/>
    <n v="1"/>
  </r>
  <r>
    <s v="SHP-31089"/>
    <d v="2024-07-24T00:00:00"/>
    <s v="North"/>
    <s v="Delhi"/>
    <s v="Regional Hub"/>
    <s v="Critical"/>
    <s v="Documentation"/>
    <s v="Low"/>
    <n v="2"/>
    <n v="6"/>
    <n v="4"/>
    <s v="Yes"/>
    <n v="410"/>
    <n v="3444"/>
    <n v="10976"/>
    <n v="0"/>
    <s v="No"/>
    <s v="Major"/>
    <n v="2744"/>
    <n v="861"/>
    <n v="2024"/>
    <n v="7"/>
    <n v="1"/>
  </r>
  <r>
    <s v="SHP-31090"/>
    <d v="2024-02-27T00:00:00"/>
    <s v="West"/>
    <s v="Mumbai"/>
    <s v="Regional Hub"/>
    <s v="Express"/>
    <s v="Capacity"/>
    <s v="Low"/>
    <n v="3"/>
    <n v="5"/>
    <n v="2"/>
    <s v="Yes"/>
    <n v="166"/>
    <n v="2656"/>
    <n v="8660"/>
    <n v="0"/>
    <s v="No"/>
    <s v="Minor"/>
    <n v="4330"/>
    <n v="1328"/>
    <n v="2024"/>
    <n v="2"/>
    <n v="1"/>
  </r>
  <r>
    <s v="SHP-31091"/>
    <d v="2024-05-17T00:00:00"/>
    <s v="South"/>
    <s v="Bengaluru"/>
    <s v="Local Hub"/>
    <s v="Express"/>
    <s v="Weather"/>
    <s v="Low"/>
    <n v="2"/>
    <n v="7"/>
    <n v="5"/>
    <s v="Yes"/>
    <n v="258"/>
    <n v="5635"/>
    <n v="21995"/>
    <n v="0"/>
    <s v="No"/>
    <s v="Major"/>
    <n v="4399"/>
    <n v="1127"/>
    <n v="2024"/>
    <n v="5"/>
    <n v="1"/>
  </r>
  <r>
    <s v="SHP-31092"/>
    <d v="2024-11-08T00:00:00"/>
    <s v="North"/>
    <s v="Noida"/>
    <s v="Central Hub"/>
    <s v="Standard"/>
    <s v="System"/>
    <s v="Low"/>
    <n v="3"/>
    <n v="6"/>
    <n v="3"/>
    <s v="Yes"/>
    <n v="277"/>
    <n v="4329"/>
    <n v="14610"/>
    <n v="0"/>
    <s v="No"/>
    <s v="Major"/>
    <n v="4870"/>
    <n v="1443"/>
    <n v="2024"/>
    <n v="11"/>
    <n v="1"/>
  </r>
  <r>
    <s v="SHP-31093"/>
    <d v="2024-04-24T00:00:00"/>
    <s v="West"/>
    <s v="Pune"/>
    <s v="Regional Hub"/>
    <s v="Critical"/>
    <s v="System"/>
    <s v="Medium"/>
    <n v="2"/>
    <n v="7"/>
    <n v="5"/>
    <s v="Yes"/>
    <n v="60"/>
    <n v="4190"/>
    <n v="24120"/>
    <n v="0"/>
    <s v="No"/>
    <s v="Major"/>
    <n v="4824"/>
    <n v="838"/>
    <n v="2024"/>
    <n v="4"/>
    <n v="1"/>
  </r>
  <r>
    <s v="SHP-31094"/>
    <d v="2024-03-19T00:00:00"/>
    <s v="South"/>
    <s v="Chennai"/>
    <s v="Regional Hub"/>
    <s v="Standard"/>
    <s v="System"/>
    <s v="Medium"/>
    <n v="3"/>
    <n v="3"/>
    <n v="0"/>
    <s v="No"/>
    <n v="86"/>
    <n v="0"/>
    <n v="0"/>
    <n v="1"/>
    <s v="No"/>
    <s v="On Time"/>
    <n v="0"/>
    <n v="0"/>
    <n v="2024"/>
    <n v="3"/>
    <n v="0"/>
  </r>
  <r>
    <s v="SHP-31095"/>
    <d v="2024-01-08T00:00:00"/>
    <s v="East"/>
    <s v="Kolkata"/>
    <s v="Local Hub"/>
    <s v="Standard"/>
    <s v="System"/>
    <s v="Low"/>
    <n v="2"/>
    <n v="2"/>
    <n v="0"/>
    <s v="No"/>
    <n v="203"/>
    <n v="0"/>
    <n v="0"/>
    <n v="1"/>
    <s v="No"/>
    <s v="On Time"/>
    <n v="0"/>
    <n v="0"/>
    <n v="2024"/>
    <n v="1"/>
    <n v="0"/>
  </r>
  <r>
    <s v="SHP-31096"/>
    <d v="2024-06-13T00:00:00"/>
    <s v="East"/>
    <s v="Kolkata"/>
    <s v="Regional Hub"/>
    <s v="Express"/>
    <s v="System"/>
    <s v="Low"/>
    <n v="2"/>
    <n v="4"/>
    <n v="2"/>
    <s v="Yes"/>
    <n v="126"/>
    <n v="2508"/>
    <n v="7032"/>
    <n v="0"/>
    <s v="No"/>
    <s v="Minor"/>
    <n v="3516"/>
    <n v="1254"/>
    <n v="2024"/>
    <n v="6"/>
    <n v="1"/>
  </r>
  <r>
    <s v="SHP-31097"/>
    <d v="2024-04-28T00:00:00"/>
    <s v="South"/>
    <s v="Chennai"/>
    <s v="Regional Hub"/>
    <s v="Express"/>
    <s v="Capacity"/>
    <s v="High"/>
    <n v="3"/>
    <n v="11"/>
    <n v="8"/>
    <s v="Yes"/>
    <n v="391"/>
    <n v="12600"/>
    <n v="18200"/>
    <n v="0"/>
    <s v="No"/>
    <s v="Severe"/>
    <n v="2275"/>
    <n v="1575"/>
    <n v="2024"/>
    <n v="4"/>
    <n v="1"/>
  </r>
  <r>
    <s v="SHP-31098"/>
    <d v="2024-09-21T00:00:00"/>
    <s v="South"/>
    <s v="Chennai"/>
    <s v="Regional Hub"/>
    <s v="Express"/>
    <s v="Capacity"/>
    <s v="Medium"/>
    <n v="1"/>
    <n v="4"/>
    <n v="3"/>
    <s v="Yes"/>
    <n v="201"/>
    <n v="2604"/>
    <n v="8490"/>
    <n v="0"/>
    <s v="No"/>
    <s v="Major"/>
    <n v="2830"/>
    <n v="868"/>
    <n v="2024"/>
    <n v="9"/>
    <n v="1"/>
  </r>
  <r>
    <s v="SHP-31099"/>
    <d v="2024-11-30T00:00:00"/>
    <s v="West"/>
    <s v="Pune"/>
    <s v="Local Hub"/>
    <s v="Critical"/>
    <s v="System"/>
    <s v="High"/>
    <n v="1"/>
    <n v="5"/>
    <n v="4"/>
    <s v="Yes"/>
    <n v="53"/>
    <n v="7360"/>
    <n v="12404"/>
    <n v="0"/>
    <s v="No"/>
    <s v="Major"/>
    <n v="3101"/>
    <n v="1840"/>
    <n v="2024"/>
    <n v="11"/>
    <n v="1"/>
  </r>
  <r>
    <s v="SHP-31100"/>
    <d v="2024-05-31T00:00:00"/>
    <s v="South"/>
    <s v="Bengaluru"/>
    <s v="Central Hub"/>
    <s v="Express"/>
    <s v="Capacity"/>
    <s v="Low"/>
    <n v="2"/>
    <n v="5"/>
    <n v="3"/>
    <s v="Yes"/>
    <n v="439"/>
    <n v="6966"/>
    <n v="7317"/>
    <n v="0"/>
    <s v="No"/>
    <s v="Major"/>
    <n v="2439"/>
    <n v="2322"/>
    <n v="2024"/>
    <n v="5"/>
    <n v="1"/>
  </r>
  <r>
    <s v="SHP-31101"/>
    <d v="2024-08-28T00:00:00"/>
    <s v="North"/>
    <s v="Delhi"/>
    <s v="Central Hub"/>
    <s v="Standard"/>
    <s v="Capacity"/>
    <s v="High"/>
    <n v="2"/>
    <n v="8"/>
    <n v="6"/>
    <s v="Yes"/>
    <n v="453"/>
    <n v="14166"/>
    <n v="14664"/>
    <n v="0"/>
    <s v="No"/>
    <s v="Severe"/>
    <n v="2444"/>
    <n v="2361"/>
    <n v="2024"/>
    <n v="8"/>
    <n v="1"/>
  </r>
  <r>
    <s v="SHP-31102"/>
    <d v="2024-05-28T00:00:00"/>
    <s v="West"/>
    <s v="Mumbai"/>
    <s v="Local Hub"/>
    <s v="Standard"/>
    <s v="Documentation"/>
    <s v="Low"/>
    <n v="2"/>
    <n v="6"/>
    <n v="4"/>
    <s v="Yes"/>
    <n v="211"/>
    <n v="9688"/>
    <n v="15856"/>
    <n v="0"/>
    <s v="No"/>
    <s v="Major"/>
    <n v="3964"/>
    <n v="2422"/>
    <n v="2024"/>
    <n v="5"/>
    <n v="1"/>
  </r>
  <r>
    <s v="SHP-31103"/>
    <d v="2024-02-12T00:00:00"/>
    <s v="North"/>
    <s v="Delhi"/>
    <s v="Local Hub"/>
    <s v="Express"/>
    <s v="Weather"/>
    <s v="High"/>
    <n v="2"/>
    <n v="5"/>
    <n v="3"/>
    <s v="Yes"/>
    <n v="339"/>
    <n v="6357"/>
    <n v="9132"/>
    <n v="0"/>
    <s v="No"/>
    <s v="Major"/>
    <n v="3044"/>
    <n v="2119"/>
    <n v="2024"/>
    <n v="2"/>
    <n v="1"/>
  </r>
  <r>
    <s v="SHP-31104"/>
    <d v="2024-03-14T00:00:00"/>
    <s v="North"/>
    <s v="Noida"/>
    <s v="Local Hub"/>
    <s v="Standard"/>
    <s v="Routing"/>
    <s v="High"/>
    <n v="1"/>
    <n v="4"/>
    <n v="3"/>
    <s v="Yes"/>
    <n v="245"/>
    <n v="6822"/>
    <n v="7761"/>
    <n v="0"/>
    <s v="No"/>
    <s v="Major"/>
    <n v="2587"/>
    <n v="2274"/>
    <n v="2024"/>
    <n v="3"/>
    <n v="1"/>
  </r>
  <r>
    <s v="SHP-31105"/>
    <d v="2024-11-07T00:00:00"/>
    <s v="South"/>
    <s v="Bengaluru"/>
    <s v="Central Hub"/>
    <s v="Standard"/>
    <s v="Documentation"/>
    <s v="Medium"/>
    <n v="3"/>
    <n v="3"/>
    <n v="0"/>
    <s v="No"/>
    <n v="293"/>
    <n v="0"/>
    <n v="0"/>
    <n v="1"/>
    <s v="No"/>
    <s v="On Time"/>
    <n v="0"/>
    <n v="0"/>
    <n v="2024"/>
    <n v="11"/>
    <n v="0"/>
  </r>
  <r>
    <s v="SHP-31106"/>
    <d v="2024-11-13T00:00:00"/>
    <s v="East"/>
    <s v="Kolkata"/>
    <s v="Local Hub"/>
    <s v="Express"/>
    <s v="System"/>
    <s v="Medium"/>
    <n v="2"/>
    <n v="4"/>
    <n v="2"/>
    <s v="Yes"/>
    <n v="160"/>
    <n v="2528"/>
    <n v="6500"/>
    <n v="0"/>
    <s v="No"/>
    <s v="Minor"/>
    <n v="3250"/>
    <n v="1264"/>
    <n v="2024"/>
    <n v="11"/>
    <n v="1"/>
  </r>
  <r>
    <s v="SHP-31107"/>
    <d v="2024-03-29T00:00:00"/>
    <s v="West"/>
    <s v="Mumbai"/>
    <s v="Regional Hub"/>
    <s v="Express"/>
    <s v="Documentation"/>
    <s v="High"/>
    <n v="1"/>
    <n v="4"/>
    <n v="3"/>
    <s v="Yes"/>
    <n v="482"/>
    <n v="7314"/>
    <n v="14211"/>
    <n v="0"/>
    <s v="No"/>
    <s v="Major"/>
    <n v="4737"/>
    <n v="2438"/>
    <n v="2024"/>
    <n v="3"/>
    <n v="1"/>
  </r>
  <r>
    <s v="SHP-31108"/>
    <d v="2024-11-12T00:00:00"/>
    <s v="South"/>
    <s v="Chennai"/>
    <s v="Central Hub"/>
    <s v="Standard"/>
    <s v="Routing"/>
    <s v="High"/>
    <n v="2"/>
    <n v="8"/>
    <n v="6"/>
    <s v="Yes"/>
    <n v="351"/>
    <n v="13596"/>
    <n v="28662"/>
    <n v="0"/>
    <s v="No"/>
    <s v="Severe"/>
    <n v="4777"/>
    <n v="2266"/>
    <n v="2024"/>
    <n v="11"/>
    <n v="1"/>
  </r>
  <r>
    <s v="SHP-31109"/>
    <d v="2024-01-18T00:00:00"/>
    <s v="North"/>
    <s v="Delhi"/>
    <s v="Central Hub"/>
    <s v="Standard"/>
    <s v="Documentation"/>
    <s v="Low"/>
    <n v="3"/>
    <n v="5"/>
    <n v="2"/>
    <s v="Yes"/>
    <n v="326"/>
    <n v="3886"/>
    <n v="6812"/>
    <n v="0"/>
    <s v="No"/>
    <s v="Minor"/>
    <n v="3406"/>
    <n v="1943"/>
    <n v="2024"/>
    <n v="1"/>
    <n v="1"/>
  </r>
  <r>
    <s v="SHP-31110"/>
    <d v="2024-10-24T00:00:00"/>
    <s v="East"/>
    <s v="Bhubaneswar"/>
    <s v="Regional Hub"/>
    <s v="Critical"/>
    <s v="Routing"/>
    <s v="Low"/>
    <n v="2"/>
    <n v="7"/>
    <n v="5"/>
    <s v="Yes"/>
    <n v="109"/>
    <n v="5735"/>
    <n v="21235"/>
    <n v="0"/>
    <s v="No"/>
    <s v="Major"/>
    <n v="4247"/>
    <n v="1147"/>
    <n v="2024"/>
    <n v="10"/>
    <n v="1"/>
  </r>
  <r>
    <s v="SHP-31111"/>
    <d v="2024-01-22T00:00:00"/>
    <s v="North"/>
    <s v="Noida"/>
    <s v="Central Hub"/>
    <s v="Standard"/>
    <s v="Routing"/>
    <s v="High"/>
    <n v="1"/>
    <n v="4"/>
    <n v="3"/>
    <s v="Yes"/>
    <n v="95"/>
    <n v="3678"/>
    <n v="13236"/>
    <n v="0"/>
    <s v="No"/>
    <s v="Major"/>
    <n v="4412"/>
    <n v="1226"/>
    <n v="2024"/>
    <n v="1"/>
    <n v="1"/>
  </r>
  <r>
    <s v="SHP-31112"/>
    <d v="2024-03-23T00:00:00"/>
    <s v="West"/>
    <s v="Pune"/>
    <s v="Local Hub"/>
    <s v="Standard"/>
    <s v="Documentation"/>
    <s v="Medium"/>
    <n v="2"/>
    <n v="4"/>
    <n v="2"/>
    <s v="Yes"/>
    <n v="231"/>
    <n v="2038"/>
    <n v="7758"/>
    <n v="0"/>
    <s v="No"/>
    <s v="Minor"/>
    <n v="3879"/>
    <n v="1019"/>
    <n v="2024"/>
    <n v="3"/>
    <n v="1"/>
  </r>
  <r>
    <s v="SHP-31113"/>
    <d v="2024-05-15T00:00:00"/>
    <s v="South"/>
    <s v="Bengaluru"/>
    <s v="Regional Hub"/>
    <s v="Express"/>
    <s v="Capacity"/>
    <s v="Medium"/>
    <n v="2"/>
    <n v="6"/>
    <n v="4"/>
    <s v="Yes"/>
    <n v="371"/>
    <n v="4960"/>
    <n v="14504"/>
    <n v="0"/>
    <s v="No"/>
    <s v="Major"/>
    <n v="3626"/>
    <n v="1240"/>
    <n v="2024"/>
    <n v="5"/>
    <n v="1"/>
  </r>
  <r>
    <s v="SHP-31114"/>
    <d v="2024-06-28T00:00:00"/>
    <s v="South"/>
    <s v="Bengaluru"/>
    <s v="Regional Hub"/>
    <s v="Standard"/>
    <s v="Documentation"/>
    <s v="Medium"/>
    <n v="1"/>
    <n v="4"/>
    <n v="3"/>
    <s v="Yes"/>
    <n v="404"/>
    <n v="6918"/>
    <n v="10464"/>
    <n v="0"/>
    <s v="No"/>
    <s v="Major"/>
    <n v="3488"/>
    <n v="2306"/>
    <n v="2024"/>
    <n v="6"/>
    <n v="1"/>
  </r>
  <r>
    <s v="SHP-31115"/>
    <d v="2024-06-24T00:00:00"/>
    <s v="East"/>
    <s v="Kolkata"/>
    <s v="Regional Hub"/>
    <s v="Standard"/>
    <s v="Capacity"/>
    <s v="Medium"/>
    <n v="2"/>
    <n v="7"/>
    <n v="5"/>
    <s v="Yes"/>
    <n v="455"/>
    <n v="7650"/>
    <n v="17685"/>
    <n v="0"/>
    <s v="No"/>
    <s v="Major"/>
    <n v="3537"/>
    <n v="1530"/>
    <n v="2024"/>
    <n v="6"/>
    <n v="1"/>
  </r>
  <r>
    <s v="SHP-31116"/>
    <d v="2024-05-31T00:00:00"/>
    <s v="South"/>
    <s v="Chennai"/>
    <s v="Local Hub"/>
    <s v="Critical"/>
    <s v="Weather"/>
    <s v="Medium"/>
    <n v="5"/>
    <n v="10"/>
    <n v="5"/>
    <s v="Yes"/>
    <n v="71"/>
    <n v="7435"/>
    <n v="19630"/>
    <n v="0"/>
    <s v="No"/>
    <s v="Major"/>
    <n v="3926"/>
    <n v="1487"/>
    <n v="2024"/>
    <n v="5"/>
    <n v="1"/>
  </r>
  <r>
    <s v="SHP-31117"/>
    <d v="2024-01-03T00:00:00"/>
    <s v="West"/>
    <s v="Mumbai"/>
    <s v="Central Hub"/>
    <s v="Express"/>
    <s v="Weather"/>
    <s v="Low"/>
    <n v="1"/>
    <n v="6"/>
    <n v="5"/>
    <s v="Yes"/>
    <n v="119"/>
    <n v="11095"/>
    <n v="16520"/>
    <n v="0"/>
    <s v="No"/>
    <s v="Major"/>
    <n v="3304"/>
    <n v="2219"/>
    <n v="2024"/>
    <n v="1"/>
    <n v="1"/>
  </r>
  <r>
    <s v="SHP-31118"/>
    <d v="2024-11-04T00:00:00"/>
    <s v="South"/>
    <s v="Chennai"/>
    <s v="Regional Hub"/>
    <s v="Express"/>
    <s v="System"/>
    <s v="Low"/>
    <n v="1"/>
    <n v="4"/>
    <n v="3"/>
    <s v="Yes"/>
    <n v="453"/>
    <n v="7419"/>
    <n v="5643"/>
    <n v="0"/>
    <s v="No"/>
    <s v="Major"/>
    <n v="1881"/>
    <n v="2473"/>
    <n v="2024"/>
    <n v="11"/>
    <n v="1"/>
  </r>
  <r>
    <s v="SHP-31119"/>
    <d v="2024-10-06T00:00:00"/>
    <s v="North"/>
    <s v="Delhi"/>
    <s v="Central Hub"/>
    <s v="Critical"/>
    <s v="System"/>
    <s v="Low"/>
    <n v="5"/>
    <n v="11"/>
    <n v="6"/>
    <s v="Yes"/>
    <n v="193"/>
    <n v="14232"/>
    <n v="29028"/>
    <n v="0"/>
    <s v="No"/>
    <s v="Severe"/>
    <n v="4838"/>
    <n v="2372"/>
    <n v="2024"/>
    <n v="10"/>
    <n v="1"/>
  </r>
  <r>
    <s v="SHP-31120"/>
    <d v="2024-02-27T00:00:00"/>
    <s v="East"/>
    <s v="Kolkata"/>
    <s v="Central Hub"/>
    <s v="Standard"/>
    <s v="Weather"/>
    <s v="Low"/>
    <n v="1"/>
    <n v="3"/>
    <n v="2"/>
    <s v="Yes"/>
    <n v="81"/>
    <n v="3926"/>
    <n v="4414"/>
    <n v="0"/>
    <s v="No"/>
    <s v="Minor"/>
    <n v="2207"/>
    <n v="1963"/>
    <n v="2024"/>
    <n v="2"/>
    <n v="1"/>
  </r>
  <r>
    <s v="SHP-31121"/>
    <d v="2024-02-22T00:00:00"/>
    <s v="South"/>
    <s v="Bengaluru"/>
    <s v="Regional Hub"/>
    <s v="Standard"/>
    <s v="Capacity"/>
    <s v="Medium"/>
    <n v="1"/>
    <n v="6"/>
    <n v="5"/>
    <s v="Yes"/>
    <n v="451"/>
    <n v="8150"/>
    <n v="20460"/>
    <n v="0"/>
    <s v="No"/>
    <s v="Major"/>
    <n v="4092"/>
    <n v="1630"/>
    <n v="2024"/>
    <n v="2"/>
    <n v="1"/>
  </r>
  <r>
    <s v="SHP-31122"/>
    <d v="2024-11-02T00:00:00"/>
    <s v="West"/>
    <s v="Pune"/>
    <s v="Local Hub"/>
    <s v="Critical"/>
    <s v="Routing"/>
    <s v="High"/>
    <n v="1"/>
    <n v="5"/>
    <n v="4"/>
    <s v="Yes"/>
    <n v="96"/>
    <n v="8604"/>
    <n v="15812"/>
    <n v="0"/>
    <s v="No"/>
    <s v="Major"/>
    <n v="3953"/>
    <n v="2151"/>
    <n v="2024"/>
    <n v="11"/>
    <n v="1"/>
  </r>
  <r>
    <s v="SHP-31123"/>
    <d v="2024-10-06T00:00:00"/>
    <s v="East"/>
    <s v="Bhubaneswar"/>
    <s v="Regional Hub"/>
    <s v="Critical"/>
    <s v="Weather"/>
    <s v="Low"/>
    <n v="2"/>
    <n v="4"/>
    <n v="2"/>
    <s v="Yes"/>
    <n v="277"/>
    <n v="2102"/>
    <n v="7460"/>
    <n v="0"/>
    <s v="No"/>
    <s v="Minor"/>
    <n v="3730"/>
    <n v="1051"/>
    <n v="2024"/>
    <n v="10"/>
    <n v="1"/>
  </r>
  <r>
    <s v="SHP-31124"/>
    <d v="2024-08-31T00:00:00"/>
    <s v="North"/>
    <s v="Noida"/>
    <s v="Central Hub"/>
    <s v="Standard"/>
    <s v="Documentation"/>
    <s v="Medium"/>
    <n v="1"/>
    <n v="4"/>
    <n v="3"/>
    <s v="Yes"/>
    <n v="244"/>
    <n v="3255"/>
    <n v="13542"/>
    <n v="0"/>
    <s v="No"/>
    <s v="Major"/>
    <n v="4514"/>
    <n v="1085"/>
    <n v="2024"/>
    <n v="8"/>
    <n v="1"/>
  </r>
  <r>
    <s v="SHP-31125"/>
    <d v="2024-01-08T00:00:00"/>
    <s v="West"/>
    <s v="Mumbai"/>
    <s v="Central Hub"/>
    <s v="Critical"/>
    <s v="Documentation"/>
    <s v="Low"/>
    <n v="1"/>
    <n v="8"/>
    <n v="7"/>
    <s v="Yes"/>
    <n v="62"/>
    <n v="10605"/>
    <n v="27776"/>
    <n v="0"/>
    <s v="No"/>
    <s v="Severe"/>
    <n v="3968"/>
    <n v="1515"/>
    <n v="2024"/>
    <n v="1"/>
    <n v="1"/>
  </r>
  <r>
    <s v="SHP-31126"/>
    <d v="2024-03-14T00:00:00"/>
    <s v="North"/>
    <s v="Delhi"/>
    <s v="Regional Hub"/>
    <s v="Standard"/>
    <s v="Documentation"/>
    <s v="Medium"/>
    <n v="5"/>
    <n v="6"/>
    <n v="1"/>
    <s v="Yes"/>
    <n v="411"/>
    <n v="953"/>
    <n v="3787"/>
    <n v="0"/>
    <s v="No"/>
    <s v="Minor"/>
    <n v="3787"/>
    <n v="953"/>
    <n v="2024"/>
    <n v="3"/>
    <n v="1"/>
  </r>
  <r>
    <s v="SHP-31127"/>
    <d v="2024-08-24T00:00:00"/>
    <s v="North"/>
    <s v="Delhi"/>
    <s v="Central Hub"/>
    <s v="Standard"/>
    <s v="Weather"/>
    <s v="Low"/>
    <n v="3"/>
    <n v="3"/>
    <n v="0"/>
    <s v="No"/>
    <n v="171"/>
    <n v="0"/>
    <n v="0"/>
    <n v="1"/>
    <s v="No"/>
    <s v="On Time"/>
    <n v="0"/>
    <n v="0"/>
    <n v="2024"/>
    <n v="8"/>
    <n v="0"/>
  </r>
  <r>
    <s v="SHP-31128"/>
    <d v="2024-05-29T00:00:00"/>
    <s v="South"/>
    <s v="Bengaluru"/>
    <s v="Local Hub"/>
    <s v="Critical"/>
    <s v="Weather"/>
    <s v="Medium"/>
    <n v="3"/>
    <n v="6"/>
    <n v="3"/>
    <s v="Yes"/>
    <n v="228"/>
    <n v="4566"/>
    <n v="13119"/>
    <n v="0"/>
    <s v="No"/>
    <s v="Major"/>
    <n v="4373"/>
    <n v="1522"/>
    <n v="2024"/>
    <n v="5"/>
    <n v="1"/>
  </r>
  <r>
    <s v="SHP-31129"/>
    <d v="2024-11-29T00:00:00"/>
    <s v="East"/>
    <s v="Bhubaneswar"/>
    <s v="Central Hub"/>
    <s v="Critical"/>
    <s v="Routing"/>
    <s v="Medium"/>
    <n v="2"/>
    <n v="9"/>
    <n v="7"/>
    <s v="Yes"/>
    <n v="215"/>
    <n v="11466"/>
    <n v="31388"/>
    <n v="0"/>
    <s v="No"/>
    <s v="Severe"/>
    <n v="4484"/>
    <n v="1638"/>
    <n v="2024"/>
    <n v="11"/>
    <n v="1"/>
  </r>
  <r>
    <s v="SHP-31130"/>
    <d v="2024-02-17T00:00:00"/>
    <s v="West"/>
    <s v="Pune"/>
    <s v="Local Hub"/>
    <s v="Express"/>
    <s v="Capacity"/>
    <s v="Medium"/>
    <n v="1"/>
    <n v="5"/>
    <n v="4"/>
    <s v="Yes"/>
    <n v="125"/>
    <n v="7980"/>
    <n v="14620"/>
    <n v="0"/>
    <s v="No"/>
    <s v="Major"/>
    <n v="3655"/>
    <n v="1995"/>
    <n v="2024"/>
    <n v="2"/>
    <n v="1"/>
  </r>
  <r>
    <s v="SHP-31131"/>
    <d v="2024-03-13T00:00:00"/>
    <s v="South"/>
    <s v="Bengaluru"/>
    <s v="Local Hub"/>
    <s v="Standard"/>
    <s v="Routing"/>
    <s v="Medium"/>
    <n v="3"/>
    <n v="7"/>
    <n v="4"/>
    <s v="Yes"/>
    <n v="99"/>
    <n v="7568"/>
    <n v="13156"/>
    <n v="0"/>
    <s v="No"/>
    <s v="Major"/>
    <n v="3289"/>
    <n v="1892"/>
    <n v="2024"/>
    <n v="3"/>
    <n v="1"/>
  </r>
  <r>
    <s v="SHP-31132"/>
    <d v="2024-09-01T00:00:00"/>
    <s v="West"/>
    <s v="Pune"/>
    <s v="Regional Hub"/>
    <s v="Standard"/>
    <s v="Routing"/>
    <s v="Low"/>
    <n v="1"/>
    <n v="4"/>
    <n v="3"/>
    <s v="Yes"/>
    <n v="176"/>
    <n v="4734"/>
    <n v="12459"/>
    <n v="0"/>
    <s v="No"/>
    <s v="Major"/>
    <n v="4153"/>
    <n v="1578"/>
    <n v="2024"/>
    <n v="9"/>
    <n v="1"/>
  </r>
  <r>
    <s v="SHP-31133"/>
    <d v="2024-07-02T00:00:00"/>
    <s v="West"/>
    <s v="Mumbai"/>
    <s v="Local Hub"/>
    <s v="Standard"/>
    <s v="Weather"/>
    <s v="Low"/>
    <n v="2"/>
    <n v="6"/>
    <n v="4"/>
    <s v="Yes"/>
    <n v="366"/>
    <n v="4348"/>
    <n v="7124"/>
    <n v="0"/>
    <s v="No"/>
    <s v="Major"/>
    <n v="1781"/>
    <n v="1087"/>
    <n v="2024"/>
    <n v="7"/>
    <n v="1"/>
  </r>
  <r>
    <s v="SHP-31134"/>
    <d v="2024-05-15T00:00:00"/>
    <s v="North"/>
    <s v="Noida"/>
    <s v="Regional Hub"/>
    <s v="Express"/>
    <s v="System"/>
    <s v="High"/>
    <n v="2"/>
    <n v="7"/>
    <n v="5"/>
    <s v="Yes"/>
    <n v="106"/>
    <n v="8535"/>
    <n v="16635"/>
    <n v="0"/>
    <s v="No"/>
    <s v="Major"/>
    <n v="3327"/>
    <n v="1707"/>
    <n v="2024"/>
    <n v="5"/>
    <n v="1"/>
  </r>
  <r>
    <s v="SHP-31135"/>
    <d v="2024-01-29T00:00:00"/>
    <s v="North"/>
    <s v="Delhi"/>
    <s v="Regional Hub"/>
    <s v="Standard"/>
    <s v="Capacity"/>
    <s v="Low"/>
    <n v="5"/>
    <n v="8"/>
    <n v="3"/>
    <s v="Yes"/>
    <n v="351"/>
    <n v="6078"/>
    <n v="9141"/>
    <n v="0"/>
    <s v="No"/>
    <s v="Major"/>
    <n v="3047"/>
    <n v="2026"/>
    <n v="2024"/>
    <n v="1"/>
    <n v="1"/>
  </r>
  <r>
    <s v="SHP-31136"/>
    <d v="2024-04-19T00:00:00"/>
    <s v="West"/>
    <s v="Mumbai"/>
    <s v="Local Hub"/>
    <s v="Standard"/>
    <s v="Weather"/>
    <s v="Low"/>
    <n v="2"/>
    <n v="7"/>
    <n v="5"/>
    <s v="Yes"/>
    <n v="448"/>
    <n v="9065"/>
    <n v="24100"/>
    <n v="0"/>
    <s v="No"/>
    <s v="Major"/>
    <n v="4820"/>
    <n v="1813"/>
    <n v="2024"/>
    <n v="4"/>
    <n v="1"/>
  </r>
  <r>
    <s v="SHP-31137"/>
    <d v="2024-12-15T00:00:00"/>
    <s v="North"/>
    <s v="Delhi"/>
    <s v="Central Hub"/>
    <s v="Standard"/>
    <s v="Documentation"/>
    <s v="Low"/>
    <n v="3"/>
    <n v="5"/>
    <n v="2"/>
    <s v="Yes"/>
    <n v="275"/>
    <n v="3662"/>
    <n v="9424"/>
    <n v="0"/>
    <s v="No"/>
    <s v="Minor"/>
    <n v="4712"/>
    <n v="1831"/>
    <n v="2024"/>
    <n v="12"/>
    <n v="1"/>
  </r>
  <r>
    <s v="SHP-31138"/>
    <d v="2024-12-12T00:00:00"/>
    <s v="South"/>
    <s v="Chennai"/>
    <s v="Regional Hub"/>
    <s v="Standard"/>
    <s v="Capacity"/>
    <s v="Medium"/>
    <n v="2"/>
    <n v="3"/>
    <n v="1"/>
    <s v="Yes"/>
    <n v="480"/>
    <n v="1211"/>
    <n v="1834"/>
    <n v="0"/>
    <s v="No"/>
    <s v="Minor"/>
    <n v="1834"/>
    <n v="1211"/>
    <n v="2024"/>
    <n v="12"/>
    <n v="1"/>
  </r>
  <r>
    <s v="SHP-31139"/>
    <d v="2024-12-04T00:00:00"/>
    <s v="West"/>
    <s v="Pune"/>
    <s v="Regional Hub"/>
    <s v="Standard"/>
    <s v="Capacity"/>
    <s v="Medium"/>
    <n v="3"/>
    <n v="3"/>
    <n v="0"/>
    <s v="No"/>
    <n v="82"/>
    <n v="0"/>
    <n v="0"/>
    <n v="1"/>
    <s v="No"/>
    <s v="On Time"/>
    <n v="0"/>
    <n v="0"/>
    <n v="2024"/>
    <n v="12"/>
    <n v="0"/>
  </r>
  <r>
    <s v="SHP-31140"/>
    <d v="2024-07-25T00:00:00"/>
    <s v="North"/>
    <s v="Noida"/>
    <s v="Central Hub"/>
    <s v="Express"/>
    <s v="Routing"/>
    <s v="High"/>
    <n v="2"/>
    <n v="8"/>
    <n v="6"/>
    <s v="Yes"/>
    <n v="211"/>
    <n v="10122"/>
    <n v="21696"/>
    <n v="0"/>
    <s v="No"/>
    <s v="Severe"/>
    <n v="3616"/>
    <n v="1687"/>
    <n v="2024"/>
    <n v="7"/>
    <n v="1"/>
  </r>
  <r>
    <s v="SHP-31141"/>
    <d v="2024-10-31T00:00:00"/>
    <s v="West"/>
    <s v="Pune"/>
    <s v="Regional Hub"/>
    <s v="Standard"/>
    <s v="Routing"/>
    <s v="Low"/>
    <n v="3"/>
    <n v="8"/>
    <n v="5"/>
    <s v="Yes"/>
    <n v="327"/>
    <n v="6400"/>
    <n v="21380"/>
    <n v="0"/>
    <s v="No"/>
    <s v="Major"/>
    <n v="4276"/>
    <n v="1280"/>
    <n v="2024"/>
    <n v="10"/>
    <n v="1"/>
  </r>
  <r>
    <s v="SHP-31142"/>
    <d v="2024-07-15T00:00:00"/>
    <s v="West"/>
    <s v="Mumbai"/>
    <s v="Regional Hub"/>
    <s v="Standard"/>
    <s v="Documentation"/>
    <s v="Low"/>
    <n v="3"/>
    <n v="5"/>
    <n v="2"/>
    <s v="Yes"/>
    <n v="146"/>
    <n v="3222"/>
    <n v="6428"/>
    <n v="0"/>
    <s v="No"/>
    <s v="Minor"/>
    <n v="3214"/>
    <n v="1611"/>
    <n v="2024"/>
    <n v="7"/>
    <n v="1"/>
  </r>
  <r>
    <s v="SHP-31143"/>
    <d v="2024-10-28T00:00:00"/>
    <s v="North"/>
    <s v="Noida"/>
    <s v="Local Hub"/>
    <s v="Express"/>
    <s v="System"/>
    <s v="Medium"/>
    <n v="2"/>
    <n v="6"/>
    <n v="4"/>
    <s v="Yes"/>
    <n v="134"/>
    <n v="8196"/>
    <n v="18064"/>
    <n v="0"/>
    <s v="No"/>
    <s v="Major"/>
    <n v="4516"/>
    <n v="2049"/>
    <n v="2024"/>
    <n v="10"/>
    <n v="1"/>
  </r>
  <r>
    <s v="SHP-31144"/>
    <d v="2024-03-27T00:00:00"/>
    <s v="North"/>
    <s v="Delhi"/>
    <s v="Regional Hub"/>
    <s v="Standard"/>
    <s v="Routing"/>
    <s v="Medium"/>
    <n v="2"/>
    <n v="6"/>
    <n v="4"/>
    <s v="Yes"/>
    <n v="343"/>
    <n v="6988"/>
    <n v="11988"/>
    <n v="0"/>
    <s v="No"/>
    <s v="Major"/>
    <n v="2997"/>
    <n v="1747"/>
    <n v="2024"/>
    <n v="3"/>
    <n v="1"/>
  </r>
  <r>
    <s v="SHP-31145"/>
    <d v="2024-02-07T00:00:00"/>
    <s v="East"/>
    <s v="Kolkata"/>
    <s v="Regional Hub"/>
    <s v="Critical"/>
    <s v="System"/>
    <s v="Low"/>
    <n v="3"/>
    <n v="5"/>
    <n v="2"/>
    <s v="Yes"/>
    <n v="298"/>
    <n v="2106"/>
    <n v="8244"/>
    <n v="0"/>
    <s v="No"/>
    <s v="Minor"/>
    <n v="4122"/>
    <n v="1053"/>
    <n v="2024"/>
    <n v="2"/>
    <n v="1"/>
  </r>
  <r>
    <s v="SHP-31146"/>
    <d v="2024-05-09T00:00:00"/>
    <s v="North"/>
    <s v="Delhi"/>
    <s v="Local Hub"/>
    <s v="Standard"/>
    <s v="Capacity"/>
    <s v="Low"/>
    <n v="2"/>
    <n v="7"/>
    <n v="5"/>
    <s v="Yes"/>
    <n v="126"/>
    <n v="4360"/>
    <n v="18280"/>
    <n v="0"/>
    <s v="No"/>
    <s v="Major"/>
    <n v="3656"/>
    <n v="872"/>
    <n v="2024"/>
    <n v="5"/>
    <n v="1"/>
  </r>
  <r>
    <s v="SHP-31147"/>
    <d v="2024-02-28T00:00:00"/>
    <s v="South"/>
    <s v="Chennai"/>
    <s v="Central Hub"/>
    <s v="Standard"/>
    <s v="Capacity"/>
    <s v="High"/>
    <n v="3"/>
    <n v="7"/>
    <n v="4"/>
    <s v="Yes"/>
    <n v="245"/>
    <n v="5692"/>
    <n v="16896"/>
    <n v="0"/>
    <s v="No"/>
    <s v="Major"/>
    <n v="4224"/>
    <n v="1423"/>
    <n v="2024"/>
    <n v="2"/>
    <n v="1"/>
  </r>
  <r>
    <s v="SHP-31148"/>
    <d v="2024-07-03T00:00:00"/>
    <s v="North"/>
    <s v="Delhi"/>
    <s v="Local Hub"/>
    <s v="Express"/>
    <s v="Weather"/>
    <s v="High"/>
    <n v="1"/>
    <n v="5"/>
    <n v="4"/>
    <s v="Yes"/>
    <n v="90"/>
    <n v="8420"/>
    <n v="14992"/>
    <n v="0"/>
    <s v="No"/>
    <s v="Major"/>
    <n v="3748"/>
    <n v="2105"/>
    <n v="2024"/>
    <n v="7"/>
    <n v="1"/>
  </r>
  <r>
    <s v="SHP-31149"/>
    <d v="2024-07-21T00:00:00"/>
    <s v="North"/>
    <s v="Delhi"/>
    <s v="Local Hub"/>
    <s v="Express"/>
    <s v="System"/>
    <s v="Low"/>
    <n v="5"/>
    <n v="8"/>
    <n v="3"/>
    <s v="Yes"/>
    <n v="441"/>
    <n v="7089"/>
    <n v="7287"/>
    <n v="0"/>
    <s v="No"/>
    <s v="Major"/>
    <n v="2429"/>
    <n v="2363"/>
    <n v="2024"/>
    <n v="7"/>
    <n v="1"/>
  </r>
  <r>
    <s v="SHP-31150"/>
    <d v="2024-12-10T00:00:00"/>
    <s v="West"/>
    <s v="Mumbai"/>
    <s v="Local Hub"/>
    <s v="Express"/>
    <s v="Weather"/>
    <s v="Medium"/>
    <n v="3"/>
    <n v="3"/>
    <n v="0"/>
    <s v="No"/>
    <n v="268"/>
    <n v="0"/>
    <n v="0"/>
    <n v="1"/>
    <s v="No"/>
    <s v="On Time"/>
    <n v="0"/>
    <n v="0"/>
    <n v="2024"/>
    <n v="12"/>
    <n v="0"/>
  </r>
  <r>
    <s v="SHP-31151"/>
    <d v="2024-11-03T00:00:00"/>
    <s v="North"/>
    <s v="Delhi"/>
    <s v="Regional Hub"/>
    <s v="Standard"/>
    <s v="Capacity"/>
    <s v="Medium"/>
    <n v="1"/>
    <n v="6"/>
    <n v="5"/>
    <s v="Yes"/>
    <n v="353"/>
    <n v="8175"/>
    <n v="12125"/>
    <n v="0"/>
    <s v="No"/>
    <s v="Major"/>
    <n v="2425"/>
    <n v="1635"/>
    <n v="2024"/>
    <n v="11"/>
    <n v="1"/>
  </r>
  <r>
    <s v="SHP-31152"/>
    <d v="2024-10-04T00:00:00"/>
    <s v="West"/>
    <s v="Mumbai"/>
    <s v="Local Hub"/>
    <s v="Express"/>
    <s v="System"/>
    <s v="Low"/>
    <n v="1"/>
    <n v="5"/>
    <n v="4"/>
    <s v="Yes"/>
    <n v="340"/>
    <n v="9992"/>
    <n v="7308"/>
    <n v="0"/>
    <s v="No"/>
    <s v="Major"/>
    <n v="1827"/>
    <n v="2498"/>
    <n v="2024"/>
    <n v="10"/>
    <n v="1"/>
  </r>
  <r>
    <s v="SHP-31153"/>
    <d v="2024-02-03T00:00:00"/>
    <s v="East"/>
    <s v="Kolkata"/>
    <s v="Central Hub"/>
    <s v="Express"/>
    <s v="Weather"/>
    <s v="Low"/>
    <n v="3"/>
    <n v="5"/>
    <n v="2"/>
    <s v="Yes"/>
    <n v="336"/>
    <n v="4844"/>
    <n v="5532"/>
    <n v="0"/>
    <s v="No"/>
    <s v="Minor"/>
    <n v="2766"/>
    <n v="2422"/>
    <n v="2024"/>
    <n v="2"/>
    <n v="1"/>
  </r>
  <r>
    <s v="SHP-31154"/>
    <d v="2024-09-02T00:00:00"/>
    <s v="North"/>
    <s v="Noida"/>
    <s v="Central Hub"/>
    <s v="Express"/>
    <s v="System"/>
    <s v="High"/>
    <n v="2"/>
    <n v="5"/>
    <n v="3"/>
    <s v="Yes"/>
    <n v="454"/>
    <n v="4461"/>
    <n v="6657"/>
    <n v="0"/>
    <s v="No"/>
    <s v="Major"/>
    <n v="2219"/>
    <n v="1487"/>
    <n v="2024"/>
    <n v="9"/>
    <n v="1"/>
  </r>
  <r>
    <s v="SHP-31155"/>
    <d v="2024-07-29T00:00:00"/>
    <s v="West"/>
    <s v="Pune"/>
    <s v="Central Hub"/>
    <s v="Critical"/>
    <s v="System"/>
    <s v="Low"/>
    <n v="2"/>
    <n v="6"/>
    <n v="4"/>
    <s v="Yes"/>
    <n v="119"/>
    <n v="9924"/>
    <n v="19296"/>
    <n v="0"/>
    <s v="No"/>
    <s v="Major"/>
    <n v="4824"/>
    <n v="2481"/>
    <n v="2024"/>
    <n v="7"/>
    <n v="1"/>
  </r>
  <r>
    <s v="SHP-31156"/>
    <d v="2024-04-20T00:00:00"/>
    <s v="West"/>
    <s v="Mumbai"/>
    <s v="Local Hub"/>
    <s v="Standard"/>
    <s v="Routing"/>
    <s v="High"/>
    <n v="1"/>
    <n v="5"/>
    <n v="4"/>
    <s v="Yes"/>
    <n v="364"/>
    <n v="6544"/>
    <n v="11968"/>
    <n v="0"/>
    <s v="No"/>
    <s v="Major"/>
    <n v="2992"/>
    <n v="1636"/>
    <n v="2024"/>
    <n v="4"/>
    <n v="1"/>
  </r>
  <r>
    <s v="SHP-31157"/>
    <d v="2024-10-14T00:00:00"/>
    <s v="West"/>
    <s v="Mumbai"/>
    <s v="Regional Hub"/>
    <s v="Critical"/>
    <s v="Routing"/>
    <s v="Medium"/>
    <n v="2"/>
    <n v="7"/>
    <n v="5"/>
    <s v="Yes"/>
    <n v="424"/>
    <n v="10585"/>
    <n v="9225"/>
    <n v="0"/>
    <s v="No"/>
    <s v="Major"/>
    <n v="1845"/>
    <n v="2117"/>
    <n v="2024"/>
    <n v="10"/>
    <n v="1"/>
  </r>
  <r>
    <s v="SHP-31158"/>
    <d v="2024-03-24T00:00:00"/>
    <s v="South"/>
    <s v="Chennai"/>
    <s v="Regional Hub"/>
    <s v="Express"/>
    <s v="System"/>
    <s v="Medium"/>
    <n v="2"/>
    <n v="2"/>
    <n v="0"/>
    <s v="No"/>
    <n v="175"/>
    <n v="0"/>
    <n v="0"/>
    <n v="1"/>
    <s v="No"/>
    <s v="On Time"/>
    <n v="0"/>
    <n v="0"/>
    <n v="2024"/>
    <n v="3"/>
    <n v="0"/>
  </r>
  <r>
    <s v="SHP-31159"/>
    <d v="2024-11-11T00:00:00"/>
    <s v="East"/>
    <s v="Kolkata"/>
    <s v="Regional Hub"/>
    <s v="Express"/>
    <s v="Capacity"/>
    <s v="Low"/>
    <n v="3"/>
    <n v="3"/>
    <n v="0"/>
    <s v="No"/>
    <n v="231"/>
    <n v="0"/>
    <n v="0"/>
    <n v="1"/>
    <s v="No"/>
    <s v="On Time"/>
    <n v="0"/>
    <n v="0"/>
    <n v="2024"/>
    <n v="11"/>
    <n v="0"/>
  </r>
  <r>
    <s v="SHP-31160"/>
    <d v="2024-05-04T00:00:00"/>
    <s v="East"/>
    <s v="Bhubaneswar"/>
    <s v="Regional Hub"/>
    <s v="Standard"/>
    <s v="Capacity"/>
    <s v="High"/>
    <n v="2"/>
    <n v="5"/>
    <n v="3"/>
    <s v="Yes"/>
    <n v="490"/>
    <n v="4545"/>
    <n v="14991"/>
    <n v="0"/>
    <s v="No"/>
    <s v="Major"/>
    <n v="4997"/>
    <n v="1515"/>
    <n v="2024"/>
    <n v="5"/>
    <n v="1"/>
  </r>
  <r>
    <s v="SHP-31161"/>
    <d v="2024-04-03T00:00:00"/>
    <s v="North"/>
    <s v="Noida"/>
    <s v="Central Hub"/>
    <s v="Critical"/>
    <s v="Documentation"/>
    <s v="High"/>
    <n v="3"/>
    <n v="8"/>
    <n v="5"/>
    <s v="Yes"/>
    <n v="295"/>
    <n v="5075"/>
    <n v="16245"/>
    <n v="0"/>
    <s v="No"/>
    <s v="Major"/>
    <n v="3249"/>
    <n v="1015"/>
    <n v="2024"/>
    <n v="4"/>
    <n v="1"/>
  </r>
  <r>
    <s v="SHP-31162"/>
    <d v="2024-12-22T00:00:00"/>
    <s v="West"/>
    <s v="Mumbai"/>
    <s v="Central Hub"/>
    <s v="Standard"/>
    <s v="Weather"/>
    <s v="Medium"/>
    <n v="3"/>
    <n v="6"/>
    <n v="3"/>
    <s v="Yes"/>
    <n v="341"/>
    <n v="5940"/>
    <n v="4764"/>
    <n v="0"/>
    <s v="No"/>
    <s v="Major"/>
    <n v="1588"/>
    <n v="1980"/>
    <n v="2024"/>
    <n v="12"/>
    <n v="1"/>
  </r>
  <r>
    <s v="SHP-31163"/>
    <d v="2024-09-02T00:00:00"/>
    <s v="North"/>
    <s v="Delhi"/>
    <s v="Regional Hub"/>
    <s v="Standard"/>
    <s v="Routing"/>
    <s v="Low"/>
    <n v="1"/>
    <n v="2"/>
    <n v="1"/>
    <s v="Yes"/>
    <n v="473"/>
    <n v="1210"/>
    <n v="4729"/>
    <n v="0"/>
    <s v="No"/>
    <s v="Minor"/>
    <n v="4729"/>
    <n v="1210"/>
    <n v="2024"/>
    <n v="9"/>
    <n v="1"/>
  </r>
  <r>
    <s v="SHP-31164"/>
    <d v="2024-11-20T00:00:00"/>
    <s v="West"/>
    <s v="Mumbai"/>
    <s v="Local Hub"/>
    <s v="Standard"/>
    <s v="Documentation"/>
    <s v="Low"/>
    <n v="1"/>
    <n v="5"/>
    <n v="4"/>
    <s v="Yes"/>
    <n v="144"/>
    <n v="8076"/>
    <n v="8788"/>
    <n v="0"/>
    <s v="No"/>
    <s v="Major"/>
    <n v="2197"/>
    <n v="2019"/>
    <n v="2024"/>
    <n v="11"/>
    <n v="1"/>
  </r>
  <r>
    <s v="SHP-31165"/>
    <d v="2024-02-03T00:00:00"/>
    <s v="East"/>
    <s v="Kolkata"/>
    <s v="Local Hub"/>
    <s v="Standard"/>
    <s v="Weather"/>
    <s v="Low"/>
    <n v="1"/>
    <n v="5"/>
    <n v="4"/>
    <s v="Yes"/>
    <n v="350"/>
    <n v="3792"/>
    <n v="6056"/>
    <n v="0"/>
    <s v="No"/>
    <s v="Major"/>
    <n v="1514"/>
    <n v="948"/>
    <n v="2024"/>
    <n v="2"/>
    <n v="1"/>
  </r>
  <r>
    <s v="SHP-31166"/>
    <d v="2024-10-15T00:00:00"/>
    <s v="West"/>
    <s v="Mumbai"/>
    <s v="Central Hub"/>
    <s v="Express"/>
    <s v="Routing"/>
    <s v="Low"/>
    <n v="2"/>
    <n v="7"/>
    <n v="5"/>
    <s v="Yes"/>
    <n v="108"/>
    <n v="9330"/>
    <n v="8760"/>
    <n v="0"/>
    <s v="No"/>
    <s v="Major"/>
    <n v="1752"/>
    <n v="1866"/>
    <n v="2024"/>
    <n v="10"/>
    <n v="1"/>
  </r>
  <r>
    <s v="SHP-31167"/>
    <d v="2024-12-21T00:00:00"/>
    <s v="South"/>
    <s v="Bengaluru"/>
    <s v="Central Hub"/>
    <s v="Express"/>
    <s v="Documentation"/>
    <s v="Low"/>
    <n v="1"/>
    <n v="2"/>
    <n v="1"/>
    <s v="Yes"/>
    <n v="223"/>
    <n v="1988"/>
    <n v="4943"/>
    <n v="0"/>
    <s v="No"/>
    <s v="Minor"/>
    <n v="4943"/>
    <n v="1988"/>
    <n v="2024"/>
    <n v="12"/>
    <n v="1"/>
  </r>
  <r>
    <s v="SHP-31168"/>
    <d v="2024-09-10T00:00:00"/>
    <s v="West"/>
    <s v="Mumbai"/>
    <s v="Regional Hub"/>
    <s v="Standard"/>
    <s v="System"/>
    <s v="Low"/>
    <n v="3"/>
    <n v="6"/>
    <n v="3"/>
    <s v="Yes"/>
    <n v="452"/>
    <n v="4095"/>
    <n v="11298"/>
    <n v="0"/>
    <s v="No"/>
    <s v="Major"/>
    <n v="3766"/>
    <n v="1365"/>
    <n v="2024"/>
    <n v="9"/>
    <n v="1"/>
  </r>
  <r>
    <s v="SHP-31169"/>
    <d v="2024-08-23T00:00:00"/>
    <s v="East"/>
    <s v="Bhubaneswar"/>
    <s v="Local Hub"/>
    <s v="Express"/>
    <s v="Documentation"/>
    <s v="Medium"/>
    <n v="2"/>
    <n v="5"/>
    <n v="3"/>
    <s v="Yes"/>
    <n v="161"/>
    <n v="5019"/>
    <n v="7227"/>
    <n v="0"/>
    <s v="No"/>
    <s v="Major"/>
    <n v="2409"/>
    <n v="1673"/>
    <n v="2024"/>
    <n v="8"/>
    <n v="1"/>
  </r>
  <r>
    <s v="SHP-31170"/>
    <d v="2024-04-12T00:00:00"/>
    <s v="East"/>
    <s v="Bhubaneswar"/>
    <s v="Central Hub"/>
    <s v="Standard"/>
    <s v="Documentation"/>
    <s v="Medium"/>
    <n v="2"/>
    <n v="2"/>
    <n v="0"/>
    <s v="No"/>
    <n v="231"/>
    <n v="0"/>
    <n v="0"/>
    <n v="1"/>
    <s v="No"/>
    <s v="On Time"/>
    <n v="0"/>
    <n v="0"/>
    <n v="2024"/>
    <n v="4"/>
    <n v="0"/>
  </r>
  <r>
    <s v="SHP-31171"/>
    <d v="2024-08-31T00:00:00"/>
    <s v="East"/>
    <s v="Bhubaneswar"/>
    <s v="Central Hub"/>
    <s v="Standard"/>
    <s v="Routing"/>
    <s v="Low"/>
    <n v="1"/>
    <n v="5"/>
    <n v="4"/>
    <s v="Yes"/>
    <n v="466"/>
    <n v="8072"/>
    <n v="17708"/>
    <n v="0"/>
    <s v="No"/>
    <s v="Major"/>
    <n v="4427"/>
    <n v="2018"/>
    <n v="2024"/>
    <n v="8"/>
    <n v="1"/>
  </r>
  <r>
    <s v="SHP-31172"/>
    <d v="2024-01-25T00:00:00"/>
    <s v="North"/>
    <s v="Delhi"/>
    <s v="Central Hub"/>
    <s v="Express"/>
    <s v="Weather"/>
    <s v="Low"/>
    <n v="1"/>
    <n v="5"/>
    <n v="4"/>
    <s v="Yes"/>
    <n v="380"/>
    <n v="3740"/>
    <n v="15948"/>
    <n v="0"/>
    <s v="No"/>
    <s v="Major"/>
    <n v="3987"/>
    <n v="935"/>
    <n v="2024"/>
    <n v="1"/>
    <n v="1"/>
  </r>
  <r>
    <s v="SHP-31173"/>
    <d v="2024-10-25T00:00:00"/>
    <s v="East"/>
    <s v="Bhubaneswar"/>
    <s v="Central Hub"/>
    <s v="Standard"/>
    <s v="Documentation"/>
    <s v="Low"/>
    <n v="2"/>
    <n v="2"/>
    <n v="0"/>
    <s v="No"/>
    <n v="254"/>
    <n v="0"/>
    <n v="0"/>
    <n v="1"/>
    <s v="No"/>
    <s v="On Time"/>
    <n v="0"/>
    <n v="0"/>
    <n v="2024"/>
    <n v="10"/>
    <n v="0"/>
  </r>
  <r>
    <s v="SHP-31174"/>
    <d v="2024-08-25T00:00:00"/>
    <s v="North"/>
    <s v="Delhi"/>
    <s v="Central Hub"/>
    <s v="Express"/>
    <s v="System"/>
    <s v="Medium"/>
    <n v="1"/>
    <n v="2"/>
    <n v="1"/>
    <s v="Yes"/>
    <n v="117"/>
    <n v="1110"/>
    <n v="4660"/>
    <n v="0"/>
    <s v="No"/>
    <s v="Minor"/>
    <n v="4660"/>
    <n v="1110"/>
    <n v="2024"/>
    <n v="8"/>
    <n v="1"/>
  </r>
  <r>
    <s v="SHP-31175"/>
    <d v="2024-06-17T00:00:00"/>
    <s v="East"/>
    <s v="Bhubaneswar"/>
    <s v="Local Hub"/>
    <s v="Express"/>
    <s v="Capacity"/>
    <s v="Medium"/>
    <n v="2"/>
    <n v="3"/>
    <n v="1"/>
    <s v="Yes"/>
    <n v="147"/>
    <n v="2112"/>
    <n v="2448"/>
    <n v="0"/>
    <s v="No"/>
    <s v="Minor"/>
    <n v="2448"/>
    <n v="2112"/>
    <n v="2024"/>
    <n v="6"/>
    <n v="1"/>
  </r>
  <r>
    <s v="SHP-31176"/>
    <d v="2024-09-29T00:00:00"/>
    <s v="South"/>
    <s v="Bengaluru"/>
    <s v="Local Hub"/>
    <s v="Standard"/>
    <s v="Documentation"/>
    <s v="Medium"/>
    <n v="5"/>
    <n v="10"/>
    <n v="5"/>
    <s v="Yes"/>
    <n v="302"/>
    <n v="5310"/>
    <n v="7940"/>
    <n v="0"/>
    <s v="No"/>
    <s v="Major"/>
    <n v="1588"/>
    <n v="1062"/>
    <n v="2024"/>
    <n v="9"/>
    <n v="1"/>
  </r>
  <r>
    <s v="SHP-31177"/>
    <d v="2024-10-24T00:00:00"/>
    <s v="North"/>
    <s v="Noida"/>
    <s v="Central Hub"/>
    <s v="Standard"/>
    <s v="Routing"/>
    <s v="High"/>
    <n v="2"/>
    <n v="8"/>
    <n v="6"/>
    <s v="Yes"/>
    <n v="141"/>
    <n v="9738"/>
    <n v="16170"/>
    <n v="0"/>
    <s v="No"/>
    <s v="Severe"/>
    <n v="2695"/>
    <n v="1623"/>
    <n v="2024"/>
    <n v="10"/>
    <n v="1"/>
  </r>
  <r>
    <s v="SHP-31178"/>
    <d v="2024-02-25T00:00:00"/>
    <s v="South"/>
    <s v="Chennai"/>
    <s v="Central Hub"/>
    <s v="Standard"/>
    <s v="Routing"/>
    <s v="High"/>
    <n v="1"/>
    <n v="3"/>
    <n v="2"/>
    <s v="Yes"/>
    <n v="458"/>
    <n v="3108"/>
    <n v="4252"/>
    <n v="0"/>
    <s v="No"/>
    <s v="Minor"/>
    <n v="2126"/>
    <n v="1554"/>
    <n v="2024"/>
    <n v="2"/>
    <n v="1"/>
  </r>
  <r>
    <s v="SHP-31179"/>
    <d v="2024-04-23T00:00:00"/>
    <s v="North"/>
    <s v="Noida"/>
    <s v="Local Hub"/>
    <s v="Critical"/>
    <s v="Routing"/>
    <s v="High"/>
    <n v="2"/>
    <n v="6"/>
    <n v="4"/>
    <s v="Yes"/>
    <n v="414"/>
    <n v="3556"/>
    <n v="19208"/>
    <n v="0"/>
    <s v="No"/>
    <s v="Major"/>
    <n v="4802"/>
    <n v="889"/>
    <n v="2024"/>
    <n v="4"/>
    <n v="1"/>
  </r>
  <r>
    <s v="SHP-31180"/>
    <d v="2024-03-08T00:00:00"/>
    <s v="South"/>
    <s v="Chennai"/>
    <s v="Local Hub"/>
    <s v="Critical"/>
    <s v="Capacity"/>
    <s v="Low"/>
    <n v="2"/>
    <n v="8"/>
    <n v="6"/>
    <s v="Yes"/>
    <n v="244"/>
    <n v="6852"/>
    <n v="28410"/>
    <n v="0"/>
    <s v="No"/>
    <s v="Severe"/>
    <n v="4735"/>
    <n v="1142"/>
    <n v="2024"/>
    <n v="3"/>
    <n v="1"/>
  </r>
  <r>
    <s v="SHP-31181"/>
    <d v="2024-01-22T00:00:00"/>
    <s v="South"/>
    <s v="Bengaluru"/>
    <s v="Local Hub"/>
    <s v="Express"/>
    <s v="Weather"/>
    <s v="Medium"/>
    <n v="3"/>
    <n v="8"/>
    <n v="5"/>
    <s v="Yes"/>
    <n v="428"/>
    <n v="7205"/>
    <n v="22210"/>
    <n v="0"/>
    <s v="No"/>
    <s v="Major"/>
    <n v="4442"/>
    <n v="1441"/>
    <n v="2024"/>
    <n v="1"/>
    <n v="1"/>
  </r>
  <r>
    <s v="SHP-31182"/>
    <d v="2024-11-10T00:00:00"/>
    <s v="North"/>
    <s v="Noida"/>
    <s v="Local Hub"/>
    <s v="Standard"/>
    <s v="Capacity"/>
    <s v="High"/>
    <n v="2"/>
    <n v="9"/>
    <n v="7"/>
    <s v="Yes"/>
    <n v="58"/>
    <n v="6531"/>
    <n v="30478"/>
    <n v="0"/>
    <s v="No"/>
    <s v="Severe"/>
    <n v="4354"/>
    <n v="933"/>
    <n v="2024"/>
    <n v="11"/>
    <n v="1"/>
  </r>
  <r>
    <s v="SHP-31183"/>
    <d v="2024-12-13T00:00:00"/>
    <s v="West"/>
    <s v="Mumbai"/>
    <s v="Local Hub"/>
    <s v="Critical"/>
    <s v="System"/>
    <s v="Low"/>
    <n v="1"/>
    <n v="3"/>
    <n v="2"/>
    <s v="Yes"/>
    <n v="388"/>
    <n v="4074"/>
    <n v="6052"/>
    <n v="0"/>
    <s v="No"/>
    <s v="Minor"/>
    <n v="3026"/>
    <n v="2037"/>
    <n v="2024"/>
    <n v="12"/>
    <n v="1"/>
  </r>
  <r>
    <s v="SHP-31184"/>
    <d v="2024-09-06T00:00:00"/>
    <s v="East"/>
    <s v="Kolkata"/>
    <s v="Central Hub"/>
    <s v="Critical"/>
    <s v="Weather"/>
    <s v="Medium"/>
    <n v="1"/>
    <n v="7"/>
    <n v="6"/>
    <s v="Yes"/>
    <n v="336"/>
    <n v="9630"/>
    <n v="20130"/>
    <n v="0"/>
    <s v="No"/>
    <s v="Severe"/>
    <n v="3355"/>
    <n v="1605"/>
    <n v="2024"/>
    <n v="9"/>
    <n v="1"/>
  </r>
  <r>
    <s v="SHP-31185"/>
    <d v="2024-09-18T00:00:00"/>
    <s v="South"/>
    <s v="Chennai"/>
    <s v="Local Hub"/>
    <s v="Standard"/>
    <s v="Capacity"/>
    <s v="Medium"/>
    <n v="1"/>
    <n v="6"/>
    <n v="5"/>
    <s v="Yes"/>
    <n v="215"/>
    <n v="12410"/>
    <n v="17980"/>
    <n v="0"/>
    <s v="No"/>
    <s v="Major"/>
    <n v="3596"/>
    <n v="2482"/>
    <n v="2024"/>
    <n v="9"/>
    <n v="1"/>
  </r>
  <r>
    <s v="SHP-31186"/>
    <d v="2024-08-17T00:00:00"/>
    <s v="West"/>
    <s v="Pune"/>
    <s v="Regional Hub"/>
    <s v="Express"/>
    <s v="System"/>
    <s v="Medium"/>
    <n v="1"/>
    <n v="3"/>
    <n v="2"/>
    <s v="Yes"/>
    <n v="380"/>
    <n v="2444"/>
    <n v="6538"/>
    <n v="0"/>
    <s v="No"/>
    <s v="Minor"/>
    <n v="3269"/>
    <n v="1222"/>
    <n v="2024"/>
    <n v="8"/>
    <n v="1"/>
  </r>
  <r>
    <s v="SHP-31187"/>
    <d v="2024-07-20T00:00:00"/>
    <s v="East"/>
    <s v="Kolkata"/>
    <s v="Local Hub"/>
    <s v="Critical"/>
    <s v="Capacity"/>
    <s v="Low"/>
    <n v="3"/>
    <n v="6"/>
    <n v="3"/>
    <s v="Yes"/>
    <n v="285"/>
    <n v="4056"/>
    <n v="8877"/>
    <n v="0"/>
    <s v="No"/>
    <s v="Major"/>
    <n v="2959"/>
    <n v="1352"/>
    <n v="2024"/>
    <n v="7"/>
    <n v="1"/>
  </r>
  <r>
    <s v="SHP-31188"/>
    <d v="2024-05-21T00:00:00"/>
    <s v="North"/>
    <s v="Noida"/>
    <s v="Regional Hub"/>
    <s v="Critical"/>
    <s v="Routing"/>
    <s v="High"/>
    <n v="2"/>
    <n v="6"/>
    <n v="4"/>
    <s v="Yes"/>
    <n v="457"/>
    <n v="9464"/>
    <n v="8408"/>
    <n v="0"/>
    <s v="No"/>
    <s v="Major"/>
    <n v="2102"/>
    <n v="2366"/>
    <n v="2024"/>
    <n v="5"/>
    <n v="1"/>
  </r>
  <r>
    <s v="SHP-31189"/>
    <d v="2024-09-10T00:00:00"/>
    <s v="East"/>
    <s v="Kolkata"/>
    <s v="Central Hub"/>
    <s v="Express"/>
    <s v="Documentation"/>
    <s v="Low"/>
    <n v="2"/>
    <n v="3"/>
    <n v="1"/>
    <s v="Yes"/>
    <n v="479"/>
    <n v="2065"/>
    <n v="4850"/>
    <n v="0"/>
    <s v="No"/>
    <s v="Minor"/>
    <n v="4850"/>
    <n v="2065"/>
    <n v="2024"/>
    <n v="9"/>
    <n v="1"/>
  </r>
  <r>
    <s v="SHP-31190"/>
    <d v="2024-04-13T00:00:00"/>
    <s v="West"/>
    <s v="Mumbai"/>
    <s v="Regional Hub"/>
    <s v="Standard"/>
    <s v="Capacity"/>
    <s v="Low"/>
    <n v="1"/>
    <n v="6"/>
    <n v="5"/>
    <s v="Yes"/>
    <n v="158"/>
    <n v="4250"/>
    <n v="11925"/>
    <n v="0"/>
    <s v="No"/>
    <s v="Major"/>
    <n v="2385"/>
    <n v="850"/>
    <n v="2024"/>
    <n v="4"/>
    <n v="1"/>
  </r>
  <r>
    <s v="SHP-31191"/>
    <d v="2024-03-23T00:00:00"/>
    <s v="East"/>
    <s v="Bhubaneswar"/>
    <s v="Central Hub"/>
    <s v="Standard"/>
    <s v="Weather"/>
    <s v="Low"/>
    <n v="2"/>
    <n v="6"/>
    <n v="4"/>
    <s v="Yes"/>
    <n v="263"/>
    <n v="5100"/>
    <n v="18868"/>
    <n v="0"/>
    <s v="No"/>
    <s v="Major"/>
    <n v="4717"/>
    <n v="1275"/>
    <n v="2024"/>
    <n v="3"/>
    <n v="1"/>
  </r>
  <r>
    <s v="SHP-31192"/>
    <d v="2024-11-01T00:00:00"/>
    <s v="South"/>
    <s v="Chennai"/>
    <s v="Central Hub"/>
    <s v="Express"/>
    <s v="Capacity"/>
    <s v="Medium"/>
    <n v="2"/>
    <n v="3"/>
    <n v="1"/>
    <s v="Yes"/>
    <n v="356"/>
    <n v="1142"/>
    <n v="4136"/>
    <n v="0"/>
    <s v="No"/>
    <s v="Minor"/>
    <n v="4136"/>
    <n v="1142"/>
    <n v="2024"/>
    <n v="11"/>
    <n v="1"/>
  </r>
  <r>
    <s v="SHP-31193"/>
    <d v="2024-01-01T00:00:00"/>
    <s v="South"/>
    <s v="Bengaluru"/>
    <s v="Central Hub"/>
    <s v="Standard"/>
    <s v="Capacity"/>
    <s v="Medium"/>
    <n v="2"/>
    <n v="4"/>
    <n v="2"/>
    <s v="Yes"/>
    <n v="409"/>
    <n v="3244"/>
    <n v="7780"/>
    <n v="0"/>
    <s v="No"/>
    <s v="Minor"/>
    <n v="3890"/>
    <n v="1622"/>
    <n v="2024"/>
    <n v="1"/>
    <n v="1"/>
  </r>
  <r>
    <s v="SHP-31194"/>
    <d v="2024-02-10T00:00:00"/>
    <s v="North"/>
    <s v="Noida"/>
    <s v="Central Hub"/>
    <s v="Express"/>
    <s v="Documentation"/>
    <s v="Low"/>
    <n v="1"/>
    <n v="3"/>
    <n v="2"/>
    <s v="Yes"/>
    <n v="98"/>
    <n v="4638"/>
    <n v="3274"/>
    <n v="0"/>
    <s v="No"/>
    <s v="Minor"/>
    <n v="1637"/>
    <n v="2319"/>
    <n v="2024"/>
    <n v="2"/>
    <n v="1"/>
  </r>
  <r>
    <s v="SHP-31195"/>
    <d v="2024-01-22T00:00:00"/>
    <s v="East"/>
    <s v="Kolkata"/>
    <s v="Central Hub"/>
    <s v="Express"/>
    <s v="System"/>
    <s v="Low"/>
    <n v="3"/>
    <n v="7"/>
    <n v="4"/>
    <s v="Yes"/>
    <n v="212"/>
    <n v="4652"/>
    <n v="14220"/>
    <n v="0"/>
    <s v="No"/>
    <s v="Major"/>
    <n v="3555"/>
    <n v="1163"/>
    <n v="2024"/>
    <n v="1"/>
    <n v="1"/>
  </r>
  <r>
    <s v="SHP-31196"/>
    <d v="2024-06-05T00:00:00"/>
    <s v="East"/>
    <s v="Bhubaneswar"/>
    <s v="Local Hub"/>
    <s v="Standard"/>
    <s v="Capacity"/>
    <s v="Low"/>
    <n v="1"/>
    <n v="4"/>
    <n v="3"/>
    <s v="Yes"/>
    <n v="270"/>
    <n v="7119"/>
    <n v="8841"/>
    <n v="0"/>
    <s v="No"/>
    <s v="Major"/>
    <n v="2947"/>
    <n v="2373"/>
    <n v="2024"/>
    <n v="6"/>
    <n v="1"/>
  </r>
  <r>
    <s v="SHP-31197"/>
    <d v="2024-09-25T00:00:00"/>
    <s v="North"/>
    <s v="Noida"/>
    <s v="Regional Hub"/>
    <s v="Standard"/>
    <s v="Weather"/>
    <s v="Medium"/>
    <n v="2"/>
    <n v="3"/>
    <n v="1"/>
    <s v="Yes"/>
    <n v="235"/>
    <n v="2474"/>
    <n v="4536"/>
    <n v="0"/>
    <s v="No"/>
    <s v="Minor"/>
    <n v="4536"/>
    <n v="2474"/>
    <n v="2024"/>
    <n v="9"/>
    <n v="1"/>
  </r>
  <r>
    <s v="SHP-31198"/>
    <d v="2024-05-25T00:00:00"/>
    <s v="East"/>
    <s v="Bhubaneswar"/>
    <s v="Central Hub"/>
    <s v="Critical"/>
    <s v="Capacity"/>
    <s v="Low"/>
    <n v="2"/>
    <n v="6"/>
    <n v="4"/>
    <s v="Yes"/>
    <n v="55"/>
    <n v="5996"/>
    <n v="16320"/>
    <n v="0"/>
    <s v="No"/>
    <s v="Major"/>
    <n v="4080"/>
    <n v="1499"/>
    <n v="2024"/>
    <n v="5"/>
    <n v="1"/>
  </r>
  <r>
    <s v="SHP-31199"/>
    <d v="2024-03-30T00:00:00"/>
    <s v="South"/>
    <s v="Bengaluru"/>
    <s v="Central Hub"/>
    <s v="Standard"/>
    <s v="Weather"/>
    <s v="Medium"/>
    <n v="1"/>
    <n v="4"/>
    <n v="3"/>
    <s v="Yes"/>
    <n v="246"/>
    <n v="4698"/>
    <n v="8826"/>
    <n v="0"/>
    <s v="No"/>
    <s v="Major"/>
    <n v="2942"/>
    <n v="1566"/>
    <n v="2024"/>
    <n v="3"/>
    <n v="1"/>
  </r>
  <r>
    <s v="SHP-31200"/>
    <d v="2024-06-22T00:00:00"/>
    <s v="West"/>
    <s v="Mumbai"/>
    <s v="Regional Hub"/>
    <s v="Standard"/>
    <s v="Documentation"/>
    <s v="Low"/>
    <n v="3"/>
    <n v="8"/>
    <n v="5"/>
    <s v="Yes"/>
    <n v="450"/>
    <n v="7120"/>
    <n v="15770"/>
    <n v="0"/>
    <s v="No"/>
    <s v="Major"/>
    <n v="3154"/>
    <n v="1424"/>
    <n v="2024"/>
    <n v="6"/>
    <n v="1"/>
  </r>
  <r>
    <s v="SHP-31201"/>
    <d v="2024-08-20T00:00:00"/>
    <s v="West"/>
    <s v="Mumbai"/>
    <s v="Local Hub"/>
    <s v="Critical"/>
    <s v="Routing"/>
    <s v="High"/>
    <n v="1"/>
    <n v="7"/>
    <n v="6"/>
    <s v="Yes"/>
    <n v="456"/>
    <n v="7416"/>
    <n v="21324"/>
    <n v="0"/>
    <s v="No"/>
    <s v="Severe"/>
    <n v="3554"/>
    <n v="1236"/>
    <n v="2024"/>
    <n v="8"/>
    <n v="1"/>
  </r>
  <r>
    <s v="SHP-31202"/>
    <d v="2024-01-22T00:00:00"/>
    <s v="West"/>
    <s v="Mumbai"/>
    <s v="Regional Hub"/>
    <s v="Standard"/>
    <s v="Routing"/>
    <s v="Low"/>
    <n v="2"/>
    <n v="6"/>
    <n v="4"/>
    <s v="Yes"/>
    <n v="171"/>
    <n v="4616"/>
    <n v="6680"/>
    <n v="0"/>
    <s v="No"/>
    <s v="Major"/>
    <n v="1670"/>
    <n v="1154"/>
    <n v="2024"/>
    <n v="1"/>
    <n v="1"/>
  </r>
  <r>
    <s v="SHP-31203"/>
    <d v="2024-05-17T00:00:00"/>
    <s v="South"/>
    <s v="Bengaluru"/>
    <s v="Regional Hub"/>
    <s v="Express"/>
    <s v="Capacity"/>
    <s v="Low"/>
    <n v="1"/>
    <n v="6"/>
    <n v="5"/>
    <s v="Yes"/>
    <n v="335"/>
    <n v="11865"/>
    <n v="10900"/>
    <n v="0"/>
    <s v="No"/>
    <s v="Major"/>
    <n v="2180"/>
    <n v="2373"/>
    <n v="2024"/>
    <n v="5"/>
    <n v="1"/>
  </r>
  <r>
    <s v="SHP-31204"/>
    <d v="2024-02-18T00:00:00"/>
    <s v="West"/>
    <s v="Pune"/>
    <s v="Regional Hub"/>
    <s v="Critical"/>
    <s v="Capacity"/>
    <s v="Low"/>
    <n v="2"/>
    <n v="8"/>
    <n v="6"/>
    <s v="Yes"/>
    <n v="176"/>
    <n v="8298"/>
    <n v="26856"/>
    <n v="0"/>
    <s v="No"/>
    <s v="Severe"/>
    <n v="4476"/>
    <n v="1383"/>
    <n v="2024"/>
    <n v="2"/>
    <n v="1"/>
  </r>
  <r>
    <s v="SHP-31205"/>
    <d v="2024-09-15T00:00:00"/>
    <s v="West"/>
    <s v="Pune"/>
    <s v="Local Hub"/>
    <s v="Standard"/>
    <s v="System"/>
    <s v="High"/>
    <n v="2"/>
    <n v="9"/>
    <n v="7"/>
    <s v="Yes"/>
    <n v="344"/>
    <n v="11389"/>
    <n v="22351"/>
    <n v="0"/>
    <s v="No"/>
    <s v="Severe"/>
    <n v="3193"/>
    <n v="1627"/>
    <n v="2024"/>
    <n v="9"/>
    <n v="1"/>
  </r>
  <r>
    <s v="SHP-31206"/>
    <d v="2024-02-14T00:00:00"/>
    <s v="East"/>
    <s v="Bhubaneswar"/>
    <s v="Central Hub"/>
    <s v="Critical"/>
    <s v="Capacity"/>
    <s v="Medium"/>
    <n v="3"/>
    <n v="5"/>
    <n v="2"/>
    <s v="Yes"/>
    <n v="166"/>
    <n v="4102"/>
    <n v="8676"/>
    <n v="0"/>
    <s v="No"/>
    <s v="Minor"/>
    <n v="4338"/>
    <n v="2051"/>
    <n v="2024"/>
    <n v="2"/>
    <n v="1"/>
  </r>
  <r>
    <s v="SHP-31207"/>
    <d v="2024-01-17T00:00:00"/>
    <s v="West"/>
    <s v="Mumbai"/>
    <s v="Regional Hub"/>
    <s v="Critical"/>
    <s v="Capacity"/>
    <s v="Medium"/>
    <n v="3"/>
    <n v="6"/>
    <n v="3"/>
    <s v="Yes"/>
    <n v="437"/>
    <n v="7296"/>
    <n v="7872"/>
    <n v="0"/>
    <s v="No"/>
    <s v="Major"/>
    <n v="2624"/>
    <n v="2432"/>
    <n v="2024"/>
    <n v="1"/>
    <n v="1"/>
  </r>
  <r>
    <s v="SHP-31208"/>
    <d v="2024-06-26T00:00:00"/>
    <s v="West"/>
    <s v="Pune"/>
    <s v="Regional Hub"/>
    <s v="Standard"/>
    <s v="Documentation"/>
    <s v="Medium"/>
    <n v="2"/>
    <n v="7"/>
    <n v="5"/>
    <s v="Yes"/>
    <n v="151"/>
    <n v="11275"/>
    <n v="8205"/>
    <n v="0"/>
    <s v="No"/>
    <s v="Major"/>
    <n v="1641"/>
    <n v="2255"/>
    <n v="2024"/>
    <n v="6"/>
    <n v="1"/>
  </r>
  <r>
    <s v="SHP-31209"/>
    <d v="2024-07-01T00:00:00"/>
    <s v="East"/>
    <s v="Bhubaneswar"/>
    <s v="Regional Hub"/>
    <s v="Standard"/>
    <s v="Weather"/>
    <s v="Medium"/>
    <n v="2"/>
    <n v="7"/>
    <n v="5"/>
    <s v="Yes"/>
    <n v="466"/>
    <n v="8245"/>
    <n v="16945"/>
    <n v="0"/>
    <s v="No"/>
    <s v="Major"/>
    <n v="3389"/>
    <n v="1649"/>
    <n v="2024"/>
    <n v="7"/>
    <n v="1"/>
  </r>
  <r>
    <s v="SHP-31210"/>
    <d v="2024-02-27T00:00:00"/>
    <s v="West"/>
    <s v="Mumbai"/>
    <s v="Central Hub"/>
    <s v="Critical"/>
    <s v="Capacity"/>
    <s v="High"/>
    <n v="3"/>
    <n v="10"/>
    <n v="7"/>
    <s v="Yes"/>
    <n v="220"/>
    <n v="8134"/>
    <n v="30506"/>
    <n v="0"/>
    <s v="No"/>
    <s v="Severe"/>
    <n v="4358"/>
    <n v="1162"/>
    <n v="2024"/>
    <n v="2"/>
    <n v="1"/>
  </r>
  <r>
    <s v="SHP-31211"/>
    <d v="2024-07-16T00:00:00"/>
    <s v="East"/>
    <s v="Bhubaneswar"/>
    <s v="Regional Hub"/>
    <s v="Critical"/>
    <s v="Capacity"/>
    <s v="Low"/>
    <n v="1"/>
    <n v="2"/>
    <n v="1"/>
    <s v="Yes"/>
    <n v="221"/>
    <n v="2270"/>
    <n v="1968"/>
    <n v="0"/>
    <s v="No"/>
    <s v="Minor"/>
    <n v="1968"/>
    <n v="2270"/>
    <n v="2024"/>
    <n v="7"/>
    <n v="1"/>
  </r>
  <r>
    <s v="SHP-31212"/>
    <d v="2024-12-10T00:00:00"/>
    <s v="North"/>
    <s v="Delhi"/>
    <s v="Central Hub"/>
    <s v="Express"/>
    <s v="System"/>
    <s v="Low"/>
    <n v="1"/>
    <n v="5"/>
    <n v="4"/>
    <s v="Yes"/>
    <n v="264"/>
    <n v="5420"/>
    <n v="13664"/>
    <n v="0"/>
    <s v="No"/>
    <s v="Major"/>
    <n v="3416"/>
    <n v="1355"/>
    <n v="2024"/>
    <n v="12"/>
    <n v="1"/>
  </r>
  <r>
    <s v="SHP-31213"/>
    <d v="2024-09-28T00:00:00"/>
    <s v="East"/>
    <s v="Bhubaneswar"/>
    <s v="Central Hub"/>
    <s v="Express"/>
    <s v="Routing"/>
    <s v="Low"/>
    <n v="5"/>
    <n v="9"/>
    <n v="4"/>
    <s v="Yes"/>
    <n v="324"/>
    <n v="5504"/>
    <n v="9108"/>
    <n v="0"/>
    <s v="No"/>
    <s v="Major"/>
    <n v="2277"/>
    <n v="1376"/>
    <n v="2024"/>
    <n v="9"/>
    <n v="1"/>
  </r>
  <r>
    <s v="SHP-31214"/>
    <d v="2024-02-14T00:00:00"/>
    <s v="East"/>
    <s v="Kolkata"/>
    <s v="Local Hub"/>
    <s v="Standard"/>
    <s v="System"/>
    <s v="Medium"/>
    <n v="2"/>
    <n v="6"/>
    <n v="4"/>
    <s v="Yes"/>
    <n v="91"/>
    <n v="5312"/>
    <n v="8804"/>
    <n v="0"/>
    <s v="No"/>
    <s v="Major"/>
    <n v="2201"/>
    <n v="1328"/>
    <n v="2024"/>
    <n v="2"/>
    <n v="1"/>
  </r>
  <r>
    <s v="SHP-31215"/>
    <d v="2024-08-11T00:00:00"/>
    <s v="North"/>
    <s v="Noida"/>
    <s v="Regional Hub"/>
    <s v="Express"/>
    <s v="Capacity"/>
    <s v="Medium"/>
    <n v="1"/>
    <n v="4"/>
    <n v="3"/>
    <s v="Yes"/>
    <n v="313"/>
    <n v="3714"/>
    <n v="12594"/>
    <n v="0"/>
    <s v="No"/>
    <s v="Major"/>
    <n v="4198"/>
    <n v="1238"/>
    <n v="2024"/>
    <n v="8"/>
    <n v="1"/>
  </r>
  <r>
    <s v="SHP-31216"/>
    <d v="2024-10-18T00:00:00"/>
    <s v="East"/>
    <s v="Bhubaneswar"/>
    <s v="Regional Hub"/>
    <s v="Express"/>
    <s v="Routing"/>
    <s v="Low"/>
    <n v="3"/>
    <n v="7"/>
    <n v="4"/>
    <s v="Yes"/>
    <n v="108"/>
    <n v="7916"/>
    <n v="6476"/>
    <n v="0"/>
    <s v="No"/>
    <s v="Major"/>
    <n v="1619"/>
    <n v="1979"/>
    <n v="2024"/>
    <n v="10"/>
    <n v="1"/>
  </r>
  <r>
    <s v="SHP-31217"/>
    <d v="2024-02-14T00:00:00"/>
    <s v="East"/>
    <s v="Bhubaneswar"/>
    <s v="Local Hub"/>
    <s v="Standard"/>
    <s v="Routing"/>
    <s v="Low"/>
    <n v="3"/>
    <n v="6"/>
    <n v="3"/>
    <s v="Yes"/>
    <n v="226"/>
    <n v="5802"/>
    <n v="10815"/>
    <n v="0"/>
    <s v="No"/>
    <s v="Major"/>
    <n v="3605"/>
    <n v="1934"/>
    <n v="2024"/>
    <n v="2"/>
    <n v="1"/>
  </r>
  <r>
    <s v="SHP-31218"/>
    <d v="2024-03-21T00:00:00"/>
    <s v="South"/>
    <s v="Bengaluru"/>
    <s v="Central Hub"/>
    <s v="Express"/>
    <s v="Routing"/>
    <s v="Medium"/>
    <n v="2"/>
    <n v="6"/>
    <n v="4"/>
    <s v="Yes"/>
    <n v="138"/>
    <n v="5460"/>
    <n v="7524"/>
    <n v="0"/>
    <s v="No"/>
    <s v="Major"/>
    <n v="1881"/>
    <n v="1365"/>
    <n v="2024"/>
    <n v="3"/>
    <n v="1"/>
  </r>
  <r>
    <s v="SHP-31219"/>
    <d v="2024-02-29T00:00:00"/>
    <s v="South"/>
    <s v="Bengaluru"/>
    <s v="Local Hub"/>
    <s v="Standard"/>
    <s v="System"/>
    <s v="High"/>
    <n v="1"/>
    <n v="6"/>
    <n v="5"/>
    <s v="Yes"/>
    <n v="289"/>
    <n v="12040"/>
    <n v="8635"/>
    <n v="0"/>
    <s v="No"/>
    <s v="Major"/>
    <n v="1727"/>
    <n v="2408"/>
    <n v="2024"/>
    <n v="2"/>
    <n v="1"/>
  </r>
  <r>
    <s v="SHP-31220"/>
    <d v="2024-08-03T00:00:00"/>
    <s v="South"/>
    <s v="Bengaluru"/>
    <s v="Regional Hub"/>
    <s v="Standard"/>
    <s v="Routing"/>
    <s v="Low"/>
    <n v="3"/>
    <n v="4"/>
    <n v="1"/>
    <s v="Yes"/>
    <n v="275"/>
    <n v="2321"/>
    <n v="3922"/>
    <n v="0"/>
    <s v="No"/>
    <s v="Minor"/>
    <n v="3922"/>
    <n v="2321"/>
    <n v="2024"/>
    <n v="8"/>
    <n v="1"/>
  </r>
  <r>
    <s v="SHP-31221"/>
    <d v="2024-03-26T00:00:00"/>
    <s v="West"/>
    <s v="Mumbai"/>
    <s v="Regional Hub"/>
    <s v="Standard"/>
    <s v="Documentation"/>
    <s v="Low"/>
    <n v="1"/>
    <n v="5"/>
    <n v="4"/>
    <s v="Yes"/>
    <n v="361"/>
    <n v="8020"/>
    <n v="12024"/>
    <n v="0"/>
    <s v="No"/>
    <s v="Major"/>
    <n v="3006"/>
    <n v="2005"/>
    <n v="2024"/>
    <n v="3"/>
    <n v="1"/>
  </r>
  <r>
    <s v="SHP-31222"/>
    <d v="2024-07-20T00:00:00"/>
    <s v="East"/>
    <s v="Kolkata"/>
    <s v="Local Hub"/>
    <s v="Critical"/>
    <s v="Routing"/>
    <s v="Low"/>
    <n v="2"/>
    <n v="5"/>
    <n v="3"/>
    <s v="Yes"/>
    <n v="127"/>
    <n v="6045"/>
    <n v="10806"/>
    <n v="0"/>
    <s v="No"/>
    <s v="Major"/>
    <n v="3602"/>
    <n v="2015"/>
    <n v="2024"/>
    <n v="7"/>
    <n v="1"/>
  </r>
  <r>
    <s v="SHP-31223"/>
    <d v="2024-09-19T00:00:00"/>
    <s v="West"/>
    <s v="Pune"/>
    <s v="Regional Hub"/>
    <s v="Standard"/>
    <s v="Routing"/>
    <s v="Low"/>
    <n v="3"/>
    <n v="7"/>
    <n v="4"/>
    <s v="Yes"/>
    <n v="297"/>
    <n v="8360"/>
    <n v="9528"/>
    <n v="0"/>
    <s v="No"/>
    <s v="Major"/>
    <n v="2382"/>
    <n v="2090"/>
    <n v="2024"/>
    <n v="9"/>
    <n v="1"/>
  </r>
  <r>
    <s v="SHP-31224"/>
    <d v="2024-04-03T00:00:00"/>
    <s v="South"/>
    <s v="Chennai"/>
    <s v="Local Hub"/>
    <s v="Critical"/>
    <s v="Weather"/>
    <s v="Medium"/>
    <n v="1"/>
    <n v="6"/>
    <n v="5"/>
    <s v="Yes"/>
    <n v="262"/>
    <n v="4955"/>
    <n v="19185"/>
    <n v="0"/>
    <s v="No"/>
    <s v="Major"/>
    <n v="3837"/>
    <n v="991"/>
    <n v="2024"/>
    <n v="4"/>
    <n v="1"/>
  </r>
  <r>
    <s v="SHP-31225"/>
    <d v="2024-11-01T00:00:00"/>
    <s v="West"/>
    <s v="Pune"/>
    <s v="Central Hub"/>
    <s v="Critical"/>
    <s v="Capacity"/>
    <s v="Low"/>
    <n v="5"/>
    <n v="9"/>
    <n v="4"/>
    <s v="Yes"/>
    <n v="97"/>
    <n v="3748"/>
    <n v="15468"/>
    <n v="0"/>
    <s v="No"/>
    <s v="Major"/>
    <n v="3867"/>
    <n v="937"/>
    <n v="2024"/>
    <n v="11"/>
    <n v="1"/>
  </r>
  <r>
    <s v="SHP-31226"/>
    <d v="2024-04-20T00:00:00"/>
    <s v="East"/>
    <s v="Kolkata"/>
    <s v="Local Hub"/>
    <s v="Standard"/>
    <s v="Documentation"/>
    <s v="Low"/>
    <n v="1"/>
    <n v="1"/>
    <n v="0"/>
    <s v="No"/>
    <n v="238"/>
    <n v="0"/>
    <n v="0"/>
    <n v="1"/>
    <s v="No"/>
    <s v="On Time"/>
    <n v="0"/>
    <n v="0"/>
    <n v="2024"/>
    <n v="4"/>
    <n v="0"/>
  </r>
  <r>
    <s v="SHP-31227"/>
    <d v="2024-04-24T00:00:00"/>
    <s v="South"/>
    <s v="Bengaluru"/>
    <s v="Regional Hub"/>
    <s v="Express"/>
    <s v="Capacity"/>
    <s v="Low"/>
    <n v="2"/>
    <n v="7"/>
    <n v="5"/>
    <s v="Yes"/>
    <n v="224"/>
    <n v="4385"/>
    <n v="18475"/>
    <n v="0"/>
    <s v="No"/>
    <s v="Major"/>
    <n v="3695"/>
    <n v="877"/>
    <n v="2024"/>
    <n v="4"/>
    <n v="1"/>
  </r>
  <r>
    <s v="SHP-31228"/>
    <d v="2024-09-08T00:00:00"/>
    <s v="South"/>
    <s v="Chennai"/>
    <s v="Central Hub"/>
    <s v="Express"/>
    <s v="Weather"/>
    <s v="High"/>
    <n v="2"/>
    <n v="7"/>
    <n v="5"/>
    <s v="Yes"/>
    <n v="140"/>
    <n v="11640"/>
    <n v="24180"/>
    <n v="0"/>
    <s v="No"/>
    <s v="Major"/>
    <n v="4836"/>
    <n v="2328"/>
    <n v="2024"/>
    <n v="9"/>
    <n v="1"/>
  </r>
  <r>
    <s v="SHP-31229"/>
    <d v="2024-10-29T00:00:00"/>
    <s v="East"/>
    <s v="Kolkata"/>
    <s v="Regional Hub"/>
    <s v="Standard"/>
    <s v="Capacity"/>
    <s v="Medium"/>
    <n v="2"/>
    <n v="5"/>
    <n v="3"/>
    <s v="Yes"/>
    <n v="267"/>
    <n v="4608"/>
    <n v="6501"/>
    <n v="0"/>
    <s v="No"/>
    <s v="Major"/>
    <n v="2167"/>
    <n v="1536"/>
    <n v="2024"/>
    <n v="10"/>
    <n v="1"/>
  </r>
  <r>
    <s v="SHP-31230"/>
    <d v="2024-11-24T00:00:00"/>
    <s v="West"/>
    <s v="Pune"/>
    <s v="Local Hub"/>
    <s v="Standard"/>
    <s v="Documentation"/>
    <s v="Low"/>
    <n v="2"/>
    <n v="6"/>
    <n v="4"/>
    <s v="Yes"/>
    <n v="82"/>
    <n v="5372"/>
    <n v="13056"/>
    <n v="0"/>
    <s v="No"/>
    <s v="Major"/>
    <n v="3264"/>
    <n v="1343"/>
    <n v="2024"/>
    <n v="11"/>
    <n v="1"/>
  </r>
  <r>
    <s v="SHP-31231"/>
    <d v="2024-12-23T00:00:00"/>
    <s v="East"/>
    <s v="Bhubaneswar"/>
    <s v="Central Hub"/>
    <s v="Standard"/>
    <s v="Routing"/>
    <s v="Medium"/>
    <n v="5"/>
    <n v="7"/>
    <n v="2"/>
    <s v="Yes"/>
    <n v="397"/>
    <n v="1706"/>
    <n v="4124"/>
    <n v="0"/>
    <s v="No"/>
    <s v="Minor"/>
    <n v="2062"/>
    <n v="853"/>
    <n v="2024"/>
    <n v="12"/>
    <n v="1"/>
  </r>
  <r>
    <s v="SHP-31232"/>
    <d v="2024-12-17T00:00:00"/>
    <s v="East"/>
    <s v="Kolkata"/>
    <s v="Local Hub"/>
    <s v="Standard"/>
    <s v="Weather"/>
    <s v="High"/>
    <n v="2"/>
    <n v="9"/>
    <n v="7"/>
    <s v="Yes"/>
    <n v="405"/>
    <n v="12684"/>
    <n v="26166"/>
    <n v="0"/>
    <s v="No"/>
    <s v="Severe"/>
    <n v="3738"/>
    <n v="1812"/>
    <n v="2024"/>
    <n v="12"/>
    <n v="1"/>
  </r>
  <r>
    <s v="SHP-31233"/>
    <d v="2024-04-19T00:00:00"/>
    <s v="North"/>
    <s v="Delhi"/>
    <s v="Central Hub"/>
    <s v="Standard"/>
    <s v="Capacity"/>
    <s v="Low"/>
    <n v="5"/>
    <n v="10"/>
    <n v="5"/>
    <s v="Yes"/>
    <n v="366"/>
    <n v="12450"/>
    <n v="19515"/>
    <n v="0"/>
    <s v="No"/>
    <s v="Major"/>
    <n v="3903"/>
    <n v="2490"/>
    <n v="2024"/>
    <n v="4"/>
    <n v="1"/>
  </r>
  <r>
    <s v="SHP-31234"/>
    <d v="2024-05-29T00:00:00"/>
    <s v="South"/>
    <s v="Chennai"/>
    <s v="Regional Hub"/>
    <s v="Critical"/>
    <s v="System"/>
    <s v="Low"/>
    <n v="1"/>
    <n v="3"/>
    <n v="2"/>
    <s v="Yes"/>
    <n v="378"/>
    <n v="3008"/>
    <n v="5636"/>
    <n v="0"/>
    <s v="No"/>
    <s v="Minor"/>
    <n v="2818"/>
    <n v="1504"/>
    <n v="2024"/>
    <n v="5"/>
    <n v="1"/>
  </r>
  <r>
    <s v="SHP-31235"/>
    <d v="2024-01-17T00:00:00"/>
    <s v="North"/>
    <s v="Delhi"/>
    <s v="Local Hub"/>
    <s v="Express"/>
    <s v="Documentation"/>
    <s v="Medium"/>
    <n v="2"/>
    <n v="3"/>
    <n v="1"/>
    <s v="Yes"/>
    <n v="228"/>
    <n v="1311"/>
    <n v="1587"/>
    <n v="0"/>
    <s v="No"/>
    <s v="Minor"/>
    <n v="1587"/>
    <n v="1311"/>
    <n v="2024"/>
    <n v="1"/>
    <n v="1"/>
  </r>
  <r>
    <s v="SHP-31236"/>
    <d v="2024-05-29T00:00:00"/>
    <s v="South"/>
    <s v="Bengaluru"/>
    <s v="Central Hub"/>
    <s v="Express"/>
    <s v="System"/>
    <s v="Low"/>
    <n v="2"/>
    <n v="3"/>
    <n v="1"/>
    <s v="Yes"/>
    <n v="256"/>
    <n v="2244"/>
    <n v="3568"/>
    <n v="0"/>
    <s v="No"/>
    <s v="Minor"/>
    <n v="3568"/>
    <n v="2244"/>
    <n v="2024"/>
    <n v="5"/>
    <n v="1"/>
  </r>
  <r>
    <s v="SHP-31237"/>
    <d v="2024-11-24T00:00:00"/>
    <s v="West"/>
    <s v="Mumbai"/>
    <s v="Regional Hub"/>
    <s v="Critical"/>
    <s v="Documentation"/>
    <s v="High"/>
    <n v="2"/>
    <n v="8"/>
    <n v="6"/>
    <s v="Yes"/>
    <n v="374"/>
    <n v="9486"/>
    <n v="27468"/>
    <n v="0"/>
    <s v="No"/>
    <s v="Severe"/>
    <n v="4578"/>
    <n v="1581"/>
    <n v="2024"/>
    <n v="11"/>
    <n v="1"/>
  </r>
  <r>
    <s v="SHP-31238"/>
    <d v="2024-02-01T00:00:00"/>
    <s v="North"/>
    <s v="Noida"/>
    <s v="Local Hub"/>
    <s v="Standard"/>
    <s v="Capacity"/>
    <s v="Medium"/>
    <n v="2"/>
    <n v="7"/>
    <n v="5"/>
    <s v="Yes"/>
    <n v="258"/>
    <n v="6100"/>
    <n v="20355"/>
    <n v="0"/>
    <s v="No"/>
    <s v="Major"/>
    <n v="4071"/>
    <n v="1220"/>
    <n v="2024"/>
    <n v="2"/>
    <n v="1"/>
  </r>
  <r>
    <s v="SHP-31239"/>
    <d v="2024-06-13T00:00:00"/>
    <s v="North"/>
    <s v="Noida"/>
    <s v="Regional Hub"/>
    <s v="Express"/>
    <s v="Routing"/>
    <s v="Medium"/>
    <n v="3"/>
    <n v="4"/>
    <n v="1"/>
    <s v="Yes"/>
    <n v="470"/>
    <n v="1250"/>
    <n v="3001"/>
    <n v="0"/>
    <s v="No"/>
    <s v="Minor"/>
    <n v="3001"/>
    <n v="1250"/>
    <n v="2024"/>
    <n v="6"/>
    <n v="1"/>
  </r>
  <r>
    <s v="SHP-31240"/>
    <d v="2024-09-10T00:00:00"/>
    <s v="South"/>
    <s v="Bengaluru"/>
    <s v="Local Hub"/>
    <s v="Standard"/>
    <s v="Documentation"/>
    <s v="High"/>
    <n v="1"/>
    <n v="4"/>
    <n v="3"/>
    <s v="Yes"/>
    <n v="470"/>
    <n v="5166"/>
    <n v="9762"/>
    <n v="0"/>
    <s v="No"/>
    <s v="Major"/>
    <n v="3254"/>
    <n v="1722"/>
    <n v="2024"/>
    <n v="9"/>
    <n v="1"/>
  </r>
  <r>
    <s v="SHP-31241"/>
    <d v="2024-08-12T00:00:00"/>
    <s v="West"/>
    <s v="Mumbai"/>
    <s v="Central Hub"/>
    <s v="Express"/>
    <s v="System"/>
    <s v="High"/>
    <n v="2"/>
    <n v="9"/>
    <n v="7"/>
    <s v="Yes"/>
    <n v="113"/>
    <n v="16765"/>
    <n v="23268"/>
    <n v="0"/>
    <s v="No"/>
    <s v="Severe"/>
    <n v="3324"/>
    <n v="2395"/>
    <n v="2024"/>
    <n v="8"/>
    <n v="1"/>
  </r>
  <r>
    <s v="SHP-31242"/>
    <d v="2024-02-05T00:00:00"/>
    <s v="West"/>
    <s v="Pune"/>
    <s v="Regional Hub"/>
    <s v="Standard"/>
    <s v="Routing"/>
    <s v="Medium"/>
    <n v="1"/>
    <n v="2"/>
    <n v="1"/>
    <s v="Yes"/>
    <n v="364"/>
    <n v="2243"/>
    <n v="4009"/>
    <n v="0"/>
    <s v="No"/>
    <s v="Minor"/>
    <n v="4009"/>
    <n v="2243"/>
    <n v="2024"/>
    <n v="2"/>
    <n v="1"/>
  </r>
  <r>
    <s v="SHP-31243"/>
    <d v="2024-12-22T00:00:00"/>
    <s v="North"/>
    <s v="Delhi"/>
    <s v="Local Hub"/>
    <s v="Critical"/>
    <s v="Weather"/>
    <s v="Low"/>
    <n v="2"/>
    <n v="4"/>
    <n v="2"/>
    <s v="Yes"/>
    <n v="464"/>
    <n v="4484"/>
    <n v="4954"/>
    <n v="0"/>
    <s v="No"/>
    <s v="Minor"/>
    <n v="2477"/>
    <n v="2242"/>
    <n v="2024"/>
    <n v="12"/>
    <n v="1"/>
  </r>
  <r>
    <s v="SHP-31244"/>
    <d v="2024-07-24T00:00:00"/>
    <s v="East"/>
    <s v="Kolkata"/>
    <s v="Regional Hub"/>
    <s v="Critical"/>
    <s v="Weather"/>
    <s v="Low"/>
    <n v="3"/>
    <n v="9"/>
    <n v="6"/>
    <s v="Yes"/>
    <n v="77"/>
    <n v="12264"/>
    <n v="18192"/>
    <n v="0"/>
    <s v="No"/>
    <s v="Severe"/>
    <n v="3032"/>
    <n v="2044"/>
    <n v="2024"/>
    <n v="7"/>
    <n v="1"/>
  </r>
  <r>
    <s v="SHP-31245"/>
    <d v="2024-09-03T00:00:00"/>
    <s v="South"/>
    <s v="Bengaluru"/>
    <s v="Central Hub"/>
    <s v="Critical"/>
    <s v="Routing"/>
    <s v="Low"/>
    <n v="5"/>
    <n v="11"/>
    <n v="6"/>
    <s v="Yes"/>
    <n v="379"/>
    <n v="5418"/>
    <n v="27180"/>
    <n v="0"/>
    <s v="No"/>
    <s v="Severe"/>
    <n v="4530"/>
    <n v="903"/>
    <n v="2024"/>
    <n v="9"/>
    <n v="1"/>
  </r>
  <r>
    <s v="SHP-31246"/>
    <d v="2024-06-12T00:00:00"/>
    <s v="South"/>
    <s v="Bengaluru"/>
    <s v="Central Hub"/>
    <s v="Standard"/>
    <s v="Weather"/>
    <s v="Low"/>
    <n v="1"/>
    <n v="3"/>
    <n v="2"/>
    <s v="Yes"/>
    <n v="226"/>
    <n v="4092"/>
    <n v="6210"/>
    <n v="0"/>
    <s v="No"/>
    <s v="Minor"/>
    <n v="3105"/>
    <n v="2046"/>
    <n v="2024"/>
    <n v="6"/>
    <n v="1"/>
  </r>
  <r>
    <s v="SHP-31247"/>
    <d v="2024-12-22T00:00:00"/>
    <s v="South"/>
    <s v="Bengaluru"/>
    <s v="Central Hub"/>
    <s v="Standard"/>
    <s v="System"/>
    <s v="Medium"/>
    <n v="2"/>
    <n v="7"/>
    <n v="5"/>
    <s v="Yes"/>
    <n v="133"/>
    <n v="12190"/>
    <n v="14060"/>
    <n v="0"/>
    <s v="No"/>
    <s v="Major"/>
    <n v="2812"/>
    <n v="2438"/>
    <n v="2024"/>
    <n v="12"/>
    <n v="1"/>
  </r>
  <r>
    <s v="SHP-31248"/>
    <d v="2024-04-03T00:00:00"/>
    <s v="East"/>
    <s v="Bhubaneswar"/>
    <s v="Central Hub"/>
    <s v="Standard"/>
    <s v="Capacity"/>
    <s v="Low"/>
    <n v="1"/>
    <n v="1"/>
    <n v="0"/>
    <s v="No"/>
    <n v="475"/>
    <n v="0"/>
    <n v="0"/>
    <n v="1"/>
    <s v="No"/>
    <s v="On Time"/>
    <n v="0"/>
    <n v="0"/>
    <n v="2024"/>
    <n v="4"/>
    <n v="0"/>
  </r>
  <r>
    <s v="SHP-31249"/>
    <d v="2024-01-01T00:00:00"/>
    <s v="South"/>
    <s v="Bengaluru"/>
    <s v="Local Hub"/>
    <s v="Express"/>
    <s v="Weather"/>
    <s v="Low"/>
    <n v="3"/>
    <n v="8"/>
    <n v="5"/>
    <s v="Yes"/>
    <n v="350"/>
    <n v="4680"/>
    <n v="14875"/>
    <n v="0"/>
    <s v="No"/>
    <s v="Major"/>
    <n v="2975"/>
    <n v="936"/>
    <n v="2024"/>
    <n v="1"/>
    <n v="1"/>
  </r>
  <r>
    <s v="SHP-31250"/>
    <d v="2024-01-30T00:00:00"/>
    <s v="South"/>
    <s v="Chennai"/>
    <s v="Central Hub"/>
    <s v="Critical"/>
    <s v="Documentation"/>
    <s v="Medium"/>
    <n v="5"/>
    <n v="12"/>
    <n v="7"/>
    <s v="Yes"/>
    <n v="328"/>
    <n v="15400"/>
    <n v="26117"/>
    <n v="0"/>
    <s v="No"/>
    <s v="Severe"/>
    <n v="3731"/>
    <n v="2200"/>
    <n v="2024"/>
    <n v="1"/>
    <n v="1"/>
  </r>
  <r>
    <s v="SHP-31251"/>
    <d v="2024-12-22T00:00:00"/>
    <s v="West"/>
    <s v="Mumbai"/>
    <s v="Local Hub"/>
    <s v="Express"/>
    <s v="Documentation"/>
    <s v="Low"/>
    <n v="3"/>
    <n v="6"/>
    <n v="3"/>
    <s v="Yes"/>
    <n v="218"/>
    <n v="6579"/>
    <n v="6483"/>
    <n v="0"/>
    <s v="No"/>
    <s v="Major"/>
    <n v="2161"/>
    <n v="2193"/>
    <n v="2024"/>
    <n v="12"/>
    <n v="1"/>
  </r>
  <r>
    <s v="SHP-31252"/>
    <d v="2024-07-03T00:00:00"/>
    <s v="West"/>
    <s v="Mumbai"/>
    <s v="Local Hub"/>
    <s v="Critical"/>
    <s v="Capacity"/>
    <s v="Medium"/>
    <n v="3"/>
    <n v="6"/>
    <n v="3"/>
    <s v="Yes"/>
    <n v="133"/>
    <n v="7119"/>
    <n v="14802"/>
    <n v="0"/>
    <s v="No"/>
    <s v="Major"/>
    <n v="4934"/>
    <n v="2373"/>
    <n v="2024"/>
    <n v="7"/>
    <n v="1"/>
  </r>
  <r>
    <s v="SHP-31253"/>
    <d v="2024-05-10T00:00:00"/>
    <s v="North"/>
    <s v="Delhi"/>
    <s v="Central Hub"/>
    <s v="Critical"/>
    <s v="Weather"/>
    <s v="Medium"/>
    <n v="5"/>
    <n v="8"/>
    <n v="3"/>
    <s v="Yes"/>
    <n v="101"/>
    <n v="4416"/>
    <n v="14934"/>
    <n v="0"/>
    <s v="No"/>
    <s v="Major"/>
    <n v="4978"/>
    <n v="1472"/>
    <n v="2024"/>
    <n v="5"/>
    <n v="1"/>
  </r>
  <r>
    <s v="SHP-31254"/>
    <d v="2024-04-22T00:00:00"/>
    <s v="East"/>
    <s v="Bhubaneswar"/>
    <s v="Central Hub"/>
    <s v="Critical"/>
    <s v="Documentation"/>
    <s v="Low"/>
    <n v="2"/>
    <n v="3"/>
    <n v="1"/>
    <s v="Yes"/>
    <n v="53"/>
    <n v="1486"/>
    <n v="2234"/>
    <n v="0"/>
    <s v="No"/>
    <s v="Minor"/>
    <n v="2234"/>
    <n v="1486"/>
    <n v="2024"/>
    <n v="4"/>
    <n v="1"/>
  </r>
  <r>
    <s v="SHP-31255"/>
    <d v="2024-05-10T00:00:00"/>
    <s v="North"/>
    <s v="Delhi"/>
    <s v="Central Hub"/>
    <s v="Express"/>
    <s v="Weather"/>
    <s v="Medium"/>
    <n v="1"/>
    <n v="1"/>
    <n v="0"/>
    <s v="No"/>
    <n v="59"/>
    <n v="0"/>
    <n v="0"/>
    <n v="1"/>
    <s v="No"/>
    <s v="On Time"/>
    <n v="0"/>
    <n v="0"/>
    <n v="2024"/>
    <n v="5"/>
    <n v="0"/>
  </r>
  <r>
    <s v="SHP-31256"/>
    <d v="2024-07-05T00:00:00"/>
    <s v="East"/>
    <s v="Bhubaneswar"/>
    <s v="Regional Hub"/>
    <s v="Standard"/>
    <s v="Capacity"/>
    <s v="High"/>
    <n v="2"/>
    <n v="8"/>
    <n v="6"/>
    <s v="Yes"/>
    <n v="444"/>
    <n v="13638"/>
    <n v="17694"/>
    <n v="0"/>
    <s v="No"/>
    <s v="Severe"/>
    <n v="2949"/>
    <n v="2273"/>
    <n v="2024"/>
    <n v="7"/>
    <n v="1"/>
  </r>
  <r>
    <s v="SHP-31257"/>
    <d v="2024-12-14T00:00:00"/>
    <s v="West"/>
    <s v="Mumbai"/>
    <s v="Local Hub"/>
    <s v="Standard"/>
    <s v="Weather"/>
    <s v="Low"/>
    <n v="1"/>
    <n v="3"/>
    <n v="2"/>
    <s v="Yes"/>
    <n v="435"/>
    <n v="4522"/>
    <n v="6320"/>
    <n v="0"/>
    <s v="No"/>
    <s v="Minor"/>
    <n v="3160"/>
    <n v="2261"/>
    <n v="2024"/>
    <n v="12"/>
    <n v="1"/>
  </r>
  <r>
    <s v="SHP-31258"/>
    <d v="2024-11-15T00:00:00"/>
    <s v="West"/>
    <s v="Mumbai"/>
    <s v="Central Hub"/>
    <s v="Standard"/>
    <s v="Weather"/>
    <s v="Medium"/>
    <n v="3"/>
    <n v="6"/>
    <n v="3"/>
    <s v="Yes"/>
    <n v="366"/>
    <n v="3408"/>
    <n v="10161"/>
    <n v="0"/>
    <s v="No"/>
    <s v="Major"/>
    <n v="3387"/>
    <n v="1136"/>
    <n v="2024"/>
    <n v="11"/>
    <n v="1"/>
  </r>
  <r>
    <s v="SHP-31259"/>
    <d v="2024-07-18T00:00:00"/>
    <s v="East"/>
    <s v="Kolkata"/>
    <s v="Central Hub"/>
    <s v="Standard"/>
    <s v="Documentation"/>
    <s v="Low"/>
    <n v="3"/>
    <n v="4"/>
    <n v="1"/>
    <s v="Yes"/>
    <n v="233"/>
    <n v="1884"/>
    <n v="2307"/>
    <n v="0"/>
    <s v="No"/>
    <s v="Minor"/>
    <n v="2307"/>
    <n v="1884"/>
    <n v="2024"/>
    <n v="7"/>
    <n v="1"/>
  </r>
  <r>
    <s v="SHP-31260"/>
    <d v="2024-10-08T00:00:00"/>
    <s v="South"/>
    <s v="Chennai"/>
    <s v="Central Hub"/>
    <s v="Express"/>
    <s v="Weather"/>
    <s v="Medium"/>
    <n v="2"/>
    <n v="3"/>
    <n v="1"/>
    <s v="Yes"/>
    <n v="108"/>
    <n v="948"/>
    <n v="2430"/>
    <n v="0"/>
    <s v="No"/>
    <s v="Minor"/>
    <n v="2430"/>
    <n v="948"/>
    <n v="2024"/>
    <n v="10"/>
    <n v="1"/>
  </r>
  <r>
    <s v="SHP-31261"/>
    <d v="2024-01-05T00:00:00"/>
    <s v="East"/>
    <s v="Bhubaneswar"/>
    <s v="Central Hub"/>
    <s v="Critical"/>
    <s v="System"/>
    <s v="Medium"/>
    <n v="1"/>
    <n v="5"/>
    <n v="4"/>
    <s v="Yes"/>
    <n v="370"/>
    <n v="5848"/>
    <n v="8468"/>
    <n v="0"/>
    <s v="No"/>
    <s v="Major"/>
    <n v="2117"/>
    <n v="1462"/>
    <n v="2024"/>
    <n v="1"/>
    <n v="1"/>
  </r>
  <r>
    <s v="SHP-31262"/>
    <d v="2024-02-25T00:00:00"/>
    <s v="East"/>
    <s v="Bhubaneswar"/>
    <s v="Central Hub"/>
    <s v="Standard"/>
    <s v="Routing"/>
    <s v="Low"/>
    <n v="1"/>
    <n v="2"/>
    <n v="1"/>
    <s v="Yes"/>
    <n v="99"/>
    <n v="2325"/>
    <n v="3479"/>
    <n v="0"/>
    <s v="No"/>
    <s v="Minor"/>
    <n v="3479"/>
    <n v="2325"/>
    <n v="2024"/>
    <n v="2"/>
    <n v="1"/>
  </r>
  <r>
    <s v="SHP-31263"/>
    <d v="2024-10-22T00:00:00"/>
    <s v="West"/>
    <s v="Mumbai"/>
    <s v="Central Hub"/>
    <s v="Standard"/>
    <s v="Weather"/>
    <s v="Medium"/>
    <n v="2"/>
    <n v="3"/>
    <n v="1"/>
    <s v="Yes"/>
    <n v="410"/>
    <n v="2394"/>
    <n v="1549"/>
    <n v="0"/>
    <s v="No"/>
    <s v="Minor"/>
    <n v="1549"/>
    <n v="2394"/>
    <n v="2024"/>
    <n v="10"/>
    <n v="1"/>
  </r>
  <r>
    <s v="SHP-31264"/>
    <d v="2024-06-03T00:00:00"/>
    <s v="South"/>
    <s v="Chennai"/>
    <s v="Regional Hub"/>
    <s v="Standard"/>
    <s v="Weather"/>
    <s v="Medium"/>
    <n v="3"/>
    <n v="8"/>
    <n v="5"/>
    <s v="Yes"/>
    <n v="499"/>
    <n v="9445"/>
    <n v="13115"/>
    <n v="0"/>
    <s v="No"/>
    <s v="Major"/>
    <n v="2623"/>
    <n v="1889"/>
    <n v="2024"/>
    <n v="6"/>
    <n v="1"/>
  </r>
  <r>
    <s v="SHP-31265"/>
    <d v="2024-05-04T00:00:00"/>
    <s v="North"/>
    <s v="Delhi"/>
    <s v="Regional Hub"/>
    <s v="Standard"/>
    <s v="Routing"/>
    <s v="Low"/>
    <n v="3"/>
    <n v="7"/>
    <n v="4"/>
    <s v="Yes"/>
    <n v="364"/>
    <n v="8504"/>
    <n v="13552"/>
    <n v="0"/>
    <s v="No"/>
    <s v="Major"/>
    <n v="3388"/>
    <n v="2126"/>
    <n v="2024"/>
    <n v="5"/>
    <n v="1"/>
  </r>
  <r>
    <s v="SHP-31266"/>
    <d v="2024-02-27T00:00:00"/>
    <s v="North"/>
    <s v="Noida"/>
    <s v="Regional Hub"/>
    <s v="Critical"/>
    <s v="Capacity"/>
    <s v="Low"/>
    <n v="5"/>
    <n v="6"/>
    <n v="1"/>
    <s v="Yes"/>
    <n v="437"/>
    <n v="987"/>
    <n v="1784"/>
    <n v="0"/>
    <s v="No"/>
    <s v="Minor"/>
    <n v="1784"/>
    <n v="987"/>
    <n v="2024"/>
    <n v="2"/>
    <n v="1"/>
  </r>
  <r>
    <s v="SHP-31267"/>
    <d v="2024-05-19T00:00:00"/>
    <s v="North"/>
    <s v="Delhi"/>
    <s v="Regional Hub"/>
    <s v="Express"/>
    <s v="Weather"/>
    <s v="Low"/>
    <n v="2"/>
    <n v="4"/>
    <n v="2"/>
    <s v="Yes"/>
    <n v="343"/>
    <n v="4972"/>
    <n v="8194"/>
    <n v="0"/>
    <s v="No"/>
    <s v="Minor"/>
    <n v="4097"/>
    <n v="2486"/>
    <n v="2024"/>
    <n v="5"/>
    <n v="1"/>
  </r>
  <r>
    <s v="SHP-31268"/>
    <d v="2024-05-12T00:00:00"/>
    <s v="West"/>
    <s v="Mumbai"/>
    <s v="Regional Hub"/>
    <s v="Express"/>
    <s v="Documentation"/>
    <s v="Low"/>
    <n v="2"/>
    <n v="2"/>
    <n v="0"/>
    <s v="No"/>
    <n v="150"/>
    <n v="0"/>
    <n v="0"/>
    <n v="1"/>
    <s v="No"/>
    <s v="On Time"/>
    <n v="0"/>
    <n v="0"/>
    <n v="2024"/>
    <n v="5"/>
    <n v="0"/>
  </r>
  <r>
    <s v="SHP-31269"/>
    <d v="2024-09-02T00:00:00"/>
    <s v="West"/>
    <s v="Pune"/>
    <s v="Regional Hub"/>
    <s v="Standard"/>
    <s v="Weather"/>
    <s v="Medium"/>
    <n v="1"/>
    <n v="5"/>
    <n v="4"/>
    <s v="Yes"/>
    <n v="87"/>
    <n v="8216"/>
    <n v="12972"/>
    <n v="0"/>
    <s v="No"/>
    <s v="Major"/>
    <n v="3243"/>
    <n v="2054"/>
    <n v="2024"/>
    <n v="9"/>
    <n v="1"/>
  </r>
  <r>
    <s v="SHP-31270"/>
    <d v="2024-11-21T00:00:00"/>
    <s v="South"/>
    <s v="Bengaluru"/>
    <s v="Regional Hub"/>
    <s v="Standard"/>
    <s v="Weather"/>
    <s v="Medium"/>
    <n v="2"/>
    <n v="5"/>
    <n v="3"/>
    <s v="Yes"/>
    <n v="344"/>
    <n v="5718"/>
    <n v="12663"/>
    <n v="0"/>
    <s v="No"/>
    <s v="Major"/>
    <n v="4221"/>
    <n v="1906"/>
    <n v="2024"/>
    <n v="11"/>
    <n v="1"/>
  </r>
  <r>
    <s v="SHP-31271"/>
    <d v="2024-02-02T00:00:00"/>
    <s v="West"/>
    <s v="Mumbai"/>
    <s v="Local Hub"/>
    <s v="Express"/>
    <s v="Documentation"/>
    <s v="Medium"/>
    <n v="1"/>
    <n v="1"/>
    <n v="0"/>
    <s v="No"/>
    <n v="77"/>
    <n v="0"/>
    <n v="0"/>
    <n v="1"/>
    <s v="No"/>
    <s v="On Time"/>
    <n v="0"/>
    <n v="0"/>
    <n v="2024"/>
    <n v="2"/>
    <n v="0"/>
  </r>
  <r>
    <s v="SHP-31272"/>
    <d v="2024-05-08T00:00:00"/>
    <s v="South"/>
    <s v="Chennai"/>
    <s v="Local Hub"/>
    <s v="Standard"/>
    <s v="System"/>
    <s v="Low"/>
    <n v="3"/>
    <n v="7"/>
    <n v="4"/>
    <s v="Yes"/>
    <n v="258"/>
    <n v="3588"/>
    <n v="13712"/>
    <n v="0"/>
    <s v="No"/>
    <s v="Major"/>
    <n v="3428"/>
    <n v="897"/>
    <n v="2024"/>
    <n v="5"/>
    <n v="1"/>
  </r>
  <r>
    <s v="SHP-31273"/>
    <d v="2024-11-10T00:00:00"/>
    <s v="West"/>
    <s v="Mumbai"/>
    <s v="Regional Hub"/>
    <s v="Standard"/>
    <s v="Weather"/>
    <s v="High"/>
    <n v="5"/>
    <n v="10"/>
    <n v="5"/>
    <s v="Yes"/>
    <n v="72"/>
    <n v="4925"/>
    <n v="12120"/>
    <n v="0"/>
    <s v="No"/>
    <s v="Major"/>
    <n v="2424"/>
    <n v="985"/>
    <n v="2024"/>
    <n v="11"/>
    <n v="1"/>
  </r>
  <r>
    <s v="SHP-31274"/>
    <d v="2024-10-03T00:00:00"/>
    <s v="East"/>
    <s v="Kolkata"/>
    <s v="Local Hub"/>
    <s v="Express"/>
    <s v="Weather"/>
    <s v="High"/>
    <n v="2"/>
    <n v="10"/>
    <n v="8"/>
    <s v="Yes"/>
    <n v="370"/>
    <n v="13656"/>
    <n v="31048"/>
    <n v="0"/>
    <s v="No"/>
    <s v="Severe"/>
    <n v="3881"/>
    <n v="1707"/>
    <n v="2024"/>
    <n v="10"/>
    <n v="1"/>
  </r>
  <r>
    <s v="SHP-31275"/>
    <d v="2024-06-22T00:00:00"/>
    <s v="East"/>
    <s v="Kolkata"/>
    <s v="Central Hub"/>
    <s v="Standard"/>
    <s v="System"/>
    <s v="Medium"/>
    <n v="2"/>
    <n v="5"/>
    <n v="3"/>
    <s v="Yes"/>
    <n v="486"/>
    <n v="6357"/>
    <n v="14112"/>
    <n v="0"/>
    <s v="No"/>
    <s v="Major"/>
    <n v="4704"/>
    <n v="2119"/>
    <n v="2024"/>
    <n v="6"/>
    <n v="1"/>
  </r>
  <r>
    <s v="SHP-31276"/>
    <d v="2024-06-02T00:00:00"/>
    <s v="North"/>
    <s v="Noida"/>
    <s v="Regional Hub"/>
    <s v="Standard"/>
    <s v="System"/>
    <s v="Low"/>
    <n v="1"/>
    <n v="6"/>
    <n v="5"/>
    <s v="Yes"/>
    <n v="468"/>
    <n v="7075"/>
    <n v="24065"/>
    <n v="0"/>
    <s v="No"/>
    <s v="Major"/>
    <n v="4813"/>
    <n v="1415"/>
    <n v="2024"/>
    <n v="6"/>
    <n v="1"/>
  </r>
  <r>
    <s v="SHP-31277"/>
    <d v="2024-07-11T00:00:00"/>
    <s v="East"/>
    <s v="Kolkata"/>
    <s v="Regional Hub"/>
    <s v="Standard"/>
    <s v="Capacity"/>
    <s v="Low"/>
    <n v="1"/>
    <n v="2"/>
    <n v="1"/>
    <s v="Yes"/>
    <n v="480"/>
    <n v="2462"/>
    <n v="2175"/>
    <n v="0"/>
    <s v="No"/>
    <s v="Minor"/>
    <n v="2175"/>
    <n v="2462"/>
    <n v="2024"/>
    <n v="7"/>
    <n v="1"/>
  </r>
  <r>
    <s v="SHP-31278"/>
    <d v="2024-05-04T00:00:00"/>
    <s v="West"/>
    <s v="Pune"/>
    <s v="Central Hub"/>
    <s v="Standard"/>
    <s v="Weather"/>
    <s v="Low"/>
    <n v="1"/>
    <n v="5"/>
    <n v="4"/>
    <s v="Yes"/>
    <n v="337"/>
    <n v="8296"/>
    <n v="11412"/>
    <n v="0"/>
    <s v="No"/>
    <s v="Major"/>
    <n v="2853"/>
    <n v="2074"/>
    <n v="2024"/>
    <n v="5"/>
    <n v="1"/>
  </r>
  <r>
    <s v="SHP-31279"/>
    <d v="2024-07-30T00:00:00"/>
    <s v="South"/>
    <s v="Bengaluru"/>
    <s v="Central Hub"/>
    <s v="Standard"/>
    <s v="Capacity"/>
    <s v="Low"/>
    <n v="2"/>
    <n v="7"/>
    <n v="5"/>
    <s v="Yes"/>
    <n v="145"/>
    <n v="4190"/>
    <n v="20265"/>
    <n v="0"/>
    <s v="No"/>
    <s v="Major"/>
    <n v="4053"/>
    <n v="838"/>
    <n v="2024"/>
    <n v="7"/>
    <n v="1"/>
  </r>
  <r>
    <s v="SHP-31280"/>
    <d v="2024-04-04T00:00:00"/>
    <s v="West"/>
    <s v="Mumbai"/>
    <s v="Regional Hub"/>
    <s v="Standard"/>
    <s v="System"/>
    <s v="Low"/>
    <n v="1"/>
    <n v="1"/>
    <n v="0"/>
    <s v="No"/>
    <n v="440"/>
    <n v="0"/>
    <n v="0"/>
    <n v="1"/>
    <s v="No"/>
    <s v="On Time"/>
    <n v="0"/>
    <n v="0"/>
    <n v="2024"/>
    <n v="4"/>
    <n v="0"/>
  </r>
  <r>
    <s v="SHP-31281"/>
    <d v="2024-12-11T00:00:00"/>
    <s v="South"/>
    <s v="Chennai"/>
    <s v="Central Hub"/>
    <s v="Standard"/>
    <s v="Capacity"/>
    <s v="Low"/>
    <n v="2"/>
    <n v="4"/>
    <n v="2"/>
    <s v="Yes"/>
    <n v="67"/>
    <n v="4510"/>
    <n v="8904"/>
    <n v="0"/>
    <s v="No"/>
    <s v="Minor"/>
    <n v="4452"/>
    <n v="2255"/>
    <n v="2024"/>
    <n v="12"/>
    <n v="1"/>
  </r>
  <r>
    <s v="SHP-31282"/>
    <d v="2024-12-10T00:00:00"/>
    <s v="West"/>
    <s v="Mumbai"/>
    <s v="Regional Hub"/>
    <s v="Critical"/>
    <s v="Weather"/>
    <s v="Medium"/>
    <n v="5"/>
    <n v="9"/>
    <n v="4"/>
    <s v="Yes"/>
    <n v="256"/>
    <n v="4736"/>
    <n v="8452"/>
    <n v="0"/>
    <s v="No"/>
    <s v="Major"/>
    <n v="2113"/>
    <n v="1184"/>
    <n v="2024"/>
    <n v="12"/>
    <n v="1"/>
  </r>
  <r>
    <s v="SHP-31283"/>
    <d v="2024-05-28T00:00:00"/>
    <s v="West"/>
    <s v="Mumbai"/>
    <s v="Regional Hub"/>
    <s v="Critical"/>
    <s v="Documentation"/>
    <s v="Medium"/>
    <n v="2"/>
    <n v="7"/>
    <n v="5"/>
    <s v="Yes"/>
    <n v="368"/>
    <n v="6075"/>
    <n v="19900"/>
    <n v="0"/>
    <s v="No"/>
    <s v="Major"/>
    <n v="3980"/>
    <n v="1215"/>
    <n v="2024"/>
    <n v="5"/>
    <n v="1"/>
  </r>
  <r>
    <s v="SHP-31284"/>
    <d v="2024-03-14T00:00:00"/>
    <s v="North"/>
    <s v="Delhi"/>
    <s v="Regional Hub"/>
    <s v="Standard"/>
    <s v="Capacity"/>
    <s v="Medium"/>
    <n v="3"/>
    <n v="4"/>
    <n v="1"/>
    <s v="Yes"/>
    <n v="75"/>
    <n v="1130"/>
    <n v="2193"/>
    <n v="0"/>
    <s v="No"/>
    <s v="Minor"/>
    <n v="2193"/>
    <n v="1130"/>
    <n v="2024"/>
    <n v="3"/>
    <n v="1"/>
  </r>
  <r>
    <s v="SHP-31285"/>
    <d v="2024-01-30T00:00:00"/>
    <s v="West"/>
    <s v="Mumbai"/>
    <s v="Regional Hub"/>
    <s v="Critical"/>
    <s v="Documentation"/>
    <s v="Low"/>
    <n v="3"/>
    <n v="5"/>
    <n v="2"/>
    <s v="Yes"/>
    <n v="168"/>
    <n v="2658"/>
    <n v="8894"/>
    <n v="0"/>
    <s v="No"/>
    <s v="Minor"/>
    <n v="4447"/>
    <n v="1329"/>
    <n v="2024"/>
    <n v="1"/>
    <n v="1"/>
  </r>
  <r>
    <s v="SHP-31286"/>
    <d v="2024-10-13T00:00:00"/>
    <s v="East"/>
    <s v="Bhubaneswar"/>
    <s v="Regional Hub"/>
    <s v="Express"/>
    <s v="Capacity"/>
    <s v="Low"/>
    <n v="2"/>
    <n v="5"/>
    <n v="3"/>
    <s v="Yes"/>
    <n v="338"/>
    <n v="5757"/>
    <n v="11025"/>
    <n v="0"/>
    <s v="No"/>
    <s v="Major"/>
    <n v="3675"/>
    <n v="1919"/>
    <n v="2024"/>
    <n v="10"/>
    <n v="1"/>
  </r>
  <r>
    <s v="SHP-31287"/>
    <d v="2024-12-16T00:00:00"/>
    <s v="East"/>
    <s v="Kolkata"/>
    <s v="Local Hub"/>
    <s v="Standard"/>
    <s v="Capacity"/>
    <s v="Medium"/>
    <n v="3"/>
    <n v="6"/>
    <n v="3"/>
    <s v="Yes"/>
    <n v="399"/>
    <n v="6993"/>
    <n v="4965"/>
    <n v="0"/>
    <s v="No"/>
    <s v="Major"/>
    <n v="1655"/>
    <n v="2331"/>
    <n v="2024"/>
    <n v="12"/>
    <n v="1"/>
  </r>
  <r>
    <s v="SHP-31288"/>
    <d v="2024-04-29T00:00:00"/>
    <s v="West"/>
    <s v="Mumbai"/>
    <s v="Regional Hub"/>
    <s v="Standard"/>
    <s v="Documentation"/>
    <s v="High"/>
    <n v="2"/>
    <n v="8"/>
    <n v="6"/>
    <s v="Yes"/>
    <n v="316"/>
    <n v="5718"/>
    <n v="27144"/>
    <n v="0"/>
    <s v="No"/>
    <s v="Severe"/>
    <n v="4524"/>
    <n v="953"/>
    <n v="2024"/>
    <n v="4"/>
    <n v="1"/>
  </r>
  <r>
    <s v="SHP-31289"/>
    <d v="2024-08-25T00:00:00"/>
    <s v="West"/>
    <s v="Pune"/>
    <s v="Regional Hub"/>
    <s v="Express"/>
    <s v="Capacity"/>
    <s v="Medium"/>
    <n v="5"/>
    <n v="5"/>
    <n v="0"/>
    <s v="No"/>
    <n v="247"/>
    <n v="0"/>
    <n v="0"/>
    <n v="1"/>
    <s v="No"/>
    <s v="On Time"/>
    <n v="0"/>
    <n v="0"/>
    <n v="2024"/>
    <n v="8"/>
    <n v="0"/>
  </r>
  <r>
    <s v="SHP-31290"/>
    <d v="2024-12-03T00:00:00"/>
    <s v="South"/>
    <s v="Bengaluru"/>
    <s v="Local Hub"/>
    <s v="Standard"/>
    <s v="Capacity"/>
    <s v="Low"/>
    <n v="2"/>
    <n v="3"/>
    <n v="1"/>
    <s v="Yes"/>
    <n v="438"/>
    <n v="1479"/>
    <n v="4776"/>
    <n v="0"/>
    <s v="No"/>
    <s v="Minor"/>
    <n v="4776"/>
    <n v="1479"/>
    <n v="2024"/>
    <n v="12"/>
    <n v="1"/>
  </r>
  <r>
    <s v="SHP-31291"/>
    <d v="2024-11-08T00:00:00"/>
    <s v="West"/>
    <s v="Mumbai"/>
    <s v="Central Hub"/>
    <s v="Standard"/>
    <s v="System"/>
    <s v="High"/>
    <n v="2"/>
    <n v="6"/>
    <n v="4"/>
    <s v="Yes"/>
    <n v="349"/>
    <n v="9164"/>
    <n v="15540"/>
    <n v="0"/>
    <s v="No"/>
    <s v="Major"/>
    <n v="3885"/>
    <n v="2291"/>
    <n v="2024"/>
    <n v="11"/>
    <n v="1"/>
  </r>
  <r>
    <s v="SHP-31292"/>
    <d v="2024-06-09T00:00:00"/>
    <s v="North"/>
    <s v="Noida"/>
    <s v="Local Hub"/>
    <s v="Standard"/>
    <s v="Routing"/>
    <s v="Low"/>
    <n v="3"/>
    <n v="3"/>
    <n v="0"/>
    <s v="No"/>
    <n v="367"/>
    <n v="0"/>
    <n v="0"/>
    <n v="1"/>
    <s v="No"/>
    <s v="On Time"/>
    <n v="0"/>
    <n v="0"/>
    <n v="2024"/>
    <n v="6"/>
    <n v="0"/>
  </r>
  <r>
    <s v="SHP-31293"/>
    <d v="2024-04-15T00:00:00"/>
    <s v="East"/>
    <s v="Kolkata"/>
    <s v="Regional Hub"/>
    <s v="Express"/>
    <s v="Capacity"/>
    <s v="Low"/>
    <n v="3"/>
    <n v="8"/>
    <n v="5"/>
    <s v="Yes"/>
    <n v="283"/>
    <n v="7710"/>
    <n v="22025"/>
    <n v="0"/>
    <s v="No"/>
    <s v="Major"/>
    <n v="4405"/>
    <n v="1542"/>
    <n v="2024"/>
    <n v="4"/>
    <n v="1"/>
  </r>
  <r>
    <s v="SHP-31294"/>
    <d v="2024-09-06T00:00:00"/>
    <s v="North"/>
    <s v="Delhi"/>
    <s v="Local Hub"/>
    <s v="Express"/>
    <s v="Documentation"/>
    <s v="Low"/>
    <n v="3"/>
    <n v="3"/>
    <n v="0"/>
    <s v="No"/>
    <n v="328"/>
    <n v="0"/>
    <n v="0"/>
    <n v="1"/>
    <s v="No"/>
    <s v="On Time"/>
    <n v="0"/>
    <n v="0"/>
    <n v="2024"/>
    <n v="9"/>
    <n v="0"/>
  </r>
  <r>
    <s v="SHP-31295"/>
    <d v="2024-03-19T00:00:00"/>
    <s v="West"/>
    <s v="Pune"/>
    <s v="Regional Hub"/>
    <s v="Express"/>
    <s v="Routing"/>
    <s v="Low"/>
    <n v="2"/>
    <n v="7"/>
    <n v="5"/>
    <s v="Yes"/>
    <n v="99"/>
    <n v="7470"/>
    <n v="16110"/>
    <n v="0"/>
    <s v="No"/>
    <s v="Major"/>
    <n v="3222"/>
    <n v="1494"/>
    <n v="2024"/>
    <n v="3"/>
    <n v="1"/>
  </r>
  <r>
    <s v="SHP-31296"/>
    <d v="2024-12-22T00:00:00"/>
    <s v="South"/>
    <s v="Bengaluru"/>
    <s v="Regional Hub"/>
    <s v="Express"/>
    <s v="Capacity"/>
    <s v="Low"/>
    <n v="3"/>
    <n v="5"/>
    <n v="2"/>
    <s v="Yes"/>
    <n v="422"/>
    <n v="2024"/>
    <n v="7066"/>
    <n v="0"/>
    <s v="No"/>
    <s v="Minor"/>
    <n v="3533"/>
    <n v="1012"/>
    <n v="2024"/>
    <n v="12"/>
    <n v="1"/>
  </r>
  <r>
    <s v="SHP-31297"/>
    <d v="2024-01-31T00:00:00"/>
    <s v="East"/>
    <s v="Kolkata"/>
    <s v="Regional Hub"/>
    <s v="Standard"/>
    <s v="Capacity"/>
    <s v="Low"/>
    <n v="3"/>
    <n v="3"/>
    <n v="0"/>
    <s v="No"/>
    <n v="111"/>
    <n v="0"/>
    <n v="0"/>
    <n v="1"/>
    <s v="No"/>
    <s v="On Time"/>
    <n v="0"/>
    <n v="0"/>
    <n v="2024"/>
    <n v="1"/>
    <n v="0"/>
  </r>
  <r>
    <s v="SHP-31298"/>
    <d v="2024-01-31T00:00:00"/>
    <s v="West"/>
    <s v="Pune"/>
    <s v="Regional Hub"/>
    <s v="Standard"/>
    <s v="Routing"/>
    <s v="Low"/>
    <n v="2"/>
    <n v="2"/>
    <n v="0"/>
    <s v="No"/>
    <n v="255"/>
    <n v="0"/>
    <n v="0"/>
    <n v="1"/>
    <s v="No"/>
    <s v="On Time"/>
    <n v="0"/>
    <n v="0"/>
    <n v="2024"/>
    <n v="1"/>
    <n v="0"/>
  </r>
  <r>
    <s v="SHP-31299"/>
    <d v="2024-12-26T00:00:00"/>
    <s v="West"/>
    <s v="Pune"/>
    <s v="Regional Hub"/>
    <s v="Critical"/>
    <s v="Capacity"/>
    <s v="Low"/>
    <n v="2"/>
    <n v="5"/>
    <n v="3"/>
    <s v="Yes"/>
    <n v="181"/>
    <n v="3231"/>
    <n v="11715"/>
    <n v="0"/>
    <s v="No"/>
    <s v="Major"/>
    <n v="3905"/>
    <n v="1077"/>
    <n v="2024"/>
    <n v="12"/>
    <n v="1"/>
  </r>
  <r>
    <s v="SHP-31300"/>
    <d v="2024-07-05T00:00:00"/>
    <s v="North"/>
    <s v="Noida"/>
    <s v="Central Hub"/>
    <s v="Express"/>
    <s v="Routing"/>
    <s v="High"/>
    <n v="2"/>
    <n v="10"/>
    <n v="8"/>
    <s v="Yes"/>
    <n v="157"/>
    <n v="7096"/>
    <n v="33624"/>
    <n v="0"/>
    <s v="No"/>
    <s v="Severe"/>
    <n v="4203"/>
    <n v="887"/>
    <n v="2024"/>
    <n v="7"/>
    <n v="1"/>
  </r>
  <r>
    <s v="SHP-31301"/>
    <d v="2024-06-22T00:00:00"/>
    <s v="West"/>
    <s v="Pune"/>
    <s v="Local Hub"/>
    <s v="Standard"/>
    <s v="Weather"/>
    <s v="Low"/>
    <n v="2"/>
    <n v="3"/>
    <n v="1"/>
    <s v="Yes"/>
    <n v="153"/>
    <n v="921"/>
    <n v="1718"/>
    <n v="0"/>
    <s v="No"/>
    <s v="Minor"/>
    <n v="1718"/>
    <n v="921"/>
    <n v="2024"/>
    <n v="6"/>
    <n v="1"/>
  </r>
  <r>
    <s v="SHP-31302"/>
    <d v="2024-10-09T00:00:00"/>
    <s v="South"/>
    <s v="Bengaluru"/>
    <s v="Regional Hub"/>
    <s v="Standard"/>
    <s v="System"/>
    <s v="Medium"/>
    <n v="1"/>
    <n v="4"/>
    <n v="3"/>
    <s v="Yes"/>
    <n v="394"/>
    <n v="4836"/>
    <n v="11382"/>
    <n v="0"/>
    <s v="No"/>
    <s v="Major"/>
    <n v="3794"/>
    <n v="1612"/>
    <n v="2024"/>
    <n v="10"/>
    <n v="1"/>
  </r>
  <r>
    <s v="SHP-31303"/>
    <d v="2024-04-13T00:00:00"/>
    <s v="North"/>
    <s v="Delhi"/>
    <s v="Regional Hub"/>
    <s v="Standard"/>
    <s v="Weather"/>
    <s v="Low"/>
    <n v="2"/>
    <n v="6"/>
    <n v="4"/>
    <s v="Yes"/>
    <n v="84"/>
    <n v="7668"/>
    <n v="18916"/>
    <n v="0"/>
    <s v="No"/>
    <s v="Major"/>
    <n v="4729"/>
    <n v="1917"/>
    <n v="2024"/>
    <n v="4"/>
    <n v="1"/>
  </r>
  <r>
    <s v="SHP-31304"/>
    <d v="2024-01-02T00:00:00"/>
    <s v="East"/>
    <s v="Bhubaneswar"/>
    <s v="Regional Hub"/>
    <s v="Standard"/>
    <s v="Routing"/>
    <s v="Low"/>
    <n v="2"/>
    <n v="5"/>
    <n v="3"/>
    <s v="Yes"/>
    <n v="186"/>
    <n v="4962"/>
    <n v="8025"/>
    <n v="0"/>
    <s v="No"/>
    <s v="Major"/>
    <n v="2675"/>
    <n v="1654"/>
    <n v="2024"/>
    <n v="1"/>
    <n v="1"/>
  </r>
  <r>
    <s v="SHP-31305"/>
    <d v="2024-12-13T00:00:00"/>
    <s v="East"/>
    <s v="Kolkata"/>
    <s v="Regional Hub"/>
    <s v="Critical"/>
    <s v="Documentation"/>
    <s v="Low"/>
    <n v="3"/>
    <n v="5"/>
    <n v="2"/>
    <s v="Yes"/>
    <n v="237"/>
    <n v="4638"/>
    <n v="6844"/>
    <n v="0"/>
    <s v="No"/>
    <s v="Minor"/>
    <n v="3422"/>
    <n v="2319"/>
    <n v="2024"/>
    <n v="12"/>
    <n v="1"/>
  </r>
  <r>
    <s v="SHP-31306"/>
    <d v="2024-02-16T00:00:00"/>
    <s v="South"/>
    <s v="Bengaluru"/>
    <s v="Regional Hub"/>
    <s v="Standard"/>
    <s v="Capacity"/>
    <s v="High"/>
    <n v="2"/>
    <n v="6"/>
    <n v="4"/>
    <s v="Yes"/>
    <n v="488"/>
    <n v="6116"/>
    <n v="7152"/>
    <n v="0"/>
    <s v="No"/>
    <s v="Major"/>
    <n v="1788"/>
    <n v="1529"/>
    <n v="2024"/>
    <n v="2"/>
    <n v="1"/>
  </r>
  <r>
    <s v="SHP-31307"/>
    <d v="2024-12-26T00:00:00"/>
    <s v="East"/>
    <s v="Bhubaneswar"/>
    <s v="Central Hub"/>
    <s v="Standard"/>
    <s v="Capacity"/>
    <s v="High"/>
    <n v="5"/>
    <n v="9"/>
    <n v="4"/>
    <s v="Yes"/>
    <n v="446"/>
    <n v="5160"/>
    <n v="16900"/>
    <n v="0"/>
    <s v="No"/>
    <s v="Major"/>
    <n v="4225"/>
    <n v="1290"/>
    <n v="2024"/>
    <n v="12"/>
    <n v="1"/>
  </r>
  <r>
    <s v="SHP-31308"/>
    <d v="2024-03-28T00:00:00"/>
    <s v="West"/>
    <s v="Pune"/>
    <s v="Local Hub"/>
    <s v="Express"/>
    <s v="Documentation"/>
    <s v="Low"/>
    <n v="3"/>
    <n v="7"/>
    <n v="4"/>
    <s v="Yes"/>
    <n v="423"/>
    <n v="8540"/>
    <n v="13320"/>
    <n v="0"/>
    <s v="No"/>
    <s v="Major"/>
    <n v="3330"/>
    <n v="2135"/>
    <n v="2024"/>
    <n v="3"/>
    <n v="1"/>
  </r>
  <r>
    <s v="SHP-31309"/>
    <d v="2024-12-25T00:00:00"/>
    <s v="North"/>
    <s v="Noida"/>
    <s v="Regional Hub"/>
    <s v="Critical"/>
    <s v="Capacity"/>
    <s v="High"/>
    <n v="1"/>
    <n v="9"/>
    <n v="8"/>
    <s v="Yes"/>
    <n v="294"/>
    <n v="16792"/>
    <n v="20960"/>
    <n v="0"/>
    <s v="No"/>
    <s v="Severe"/>
    <n v="2620"/>
    <n v="2099"/>
    <n v="2024"/>
    <n v="12"/>
    <n v="1"/>
  </r>
  <r>
    <s v="SHP-31310"/>
    <d v="2024-01-26T00:00:00"/>
    <s v="South"/>
    <s v="Bengaluru"/>
    <s v="Local Hub"/>
    <s v="Standard"/>
    <s v="Weather"/>
    <s v="Medium"/>
    <n v="5"/>
    <n v="6"/>
    <n v="1"/>
    <s v="Yes"/>
    <n v="368"/>
    <n v="2231"/>
    <n v="1984"/>
    <n v="0"/>
    <s v="No"/>
    <s v="Minor"/>
    <n v="1984"/>
    <n v="2231"/>
    <n v="2024"/>
    <n v="1"/>
    <n v="1"/>
  </r>
  <r>
    <s v="SHP-31311"/>
    <d v="2024-12-06T00:00:00"/>
    <s v="North"/>
    <s v="Noida"/>
    <s v="Central Hub"/>
    <s v="Express"/>
    <s v="Capacity"/>
    <s v="High"/>
    <n v="1"/>
    <n v="8"/>
    <n v="7"/>
    <s v="Yes"/>
    <n v="103"/>
    <n v="16317"/>
    <n v="32466"/>
    <n v="0"/>
    <s v="No"/>
    <s v="Severe"/>
    <n v="4638"/>
    <n v="2331"/>
    <n v="2024"/>
    <n v="12"/>
    <n v="1"/>
  </r>
  <r>
    <s v="SHP-31312"/>
    <d v="2024-01-03T00:00:00"/>
    <s v="East"/>
    <s v="Kolkata"/>
    <s v="Regional Hub"/>
    <s v="Express"/>
    <s v="Routing"/>
    <s v="Low"/>
    <n v="1"/>
    <n v="4"/>
    <n v="3"/>
    <s v="Yes"/>
    <n v="225"/>
    <n v="6855"/>
    <n v="11352"/>
    <n v="0"/>
    <s v="No"/>
    <s v="Major"/>
    <n v="3784"/>
    <n v="2285"/>
    <n v="2024"/>
    <n v="1"/>
    <n v="1"/>
  </r>
  <r>
    <s v="SHP-31313"/>
    <d v="2024-07-25T00:00:00"/>
    <s v="West"/>
    <s v="Pune"/>
    <s v="Regional Hub"/>
    <s v="Critical"/>
    <s v="Documentation"/>
    <s v="Medium"/>
    <n v="5"/>
    <n v="11"/>
    <n v="6"/>
    <s v="Yes"/>
    <n v="466"/>
    <n v="8670"/>
    <n v="23808"/>
    <n v="0"/>
    <s v="No"/>
    <s v="Severe"/>
    <n v="3968"/>
    <n v="1445"/>
    <n v="2024"/>
    <n v="7"/>
    <n v="1"/>
  </r>
  <r>
    <s v="SHP-31314"/>
    <d v="2024-02-17T00:00:00"/>
    <s v="North"/>
    <s v="Noida"/>
    <s v="Regional Hub"/>
    <s v="Standard"/>
    <s v="Routing"/>
    <s v="Low"/>
    <n v="3"/>
    <n v="6"/>
    <n v="3"/>
    <s v="Yes"/>
    <n v="456"/>
    <n v="3504"/>
    <n v="12204"/>
    <n v="0"/>
    <s v="No"/>
    <s v="Major"/>
    <n v="4068"/>
    <n v="1168"/>
    <n v="2024"/>
    <n v="2"/>
    <n v="1"/>
  </r>
  <r>
    <s v="SHP-31315"/>
    <d v="2024-07-20T00:00:00"/>
    <s v="West"/>
    <s v="Mumbai"/>
    <s v="Regional Hub"/>
    <s v="Express"/>
    <s v="Documentation"/>
    <s v="Low"/>
    <n v="3"/>
    <n v="3"/>
    <n v="0"/>
    <s v="No"/>
    <n v="244"/>
    <n v="0"/>
    <n v="0"/>
    <n v="1"/>
    <s v="No"/>
    <s v="On Time"/>
    <n v="0"/>
    <n v="0"/>
    <n v="2024"/>
    <n v="7"/>
    <n v="0"/>
  </r>
  <r>
    <s v="SHP-31316"/>
    <d v="2024-11-05T00:00:00"/>
    <s v="West"/>
    <s v="Mumbai"/>
    <s v="Regional Hub"/>
    <s v="Standard"/>
    <s v="Routing"/>
    <s v="High"/>
    <n v="3"/>
    <n v="7"/>
    <n v="4"/>
    <s v="Yes"/>
    <n v="372"/>
    <n v="3904"/>
    <n v="12272"/>
    <n v="0"/>
    <s v="No"/>
    <s v="Major"/>
    <n v="3068"/>
    <n v="976"/>
    <n v="2024"/>
    <n v="11"/>
    <n v="1"/>
  </r>
  <r>
    <s v="SHP-31317"/>
    <d v="2024-06-30T00:00:00"/>
    <s v="East"/>
    <s v="Kolkata"/>
    <s v="Regional Hub"/>
    <s v="Standard"/>
    <s v="Documentation"/>
    <s v="Medium"/>
    <n v="1"/>
    <n v="6"/>
    <n v="5"/>
    <s v="Yes"/>
    <n v="174"/>
    <n v="4595"/>
    <n v="12690"/>
    <n v="0"/>
    <s v="No"/>
    <s v="Major"/>
    <n v="2538"/>
    <n v="919"/>
    <n v="2024"/>
    <n v="6"/>
    <n v="1"/>
  </r>
  <r>
    <s v="SHP-31318"/>
    <d v="2024-02-10T00:00:00"/>
    <s v="West"/>
    <s v="Mumbai"/>
    <s v="Central Hub"/>
    <s v="Standard"/>
    <s v="Routing"/>
    <s v="High"/>
    <n v="1"/>
    <n v="6"/>
    <n v="5"/>
    <s v="Yes"/>
    <n v="166"/>
    <n v="4540"/>
    <n v="8700"/>
    <n v="0"/>
    <s v="No"/>
    <s v="Major"/>
    <n v="1740"/>
    <n v="908"/>
    <n v="2024"/>
    <n v="2"/>
    <n v="1"/>
  </r>
  <r>
    <s v="SHP-31319"/>
    <d v="2024-09-19T00:00:00"/>
    <s v="South"/>
    <s v="Bengaluru"/>
    <s v="Regional Hub"/>
    <s v="Standard"/>
    <s v="Documentation"/>
    <s v="Low"/>
    <n v="2"/>
    <n v="5"/>
    <n v="3"/>
    <s v="Yes"/>
    <n v="214"/>
    <n v="5139"/>
    <n v="6828"/>
    <n v="0"/>
    <s v="No"/>
    <s v="Major"/>
    <n v="2276"/>
    <n v="1713"/>
    <n v="2024"/>
    <n v="9"/>
    <n v="1"/>
  </r>
  <r>
    <s v="SHP-31320"/>
    <d v="2024-01-24T00:00:00"/>
    <s v="North"/>
    <s v="Delhi"/>
    <s v="Central Hub"/>
    <s v="Standard"/>
    <s v="Routing"/>
    <s v="Low"/>
    <n v="2"/>
    <n v="6"/>
    <n v="4"/>
    <s v="Yes"/>
    <n v="112"/>
    <n v="5516"/>
    <n v="12288"/>
    <n v="0"/>
    <s v="No"/>
    <s v="Major"/>
    <n v="3072"/>
    <n v="1379"/>
    <n v="2024"/>
    <n v="1"/>
    <n v="1"/>
  </r>
  <r>
    <s v="SHP-31321"/>
    <d v="2024-11-28T00:00:00"/>
    <s v="East"/>
    <s v="Kolkata"/>
    <s v="Central Hub"/>
    <s v="Standard"/>
    <s v="Documentation"/>
    <s v="Medium"/>
    <n v="3"/>
    <n v="6"/>
    <n v="3"/>
    <s v="Yes"/>
    <n v="93"/>
    <n v="5088"/>
    <n v="5598"/>
    <n v="0"/>
    <s v="No"/>
    <s v="Major"/>
    <n v="1866"/>
    <n v="1696"/>
    <n v="2024"/>
    <n v="11"/>
    <n v="1"/>
  </r>
  <r>
    <s v="SHP-31322"/>
    <d v="2024-09-28T00:00:00"/>
    <s v="North"/>
    <s v="Noida"/>
    <s v="Local Hub"/>
    <s v="Standard"/>
    <s v="Capacity"/>
    <s v="Low"/>
    <n v="2"/>
    <n v="4"/>
    <n v="2"/>
    <s v="Yes"/>
    <n v="85"/>
    <n v="2968"/>
    <n v="3326"/>
    <n v="0"/>
    <s v="No"/>
    <s v="Minor"/>
    <n v="1663"/>
    <n v="1484"/>
    <n v="2024"/>
    <n v="9"/>
    <n v="1"/>
  </r>
  <r>
    <s v="SHP-31323"/>
    <d v="2024-09-05T00:00:00"/>
    <s v="South"/>
    <s v="Bengaluru"/>
    <s v="Regional Hub"/>
    <s v="Standard"/>
    <s v="Routing"/>
    <s v="Medium"/>
    <n v="3"/>
    <n v="8"/>
    <n v="5"/>
    <s v="Yes"/>
    <n v="413"/>
    <n v="5060"/>
    <n v="13255"/>
    <n v="0"/>
    <s v="No"/>
    <s v="Major"/>
    <n v="2651"/>
    <n v="1012"/>
    <n v="2024"/>
    <n v="9"/>
    <n v="1"/>
  </r>
  <r>
    <s v="SHP-31324"/>
    <d v="2024-04-01T00:00:00"/>
    <s v="West"/>
    <s v="Mumbai"/>
    <s v="Central Hub"/>
    <s v="Standard"/>
    <s v="Routing"/>
    <s v="High"/>
    <n v="5"/>
    <n v="9"/>
    <n v="4"/>
    <s v="Yes"/>
    <n v="419"/>
    <n v="9000"/>
    <n v="14720"/>
    <n v="0"/>
    <s v="No"/>
    <s v="Major"/>
    <n v="3680"/>
    <n v="2250"/>
    <n v="2024"/>
    <n v="4"/>
    <n v="1"/>
  </r>
  <r>
    <s v="SHP-31325"/>
    <d v="2024-01-27T00:00:00"/>
    <s v="North"/>
    <s v="Noida"/>
    <s v="Local Hub"/>
    <s v="Standard"/>
    <s v="Capacity"/>
    <s v="High"/>
    <n v="5"/>
    <n v="8"/>
    <n v="3"/>
    <s v="Yes"/>
    <n v="123"/>
    <n v="3300"/>
    <n v="11073"/>
    <n v="0"/>
    <s v="No"/>
    <s v="Major"/>
    <n v="3691"/>
    <n v="1100"/>
    <n v="2024"/>
    <n v="1"/>
    <n v="1"/>
  </r>
  <r>
    <s v="SHP-31326"/>
    <d v="2024-11-16T00:00:00"/>
    <s v="South"/>
    <s v="Chennai"/>
    <s v="Local Hub"/>
    <s v="Standard"/>
    <s v="Weather"/>
    <s v="Low"/>
    <n v="1"/>
    <n v="5"/>
    <n v="4"/>
    <s v="Yes"/>
    <n v="282"/>
    <n v="4856"/>
    <n v="7112"/>
    <n v="0"/>
    <s v="No"/>
    <s v="Major"/>
    <n v="1778"/>
    <n v="1214"/>
    <n v="2024"/>
    <n v="11"/>
    <n v="1"/>
  </r>
  <r>
    <s v="SHP-31327"/>
    <d v="2024-02-02T00:00:00"/>
    <s v="North"/>
    <s v="Noida"/>
    <s v="Regional Hub"/>
    <s v="Standard"/>
    <s v="Weather"/>
    <s v="Low"/>
    <n v="1"/>
    <n v="3"/>
    <n v="2"/>
    <s v="Yes"/>
    <n v="236"/>
    <n v="3652"/>
    <n v="8390"/>
    <n v="0"/>
    <s v="No"/>
    <s v="Minor"/>
    <n v="4195"/>
    <n v="1826"/>
    <n v="2024"/>
    <n v="2"/>
    <n v="1"/>
  </r>
  <r>
    <s v="SHP-31328"/>
    <d v="2024-07-24T00:00:00"/>
    <s v="South"/>
    <s v="Chennai"/>
    <s v="Central Hub"/>
    <s v="Critical"/>
    <s v="Routing"/>
    <s v="Low"/>
    <n v="1"/>
    <n v="5"/>
    <n v="4"/>
    <s v="Yes"/>
    <n v="85"/>
    <n v="3260"/>
    <n v="14716"/>
    <n v="0"/>
    <s v="No"/>
    <s v="Major"/>
    <n v="3679"/>
    <n v="815"/>
    <n v="2024"/>
    <n v="7"/>
    <n v="1"/>
  </r>
  <r>
    <s v="SHP-31329"/>
    <d v="2024-07-31T00:00:00"/>
    <s v="East"/>
    <s v="Bhubaneswar"/>
    <s v="Local Hub"/>
    <s v="Standard"/>
    <s v="System"/>
    <s v="Low"/>
    <n v="3"/>
    <n v="7"/>
    <n v="4"/>
    <s v="Yes"/>
    <n v="162"/>
    <n v="6428"/>
    <n v="6216"/>
    <n v="0"/>
    <s v="No"/>
    <s v="Major"/>
    <n v="1554"/>
    <n v="1607"/>
    <n v="2024"/>
    <n v="7"/>
    <n v="1"/>
  </r>
  <r>
    <s v="SHP-31330"/>
    <d v="2024-12-20T00:00:00"/>
    <s v="North"/>
    <s v="Noida"/>
    <s v="Central Hub"/>
    <s v="Standard"/>
    <s v="Capacity"/>
    <s v="Low"/>
    <n v="2"/>
    <n v="5"/>
    <n v="3"/>
    <s v="Yes"/>
    <n v="297"/>
    <n v="3039"/>
    <n v="14775"/>
    <n v="0"/>
    <s v="No"/>
    <s v="Major"/>
    <n v="4925"/>
    <n v="1013"/>
    <n v="2024"/>
    <n v="12"/>
    <n v="1"/>
  </r>
  <r>
    <s v="SHP-31331"/>
    <d v="2024-09-16T00:00:00"/>
    <s v="South"/>
    <s v="Chennai"/>
    <s v="Regional Hub"/>
    <s v="Standard"/>
    <s v="Weather"/>
    <s v="Low"/>
    <n v="1"/>
    <n v="6"/>
    <n v="5"/>
    <s v="Yes"/>
    <n v="216"/>
    <n v="11665"/>
    <n v="15690"/>
    <n v="0"/>
    <s v="No"/>
    <s v="Major"/>
    <n v="3138"/>
    <n v="2333"/>
    <n v="2024"/>
    <n v="9"/>
    <n v="1"/>
  </r>
  <r>
    <s v="SHP-31332"/>
    <d v="2024-10-08T00:00:00"/>
    <s v="East"/>
    <s v="Bhubaneswar"/>
    <s v="Central Hub"/>
    <s v="Express"/>
    <s v="Capacity"/>
    <s v="Low"/>
    <n v="2"/>
    <n v="4"/>
    <n v="2"/>
    <s v="Yes"/>
    <n v="113"/>
    <n v="3702"/>
    <n v="7878"/>
    <n v="0"/>
    <s v="No"/>
    <s v="Minor"/>
    <n v="3939"/>
    <n v="1851"/>
    <n v="2024"/>
    <n v="10"/>
    <n v="1"/>
  </r>
  <r>
    <s v="SHP-31333"/>
    <d v="2024-09-13T00:00:00"/>
    <s v="East"/>
    <s v="Kolkata"/>
    <s v="Local Hub"/>
    <s v="Standard"/>
    <s v="Capacity"/>
    <s v="Low"/>
    <n v="1"/>
    <n v="2"/>
    <n v="1"/>
    <s v="Yes"/>
    <n v="181"/>
    <n v="851"/>
    <n v="3906"/>
    <n v="0"/>
    <s v="No"/>
    <s v="Minor"/>
    <n v="3906"/>
    <n v="851"/>
    <n v="2024"/>
    <n v="9"/>
    <n v="1"/>
  </r>
  <r>
    <s v="SHP-31334"/>
    <d v="2024-04-11T00:00:00"/>
    <s v="South"/>
    <s v="Chennai"/>
    <s v="Regional Hub"/>
    <s v="Standard"/>
    <s v="System"/>
    <s v="Low"/>
    <n v="5"/>
    <n v="9"/>
    <n v="4"/>
    <s v="Yes"/>
    <n v="234"/>
    <n v="8224"/>
    <n v="17508"/>
    <n v="0"/>
    <s v="No"/>
    <s v="Major"/>
    <n v="4377"/>
    <n v="2056"/>
    <n v="2024"/>
    <n v="4"/>
    <n v="1"/>
  </r>
  <r>
    <s v="SHP-31335"/>
    <d v="2024-07-11T00:00:00"/>
    <s v="East"/>
    <s v="Kolkata"/>
    <s v="Regional Hub"/>
    <s v="Standard"/>
    <s v="Weather"/>
    <s v="Low"/>
    <n v="2"/>
    <n v="2"/>
    <n v="0"/>
    <s v="No"/>
    <n v="182"/>
    <n v="0"/>
    <n v="0"/>
    <n v="1"/>
    <s v="No"/>
    <s v="On Time"/>
    <n v="0"/>
    <n v="0"/>
    <n v="2024"/>
    <n v="7"/>
    <n v="0"/>
  </r>
  <r>
    <s v="SHP-31336"/>
    <d v="2024-07-01T00:00:00"/>
    <s v="North"/>
    <s v="Noida"/>
    <s v="Local Hub"/>
    <s v="Express"/>
    <s v="Documentation"/>
    <s v="Low"/>
    <n v="3"/>
    <n v="4"/>
    <n v="1"/>
    <s v="Yes"/>
    <n v="125"/>
    <n v="1926"/>
    <n v="4037"/>
    <n v="0"/>
    <s v="No"/>
    <s v="Minor"/>
    <n v="4037"/>
    <n v="1926"/>
    <n v="2024"/>
    <n v="7"/>
    <n v="1"/>
  </r>
  <r>
    <s v="SHP-31337"/>
    <d v="2024-06-03T00:00:00"/>
    <s v="North"/>
    <s v="Delhi"/>
    <s v="Local Hub"/>
    <s v="Standard"/>
    <s v="System"/>
    <s v="High"/>
    <n v="2"/>
    <n v="6"/>
    <n v="4"/>
    <s v="Yes"/>
    <n v="93"/>
    <n v="6104"/>
    <n v="17236"/>
    <n v="0"/>
    <s v="No"/>
    <s v="Major"/>
    <n v="4309"/>
    <n v="1526"/>
    <n v="2024"/>
    <n v="6"/>
    <n v="1"/>
  </r>
  <r>
    <s v="SHP-31338"/>
    <d v="2024-02-11T00:00:00"/>
    <s v="South"/>
    <s v="Bengaluru"/>
    <s v="Regional Hub"/>
    <s v="Express"/>
    <s v="System"/>
    <s v="Medium"/>
    <n v="1"/>
    <n v="2"/>
    <n v="1"/>
    <s v="Yes"/>
    <n v="197"/>
    <n v="1402"/>
    <n v="3039"/>
    <n v="0"/>
    <s v="No"/>
    <s v="Minor"/>
    <n v="3039"/>
    <n v="1402"/>
    <n v="2024"/>
    <n v="2"/>
    <n v="1"/>
  </r>
  <r>
    <s v="SHP-31339"/>
    <d v="2024-06-30T00:00:00"/>
    <s v="East"/>
    <s v="Kolkata"/>
    <s v="Local Hub"/>
    <s v="Standard"/>
    <s v="System"/>
    <s v="Low"/>
    <n v="1"/>
    <n v="3"/>
    <n v="2"/>
    <s v="Yes"/>
    <n v="186"/>
    <n v="2462"/>
    <n v="8664"/>
    <n v="0"/>
    <s v="No"/>
    <s v="Minor"/>
    <n v="4332"/>
    <n v="1231"/>
    <n v="2024"/>
    <n v="6"/>
    <n v="1"/>
  </r>
  <r>
    <s v="SHP-31340"/>
    <d v="2024-09-14T00:00:00"/>
    <s v="West"/>
    <s v="Pune"/>
    <s v="Local Hub"/>
    <s v="Standard"/>
    <s v="Capacity"/>
    <s v="Low"/>
    <n v="2"/>
    <n v="2"/>
    <n v="0"/>
    <s v="No"/>
    <n v="407"/>
    <n v="0"/>
    <n v="0"/>
    <n v="1"/>
    <s v="No"/>
    <s v="On Time"/>
    <n v="0"/>
    <n v="0"/>
    <n v="2024"/>
    <n v="9"/>
    <n v="0"/>
  </r>
  <r>
    <s v="SHP-31341"/>
    <d v="2024-12-26T00:00:00"/>
    <s v="East"/>
    <s v="Bhubaneswar"/>
    <s v="Regional Hub"/>
    <s v="Standard"/>
    <s v="Documentation"/>
    <s v="Low"/>
    <n v="1"/>
    <n v="5"/>
    <n v="4"/>
    <s v="Yes"/>
    <n v="318"/>
    <n v="9032"/>
    <n v="8756"/>
    <n v="0"/>
    <s v="No"/>
    <s v="Major"/>
    <n v="2189"/>
    <n v="2258"/>
    <n v="2024"/>
    <n v="12"/>
    <n v="1"/>
  </r>
  <r>
    <s v="SHP-31342"/>
    <d v="2024-05-30T00:00:00"/>
    <s v="North"/>
    <s v="Noida"/>
    <s v="Central Hub"/>
    <s v="Standard"/>
    <s v="Capacity"/>
    <s v="Medium"/>
    <n v="2"/>
    <n v="4"/>
    <n v="2"/>
    <s v="Yes"/>
    <n v="296"/>
    <n v="2168"/>
    <n v="8986"/>
    <n v="0"/>
    <s v="No"/>
    <s v="Minor"/>
    <n v="4493"/>
    <n v="1084"/>
    <n v="2024"/>
    <n v="5"/>
    <n v="1"/>
  </r>
  <r>
    <s v="SHP-31343"/>
    <d v="2024-12-14T00:00:00"/>
    <s v="North"/>
    <s v="Delhi"/>
    <s v="Central Hub"/>
    <s v="Critical"/>
    <s v="Routing"/>
    <s v="Medium"/>
    <n v="3"/>
    <n v="7"/>
    <n v="4"/>
    <s v="Yes"/>
    <n v="490"/>
    <n v="9476"/>
    <n v="7988"/>
    <n v="0"/>
    <s v="No"/>
    <s v="Major"/>
    <n v="1997"/>
    <n v="2369"/>
    <n v="2024"/>
    <n v="12"/>
    <n v="1"/>
  </r>
  <r>
    <s v="SHP-31344"/>
    <d v="2024-03-13T00:00:00"/>
    <s v="North"/>
    <s v="Delhi"/>
    <s v="Central Hub"/>
    <s v="Standard"/>
    <s v="Routing"/>
    <s v="Medium"/>
    <n v="2"/>
    <n v="3"/>
    <n v="1"/>
    <s v="Yes"/>
    <n v="389"/>
    <n v="1566"/>
    <n v="2088"/>
    <n v="0"/>
    <s v="No"/>
    <s v="Minor"/>
    <n v="2088"/>
    <n v="1566"/>
    <n v="2024"/>
    <n v="3"/>
    <n v="1"/>
  </r>
  <r>
    <s v="SHP-31345"/>
    <d v="2024-08-26T00:00:00"/>
    <s v="West"/>
    <s v="Mumbai"/>
    <s v="Regional Hub"/>
    <s v="Standard"/>
    <s v="Routing"/>
    <s v="Medium"/>
    <n v="2"/>
    <n v="5"/>
    <n v="3"/>
    <s v="Yes"/>
    <n v="129"/>
    <n v="7185"/>
    <n v="12534"/>
    <n v="0"/>
    <s v="No"/>
    <s v="Major"/>
    <n v="4178"/>
    <n v="2395"/>
    <n v="2024"/>
    <n v="8"/>
    <n v="1"/>
  </r>
  <r>
    <s v="SHP-31346"/>
    <d v="2024-11-04T00:00:00"/>
    <s v="North"/>
    <s v="Delhi"/>
    <s v="Regional Hub"/>
    <s v="Standard"/>
    <s v="Capacity"/>
    <s v="Low"/>
    <n v="1"/>
    <n v="1"/>
    <n v="0"/>
    <s v="No"/>
    <n v="176"/>
    <n v="0"/>
    <n v="0"/>
    <n v="1"/>
    <s v="No"/>
    <s v="On Time"/>
    <n v="0"/>
    <n v="0"/>
    <n v="2024"/>
    <n v="11"/>
    <n v="0"/>
  </r>
  <r>
    <s v="SHP-31347"/>
    <d v="2024-03-02T00:00:00"/>
    <s v="South"/>
    <s v="Bengaluru"/>
    <s v="Local Hub"/>
    <s v="Standard"/>
    <s v="Capacity"/>
    <s v="Low"/>
    <n v="5"/>
    <n v="5"/>
    <n v="0"/>
    <s v="No"/>
    <n v="438"/>
    <n v="0"/>
    <n v="0"/>
    <n v="1"/>
    <s v="No"/>
    <s v="On Time"/>
    <n v="0"/>
    <n v="0"/>
    <n v="2024"/>
    <n v="3"/>
    <n v="0"/>
  </r>
  <r>
    <s v="SHP-31348"/>
    <d v="2024-02-11T00:00:00"/>
    <s v="North"/>
    <s v="Delhi"/>
    <s v="Local Hub"/>
    <s v="Critical"/>
    <s v="System"/>
    <s v="High"/>
    <n v="1"/>
    <n v="8"/>
    <n v="7"/>
    <s v="Yes"/>
    <n v="370"/>
    <n v="11837"/>
    <n v="17927"/>
    <n v="0"/>
    <s v="No"/>
    <s v="Severe"/>
    <n v="2561"/>
    <n v="1691"/>
    <n v="2024"/>
    <n v="2"/>
    <n v="1"/>
  </r>
  <r>
    <s v="SHP-31349"/>
    <d v="2024-12-19T00:00:00"/>
    <s v="East"/>
    <s v="Kolkata"/>
    <s v="Local Hub"/>
    <s v="Standard"/>
    <s v="Capacity"/>
    <s v="High"/>
    <n v="2"/>
    <n v="7"/>
    <n v="5"/>
    <s v="Yes"/>
    <n v="257"/>
    <n v="6565"/>
    <n v="21220"/>
    <n v="0"/>
    <s v="No"/>
    <s v="Major"/>
    <n v="4244"/>
    <n v="1313"/>
    <n v="2024"/>
    <n v="12"/>
    <n v="1"/>
  </r>
  <r>
    <s v="SHP-31350"/>
    <d v="2024-09-27T00:00:00"/>
    <s v="East"/>
    <s v="Bhubaneswar"/>
    <s v="Local Hub"/>
    <s v="Standard"/>
    <s v="System"/>
    <s v="Low"/>
    <n v="2"/>
    <n v="4"/>
    <n v="2"/>
    <s v="Yes"/>
    <n v="205"/>
    <n v="4490"/>
    <n v="4714"/>
    <n v="0"/>
    <s v="No"/>
    <s v="Minor"/>
    <n v="2357"/>
    <n v="2245"/>
    <n v="2024"/>
    <n v="9"/>
    <n v="1"/>
  </r>
  <r>
    <s v="SHP-31351"/>
    <d v="2024-04-01T00:00:00"/>
    <s v="North"/>
    <s v="Noida"/>
    <s v="Regional Hub"/>
    <s v="Express"/>
    <s v="Documentation"/>
    <s v="Medium"/>
    <n v="5"/>
    <n v="10"/>
    <n v="5"/>
    <s v="Yes"/>
    <n v="230"/>
    <n v="7790"/>
    <n v="23590"/>
    <n v="0"/>
    <s v="No"/>
    <s v="Major"/>
    <n v="4718"/>
    <n v="1558"/>
    <n v="2024"/>
    <n v="4"/>
    <n v="1"/>
  </r>
  <r>
    <s v="SHP-31352"/>
    <d v="2024-06-16T00:00:00"/>
    <s v="East"/>
    <s v="Kolkata"/>
    <s v="Local Hub"/>
    <s v="Critical"/>
    <s v="Weather"/>
    <s v="Low"/>
    <n v="1"/>
    <n v="3"/>
    <n v="2"/>
    <s v="Yes"/>
    <n v="403"/>
    <n v="3832"/>
    <n v="3960"/>
    <n v="0"/>
    <s v="No"/>
    <s v="Minor"/>
    <n v="1980"/>
    <n v="1916"/>
    <n v="2024"/>
    <n v="6"/>
    <n v="1"/>
  </r>
  <r>
    <s v="SHP-31353"/>
    <d v="2024-02-27T00:00:00"/>
    <s v="West"/>
    <s v="Pune"/>
    <s v="Central Hub"/>
    <s v="Critical"/>
    <s v="Capacity"/>
    <s v="Low"/>
    <n v="2"/>
    <n v="4"/>
    <n v="2"/>
    <s v="Yes"/>
    <n v="177"/>
    <n v="3412"/>
    <n v="4526"/>
    <n v="0"/>
    <s v="No"/>
    <s v="Minor"/>
    <n v="2263"/>
    <n v="1706"/>
    <n v="2024"/>
    <n v="2"/>
    <n v="1"/>
  </r>
  <r>
    <s v="SHP-31354"/>
    <d v="2024-10-29T00:00:00"/>
    <s v="West"/>
    <s v="Pune"/>
    <s v="Regional Hub"/>
    <s v="Standard"/>
    <s v="Weather"/>
    <s v="High"/>
    <n v="1"/>
    <n v="5"/>
    <n v="4"/>
    <s v="Yes"/>
    <n v="208"/>
    <n v="7924"/>
    <n v="9948"/>
    <n v="0"/>
    <s v="No"/>
    <s v="Major"/>
    <n v="2487"/>
    <n v="1981"/>
    <n v="2024"/>
    <n v="10"/>
    <n v="1"/>
  </r>
  <r>
    <s v="SHP-31355"/>
    <d v="2024-09-10T00:00:00"/>
    <s v="East"/>
    <s v="Bhubaneswar"/>
    <s v="Central Hub"/>
    <s v="Express"/>
    <s v="System"/>
    <s v="High"/>
    <n v="1"/>
    <n v="6"/>
    <n v="5"/>
    <s v="Yes"/>
    <n v="261"/>
    <n v="9370"/>
    <n v="18000"/>
    <n v="0"/>
    <s v="No"/>
    <s v="Major"/>
    <n v="3600"/>
    <n v="1874"/>
    <n v="2024"/>
    <n v="9"/>
    <n v="1"/>
  </r>
  <r>
    <s v="SHP-31356"/>
    <d v="2024-08-13T00:00:00"/>
    <s v="North"/>
    <s v="Noida"/>
    <s v="Central Hub"/>
    <s v="Express"/>
    <s v="Weather"/>
    <s v="High"/>
    <n v="1"/>
    <n v="6"/>
    <n v="5"/>
    <s v="Yes"/>
    <n v="470"/>
    <n v="12135"/>
    <n v="12715"/>
    <n v="0"/>
    <s v="No"/>
    <s v="Major"/>
    <n v="2543"/>
    <n v="2427"/>
    <n v="2024"/>
    <n v="8"/>
    <n v="1"/>
  </r>
  <r>
    <s v="SHP-31357"/>
    <d v="2024-07-20T00:00:00"/>
    <s v="East"/>
    <s v="Bhubaneswar"/>
    <s v="Central Hub"/>
    <s v="Express"/>
    <s v="Documentation"/>
    <s v="High"/>
    <n v="5"/>
    <n v="10"/>
    <n v="5"/>
    <s v="Yes"/>
    <n v="436"/>
    <n v="6580"/>
    <n v="13205"/>
    <n v="0"/>
    <s v="No"/>
    <s v="Major"/>
    <n v="2641"/>
    <n v="1316"/>
    <n v="2024"/>
    <n v="7"/>
    <n v="1"/>
  </r>
  <r>
    <s v="SHP-31358"/>
    <d v="2024-10-16T00:00:00"/>
    <s v="North"/>
    <s v="Delhi"/>
    <s v="Central Hub"/>
    <s v="Express"/>
    <s v="System"/>
    <s v="Low"/>
    <n v="2"/>
    <n v="5"/>
    <n v="3"/>
    <s v="Yes"/>
    <n v="373"/>
    <n v="5478"/>
    <n v="11097"/>
    <n v="0"/>
    <s v="No"/>
    <s v="Major"/>
    <n v="3699"/>
    <n v="1826"/>
    <n v="2024"/>
    <n v="10"/>
    <n v="1"/>
  </r>
  <r>
    <s v="SHP-31359"/>
    <d v="2024-11-12T00:00:00"/>
    <s v="South"/>
    <s v="Bengaluru"/>
    <s v="Regional Hub"/>
    <s v="Express"/>
    <s v="Capacity"/>
    <s v="Low"/>
    <n v="3"/>
    <n v="6"/>
    <n v="3"/>
    <s v="Yes"/>
    <n v="266"/>
    <n v="5664"/>
    <n v="6774"/>
    <n v="0"/>
    <s v="No"/>
    <s v="Major"/>
    <n v="2258"/>
    <n v="1888"/>
    <n v="2024"/>
    <n v="11"/>
    <n v="1"/>
  </r>
  <r>
    <s v="SHP-31360"/>
    <d v="2024-05-01T00:00:00"/>
    <s v="West"/>
    <s v="Mumbai"/>
    <s v="Central Hub"/>
    <s v="Standard"/>
    <s v="Capacity"/>
    <s v="Medium"/>
    <n v="3"/>
    <n v="6"/>
    <n v="3"/>
    <s v="Yes"/>
    <n v="447"/>
    <n v="5616"/>
    <n v="5700"/>
    <n v="0"/>
    <s v="No"/>
    <s v="Major"/>
    <n v="1900"/>
    <n v="1872"/>
    <n v="2024"/>
    <n v="5"/>
    <n v="1"/>
  </r>
  <r>
    <s v="SHP-31361"/>
    <d v="2024-01-23T00:00:00"/>
    <s v="North"/>
    <s v="Delhi"/>
    <s v="Central Hub"/>
    <s v="Express"/>
    <s v="Routing"/>
    <s v="Low"/>
    <n v="2"/>
    <n v="7"/>
    <n v="5"/>
    <s v="Yes"/>
    <n v="353"/>
    <n v="8100"/>
    <n v="24600"/>
    <n v="0"/>
    <s v="No"/>
    <s v="Major"/>
    <n v="4920"/>
    <n v="1620"/>
    <n v="2024"/>
    <n v="1"/>
    <n v="1"/>
  </r>
  <r>
    <s v="SHP-31362"/>
    <d v="2024-02-07T00:00:00"/>
    <s v="West"/>
    <s v="Mumbai"/>
    <s v="Regional Hub"/>
    <s v="Express"/>
    <s v="System"/>
    <s v="Medium"/>
    <n v="5"/>
    <n v="5"/>
    <n v="0"/>
    <s v="No"/>
    <n v="421"/>
    <n v="0"/>
    <n v="0"/>
    <n v="1"/>
    <s v="No"/>
    <s v="On Time"/>
    <n v="0"/>
    <n v="0"/>
    <n v="2024"/>
    <n v="2"/>
    <n v="0"/>
  </r>
  <r>
    <s v="SHP-31363"/>
    <d v="2024-07-13T00:00:00"/>
    <s v="West"/>
    <s v="Mumbai"/>
    <s v="Local Hub"/>
    <s v="Critical"/>
    <s v="Capacity"/>
    <s v="High"/>
    <n v="2"/>
    <n v="8"/>
    <n v="6"/>
    <s v="Yes"/>
    <n v="257"/>
    <n v="6138"/>
    <n v="24792"/>
    <n v="0"/>
    <s v="No"/>
    <s v="Severe"/>
    <n v="4132"/>
    <n v="1023"/>
    <n v="2024"/>
    <n v="7"/>
    <n v="1"/>
  </r>
  <r>
    <s v="SHP-31364"/>
    <d v="2024-03-20T00:00:00"/>
    <s v="East"/>
    <s v="Kolkata"/>
    <s v="Regional Hub"/>
    <s v="Critical"/>
    <s v="System"/>
    <s v="Medium"/>
    <n v="2"/>
    <n v="8"/>
    <n v="6"/>
    <s v="Yes"/>
    <n v="321"/>
    <n v="10470"/>
    <n v="23496"/>
    <n v="0"/>
    <s v="No"/>
    <s v="Severe"/>
    <n v="3916"/>
    <n v="1745"/>
    <n v="2024"/>
    <n v="3"/>
    <n v="1"/>
  </r>
  <r>
    <s v="SHP-31365"/>
    <d v="2024-12-13T00:00:00"/>
    <s v="East"/>
    <s v="Kolkata"/>
    <s v="Central Hub"/>
    <s v="Critical"/>
    <s v="Weather"/>
    <s v="Medium"/>
    <n v="3"/>
    <n v="10"/>
    <n v="7"/>
    <s v="Yes"/>
    <n v="227"/>
    <n v="16660"/>
    <n v="23842"/>
    <n v="0"/>
    <s v="No"/>
    <s v="Severe"/>
    <n v="3406"/>
    <n v="2380"/>
    <n v="2024"/>
    <n v="12"/>
    <n v="1"/>
  </r>
  <r>
    <s v="SHP-31366"/>
    <d v="2024-09-13T00:00:00"/>
    <s v="East"/>
    <s v="Bhubaneswar"/>
    <s v="Local Hub"/>
    <s v="Standard"/>
    <s v="Routing"/>
    <s v="Low"/>
    <n v="2"/>
    <n v="2"/>
    <n v="0"/>
    <s v="No"/>
    <n v="428"/>
    <n v="0"/>
    <n v="0"/>
    <n v="1"/>
    <s v="No"/>
    <s v="On Time"/>
    <n v="0"/>
    <n v="0"/>
    <n v="2024"/>
    <n v="9"/>
    <n v="0"/>
  </r>
  <r>
    <s v="SHP-31367"/>
    <d v="2024-03-21T00:00:00"/>
    <s v="East"/>
    <s v="Kolkata"/>
    <s v="Regional Hub"/>
    <s v="Express"/>
    <s v="Routing"/>
    <s v="Medium"/>
    <n v="1"/>
    <n v="4"/>
    <n v="3"/>
    <s v="Yes"/>
    <n v="176"/>
    <n v="2748"/>
    <n v="6435"/>
    <n v="0"/>
    <s v="No"/>
    <s v="Major"/>
    <n v="2145"/>
    <n v="916"/>
    <n v="2024"/>
    <n v="3"/>
    <n v="1"/>
  </r>
  <r>
    <s v="SHP-31368"/>
    <d v="2024-10-26T00:00:00"/>
    <s v="West"/>
    <s v="Pune"/>
    <s v="Central Hub"/>
    <s v="Standard"/>
    <s v="Capacity"/>
    <s v="Medium"/>
    <n v="2"/>
    <n v="3"/>
    <n v="1"/>
    <s v="Yes"/>
    <n v="189"/>
    <n v="2298"/>
    <n v="2939"/>
    <n v="0"/>
    <s v="No"/>
    <s v="Minor"/>
    <n v="2939"/>
    <n v="2298"/>
    <n v="2024"/>
    <n v="10"/>
    <n v="1"/>
  </r>
  <r>
    <s v="SHP-31369"/>
    <d v="2024-06-12T00:00:00"/>
    <s v="South"/>
    <s v="Bengaluru"/>
    <s v="Regional Hub"/>
    <s v="Standard"/>
    <s v="Routing"/>
    <s v="Medium"/>
    <n v="1"/>
    <n v="4"/>
    <n v="3"/>
    <s v="Yes"/>
    <n v="408"/>
    <n v="3117"/>
    <n v="14067"/>
    <n v="0"/>
    <s v="No"/>
    <s v="Major"/>
    <n v="4689"/>
    <n v="1039"/>
    <n v="2024"/>
    <n v="6"/>
    <n v="1"/>
  </r>
  <r>
    <s v="SHP-31370"/>
    <d v="2024-10-30T00:00:00"/>
    <s v="West"/>
    <s v="Pune"/>
    <s v="Regional Hub"/>
    <s v="Standard"/>
    <s v="Documentation"/>
    <s v="Medium"/>
    <n v="3"/>
    <n v="5"/>
    <n v="2"/>
    <s v="Yes"/>
    <n v="330"/>
    <n v="4832"/>
    <n v="5362"/>
    <n v="0"/>
    <s v="No"/>
    <s v="Minor"/>
    <n v="2681"/>
    <n v="2416"/>
    <n v="2024"/>
    <n v="10"/>
    <n v="1"/>
  </r>
  <r>
    <s v="SHP-31371"/>
    <d v="2024-07-10T00:00:00"/>
    <s v="East"/>
    <s v="Bhubaneswar"/>
    <s v="Regional Hub"/>
    <s v="Express"/>
    <s v="Weather"/>
    <s v="Medium"/>
    <n v="2"/>
    <n v="3"/>
    <n v="1"/>
    <s v="Yes"/>
    <n v="405"/>
    <n v="863"/>
    <n v="3730"/>
    <n v="0"/>
    <s v="No"/>
    <s v="Minor"/>
    <n v="3730"/>
    <n v="863"/>
    <n v="2024"/>
    <n v="7"/>
    <n v="1"/>
  </r>
  <r>
    <s v="SHP-31372"/>
    <d v="2024-07-24T00:00:00"/>
    <s v="West"/>
    <s v="Mumbai"/>
    <s v="Regional Hub"/>
    <s v="Standard"/>
    <s v="Routing"/>
    <s v="Medium"/>
    <n v="2"/>
    <n v="4"/>
    <n v="2"/>
    <s v="Yes"/>
    <n v="201"/>
    <n v="2818"/>
    <n v="6044"/>
    <n v="0"/>
    <s v="No"/>
    <s v="Minor"/>
    <n v="3022"/>
    <n v="1409"/>
    <n v="2024"/>
    <n v="7"/>
    <n v="1"/>
  </r>
  <r>
    <s v="SHP-31373"/>
    <d v="2024-10-23T00:00:00"/>
    <s v="East"/>
    <s v="Bhubaneswar"/>
    <s v="Regional Hub"/>
    <s v="Standard"/>
    <s v="Documentation"/>
    <s v="Medium"/>
    <n v="2"/>
    <n v="6"/>
    <n v="4"/>
    <s v="Yes"/>
    <n v="271"/>
    <n v="6564"/>
    <n v="7256"/>
    <n v="0"/>
    <s v="No"/>
    <s v="Major"/>
    <n v="1814"/>
    <n v="1641"/>
    <n v="2024"/>
    <n v="10"/>
    <n v="1"/>
  </r>
  <r>
    <s v="SHP-31374"/>
    <d v="2024-05-24T00:00:00"/>
    <s v="East"/>
    <s v="Bhubaneswar"/>
    <s v="Central Hub"/>
    <s v="Express"/>
    <s v="System"/>
    <s v="Low"/>
    <n v="2"/>
    <n v="7"/>
    <n v="5"/>
    <s v="Yes"/>
    <n v="477"/>
    <n v="10200"/>
    <n v="12020"/>
    <n v="0"/>
    <s v="No"/>
    <s v="Major"/>
    <n v="2404"/>
    <n v="2040"/>
    <n v="2024"/>
    <n v="5"/>
    <n v="1"/>
  </r>
  <r>
    <s v="SHP-31375"/>
    <d v="2024-12-14T00:00:00"/>
    <s v="South"/>
    <s v="Chennai"/>
    <s v="Regional Hub"/>
    <s v="Standard"/>
    <s v="System"/>
    <s v="High"/>
    <n v="2"/>
    <n v="7"/>
    <n v="5"/>
    <s v="Yes"/>
    <n v="165"/>
    <n v="9650"/>
    <n v="11520"/>
    <n v="0"/>
    <s v="No"/>
    <s v="Major"/>
    <n v="2304"/>
    <n v="1930"/>
    <n v="2024"/>
    <n v="12"/>
    <n v="1"/>
  </r>
  <r>
    <s v="SHP-31376"/>
    <d v="2024-01-27T00:00:00"/>
    <s v="West"/>
    <s v="Mumbai"/>
    <s v="Regional Hub"/>
    <s v="Express"/>
    <s v="Routing"/>
    <s v="Low"/>
    <n v="2"/>
    <n v="4"/>
    <n v="2"/>
    <s v="Yes"/>
    <n v="419"/>
    <n v="2318"/>
    <n v="4810"/>
    <n v="0"/>
    <s v="No"/>
    <s v="Minor"/>
    <n v="2405"/>
    <n v="1159"/>
    <n v="2024"/>
    <n v="1"/>
    <n v="1"/>
  </r>
  <r>
    <s v="SHP-31377"/>
    <d v="2024-06-07T00:00:00"/>
    <s v="West"/>
    <s v="Pune"/>
    <s v="Local Hub"/>
    <s v="Standard"/>
    <s v="Capacity"/>
    <s v="Low"/>
    <n v="1"/>
    <n v="6"/>
    <n v="5"/>
    <s v="Yes"/>
    <n v="474"/>
    <n v="9115"/>
    <n v="12340"/>
    <n v="0"/>
    <s v="No"/>
    <s v="Major"/>
    <n v="2468"/>
    <n v="1823"/>
    <n v="2024"/>
    <n v="6"/>
    <n v="1"/>
  </r>
  <r>
    <s v="SHP-31378"/>
    <d v="2024-03-02T00:00:00"/>
    <s v="North"/>
    <s v="Noida"/>
    <s v="Local Hub"/>
    <s v="Critical"/>
    <s v="Capacity"/>
    <s v="High"/>
    <n v="3"/>
    <n v="8"/>
    <n v="5"/>
    <s v="Yes"/>
    <n v="219"/>
    <n v="10135"/>
    <n v="10850"/>
    <n v="0"/>
    <s v="No"/>
    <s v="Major"/>
    <n v="2170"/>
    <n v="2027"/>
    <n v="2024"/>
    <n v="3"/>
    <n v="1"/>
  </r>
  <r>
    <s v="SHP-31379"/>
    <d v="2024-08-11T00:00:00"/>
    <s v="East"/>
    <s v="Kolkata"/>
    <s v="Regional Hub"/>
    <s v="Critical"/>
    <s v="Documentation"/>
    <s v="High"/>
    <n v="5"/>
    <n v="9"/>
    <n v="4"/>
    <s v="Yes"/>
    <n v="490"/>
    <n v="7432"/>
    <n v="7520"/>
    <n v="0"/>
    <s v="No"/>
    <s v="Major"/>
    <n v="1880"/>
    <n v="1858"/>
    <n v="2024"/>
    <n v="8"/>
    <n v="1"/>
  </r>
  <r>
    <s v="SHP-31380"/>
    <d v="2024-07-16T00:00:00"/>
    <s v="East"/>
    <s v="Bhubaneswar"/>
    <s v="Local Hub"/>
    <s v="Standard"/>
    <s v="Capacity"/>
    <s v="Medium"/>
    <n v="2"/>
    <n v="3"/>
    <n v="1"/>
    <s v="Yes"/>
    <n v="289"/>
    <n v="1702"/>
    <n v="4069"/>
    <n v="0"/>
    <s v="No"/>
    <s v="Minor"/>
    <n v="4069"/>
    <n v="1702"/>
    <n v="2024"/>
    <n v="7"/>
    <n v="1"/>
  </r>
  <r>
    <s v="SHP-31381"/>
    <d v="2024-12-20T00:00:00"/>
    <s v="South"/>
    <s v="Chennai"/>
    <s v="Local Hub"/>
    <s v="Express"/>
    <s v="Capacity"/>
    <s v="Medium"/>
    <n v="3"/>
    <n v="3"/>
    <n v="0"/>
    <s v="No"/>
    <n v="315"/>
    <n v="0"/>
    <n v="0"/>
    <n v="1"/>
    <s v="No"/>
    <s v="On Time"/>
    <n v="0"/>
    <n v="0"/>
    <n v="2024"/>
    <n v="12"/>
    <n v="0"/>
  </r>
  <r>
    <s v="SHP-31382"/>
    <d v="2024-11-12T00:00:00"/>
    <s v="East"/>
    <s v="Kolkata"/>
    <s v="Central Hub"/>
    <s v="Critical"/>
    <s v="System"/>
    <s v="Low"/>
    <n v="1"/>
    <n v="5"/>
    <n v="4"/>
    <s v="Yes"/>
    <n v="423"/>
    <n v="6692"/>
    <n v="9828"/>
    <n v="0"/>
    <s v="No"/>
    <s v="Major"/>
    <n v="2457"/>
    <n v="1673"/>
    <n v="2024"/>
    <n v="11"/>
    <n v="1"/>
  </r>
  <r>
    <s v="SHP-31383"/>
    <d v="2024-08-06T00:00:00"/>
    <s v="North"/>
    <s v="Delhi"/>
    <s v="Regional Hub"/>
    <s v="Express"/>
    <s v="Routing"/>
    <s v="Low"/>
    <n v="2"/>
    <n v="5"/>
    <n v="3"/>
    <s v="Yes"/>
    <n v="245"/>
    <n v="3123"/>
    <n v="6360"/>
    <n v="0"/>
    <s v="No"/>
    <s v="Major"/>
    <n v="2120"/>
    <n v="1041"/>
    <n v="2024"/>
    <n v="8"/>
    <n v="1"/>
  </r>
  <r>
    <s v="SHP-31384"/>
    <d v="2024-02-01T00:00:00"/>
    <s v="North"/>
    <s v="Delhi"/>
    <s v="Regional Hub"/>
    <s v="Standard"/>
    <s v="Capacity"/>
    <s v="High"/>
    <n v="3"/>
    <n v="10"/>
    <n v="7"/>
    <s v="Yes"/>
    <n v="125"/>
    <n v="15281"/>
    <n v="31304"/>
    <n v="0"/>
    <s v="No"/>
    <s v="Severe"/>
    <n v="4472"/>
    <n v="2183"/>
    <n v="2024"/>
    <n v="2"/>
    <n v="1"/>
  </r>
  <r>
    <s v="SHP-31385"/>
    <d v="2024-04-08T00:00:00"/>
    <s v="South"/>
    <s v="Bengaluru"/>
    <s v="Regional Hub"/>
    <s v="Express"/>
    <s v="Capacity"/>
    <s v="Low"/>
    <n v="2"/>
    <n v="7"/>
    <n v="5"/>
    <s v="Yes"/>
    <n v="102"/>
    <n v="10175"/>
    <n v="11800"/>
    <n v="0"/>
    <s v="No"/>
    <s v="Major"/>
    <n v="2360"/>
    <n v="2035"/>
    <n v="2024"/>
    <n v="4"/>
    <n v="1"/>
  </r>
  <r>
    <s v="SHP-31386"/>
    <d v="2024-03-03T00:00:00"/>
    <s v="West"/>
    <s v="Pune"/>
    <s v="Regional Hub"/>
    <s v="Standard"/>
    <s v="Weather"/>
    <s v="Low"/>
    <n v="2"/>
    <n v="4"/>
    <n v="2"/>
    <s v="Yes"/>
    <n v="245"/>
    <n v="2588"/>
    <n v="3470"/>
    <n v="0"/>
    <s v="No"/>
    <s v="Minor"/>
    <n v="1735"/>
    <n v="1294"/>
    <n v="2024"/>
    <n v="3"/>
    <n v="1"/>
  </r>
  <r>
    <s v="SHP-31387"/>
    <d v="2024-01-18T00:00:00"/>
    <s v="West"/>
    <s v="Pune"/>
    <s v="Local Hub"/>
    <s v="Express"/>
    <s v="Routing"/>
    <s v="Medium"/>
    <n v="2"/>
    <n v="3"/>
    <n v="1"/>
    <s v="Yes"/>
    <n v="258"/>
    <n v="1146"/>
    <n v="2705"/>
    <n v="0"/>
    <s v="No"/>
    <s v="Minor"/>
    <n v="2705"/>
    <n v="1146"/>
    <n v="2024"/>
    <n v="1"/>
    <n v="1"/>
  </r>
  <r>
    <s v="SHP-31388"/>
    <d v="2024-07-09T00:00:00"/>
    <s v="West"/>
    <s v="Pune"/>
    <s v="Regional Hub"/>
    <s v="Standard"/>
    <s v="System"/>
    <s v="Low"/>
    <n v="3"/>
    <n v="3"/>
    <n v="0"/>
    <s v="No"/>
    <n v="162"/>
    <n v="0"/>
    <n v="0"/>
    <n v="1"/>
    <s v="No"/>
    <s v="On Time"/>
    <n v="0"/>
    <n v="0"/>
    <n v="2024"/>
    <n v="7"/>
    <n v="0"/>
  </r>
  <r>
    <s v="SHP-31389"/>
    <d v="2024-07-11T00:00:00"/>
    <s v="South"/>
    <s v="Bengaluru"/>
    <s v="Regional Hub"/>
    <s v="Critical"/>
    <s v="Routing"/>
    <s v="High"/>
    <n v="2"/>
    <n v="10"/>
    <n v="8"/>
    <s v="Yes"/>
    <n v="238"/>
    <n v="19984"/>
    <n v="29256"/>
    <n v="0"/>
    <s v="No"/>
    <s v="Severe"/>
    <n v="3657"/>
    <n v="2498"/>
    <n v="2024"/>
    <n v="7"/>
    <n v="1"/>
  </r>
  <r>
    <s v="SHP-31390"/>
    <d v="2024-11-05T00:00:00"/>
    <s v="East"/>
    <s v="Kolkata"/>
    <s v="Central Hub"/>
    <s v="Standard"/>
    <s v="System"/>
    <s v="Low"/>
    <n v="3"/>
    <n v="5"/>
    <n v="2"/>
    <s v="Yes"/>
    <n v="52"/>
    <n v="4354"/>
    <n v="3864"/>
    <n v="0"/>
    <s v="No"/>
    <s v="Minor"/>
    <n v="1932"/>
    <n v="2177"/>
    <n v="2024"/>
    <n v="11"/>
    <n v="1"/>
  </r>
  <r>
    <s v="SHP-31391"/>
    <d v="2024-08-15T00:00:00"/>
    <s v="East"/>
    <s v="Kolkata"/>
    <s v="Regional Hub"/>
    <s v="Critical"/>
    <s v="Capacity"/>
    <s v="Low"/>
    <n v="2"/>
    <n v="5"/>
    <n v="3"/>
    <s v="Yes"/>
    <n v="149"/>
    <n v="3612"/>
    <n v="13677"/>
    <n v="0"/>
    <s v="No"/>
    <s v="Major"/>
    <n v="4559"/>
    <n v="1204"/>
    <n v="2024"/>
    <n v="8"/>
    <n v="1"/>
  </r>
  <r>
    <s v="SHP-31392"/>
    <d v="2024-05-17T00:00:00"/>
    <s v="South"/>
    <s v="Bengaluru"/>
    <s v="Regional Hub"/>
    <s v="Express"/>
    <s v="Weather"/>
    <s v="Medium"/>
    <n v="1"/>
    <n v="6"/>
    <n v="5"/>
    <s v="Yes"/>
    <n v="186"/>
    <n v="8040"/>
    <n v="9910"/>
    <n v="0"/>
    <s v="No"/>
    <s v="Major"/>
    <n v="1982"/>
    <n v="1608"/>
    <n v="2024"/>
    <n v="5"/>
    <n v="1"/>
  </r>
  <r>
    <s v="SHP-31393"/>
    <d v="2024-09-12T00:00:00"/>
    <s v="South"/>
    <s v="Chennai"/>
    <s v="Regional Hub"/>
    <s v="Critical"/>
    <s v="Weather"/>
    <s v="Low"/>
    <n v="2"/>
    <n v="4"/>
    <n v="2"/>
    <s v="Yes"/>
    <n v="158"/>
    <n v="2874"/>
    <n v="9306"/>
    <n v="0"/>
    <s v="No"/>
    <s v="Minor"/>
    <n v="4653"/>
    <n v="1437"/>
    <n v="2024"/>
    <n v="9"/>
    <n v="1"/>
  </r>
  <r>
    <s v="SHP-31394"/>
    <d v="2024-11-27T00:00:00"/>
    <s v="South"/>
    <s v="Bengaluru"/>
    <s v="Regional Hub"/>
    <s v="Critical"/>
    <s v="Weather"/>
    <s v="High"/>
    <n v="2"/>
    <n v="11"/>
    <n v="9"/>
    <s v="Yes"/>
    <n v="128"/>
    <n v="16497"/>
    <n v="41211"/>
    <n v="0"/>
    <s v="No"/>
    <s v="Severe"/>
    <n v="4579"/>
    <n v="1833"/>
    <n v="2024"/>
    <n v="11"/>
    <n v="1"/>
  </r>
  <r>
    <s v="SHP-31395"/>
    <d v="2024-03-01T00:00:00"/>
    <s v="North"/>
    <s v="Noida"/>
    <s v="Local Hub"/>
    <s v="Critical"/>
    <s v="Weather"/>
    <s v="Medium"/>
    <n v="1"/>
    <n v="3"/>
    <n v="2"/>
    <s v="Yes"/>
    <n v="60"/>
    <n v="2686"/>
    <n v="7444"/>
    <n v="0"/>
    <s v="No"/>
    <s v="Minor"/>
    <n v="3722"/>
    <n v="1343"/>
    <n v="2024"/>
    <n v="3"/>
    <n v="1"/>
  </r>
  <r>
    <s v="SHP-31396"/>
    <d v="2024-03-13T00:00:00"/>
    <s v="South"/>
    <s v="Chennai"/>
    <s v="Regional Hub"/>
    <s v="Express"/>
    <s v="Capacity"/>
    <s v="Medium"/>
    <n v="1"/>
    <n v="5"/>
    <n v="4"/>
    <s v="Yes"/>
    <n v="152"/>
    <n v="5920"/>
    <n v="9472"/>
    <n v="0"/>
    <s v="No"/>
    <s v="Major"/>
    <n v="2368"/>
    <n v="1480"/>
    <n v="2024"/>
    <n v="3"/>
    <n v="1"/>
  </r>
  <r>
    <s v="SHP-31397"/>
    <d v="2024-07-07T00:00:00"/>
    <s v="South"/>
    <s v="Bengaluru"/>
    <s v="Local Hub"/>
    <s v="Standard"/>
    <s v="Weather"/>
    <s v="Medium"/>
    <n v="2"/>
    <n v="6"/>
    <n v="4"/>
    <s v="Yes"/>
    <n v="434"/>
    <n v="7868"/>
    <n v="10844"/>
    <n v="0"/>
    <s v="No"/>
    <s v="Major"/>
    <n v="2711"/>
    <n v="1967"/>
    <n v="2024"/>
    <n v="7"/>
    <n v="1"/>
  </r>
  <r>
    <s v="SHP-31398"/>
    <d v="2024-06-12T00:00:00"/>
    <s v="North"/>
    <s v="Delhi"/>
    <s v="Regional Hub"/>
    <s v="Express"/>
    <s v="Weather"/>
    <s v="High"/>
    <n v="1"/>
    <n v="4"/>
    <n v="3"/>
    <s v="Yes"/>
    <n v="252"/>
    <n v="4719"/>
    <n v="10047"/>
    <n v="0"/>
    <s v="No"/>
    <s v="Major"/>
    <n v="3349"/>
    <n v="1573"/>
    <n v="2024"/>
    <n v="6"/>
    <n v="1"/>
  </r>
  <r>
    <s v="SHP-31399"/>
    <d v="2024-04-03T00:00:00"/>
    <s v="South"/>
    <s v="Chennai"/>
    <s v="Regional Hub"/>
    <s v="Express"/>
    <s v="Capacity"/>
    <s v="Medium"/>
    <n v="3"/>
    <n v="7"/>
    <n v="4"/>
    <s v="Yes"/>
    <n v="128"/>
    <n v="8308"/>
    <n v="19580"/>
    <n v="0"/>
    <s v="No"/>
    <s v="Major"/>
    <n v="4895"/>
    <n v="2077"/>
    <n v="2024"/>
    <n v="4"/>
    <n v="1"/>
  </r>
  <r>
    <s v="SHP-31400"/>
    <d v="2024-09-03T00:00:00"/>
    <s v="West"/>
    <s v="Pune"/>
    <s v="Regional Hub"/>
    <s v="Critical"/>
    <s v="Capacity"/>
    <s v="High"/>
    <n v="5"/>
    <n v="11"/>
    <n v="6"/>
    <s v="Yes"/>
    <n v="430"/>
    <n v="6234"/>
    <n v="12726"/>
    <n v="0"/>
    <s v="No"/>
    <s v="Severe"/>
    <n v="2121"/>
    <n v="1039"/>
    <n v="2024"/>
    <n v="9"/>
    <n v="1"/>
  </r>
  <r>
    <s v="SHP-31401"/>
    <d v="2024-11-24T00:00:00"/>
    <s v="East"/>
    <s v="Bhubaneswar"/>
    <s v="Local Hub"/>
    <s v="Express"/>
    <s v="Capacity"/>
    <s v="High"/>
    <n v="2"/>
    <n v="5"/>
    <n v="3"/>
    <s v="Yes"/>
    <n v="141"/>
    <n v="4113"/>
    <n v="9846"/>
    <n v="0"/>
    <s v="No"/>
    <s v="Major"/>
    <n v="3282"/>
    <n v="1371"/>
    <n v="2024"/>
    <n v="11"/>
    <n v="1"/>
  </r>
  <r>
    <s v="SHP-31402"/>
    <d v="2024-10-13T00:00:00"/>
    <s v="East"/>
    <s v="Bhubaneswar"/>
    <s v="Regional Hub"/>
    <s v="Standard"/>
    <s v="Weather"/>
    <s v="Low"/>
    <n v="5"/>
    <n v="6"/>
    <n v="1"/>
    <s v="Yes"/>
    <n v="178"/>
    <n v="1763"/>
    <n v="2403"/>
    <n v="0"/>
    <s v="No"/>
    <s v="Minor"/>
    <n v="2403"/>
    <n v="1763"/>
    <n v="2024"/>
    <n v="10"/>
    <n v="1"/>
  </r>
  <r>
    <s v="SHP-31403"/>
    <d v="2024-05-26T00:00:00"/>
    <s v="East"/>
    <s v="Kolkata"/>
    <s v="Local Hub"/>
    <s v="Standard"/>
    <s v="System"/>
    <s v="High"/>
    <n v="2"/>
    <n v="9"/>
    <n v="7"/>
    <s v="Yes"/>
    <n v="452"/>
    <n v="7196"/>
    <n v="34853"/>
    <n v="0"/>
    <s v="No"/>
    <s v="Severe"/>
    <n v="4979"/>
    <n v="1028"/>
    <n v="2024"/>
    <n v="5"/>
    <n v="1"/>
  </r>
  <r>
    <s v="SHP-31404"/>
    <d v="2024-05-23T00:00:00"/>
    <s v="West"/>
    <s v="Pune"/>
    <s v="Regional Hub"/>
    <s v="Express"/>
    <s v="Documentation"/>
    <s v="Low"/>
    <n v="1"/>
    <n v="2"/>
    <n v="1"/>
    <s v="Yes"/>
    <n v="335"/>
    <n v="1301"/>
    <n v="3600"/>
    <n v="0"/>
    <s v="No"/>
    <s v="Minor"/>
    <n v="3600"/>
    <n v="1301"/>
    <n v="2024"/>
    <n v="5"/>
    <n v="1"/>
  </r>
  <r>
    <s v="SHP-31405"/>
    <d v="2024-04-09T00:00:00"/>
    <s v="North"/>
    <s v="Noida"/>
    <s v="Regional Hub"/>
    <s v="Express"/>
    <s v="System"/>
    <s v="Low"/>
    <n v="1"/>
    <n v="5"/>
    <n v="4"/>
    <s v="Yes"/>
    <n v="373"/>
    <n v="9292"/>
    <n v="15140"/>
    <n v="0"/>
    <s v="No"/>
    <s v="Major"/>
    <n v="3785"/>
    <n v="2323"/>
    <n v="2024"/>
    <n v="4"/>
    <n v="1"/>
  </r>
  <r>
    <s v="SHP-31406"/>
    <d v="2024-01-30T00:00:00"/>
    <s v="South"/>
    <s v="Chennai"/>
    <s v="Regional Hub"/>
    <s v="Standard"/>
    <s v="Documentation"/>
    <s v="Medium"/>
    <n v="2"/>
    <n v="7"/>
    <n v="5"/>
    <s v="Yes"/>
    <n v="166"/>
    <n v="6585"/>
    <n v="10150"/>
    <n v="0"/>
    <s v="No"/>
    <s v="Major"/>
    <n v="2030"/>
    <n v="1317"/>
    <n v="2024"/>
    <n v="1"/>
    <n v="1"/>
  </r>
  <r>
    <s v="SHP-31407"/>
    <d v="2024-08-23T00:00:00"/>
    <s v="North"/>
    <s v="Noida"/>
    <s v="Central Hub"/>
    <s v="Critical"/>
    <s v="Routing"/>
    <s v="High"/>
    <n v="3"/>
    <n v="7"/>
    <n v="4"/>
    <s v="Yes"/>
    <n v="368"/>
    <n v="6956"/>
    <n v="15116"/>
    <n v="0"/>
    <s v="No"/>
    <s v="Major"/>
    <n v="3779"/>
    <n v="1739"/>
    <n v="2024"/>
    <n v="8"/>
    <n v="1"/>
  </r>
  <r>
    <s v="SHP-31408"/>
    <d v="2024-01-31T00:00:00"/>
    <s v="West"/>
    <s v="Pune"/>
    <s v="Regional Hub"/>
    <s v="Standard"/>
    <s v="Routing"/>
    <s v="High"/>
    <n v="3"/>
    <n v="6"/>
    <n v="3"/>
    <s v="Yes"/>
    <n v="390"/>
    <n v="5142"/>
    <n v="9339"/>
    <n v="0"/>
    <s v="No"/>
    <s v="Major"/>
    <n v="3113"/>
    <n v="1714"/>
    <n v="2024"/>
    <n v="1"/>
    <n v="1"/>
  </r>
  <r>
    <s v="SHP-31409"/>
    <d v="2024-10-04T00:00:00"/>
    <s v="South"/>
    <s v="Chennai"/>
    <s v="Central Hub"/>
    <s v="Standard"/>
    <s v="Routing"/>
    <s v="Medium"/>
    <n v="2"/>
    <n v="2"/>
    <n v="0"/>
    <s v="No"/>
    <n v="97"/>
    <n v="0"/>
    <n v="0"/>
    <n v="1"/>
    <s v="No"/>
    <s v="On Time"/>
    <n v="0"/>
    <n v="0"/>
    <n v="2024"/>
    <n v="10"/>
    <n v="0"/>
  </r>
  <r>
    <s v="SHP-31410"/>
    <d v="2024-06-07T00:00:00"/>
    <s v="South"/>
    <s v="Chennai"/>
    <s v="Local Hub"/>
    <s v="Critical"/>
    <s v="Documentation"/>
    <s v="Low"/>
    <n v="3"/>
    <n v="8"/>
    <n v="5"/>
    <s v="Yes"/>
    <n v="385"/>
    <n v="10450"/>
    <n v="23545"/>
    <n v="0"/>
    <s v="No"/>
    <s v="Major"/>
    <n v="4709"/>
    <n v="2090"/>
    <n v="2024"/>
    <n v="6"/>
    <n v="1"/>
  </r>
  <r>
    <s v="SHP-31411"/>
    <d v="2024-07-31T00:00:00"/>
    <s v="South"/>
    <s v="Bengaluru"/>
    <s v="Regional Hub"/>
    <s v="Express"/>
    <s v="Capacity"/>
    <s v="Medium"/>
    <n v="2"/>
    <n v="7"/>
    <n v="5"/>
    <s v="Yes"/>
    <n v="367"/>
    <n v="7820"/>
    <n v="24675"/>
    <n v="0"/>
    <s v="No"/>
    <s v="Major"/>
    <n v="4935"/>
    <n v="1564"/>
    <n v="2024"/>
    <n v="7"/>
    <n v="1"/>
  </r>
  <r>
    <s v="SHP-31412"/>
    <d v="2024-12-19T00:00:00"/>
    <s v="West"/>
    <s v="Mumbai"/>
    <s v="Central Hub"/>
    <s v="Critical"/>
    <s v="Weather"/>
    <s v="Low"/>
    <n v="2"/>
    <n v="7"/>
    <n v="5"/>
    <s v="Yes"/>
    <n v="259"/>
    <n v="12095"/>
    <n v="18295"/>
    <n v="0"/>
    <s v="No"/>
    <s v="Major"/>
    <n v="3659"/>
    <n v="2419"/>
    <n v="2024"/>
    <n v="12"/>
    <n v="1"/>
  </r>
  <r>
    <s v="SHP-31413"/>
    <d v="2024-12-17T00:00:00"/>
    <s v="East"/>
    <s v="Bhubaneswar"/>
    <s v="Central Hub"/>
    <s v="Standard"/>
    <s v="Documentation"/>
    <s v="High"/>
    <n v="5"/>
    <n v="11"/>
    <n v="6"/>
    <s v="Yes"/>
    <n v="416"/>
    <n v="11952"/>
    <n v="12948"/>
    <n v="0"/>
    <s v="No"/>
    <s v="Severe"/>
    <n v="2158"/>
    <n v="1992"/>
    <n v="2024"/>
    <n v="12"/>
    <n v="1"/>
  </r>
  <r>
    <s v="SHP-31414"/>
    <d v="2024-01-28T00:00:00"/>
    <s v="South"/>
    <s v="Bengaluru"/>
    <s v="Regional Hub"/>
    <s v="Express"/>
    <s v="Capacity"/>
    <s v="High"/>
    <n v="2"/>
    <n v="4"/>
    <n v="2"/>
    <s v="Yes"/>
    <n v="193"/>
    <n v="4906"/>
    <n v="9792"/>
    <n v="0"/>
    <s v="No"/>
    <s v="Minor"/>
    <n v="4896"/>
    <n v="2453"/>
    <n v="2024"/>
    <n v="1"/>
    <n v="1"/>
  </r>
  <r>
    <s v="SHP-31415"/>
    <d v="2024-02-14T00:00:00"/>
    <s v="East"/>
    <s v="Kolkata"/>
    <s v="Central Hub"/>
    <s v="Standard"/>
    <s v="Routing"/>
    <s v="High"/>
    <n v="2"/>
    <n v="9"/>
    <n v="7"/>
    <s v="Yes"/>
    <n v="240"/>
    <n v="8750"/>
    <n v="20461"/>
    <n v="0"/>
    <s v="No"/>
    <s v="Severe"/>
    <n v="2923"/>
    <n v="1250"/>
    <n v="2024"/>
    <n v="2"/>
    <n v="1"/>
  </r>
  <r>
    <s v="SHP-31416"/>
    <d v="2024-10-22T00:00:00"/>
    <s v="East"/>
    <s v="Kolkata"/>
    <s v="Regional Hub"/>
    <s v="Standard"/>
    <s v="Capacity"/>
    <s v="Low"/>
    <n v="3"/>
    <n v="7"/>
    <n v="4"/>
    <s v="Yes"/>
    <n v="445"/>
    <n v="3892"/>
    <n v="11644"/>
    <n v="0"/>
    <s v="No"/>
    <s v="Major"/>
    <n v="2911"/>
    <n v="973"/>
    <n v="2024"/>
    <n v="10"/>
    <n v="1"/>
  </r>
  <r>
    <s v="SHP-31417"/>
    <d v="2024-10-23T00:00:00"/>
    <s v="East"/>
    <s v="Kolkata"/>
    <s v="Regional Hub"/>
    <s v="Critical"/>
    <s v="Weather"/>
    <s v="Medium"/>
    <n v="3"/>
    <n v="7"/>
    <n v="4"/>
    <s v="Yes"/>
    <n v="390"/>
    <n v="9728"/>
    <n v="15576"/>
    <n v="0"/>
    <s v="No"/>
    <s v="Major"/>
    <n v="3894"/>
    <n v="2432"/>
    <n v="2024"/>
    <n v="10"/>
    <n v="1"/>
  </r>
  <r>
    <s v="SHP-31418"/>
    <d v="2024-03-25T00:00:00"/>
    <s v="East"/>
    <s v="Bhubaneswar"/>
    <s v="Local Hub"/>
    <s v="Standard"/>
    <s v="System"/>
    <s v="Low"/>
    <n v="2"/>
    <n v="6"/>
    <n v="4"/>
    <s v="Yes"/>
    <n v="156"/>
    <n v="7700"/>
    <n v="9808"/>
    <n v="0"/>
    <s v="No"/>
    <s v="Major"/>
    <n v="2452"/>
    <n v="1925"/>
    <n v="2024"/>
    <n v="3"/>
    <n v="1"/>
  </r>
  <r>
    <s v="SHP-31419"/>
    <d v="2024-09-14T00:00:00"/>
    <s v="South"/>
    <s v="Chennai"/>
    <s v="Central Hub"/>
    <s v="Standard"/>
    <s v="System"/>
    <s v="Low"/>
    <n v="1"/>
    <n v="2"/>
    <n v="1"/>
    <s v="Yes"/>
    <n v="479"/>
    <n v="1805"/>
    <n v="1695"/>
    <n v="0"/>
    <s v="No"/>
    <s v="Minor"/>
    <n v="1695"/>
    <n v="1805"/>
    <n v="2024"/>
    <n v="9"/>
    <n v="1"/>
  </r>
  <r>
    <s v="SHP-31420"/>
    <d v="2024-05-31T00:00:00"/>
    <s v="North"/>
    <s v="Delhi"/>
    <s v="Local Hub"/>
    <s v="Critical"/>
    <s v="Documentation"/>
    <s v="Low"/>
    <n v="5"/>
    <n v="8"/>
    <n v="3"/>
    <s v="Yes"/>
    <n v="279"/>
    <n v="3789"/>
    <n v="11922"/>
    <n v="0"/>
    <s v="No"/>
    <s v="Major"/>
    <n v="3974"/>
    <n v="1263"/>
    <n v="2024"/>
    <n v="5"/>
    <n v="1"/>
  </r>
  <r>
    <s v="SHP-31421"/>
    <d v="2024-08-24T00:00:00"/>
    <s v="East"/>
    <s v="Kolkata"/>
    <s v="Central Hub"/>
    <s v="Express"/>
    <s v="Weather"/>
    <s v="High"/>
    <n v="2"/>
    <n v="8"/>
    <n v="6"/>
    <s v="Yes"/>
    <n v="74"/>
    <n v="10986"/>
    <n v="21870"/>
    <n v="0"/>
    <s v="No"/>
    <s v="Severe"/>
    <n v="3645"/>
    <n v="1831"/>
    <n v="2024"/>
    <n v="8"/>
    <n v="1"/>
  </r>
  <r>
    <s v="SHP-31422"/>
    <d v="2024-04-16T00:00:00"/>
    <s v="East"/>
    <s v="Kolkata"/>
    <s v="Local Hub"/>
    <s v="Critical"/>
    <s v="Capacity"/>
    <s v="Low"/>
    <n v="1"/>
    <n v="3"/>
    <n v="2"/>
    <s v="Yes"/>
    <n v="429"/>
    <n v="2826"/>
    <n v="9744"/>
    <n v="0"/>
    <s v="No"/>
    <s v="Minor"/>
    <n v="4872"/>
    <n v="1413"/>
    <n v="2024"/>
    <n v="4"/>
    <n v="1"/>
  </r>
  <r>
    <s v="SHP-31423"/>
    <d v="2024-03-25T00:00:00"/>
    <s v="West"/>
    <s v="Pune"/>
    <s v="Local Hub"/>
    <s v="Standard"/>
    <s v="Capacity"/>
    <s v="Low"/>
    <n v="3"/>
    <n v="7"/>
    <n v="4"/>
    <s v="Yes"/>
    <n v="60"/>
    <n v="8696"/>
    <n v="8920"/>
    <n v="0"/>
    <s v="No"/>
    <s v="Major"/>
    <n v="2230"/>
    <n v="2174"/>
    <n v="2024"/>
    <n v="3"/>
    <n v="1"/>
  </r>
  <r>
    <s v="SHP-31424"/>
    <d v="2024-09-07T00:00:00"/>
    <s v="West"/>
    <s v="Pune"/>
    <s v="Central Hub"/>
    <s v="Standard"/>
    <s v="Capacity"/>
    <s v="Medium"/>
    <n v="5"/>
    <n v="7"/>
    <n v="2"/>
    <s v="Yes"/>
    <n v="425"/>
    <n v="2528"/>
    <n v="9202"/>
    <n v="0"/>
    <s v="No"/>
    <s v="Minor"/>
    <n v="4601"/>
    <n v="1264"/>
    <n v="2024"/>
    <n v="9"/>
    <n v="1"/>
  </r>
  <r>
    <s v="SHP-31425"/>
    <d v="2024-02-16T00:00:00"/>
    <s v="East"/>
    <s v="Kolkata"/>
    <s v="Regional Hub"/>
    <s v="Express"/>
    <s v="Documentation"/>
    <s v="High"/>
    <n v="2"/>
    <n v="4"/>
    <n v="2"/>
    <s v="Yes"/>
    <n v="254"/>
    <n v="2064"/>
    <n v="6280"/>
    <n v="0"/>
    <s v="No"/>
    <s v="Minor"/>
    <n v="3140"/>
    <n v="1032"/>
    <n v="2024"/>
    <n v="2"/>
    <n v="1"/>
  </r>
  <r>
    <s v="SHP-31426"/>
    <d v="2024-01-02T00:00:00"/>
    <s v="North"/>
    <s v="Noida"/>
    <s v="Regional Hub"/>
    <s v="Express"/>
    <s v="Documentation"/>
    <s v="Low"/>
    <n v="3"/>
    <n v="5"/>
    <n v="2"/>
    <s v="Yes"/>
    <n v="417"/>
    <n v="1710"/>
    <n v="5084"/>
    <n v="0"/>
    <s v="No"/>
    <s v="Minor"/>
    <n v="2542"/>
    <n v="855"/>
    <n v="2024"/>
    <n v="1"/>
    <n v="1"/>
  </r>
  <r>
    <s v="SHP-31427"/>
    <d v="2024-10-26T00:00:00"/>
    <s v="East"/>
    <s v="Kolkata"/>
    <s v="Regional Hub"/>
    <s v="Express"/>
    <s v="Weather"/>
    <s v="Medium"/>
    <n v="2"/>
    <n v="3"/>
    <n v="1"/>
    <s v="Yes"/>
    <n v="114"/>
    <n v="2290"/>
    <n v="2133"/>
    <n v="0"/>
    <s v="No"/>
    <s v="Minor"/>
    <n v="2133"/>
    <n v="2290"/>
    <n v="2024"/>
    <n v="10"/>
    <n v="1"/>
  </r>
  <r>
    <s v="SHP-31428"/>
    <d v="2024-02-03T00:00:00"/>
    <s v="North"/>
    <s v="Delhi"/>
    <s v="Central Hub"/>
    <s v="Standard"/>
    <s v="Capacity"/>
    <s v="High"/>
    <n v="1"/>
    <n v="6"/>
    <n v="5"/>
    <s v="Yes"/>
    <n v="280"/>
    <n v="8085"/>
    <n v="13015"/>
    <n v="0"/>
    <s v="No"/>
    <s v="Major"/>
    <n v="2603"/>
    <n v="1617"/>
    <n v="2024"/>
    <n v="2"/>
    <n v="1"/>
  </r>
  <r>
    <s v="SHP-31429"/>
    <d v="2024-09-16T00:00:00"/>
    <s v="East"/>
    <s v="Bhubaneswar"/>
    <s v="Central Hub"/>
    <s v="Standard"/>
    <s v="Capacity"/>
    <s v="Medium"/>
    <n v="2"/>
    <n v="5"/>
    <n v="3"/>
    <s v="Yes"/>
    <n v="373"/>
    <n v="2604"/>
    <n v="6306"/>
    <n v="0"/>
    <s v="No"/>
    <s v="Major"/>
    <n v="2102"/>
    <n v="868"/>
    <n v="2024"/>
    <n v="9"/>
    <n v="1"/>
  </r>
  <r>
    <s v="SHP-31430"/>
    <d v="2024-12-08T00:00:00"/>
    <s v="North"/>
    <s v="Noida"/>
    <s v="Regional Hub"/>
    <s v="Standard"/>
    <s v="Weather"/>
    <s v="Low"/>
    <n v="5"/>
    <n v="6"/>
    <n v="1"/>
    <s v="Yes"/>
    <n v="57"/>
    <n v="1786"/>
    <n v="1805"/>
    <n v="0"/>
    <s v="No"/>
    <s v="Minor"/>
    <n v="1805"/>
    <n v="1786"/>
    <n v="2024"/>
    <n v="12"/>
    <n v="1"/>
  </r>
  <r>
    <s v="SHP-31431"/>
    <d v="2024-06-20T00:00:00"/>
    <s v="East"/>
    <s v="Kolkata"/>
    <s v="Regional Hub"/>
    <s v="Express"/>
    <s v="System"/>
    <s v="Medium"/>
    <n v="2"/>
    <n v="3"/>
    <n v="1"/>
    <s v="Yes"/>
    <n v="193"/>
    <n v="1866"/>
    <n v="2690"/>
    <n v="0"/>
    <s v="No"/>
    <s v="Minor"/>
    <n v="2690"/>
    <n v="1866"/>
    <n v="2024"/>
    <n v="6"/>
    <n v="1"/>
  </r>
  <r>
    <s v="SHP-31432"/>
    <d v="2024-02-25T00:00:00"/>
    <s v="East"/>
    <s v="Kolkata"/>
    <s v="Local Hub"/>
    <s v="Express"/>
    <s v="Documentation"/>
    <s v="Low"/>
    <n v="1"/>
    <n v="2"/>
    <n v="1"/>
    <s v="Yes"/>
    <n v="99"/>
    <n v="1213"/>
    <n v="2759"/>
    <n v="0"/>
    <s v="No"/>
    <s v="Minor"/>
    <n v="2759"/>
    <n v="1213"/>
    <n v="2024"/>
    <n v="2"/>
    <n v="1"/>
  </r>
  <r>
    <s v="SHP-31433"/>
    <d v="2024-08-07T00:00:00"/>
    <s v="South"/>
    <s v="Chennai"/>
    <s v="Central Hub"/>
    <s v="Standard"/>
    <s v="Documentation"/>
    <s v="Low"/>
    <n v="2"/>
    <n v="5"/>
    <n v="3"/>
    <s v="Yes"/>
    <n v="414"/>
    <n v="2607"/>
    <n v="6768"/>
    <n v="0"/>
    <s v="No"/>
    <s v="Major"/>
    <n v="2256"/>
    <n v="869"/>
    <n v="2024"/>
    <n v="8"/>
    <n v="1"/>
  </r>
  <r>
    <s v="SHP-31434"/>
    <d v="2024-08-11T00:00:00"/>
    <s v="South"/>
    <s v="Bengaluru"/>
    <s v="Regional Hub"/>
    <s v="Critical"/>
    <s v="Capacity"/>
    <s v="Medium"/>
    <n v="2"/>
    <n v="4"/>
    <n v="2"/>
    <s v="Yes"/>
    <n v="311"/>
    <n v="4522"/>
    <n v="9880"/>
    <n v="0"/>
    <s v="No"/>
    <s v="Minor"/>
    <n v="4940"/>
    <n v="2261"/>
    <n v="2024"/>
    <n v="8"/>
    <n v="1"/>
  </r>
  <r>
    <s v="SHP-31435"/>
    <d v="2024-08-29T00:00:00"/>
    <s v="East"/>
    <s v="Kolkata"/>
    <s v="Central Hub"/>
    <s v="Standard"/>
    <s v="Weather"/>
    <s v="High"/>
    <n v="1"/>
    <n v="6"/>
    <n v="5"/>
    <s v="Yes"/>
    <n v="365"/>
    <n v="7040"/>
    <n v="24740"/>
    <n v="0"/>
    <s v="No"/>
    <s v="Major"/>
    <n v="4948"/>
    <n v="1408"/>
    <n v="2024"/>
    <n v="8"/>
    <n v="1"/>
  </r>
  <r>
    <s v="SHP-31436"/>
    <d v="2024-05-09T00:00:00"/>
    <s v="West"/>
    <s v="Mumbai"/>
    <s v="Regional Hub"/>
    <s v="Critical"/>
    <s v="Routing"/>
    <s v="Medium"/>
    <n v="2"/>
    <n v="5"/>
    <n v="3"/>
    <s v="Yes"/>
    <n v="95"/>
    <n v="3111"/>
    <n v="5427"/>
    <n v="0"/>
    <s v="No"/>
    <s v="Major"/>
    <n v="1809"/>
    <n v="1037"/>
    <n v="2024"/>
    <n v="5"/>
    <n v="1"/>
  </r>
  <r>
    <s v="SHP-31437"/>
    <d v="2024-07-05T00:00:00"/>
    <s v="South"/>
    <s v="Bengaluru"/>
    <s v="Regional Hub"/>
    <s v="Express"/>
    <s v="Weather"/>
    <s v="High"/>
    <n v="3"/>
    <n v="6"/>
    <n v="3"/>
    <s v="Yes"/>
    <n v="310"/>
    <n v="3903"/>
    <n v="6249"/>
    <n v="0"/>
    <s v="No"/>
    <s v="Major"/>
    <n v="2083"/>
    <n v="1301"/>
    <n v="2024"/>
    <n v="7"/>
    <n v="1"/>
  </r>
  <r>
    <s v="SHP-31438"/>
    <d v="2024-08-17T00:00:00"/>
    <s v="North"/>
    <s v="Delhi"/>
    <s v="Local Hub"/>
    <s v="Standard"/>
    <s v="System"/>
    <s v="Medium"/>
    <n v="2"/>
    <n v="5"/>
    <n v="3"/>
    <s v="Yes"/>
    <n v="116"/>
    <n v="2730"/>
    <n v="11691"/>
    <n v="0"/>
    <s v="No"/>
    <s v="Major"/>
    <n v="3897"/>
    <n v="910"/>
    <n v="2024"/>
    <n v="8"/>
    <n v="1"/>
  </r>
  <r>
    <s v="SHP-31439"/>
    <d v="2024-08-26T00:00:00"/>
    <s v="East"/>
    <s v="Bhubaneswar"/>
    <s v="Regional Hub"/>
    <s v="Critical"/>
    <s v="Weather"/>
    <s v="Low"/>
    <n v="2"/>
    <n v="9"/>
    <n v="7"/>
    <s v="Yes"/>
    <n v="461"/>
    <n v="11921"/>
    <n v="22715"/>
    <n v="0"/>
    <s v="No"/>
    <s v="Severe"/>
    <n v="3245"/>
    <n v="1703"/>
    <n v="2024"/>
    <n v="8"/>
    <n v="1"/>
  </r>
  <r>
    <s v="SHP-31440"/>
    <d v="2024-03-17T00:00:00"/>
    <s v="South"/>
    <s v="Chennai"/>
    <s v="Central Hub"/>
    <s v="Express"/>
    <s v="Routing"/>
    <s v="Low"/>
    <n v="2"/>
    <n v="5"/>
    <n v="3"/>
    <s v="Yes"/>
    <n v="73"/>
    <n v="2928"/>
    <n v="11910"/>
    <n v="0"/>
    <s v="No"/>
    <s v="Major"/>
    <n v="3970"/>
    <n v="976"/>
    <n v="2024"/>
    <n v="3"/>
    <n v="1"/>
  </r>
  <r>
    <s v="SHP-31441"/>
    <d v="2024-07-05T00:00:00"/>
    <s v="East"/>
    <s v="Kolkata"/>
    <s v="Local Hub"/>
    <s v="Standard"/>
    <s v="Weather"/>
    <s v="High"/>
    <n v="3"/>
    <n v="7"/>
    <n v="4"/>
    <s v="Yes"/>
    <n v="118"/>
    <n v="5112"/>
    <n v="19560"/>
    <n v="0"/>
    <s v="No"/>
    <s v="Major"/>
    <n v="4890"/>
    <n v="1278"/>
    <n v="2024"/>
    <n v="7"/>
    <n v="1"/>
  </r>
  <r>
    <s v="SHP-31442"/>
    <d v="2024-03-06T00:00:00"/>
    <s v="West"/>
    <s v="Pune"/>
    <s v="Local Hub"/>
    <s v="Standard"/>
    <s v="Weather"/>
    <s v="Medium"/>
    <n v="2"/>
    <n v="7"/>
    <n v="5"/>
    <s v="Yes"/>
    <n v="257"/>
    <n v="10515"/>
    <n v="16055"/>
    <n v="0"/>
    <s v="No"/>
    <s v="Major"/>
    <n v="3211"/>
    <n v="2103"/>
    <n v="2024"/>
    <n v="3"/>
    <n v="1"/>
  </r>
  <r>
    <s v="SHP-31443"/>
    <d v="2024-04-21T00:00:00"/>
    <s v="North"/>
    <s v="Delhi"/>
    <s v="Local Hub"/>
    <s v="Standard"/>
    <s v="Documentation"/>
    <s v="Low"/>
    <n v="2"/>
    <n v="5"/>
    <n v="3"/>
    <s v="Yes"/>
    <n v="325"/>
    <n v="4074"/>
    <n v="12054"/>
    <n v="0"/>
    <s v="No"/>
    <s v="Major"/>
    <n v="4018"/>
    <n v="1358"/>
    <n v="2024"/>
    <n v="4"/>
    <n v="1"/>
  </r>
  <r>
    <s v="SHP-31444"/>
    <d v="2024-01-06T00:00:00"/>
    <s v="South"/>
    <s v="Bengaluru"/>
    <s v="Regional Hub"/>
    <s v="Critical"/>
    <s v="Documentation"/>
    <s v="Low"/>
    <n v="3"/>
    <n v="4"/>
    <n v="1"/>
    <s v="Yes"/>
    <n v="370"/>
    <n v="1100"/>
    <n v="4236"/>
    <n v="0"/>
    <s v="No"/>
    <s v="Minor"/>
    <n v="4236"/>
    <n v="1100"/>
    <n v="2024"/>
    <n v="1"/>
    <n v="1"/>
  </r>
  <r>
    <s v="SHP-31445"/>
    <d v="2024-12-30T00:00:00"/>
    <s v="North"/>
    <s v="Noida"/>
    <s v="Local Hub"/>
    <s v="Express"/>
    <s v="System"/>
    <s v="Low"/>
    <n v="2"/>
    <n v="3"/>
    <n v="1"/>
    <s v="Yes"/>
    <n v="172"/>
    <n v="1124"/>
    <n v="2815"/>
    <n v="0"/>
    <s v="No"/>
    <s v="Minor"/>
    <n v="2815"/>
    <n v="1124"/>
    <n v="2024"/>
    <n v="12"/>
    <n v="1"/>
  </r>
  <r>
    <s v="SHP-31446"/>
    <d v="2024-10-24T00:00:00"/>
    <s v="South"/>
    <s v="Bengaluru"/>
    <s v="Central Hub"/>
    <s v="Standard"/>
    <s v="Documentation"/>
    <s v="Medium"/>
    <n v="1"/>
    <n v="1"/>
    <n v="0"/>
    <s v="No"/>
    <n v="70"/>
    <n v="0"/>
    <n v="0"/>
    <n v="1"/>
    <s v="No"/>
    <s v="On Time"/>
    <n v="0"/>
    <n v="0"/>
    <n v="2024"/>
    <n v="10"/>
    <n v="0"/>
  </r>
  <r>
    <s v="SHP-31447"/>
    <d v="2024-05-02T00:00:00"/>
    <s v="North"/>
    <s v="Delhi"/>
    <s v="Regional Hub"/>
    <s v="Standard"/>
    <s v="Weather"/>
    <s v="Low"/>
    <n v="2"/>
    <n v="4"/>
    <n v="2"/>
    <s v="Yes"/>
    <n v="346"/>
    <n v="2934"/>
    <n v="6330"/>
    <n v="0"/>
    <s v="No"/>
    <s v="Minor"/>
    <n v="3165"/>
    <n v="1467"/>
    <n v="2024"/>
    <n v="5"/>
    <n v="1"/>
  </r>
  <r>
    <s v="SHP-31448"/>
    <d v="2024-06-22T00:00:00"/>
    <s v="East"/>
    <s v="Kolkata"/>
    <s v="Central Hub"/>
    <s v="Standard"/>
    <s v="Documentation"/>
    <s v="Medium"/>
    <n v="1"/>
    <n v="6"/>
    <n v="5"/>
    <s v="Yes"/>
    <n v="117"/>
    <n v="11885"/>
    <n v="8695"/>
    <n v="0"/>
    <s v="No"/>
    <s v="Major"/>
    <n v="1739"/>
    <n v="2377"/>
    <n v="2024"/>
    <n v="6"/>
    <n v="1"/>
  </r>
  <r>
    <s v="SHP-31449"/>
    <d v="2024-12-27T00:00:00"/>
    <s v="South"/>
    <s v="Bengaluru"/>
    <s v="Central Hub"/>
    <s v="Express"/>
    <s v="Documentation"/>
    <s v="Medium"/>
    <n v="2"/>
    <n v="7"/>
    <n v="5"/>
    <s v="Yes"/>
    <n v="391"/>
    <n v="4890"/>
    <n v="23280"/>
    <n v="0"/>
    <s v="No"/>
    <s v="Major"/>
    <n v="4656"/>
    <n v="978"/>
    <n v="2024"/>
    <n v="12"/>
    <n v="1"/>
  </r>
  <r>
    <s v="SHP-31450"/>
    <d v="2024-11-13T00:00:00"/>
    <s v="East"/>
    <s v="Kolkata"/>
    <s v="Local Hub"/>
    <s v="Express"/>
    <s v="Capacity"/>
    <s v="Medium"/>
    <n v="3"/>
    <n v="7"/>
    <n v="4"/>
    <s v="Yes"/>
    <n v="135"/>
    <n v="7728"/>
    <n v="19692"/>
    <n v="0"/>
    <s v="No"/>
    <s v="Major"/>
    <n v="4923"/>
    <n v="1932"/>
    <n v="2024"/>
    <n v="11"/>
    <n v="1"/>
  </r>
  <r>
    <s v="SHP-31451"/>
    <d v="2024-12-14T00:00:00"/>
    <s v="North"/>
    <s v="Noida"/>
    <s v="Central Hub"/>
    <s v="Express"/>
    <s v="Weather"/>
    <s v="Medium"/>
    <n v="1"/>
    <n v="2"/>
    <n v="1"/>
    <s v="Yes"/>
    <n v="286"/>
    <n v="1692"/>
    <n v="4101"/>
    <n v="0"/>
    <s v="No"/>
    <s v="Minor"/>
    <n v="4101"/>
    <n v="1692"/>
    <n v="2024"/>
    <n v="12"/>
    <n v="1"/>
  </r>
  <r>
    <s v="SHP-31452"/>
    <d v="2024-07-27T00:00:00"/>
    <s v="West"/>
    <s v="Mumbai"/>
    <s v="Central Hub"/>
    <s v="Critical"/>
    <s v="Weather"/>
    <s v="Low"/>
    <n v="1"/>
    <n v="8"/>
    <n v="7"/>
    <s v="Yes"/>
    <n v="387"/>
    <n v="11627"/>
    <n v="28105"/>
    <n v="0"/>
    <s v="No"/>
    <s v="Severe"/>
    <n v="4015"/>
    <n v="1661"/>
    <n v="2024"/>
    <n v="7"/>
    <n v="1"/>
  </r>
  <r>
    <s v="SHP-31453"/>
    <d v="2024-08-09T00:00:00"/>
    <s v="East"/>
    <s v="Kolkata"/>
    <s v="Regional Hub"/>
    <s v="Express"/>
    <s v="Capacity"/>
    <s v="Low"/>
    <n v="5"/>
    <n v="6"/>
    <n v="1"/>
    <s v="Yes"/>
    <n v="192"/>
    <n v="843"/>
    <n v="3270"/>
    <n v="0"/>
    <s v="No"/>
    <s v="Minor"/>
    <n v="3270"/>
    <n v="843"/>
    <n v="2024"/>
    <n v="8"/>
    <n v="1"/>
  </r>
  <r>
    <s v="SHP-31454"/>
    <d v="2024-08-27T00:00:00"/>
    <s v="East"/>
    <s v="Bhubaneswar"/>
    <s v="Local Hub"/>
    <s v="Critical"/>
    <s v="Capacity"/>
    <s v="Low"/>
    <n v="3"/>
    <n v="9"/>
    <n v="6"/>
    <s v="Yes"/>
    <n v="181"/>
    <n v="8238"/>
    <n v="21174"/>
    <n v="0"/>
    <s v="No"/>
    <s v="Severe"/>
    <n v="3529"/>
    <n v="1373"/>
    <n v="2024"/>
    <n v="8"/>
    <n v="1"/>
  </r>
  <r>
    <s v="SHP-31455"/>
    <d v="2024-10-01T00:00:00"/>
    <s v="East"/>
    <s v="Bhubaneswar"/>
    <s v="Regional Hub"/>
    <s v="Standard"/>
    <s v="Weather"/>
    <s v="Low"/>
    <n v="1"/>
    <n v="2"/>
    <n v="1"/>
    <s v="Yes"/>
    <n v="180"/>
    <n v="1924"/>
    <n v="3094"/>
    <n v="0"/>
    <s v="No"/>
    <s v="Minor"/>
    <n v="3094"/>
    <n v="1924"/>
    <n v="2024"/>
    <n v="10"/>
    <n v="1"/>
  </r>
  <r>
    <s v="SHP-31456"/>
    <d v="2024-04-22T00:00:00"/>
    <s v="North"/>
    <s v="Noida"/>
    <s v="Local Hub"/>
    <s v="Standard"/>
    <s v="Documentation"/>
    <s v="Low"/>
    <n v="2"/>
    <n v="4"/>
    <n v="2"/>
    <s v="Yes"/>
    <n v="352"/>
    <n v="2918"/>
    <n v="3948"/>
    <n v="0"/>
    <s v="No"/>
    <s v="Minor"/>
    <n v="1974"/>
    <n v="1459"/>
    <n v="2024"/>
    <n v="4"/>
    <n v="1"/>
  </r>
  <r>
    <s v="SHP-31457"/>
    <d v="2024-03-11T00:00:00"/>
    <s v="East"/>
    <s v="Kolkata"/>
    <s v="Regional Hub"/>
    <s v="Standard"/>
    <s v="Capacity"/>
    <s v="Low"/>
    <n v="1"/>
    <n v="6"/>
    <n v="5"/>
    <s v="Yes"/>
    <n v="204"/>
    <n v="10320"/>
    <n v="13460"/>
    <n v="0"/>
    <s v="No"/>
    <s v="Major"/>
    <n v="2692"/>
    <n v="2064"/>
    <n v="2024"/>
    <n v="3"/>
    <n v="1"/>
  </r>
  <r>
    <s v="SHP-31458"/>
    <d v="2024-08-31T00:00:00"/>
    <s v="North"/>
    <s v="Noida"/>
    <s v="Regional Hub"/>
    <s v="Standard"/>
    <s v="System"/>
    <s v="Low"/>
    <n v="5"/>
    <n v="9"/>
    <n v="4"/>
    <s v="Yes"/>
    <n v="52"/>
    <n v="3668"/>
    <n v="19516"/>
    <n v="0"/>
    <s v="No"/>
    <s v="Major"/>
    <n v="4879"/>
    <n v="917"/>
    <n v="2024"/>
    <n v="8"/>
    <n v="1"/>
  </r>
  <r>
    <s v="SHP-31459"/>
    <d v="2024-03-01T00:00:00"/>
    <s v="West"/>
    <s v="Pune"/>
    <s v="Central Hub"/>
    <s v="Express"/>
    <s v="Capacity"/>
    <s v="High"/>
    <n v="2"/>
    <n v="10"/>
    <n v="8"/>
    <s v="Yes"/>
    <n v="474"/>
    <n v="7888"/>
    <n v="18936"/>
    <n v="0"/>
    <s v="No"/>
    <s v="Severe"/>
    <n v="2367"/>
    <n v="986"/>
    <n v="2024"/>
    <n v="3"/>
    <n v="1"/>
  </r>
  <r>
    <s v="SHP-31460"/>
    <d v="2024-05-25T00:00:00"/>
    <s v="South"/>
    <s v="Bengaluru"/>
    <s v="Local Hub"/>
    <s v="Critical"/>
    <s v="Routing"/>
    <s v="Medium"/>
    <n v="2"/>
    <n v="4"/>
    <n v="2"/>
    <s v="Yes"/>
    <n v="73"/>
    <n v="4996"/>
    <n v="3830"/>
    <n v="0"/>
    <s v="No"/>
    <s v="Minor"/>
    <n v="1915"/>
    <n v="2498"/>
    <n v="2024"/>
    <n v="5"/>
    <n v="1"/>
  </r>
  <r>
    <s v="SHP-31461"/>
    <d v="2024-09-26T00:00:00"/>
    <s v="South"/>
    <s v="Bengaluru"/>
    <s v="Local Hub"/>
    <s v="Standard"/>
    <s v="Capacity"/>
    <s v="Medium"/>
    <n v="3"/>
    <n v="5"/>
    <n v="2"/>
    <s v="Yes"/>
    <n v="68"/>
    <n v="2242"/>
    <n v="9752"/>
    <n v="0"/>
    <s v="No"/>
    <s v="Minor"/>
    <n v="4876"/>
    <n v="1121"/>
    <n v="2024"/>
    <n v="9"/>
    <n v="1"/>
  </r>
  <r>
    <s v="SHP-31462"/>
    <d v="2024-03-29T00:00:00"/>
    <s v="North"/>
    <s v="Delhi"/>
    <s v="Local Hub"/>
    <s v="Standard"/>
    <s v="Capacity"/>
    <s v="Low"/>
    <n v="5"/>
    <n v="5"/>
    <n v="0"/>
    <s v="No"/>
    <n v="185"/>
    <n v="0"/>
    <n v="0"/>
    <n v="1"/>
    <s v="No"/>
    <s v="On Time"/>
    <n v="0"/>
    <n v="0"/>
    <n v="2024"/>
    <n v="3"/>
    <n v="0"/>
  </r>
  <r>
    <s v="SHP-31463"/>
    <d v="2024-01-14T00:00:00"/>
    <s v="East"/>
    <s v="Kolkata"/>
    <s v="Local Hub"/>
    <s v="Standard"/>
    <s v="Routing"/>
    <s v="Low"/>
    <n v="5"/>
    <n v="6"/>
    <n v="1"/>
    <s v="Yes"/>
    <n v="413"/>
    <n v="1508"/>
    <n v="3190"/>
    <n v="0"/>
    <s v="No"/>
    <s v="Minor"/>
    <n v="3190"/>
    <n v="1508"/>
    <n v="2024"/>
    <n v="1"/>
    <n v="1"/>
  </r>
  <r>
    <s v="SHP-31464"/>
    <d v="2024-10-27T00:00:00"/>
    <s v="South"/>
    <s v="Chennai"/>
    <s v="Regional Hub"/>
    <s v="Standard"/>
    <s v="Routing"/>
    <s v="Low"/>
    <n v="5"/>
    <n v="10"/>
    <n v="5"/>
    <s v="Yes"/>
    <n v="196"/>
    <n v="5330"/>
    <n v="10095"/>
    <n v="0"/>
    <s v="No"/>
    <s v="Major"/>
    <n v="2019"/>
    <n v="1066"/>
    <n v="2024"/>
    <n v="10"/>
    <n v="1"/>
  </r>
  <r>
    <s v="SHP-31465"/>
    <d v="2024-12-28T00:00:00"/>
    <s v="West"/>
    <s v="Mumbai"/>
    <s v="Regional Hub"/>
    <s v="Standard"/>
    <s v="Documentation"/>
    <s v="Low"/>
    <n v="2"/>
    <n v="2"/>
    <n v="0"/>
    <s v="No"/>
    <n v="344"/>
    <n v="0"/>
    <n v="0"/>
    <n v="1"/>
    <s v="No"/>
    <s v="On Time"/>
    <n v="0"/>
    <n v="0"/>
    <n v="2024"/>
    <n v="12"/>
    <n v="0"/>
  </r>
  <r>
    <s v="SHP-31466"/>
    <d v="2024-09-03T00:00:00"/>
    <s v="East"/>
    <s v="Kolkata"/>
    <s v="Regional Hub"/>
    <s v="Express"/>
    <s v="System"/>
    <s v="Low"/>
    <n v="5"/>
    <n v="9"/>
    <n v="4"/>
    <s v="Yes"/>
    <n v="446"/>
    <n v="7764"/>
    <n v="8428"/>
    <n v="0"/>
    <s v="No"/>
    <s v="Major"/>
    <n v="2107"/>
    <n v="1941"/>
    <n v="2024"/>
    <n v="9"/>
    <n v="1"/>
  </r>
  <r>
    <s v="SHP-31467"/>
    <d v="2024-02-18T00:00:00"/>
    <s v="North"/>
    <s v="Noida"/>
    <s v="Central Hub"/>
    <s v="Critical"/>
    <s v="Weather"/>
    <s v="Medium"/>
    <n v="1"/>
    <n v="4"/>
    <n v="3"/>
    <s v="Yes"/>
    <n v="249"/>
    <n v="3408"/>
    <n v="6501"/>
    <n v="0"/>
    <s v="No"/>
    <s v="Major"/>
    <n v="2167"/>
    <n v="1136"/>
    <n v="2024"/>
    <n v="2"/>
    <n v="1"/>
  </r>
  <r>
    <s v="SHP-31468"/>
    <d v="2024-08-10T00:00:00"/>
    <s v="North"/>
    <s v="Delhi"/>
    <s v="Regional Hub"/>
    <s v="Standard"/>
    <s v="Documentation"/>
    <s v="Medium"/>
    <n v="2"/>
    <n v="4"/>
    <n v="2"/>
    <s v="Yes"/>
    <n v="442"/>
    <n v="3362"/>
    <n v="3178"/>
    <n v="0"/>
    <s v="No"/>
    <s v="Minor"/>
    <n v="1589"/>
    <n v="1681"/>
    <n v="2024"/>
    <n v="8"/>
    <n v="1"/>
  </r>
  <r>
    <s v="SHP-31469"/>
    <d v="2024-01-26T00:00:00"/>
    <s v="North"/>
    <s v="Delhi"/>
    <s v="Local Hub"/>
    <s v="Express"/>
    <s v="Capacity"/>
    <s v="Medium"/>
    <n v="5"/>
    <n v="7"/>
    <n v="2"/>
    <s v="Yes"/>
    <n v="251"/>
    <n v="3532"/>
    <n v="5540"/>
    <n v="0"/>
    <s v="No"/>
    <s v="Minor"/>
    <n v="2770"/>
    <n v="1766"/>
    <n v="2024"/>
    <n v="1"/>
    <n v="1"/>
  </r>
  <r>
    <s v="SHP-31470"/>
    <d v="2024-02-16T00:00:00"/>
    <s v="East"/>
    <s v="Kolkata"/>
    <s v="Central Hub"/>
    <s v="Standard"/>
    <s v="Documentation"/>
    <s v="Medium"/>
    <n v="1"/>
    <n v="5"/>
    <n v="4"/>
    <s v="Yes"/>
    <n v="202"/>
    <n v="5632"/>
    <n v="13952"/>
    <n v="0"/>
    <s v="No"/>
    <s v="Major"/>
    <n v="3488"/>
    <n v="1408"/>
    <n v="2024"/>
    <n v="2"/>
    <n v="1"/>
  </r>
  <r>
    <s v="SHP-31471"/>
    <d v="2024-11-21T00:00:00"/>
    <s v="South"/>
    <s v="Bengaluru"/>
    <s v="Regional Hub"/>
    <s v="Standard"/>
    <s v="Weather"/>
    <s v="High"/>
    <n v="1"/>
    <n v="9"/>
    <n v="8"/>
    <s v="Yes"/>
    <n v="433"/>
    <n v="19352"/>
    <n v="39904"/>
    <n v="0"/>
    <s v="No"/>
    <s v="Severe"/>
    <n v="4988"/>
    <n v="2419"/>
    <n v="2024"/>
    <n v="11"/>
    <n v="1"/>
  </r>
  <r>
    <s v="SHP-31472"/>
    <d v="2024-11-24T00:00:00"/>
    <s v="East"/>
    <s v="Bhubaneswar"/>
    <s v="Regional Hub"/>
    <s v="Standard"/>
    <s v="System"/>
    <s v="High"/>
    <n v="2"/>
    <n v="7"/>
    <n v="5"/>
    <s v="Yes"/>
    <n v="286"/>
    <n v="9065"/>
    <n v="15885"/>
    <n v="0"/>
    <s v="No"/>
    <s v="Major"/>
    <n v="3177"/>
    <n v="1813"/>
    <n v="2024"/>
    <n v="11"/>
    <n v="1"/>
  </r>
  <r>
    <s v="SHP-31473"/>
    <d v="2024-05-29T00:00:00"/>
    <s v="South"/>
    <s v="Chennai"/>
    <s v="Local Hub"/>
    <s v="Standard"/>
    <s v="Weather"/>
    <s v="Medium"/>
    <n v="1"/>
    <n v="3"/>
    <n v="2"/>
    <s v="Yes"/>
    <n v="179"/>
    <n v="4104"/>
    <n v="8140"/>
    <n v="0"/>
    <s v="No"/>
    <s v="Minor"/>
    <n v="4070"/>
    <n v="2052"/>
    <n v="2024"/>
    <n v="5"/>
    <n v="1"/>
  </r>
  <r>
    <s v="SHP-31474"/>
    <d v="2024-12-03T00:00:00"/>
    <s v="East"/>
    <s v="Kolkata"/>
    <s v="Local Hub"/>
    <s v="Standard"/>
    <s v="Documentation"/>
    <s v="Medium"/>
    <n v="1"/>
    <n v="1"/>
    <n v="0"/>
    <s v="No"/>
    <n v="353"/>
    <n v="0"/>
    <n v="0"/>
    <n v="1"/>
    <s v="No"/>
    <s v="On Time"/>
    <n v="0"/>
    <n v="0"/>
    <n v="2024"/>
    <n v="12"/>
    <n v="0"/>
  </r>
  <r>
    <s v="SHP-31475"/>
    <d v="2024-05-05T00:00:00"/>
    <s v="South"/>
    <s v="Bengaluru"/>
    <s v="Local Hub"/>
    <s v="Standard"/>
    <s v="Routing"/>
    <s v="Low"/>
    <n v="2"/>
    <n v="6"/>
    <n v="4"/>
    <s v="Yes"/>
    <n v="466"/>
    <n v="3876"/>
    <n v="7692"/>
    <n v="0"/>
    <s v="No"/>
    <s v="Major"/>
    <n v="1923"/>
    <n v="969"/>
    <n v="2024"/>
    <n v="5"/>
    <n v="1"/>
  </r>
  <r>
    <s v="SHP-31476"/>
    <d v="2024-10-08T00:00:00"/>
    <s v="East"/>
    <s v="Bhubaneswar"/>
    <s v="Central Hub"/>
    <s v="Express"/>
    <s v="Documentation"/>
    <s v="Low"/>
    <n v="3"/>
    <n v="6"/>
    <n v="3"/>
    <s v="Yes"/>
    <n v="274"/>
    <n v="4947"/>
    <n v="10320"/>
    <n v="0"/>
    <s v="No"/>
    <s v="Major"/>
    <n v="3440"/>
    <n v="1649"/>
    <n v="2024"/>
    <n v="10"/>
    <n v="1"/>
  </r>
  <r>
    <s v="SHP-31477"/>
    <d v="2024-04-20T00:00:00"/>
    <s v="South"/>
    <s v="Chennai"/>
    <s v="Regional Hub"/>
    <s v="Standard"/>
    <s v="Documentation"/>
    <s v="Low"/>
    <n v="1"/>
    <n v="2"/>
    <n v="1"/>
    <s v="Yes"/>
    <n v="58"/>
    <n v="861"/>
    <n v="3109"/>
    <n v="0"/>
    <s v="No"/>
    <s v="Minor"/>
    <n v="3109"/>
    <n v="861"/>
    <n v="2024"/>
    <n v="4"/>
    <n v="1"/>
  </r>
  <r>
    <s v="SHP-31478"/>
    <d v="2024-11-07T00:00:00"/>
    <s v="South"/>
    <s v="Chennai"/>
    <s v="Local Hub"/>
    <s v="Standard"/>
    <s v="System"/>
    <s v="Medium"/>
    <n v="2"/>
    <n v="2"/>
    <n v="0"/>
    <s v="No"/>
    <n v="282"/>
    <n v="0"/>
    <n v="0"/>
    <n v="1"/>
    <s v="No"/>
    <s v="On Time"/>
    <n v="0"/>
    <n v="0"/>
    <n v="2024"/>
    <n v="11"/>
    <n v="0"/>
  </r>
  <r>
    <s v="SHP-31479"/>
    <d v="2024-07-24T00:00:00"/>
    <s v="East"/>
    <s v="Kolkata"/>
    <s v="Regional Hub"/>
    <s v="Express"/>
    <s v="Capacity"/>
    <s v="Low"/>
    <n v="1"/>
    <n v="5"/>
    <n v="4"/>
    <s v="Yes"/>
    <n v="452"/>
    <n v="3408"/>
    <n v="11880"/>
    <n v="0"/>
    <s v="No"/>
    <s v="Major"/>
    <n v="2970"/>
    <n v="852"/>
    <n v="2024"/>
    <n v="7"/>
    <n v="1"/>
  </r>
  <r>
    <s v="SHP-31480"/>
    <d v="2024-06-14T00:00:00"/>
    <s v="West"/>
    <s v="Pune"/>
    <s v="Central Hub"/>
    <s v="Standard"/>
    <s v="Weather"/>
    <s v="Low"/>
    <n v="2"/>
    <n v="2"/>
    <n v="0"/>
    <s v="No"/>
    <n v="112"/>
    <n v="0"/>
    <n v="0"/>
    <n v="1"/>
    <s v="No"/>
    <s v="On Time"/>
    <n v="0"/>
    <n v="0"/>
    <n v="2024"/>
    <n v="6"/>
    <n v="0"/>
  </r>
  <r>
    <s v="SHP-31481"/>
    <d v="2024-12-13T00:00:00"/>
    <s v="West"/>
    <s v="Mumbai"/>
    <s v="Local Hub"/>
    <s v="Critical"/>
    <s v="Capacity"/>
    <s v="Medium"/>
    <n v="1"/>
    <n v="7"/>
    <n v="6"/>
    <s v="Yes"/>
    <n v="228"/>
    <n v="9744"/>
    <n v="23244"/>
    <n v="0"/>
    <s v="No"/>
    <s v="Severe"/>
    <n v="3874"/>
    <n v="1624"/>
    <n v="2024"/>
    <n v="12"/>
    <n v="1"/>
  </r>
  <r>
    <s v="SHP-31482"/>
    <d v="2024-03-14T00:00:00"/>
    <s v="North"/>
    <s v="Delhi"/>
    <s v="Local Hub"/>
    <s v="Express"/>
    <s v="Documentation"/>
    <s v="Medium"/>
    <n v="2"/>
    <n v="2"/>
    <n v="0"/>
    <s v="No"/>
    <n v="69"/>
    <n v="0"/>
    <n v="0"/>
    <n v="1"/>
    <s v="No"/>
    <s v="On Time"/>
    <n v="0"/>
    <n v="0"/>
    <n v="2024"/>
    <n v="3"/>
    <n v="0"/>
  </r>
  <r>
    <s v="SHP-31483"/>
    <d v="2024-09-13T00:00:00"/>
    <s v="South"/>
    <s v="Bengaluru"/>
    <s v="Regional Hub"/>
    <s v="Express"/>
    <s v="System"/>
    <s v="Medium"/>
    <n v="1"/>
    <n v="1"/>
    <n v="0"/>
    <s v="No"/>
    <n v="311"/>
    <n v="0"/>
    <n v="0"/>
    <n v="1"/>
    <s v="No"/>
    <s v="On Time"/>
    <n v="0"/>
    <n v="0"/>
    <n v="2024"/>
    <n v="9"/>
    <n v="0"/>
  </r>
  <r>
    <s v="SHP-31484"/>
    <d v="2024-12-01T00:00:00"/>
    <s v="North"/>
    <s v="Noida"/>
    <s v="Regional Hub"/>
    <s v="Standard"/>
    <s v="Weather"/>
    <s v="High"/>
    <n v="5"/>
    <n v="8"/>
    <n v="3"/>
    <s v="Yes"/>
    <n v="443"/>
    <n v="3828"/>
    <n v="5046"/>
    <n v="0"/>
    <s v="No"/>
    <s v="Major"/>
    <n v="1682"/>
    <n v="1276"/>
    <n v="2024"/>
    <n v="12"/>
    <n v="1"/>
  </r>
  <r>
    <s v="SHP-31485"/>
    <d v="2024-01-07T00:00:00"/>
    <s v="West"/>
    <s v="Pune"/>
    <s v="Central Hub"/>
    <s v="Standard"/>
    <s v="Capacity"/>
    <s v="Medium"/>
    <n v="5"/>
    <n v="9"/>
    <n v="4"/>
    <s v="Yes"/>
    <n v="434"/>
    <n v="6168"/>
    <n v="12220"/>
    <n v="0"/>
    <s v="No"/>
    <s v="Major"/>
    <n v="3055"/>
    <n v="1542"/>
    <n v="2024"/>
    <n v="1"/>
    <n v="1"/>
  </r>
  <r>
    <s v="SHP-31486"/>
    <d v="2024-05-20T00:00:00"/>
    <s v="North"/>
    <s v="Noida"/>
    <s v="Regional Hub"/>
    <s v="Standard"/>
    <s v="Weather"/>
    <s v="Medium"/>
    <n v="2"/>
    <n v="7"/>
    <n v="5"/>
    <s v="Yes"/>
    <n v="442"/>
    <n v="8930"/>
    <n v="11525"/>
    <n v="0"/>
    <s v="No"/>
    <s v="Major"/>
    <n v="2305"/>
    <n v="1786"/>
    <n v="2024"/>
    <n v="5"/>
    <n v="1"/>
  </r>
  <r>
    <s v="SHP-31487"/>
    <d v="2024-01-22T00:00:00"/>
    <s v="North"/>
    <s v="Noida"/>
    <s v="Regional Hub"/>
    <s v="Standard"/>
    <s v="Capacity"/>
    <s v="Medium"/>
    <n v="1"/>
    <n v="2"/>
    <n v="1"/>
    <s v="Yes"/>
    <n v="81"/>
    <n v="1246"/>
    <n v="2157"/>
    <n v="0"/>
    <s v="No"/>
    <s v="Minor"/>
    <n v="2157"/>
    <n v="1246"/>
    <n v="2024"/>
    <n v="1"/>
    <n v="1"/>
  </r>
  <r>
    <s v="SHP-31488"/>
    <d v="2024-03-10T00:00:00"/>
    <s v="South"/>
    <s v="Bengaluru"/>
    <s v="Central Hub"/>
    <s v="Critical"/>
    <s v="Routing"/>
    <s v="Medium"/>
    <n v="1"/>
    <n v="6"/>
    <n v="5"/>
    <s v="Yes"/>
    <n v="427"/>
    <n v="8910"/>
    <n v="16715"/>
    <n v="0"/>
    <s v="No"/>
    <s v="Major"/>
    <n v="3343"/>
    <n v="1782"/>
    <n v="2024"/>
    <n v="3"/>
    <n v="1"/>
  </r>
  <r>
    <s v="SHP-31489"/>
    <d v="2024-07-19T00:00:00"/>
    <s v="North"/>
    <s v="Delhi"/>
    <s v="Regional Hub"/>
    <s v="Express"/>
    <s v="Routing"/>
    <s v="Low"/>
    <n v="3"/>
    <n v="8"/>
    <n v="5"/>
    <s v="Yes"/>
    <n v="199"/>
    <n v="7885"/>
    <n v="22585"/>
    <n v="0"/>
    <s v="No"/>
    <s v="Major"/>
    <n v="4517"/>
    <n v="1577"/>
    <n v="2024"/>
    <n v="7"/>
    <n v="1"/>
  </r>
  <r>
    <s v="SHP-31490"/>
    <d v="2024-01-28T00:00:00"/>
    <s v="North"/>
    <s v="Noida"/>
    <s v="Central Hub"/>
    <s v="Standard"/>
    <s v="Weather"/>
    <s v="Low"/>
    <n v="3"/>
    <n v="6"/>
    <n v="3"/>
    <s v="Yes"/>
    <n v="261"/>
    <n v="6396"/>
    <n v="6372"/>
    <n v="0"/>
    <s v="No"/>
    <s v="Major"/>
    <n v="2124"/>
    <n v="2132"/>
    <n v="2024"/>
    <n v="1"/>
    <n v="1"/>
  </r>
  <r>
    <s v="SHP-31491"/>
    <d v="2024-09-27T00:00:00"/>
    <s v="West"/>
    <s v="Pune"/>
    <s v="Regional Hub"/>
    <s v="Critical"/>
    <s v="Documentation"/>
    <s v="Medium"/>
    <n v="2"/>
    <n v="7"/>
    <n v="5"/>
    <s v="Yes"/>
    <n v="269"/>
    <n v="7190"/>
    <n v="18420"/>
    <n v="0"/>
    <s v="No"/>
    <s v="Major"/>
    <n v="3684"/>
    <n v="1438"/>
    <n v="2024"/>
    <n v="9"/>
    <n v="1"/>
  </r>
  <r>
    <s v="SHP-31492"/>
    <d v="2024-12-03T00:00:00"/>
    <s v="North"/>
    <s v="Delhi"/>
    <s v="Central Hub"/>
    <s v="Critical"/>
    <s v="Weather"/>
    <s v="High"/>
    <n v="5"/>
    <n v="13"/>
    <n v="8"/>
    <s v="Yes"/>
    <n v="244"/>
    <n v="19112"/>
    <n v="24200"/>
    <n v="0"/>
    <s v="No"/>
    <s v="Severe"/>
    <n v="3025"/>
    <n v="2389"/>
    <n v="2024"/>
    <n v="12"/>
    <n v="1"/>
  </r>
  <r>
    <s v="SHP-31493"/>
    <d v="2024-10-06T00:00:00"/>
    <s v="West"/>
    <s v="Mumbai"/>
    <s v="Regional Hub"/>
    <s v="Express"/>
    <s v="Routing"/>
    <s v="High"/>
    <n v="2"/>
    <n v="4"/>
    <n v="2"/>
    <s v="Yes"/>
    <n v="433"/>
    <n v="1722"/>
    <n v="5270"/>
    <n v="0"/>
    <s v="No"/>
    <s v="Minor"/>
    <n v="2635"/>
    <n v="861"/>
    <n v="2024"/>
    <n v="10"/>
    <n v="1"/>
  </r>
  <r>
    <s v="SHP-31494"/>
    <d v="2024-06-22T00:00:00"/>
    <s v="West"/>
    <s v="Mumbai"/>
    <s v="Central Hub"/>
    <s v="Critical"/>
    <s v="Capacity"/>
    <s v="Medium"/>
    <n v="2"/>
    <n v="4"/>
    <n v="2"/>
    <s v="Yes"/>
    <n v="229"/>
    <n v="4032"/>
    <n v="8246"/>
    <n v="0"/>
    <s v="No"/>
    <s v="Minor"/>
    <n v="4123"/>
    <n v="2016"/>
    <n v="2024"/>
    <n v="6"/>
    <n v="1"/>
  </r>
  <r>
    <s v="SHP-31495"/>
    <d v="2024-01-15T00:00:00"/>
    <s v="East"/>
    <s v="Bhubaneswar"/>
    <s v="Local Hub"/>
    <s v="Standard"/>
    <s v="Weather"/>
    <s v="High"/>
    <n v="2"/>
    <n v="7"/>
    <n v="5"/>
    <s v="Yes"/>
    <n v="438"/>
    <n v="9140"/>
    <n v="16305"/>
    <n v="0"/>
    <s v="No"/>
    <s v="Major"/>
    <n v="3261"/>
    <n v="1828"/>
    <n v="2024"/>
    <n v="1"/>
    <n v="1"/>
  </r>
  <r>
    <s v="SHP-31496"/>
    <d v="2024-04-10T00:00:00"/>
    <s v="West"/>
    <s v="Pune"/>
    <s v="Central Hub"/>
    <s v="Standard"/>
    <s v="Routing"/>
    <s v="Medium"/>
    <n v="1"/>
    <n v="3"/>
    <n v="2"/>
    <s v="Yes"/>
    <n v="284"/>
    <n v="2350"/>
    <n v="6202"/>
    <n v="0"/>
    <s v="No"/>
    <s v="Minor"/>
    <n v="3101"/>
    <n v="1175"/>
    <n v="2024"/>
    <n v="4"/>
    <n v="1"/>
  </r>
  <r>
    <s v="SHP-31497"/>
    <d v="2024-05-04T00:00:00"/>
    <s v="South"/>
    <s v="Chennai"/>
    <s v="Local Hub"/>
    <s v="Standard"/>
    <s v="Documentation"/>
    <s v="Medium"/>
    <n v="2"/>
    <n v="5"/>
    <n v="3"/>
    <s v="Yes"/>
    <n v="227"/>
    <n v="5091"/>
    <n v="14277"/>
    <n v="0"/>
    <s v="No"/>
    <s v="Major"/>
    <n v="4759"/>
    <n v="1697"/>
    <n v="2024"/>
    <n v="5"/>
    <n v="1"/>
  </r>
  <r>
    <s v="SHP-31498"/>
    <d v="2024-02-16T00:00:00"/>
    <s v="East"/>
    <s v="Kolkata"/>
    <s v="Central Hub"/>
    <s v="Standard"/>
    <s v="Documentation"/>
    <s v="Low"/>
    <n v="2"/>
    <n v="2"/>
    <n v="0"/>
    <s v="No"/>
    <n v="58"/>
    <n v="0"/>
    <n v="0"/>
    <n v="1"/>
    <s v="No"/>
    <s v="On Time"/>
    <n v="0"/>
    <n v="0"/>
    <n v="2024"/>
    <n v="2"/>
    <n v="0"/>
  </r>
  <r>
    <s v="SHP-31499"/>
    <d v="2024-05-03T00:00:00"/>
    <s v="West"/>
    <s v="Mumbai"/>
    <s v="Local Hub"/>
    <s v="Express"/>
    <s v="Capacity"/>
    <s v="Low"/>
    <n v="2"/>
    <n v="5"/>
    <n v="3"/>
    <s v="Yes"/>
    <n v="441"/>
    <n v="6735"/>
    <n v="10281"/>
    <n v="0"/>
    <s v="No"/>
    <s v="Major"/>
    <n v="3427"/>
    <n v="2245"/>
    <n v="2024"/>
    <n v="5"/>
    <n v="1"/>
  </r>
  <r>
    <s v="SHP-31500"/>
    <d v="2024-07-09T00:00:00"/>
    <s v="South"/>
    <s v="Bengaluru"/>
    <s v="Local Hub"/>
    <s v="Standard"/>
    <s v="System"/>
    <s v="Medium"/>
    <n v="2"/>
    <n v="3"/>
    <n v="1"/>
    <s v="Yes"/>
    <n v="112"/>
    <n v="1248"/>
    <n v="4749"/>
    <n v="0"/>
    <s v="No"/>
    <s v="Minor"/>
    <n v="4749"/>
    <n v="1248"/>
    <n v="2024"/>
    <n v="7"/>
    <n v="1"/>
  </r>
  <r>
    <s v="SHP-31501"/>
    <d v="2024-02-25T00:00:00"/>
    <s v="West"/>
    <s v="Mumbai"/>
    <s v="Regional Hub"/>
    <s v="Standard"/>
    <s v="Capacity"/>
    <s v="Medium"/>
    <n v="1"/>
    <n v="6"/>
    <n v="5"/>
    <s v="Yes"/>
    <n v="142"/>
    <n v="8670"/>
    <n v="17965"/>
    <n v="0"/>
    <s v="No"/>
    <s v="Major"/>
    <n v="3593"/>
    <n v="1734"/>
    <n v="2024"/>
    <n v="2"/>
    <n v="1"/>
  </r>
  <r>
    <s v="SHP-31502"/>
    <d v="2024-07-18T00:00:00"/>
    <s v="South"/>
    <s v="Chennai"/>
    <s v="Central Hub"/>
    <s v="Critical"/>
    <s v="System"/>
    <s v="High"/>
    <n v="2"/>
    <n v="5"/>
    <n v="3"/>
    <s v="Yes"/>
    <n v="278"/>
    <n v="3978"/>
    <n v="7920"/>
    <n v="0"/>
    <s v="No"/>
    <s v="Major"/>
    <n v="2640"/>
    <n v="1326"/>
    <n v="2024"/>
    <n v="7"/>
    <n v="1"/>
  </r>
  <r>
    <s v="SHP-31503"/>
    <d v="2024-09-20T00:00:00"/>
    <s v="North"/>
    <s v="Delhi"/>
    <s v="Local Hub"/>
    <s v="Critical"/>
    <s v="Weather"/>
    <s v="Medium"/>
    <n v="2"/>
    <n v="7"/>
    <n v="5"/>
    <s v="Yes"/>
    <n v="254"/>
    <n v="12145"/>
    <n v="16025"/>
    <n v="0"/>
    <s v="No"/>
    <s v="Major"/>
    <n v="3205"/>
    <n v="2429"/>
    <n v="2024"/>
    <n v="9"/>
    <n v="1"/>
  </r>
  <r>
    <s v="SHP-31504"/>
    <d v="2024-06-23T00:00:00"/>
    <s v="South"/>
    <s v="Bengaluru"/>
    <s v="Regional Hub"/>
    <s v="Critical"/>
    <s v="Routing"/>
    <s v="Low"/>
    <n v="2"/>
    <n v="4"/>
    <n v="2"/>
    <s v="Yes"/>
    <n v="278"/>
    <n v="3550"/>
    <n v="9644"/>
    <n v="0"/>
    <s v="No"/>
    <s v="Minor"/>
    <n v="4822"/>
    <n v="1775"/>
    <n v="2024"/>
    <n v="6"/>
    <n v="1"/>
  </r>
  <r>
    <s v="SHP-31505"/>
    <d v="2024-01-04T00:00:00"/>
    <s v="East"/>
    <s v="Bhubaneswar"/>
    <s v="Central Hub"/>
    <s v="Critical"/>
    <s v="System"/>
    <s v="Medium"/>
    <n v="1"/>
    <n v="5"/>
    <n v="4"/>
    <s v="Yes"/>
    <n v="247"/>
    <n v="6128"/>
    <n v="10060"/>
    <n v="0"/>
    <s v="No"/>
    <s v="Major"/>
    <n v="2515"/>
    <n v="1532"/>
    <n v="2024"/>
    <n v="1"/>
    <n v="1"/>
  </r>
  <r>
    <s v="SHP-31506"/>
    <d v="2024-12-28T00:00:00"/>
    <s v="South"/>
    <s v="Bengaluru"/>
    <s v="Regional Hub"/>
    <s v="Standard"/>
    <s v="Capacity"/>
    <s v="Medium"/>
    <n v="1"/>
    <n v="6"/>
    <n v="5"/>
    <s v="Yes"/>
    <n v="459"/>
    <n v="11755"/>
    <n v="21750"/>
    <n v="0"/>
    <s v="No"/>
    <s v="Major"/>
    <n v="4350"/>
    <n v="2351"/>
    <n v="2024"/>
    <n v="12"/>
    <n v="1"/>
  </r>
  <r>
    <s v="SHP-31507"/>
    <d v="2024-07-20T00:00:00"/>
    <s v="North"/>
    <s v="Delhi"/>
    <s v="Local Hub"/>
    <s v="Standard"/>
    <s v="Routing"/>
    <s v="Medium"/>
    <n v="1"/>
    <n v="6"/>
    <n v="5"/>
    <s v="Yes"/>
    <n v="253"/>
    <n v="9855"/>
    <n v="17040"/>
    <n v="0"/>
    <s v="No"/>
    <s v="Major"/>
    <n v="3408"/>
    <n v="1971"/>
    <n v="2024"/>
    <n v="7"/>
    <n v="1"/>
  </r>
  <r>
    <s v="SHP-31508"/>
    <d v="2024-01-27T00:00:00"/>
    <s v="North"/>
    <s v="Delhi"/>
    <s v="Regional Hub"/>
    <s v="Standard"/>
    <s v="Capacity"/>
    <s v="High"/>
    <n v="2"/>
    <n v="5"/>
    <n v="3"/>
    <s v="Yes"/>
    <n v="262"/>
    <n v="2424"/>
    <n v="8580"/>
    <n v="0"/>
    <s v="No"/>
    <s v="Major"/>
    <n v="2860"/>
    <n v="808"/>
    <n v="2024"/>
    <n v="1"/>
    <n v="1"/>
  </r>
  <r>
    <s v="SHP-31509"/>
    <d v="2024-05-07T00:00:00"/>
    <s v="North"/>
    <s v="Noida"/>
    <s v="Regional Hub"/>
    <s v="Standard"/>
    <s v="Capacity"/>
    <s v="Medium"/>
    <n v="2"/>
    <n v="5"/>
    <n v="3"/>
    <s v="Yes"/>
    <n v="164"/>
    <n v="5262"/>
    <n v="9090"/>
    <n v="0"/>
    <s v="No"/>
    <s v="Major"/>
    <n v="3030"/>
    <n v="1754"/>
    <n v="2024"/>
    <n v="5"/>
    <n v="1"/>
  </r>
  <r>
    <s v="SHP-31510"/>
    <d v="2024-08-20T00:00:00"/>
    <s v="South"/>
    <s v="Chennai"/>
    <s v="Regional Hub"/>
    <s v="Standard"/>
    <s v="Capacity"/>
    <s v="Low"/>
    <n v="3"/>
    <n v="7"/>
    <n v="4"/>
    <s v="Yes"/>
    <n v="187"/>
    <n v="4184"/>
    <n v="15028"/>
    <n v="0"/>
    <s v="No"/>
    <s v="Major"/>
    <n v="3757"/>
    <n v="1046"/>
    <n v="2024"/>
    <n v="8"/>
    <n v="1"/>
  </r>
  <r>
    <s v="SHP-31511"/>
    <d v="2024-01-15T00:00:00"/>
    <s v="North"/>
    <s v="Noida"/>
    <s v="Central Hub"/>
    <s v="Critical"/>
    <s v="Routing"/>
    <s v="Medium"/>
    <n v="2"/>
    <n v="3"/>
    <n v="1"/>
    <s v="Yes"/>
    <n v="481"/>
    <n v="1074"/>
    <n v="3521"/>
    <n v="0"/>
    <s v="No"/>
    <s v="Minor"/>
    <n v="3521"/>
    <n v="1074"/>
    <n v="2024"/>
    <n v="1"/>
    <n v="1"/>
  </r>
  <r>
    <s v="SHP-31512"/>
    <d v="2024-02-05T00:00:00"/>
    <s v="East"/>
    <s v="Bhubaneswar"/>
    <s v="Regional Hub"/>
    <s v="Standard"/>
    <s v="Capacity"/>
    <s v="Low"/>
    <n v="2"/>
    <n v="7"/>
    <n v="5"/>
    <s v="Yes"/>
    <n v="142"/>
    <n v="6570"/>
    <n v="20805"/>
    <n v="0"/>
    <s v="No"/>
    <s v="Major"/>
    <n v="4161"/>
    <n v="1314"/>
    <n v="2024"/>
    <n v="2"/>
    <n v="1"/>
  </r>
  <r>
    <s v="SHP-31513"/>
    <d v="2024-02-05T00:00:00"/>
    <s v="East"/>
    <s v="Bhubaneswar"/>
    <s v="Local Hub"/>
    <s v="Express"/>
    <s v="Documentation"/>
    <s v="Low"/>
    <n v="2"/>
    <n v="6"/>
    <n v="4"/>
    <s v="Yes"/>
    <n v="297"/>
    <n v="5900"/>
    <n v="10224"/>
    <n v="0"/>
    <s v="No"/>
    <s v="Major"/>
    <n v="2556"/>
    <n v="1475"/>
    <n v="2024"/>
    <n v="2"/>
    <n v="1"/>
  </r>
  <r>
    <s v="SHP-31514"/>
    <d v="2024-05-16T00:00:00"/>
    <s v="North"/>
    <s v="Noida"/>
    <s v="Central Hub"/>
    <s v="Standard"/>
    <s v="System"/>
    <s v="Medium"/>
    <n v="2"/>
    <n v="2"/>
    <n v="0"/>
    <s v="No"/>
    <n v="188"/>
    <n v="0"/>
    <n v="0"/>
    <n v="1"/>
    <s v="No"/>
    <s v="On Time"/>
    <n v="0"/>
    <n v="0"/>
    <n v="2024"/>
    <n v="5"/>
    <n v="0"/>
  </r>
  <r>
    <s v="SHP-31515"/>
    <d v="2024-03-15T00:00:00"/>
    <s v="North"/>
    <s v="Noida"/>
    <s v="Central Hub"/>
    <s v="Standard"/>
    <s v="Routing"/>
    <s v="High"/>
    <n v="2"/>
    <n v="7"/>
    <n v="5"/>
    <s v="Yes"/>
    <n v="366"/>
    <n v="7595"/>
    <n v="19305"/>
    <n v="0"/>
    <s v="No"/>
    <s v="Major"/>
    <n v="3861"/>
    <n v="1519"/>
    <n v="2024"/>
    <n v="3"/>
    <n v="1"/>
  </r>
  <r>
    <s v="SHP-31516"/>
    <d v="2024-12-12T00:00:00"/>
    <s v="West"/>
    <s v="Pune"/>
    <s v="Central Hub"/>
    <s v="Standard"/>
    <s v="Weather"/>
    <s v="High"/>
    <n v="2"/>
    <n v="5"/>
    <n v="3"/>
    <s v="Yes"/>
    <n v="50"/>
    <n v="7029"/>
    <n v="4698"/>
    <n v="0"/>
    <s v="No"/>
    <s v="Major"/>
    <n v="1566"/>
    <n v="2343"/>
    <n v="2024"/>
    <n v="12"/>
    <n v="1"/>
  </r>
  <r>
    <s v="SHP-31517"/>
    <d v="2024-11-24T00:00:00"/>
    <s v="South"/>
    <s v="Bengaluru"/>
    <s v="Central Hub"/>
    <s v="Express"/>
    <s v="Documentation"/>
    <s v="Low"/>
    <n v="1"/>
    <n v="2"/>
    <n v="1"/>
    <s v="Yes"/>
    <n v="101"/>
    <n v="1523"/>
    <n v="3968"/>
    <n v="0"/>
    <s v="No"/>
    <s v="Minor"/>
    <n v="3968"/>
    <n v="1523"/>
    <n v="2024"/>
    <n v="11"/>
    <n v="1"/>
  </r>
  <r>
    <s v="SHP-31518"/>
    <d v="2024-07-22T00:00:00"/>
    <s v="North"/>
    <s v="Noida"/>
    <s v="Regional Hub"/>
    <s v="Standard"/>
    <s v="Documentation"/>
    <s v="Low"/>
    <n v="3"/>
    <n v="5"/>
    <n v="2"/>
    <s v="Yes"/>
    <n v="199"/>
    <n v="2910"/>
    <n v="9956"/>
    <n v="0"/>
    <s v="No"/>
    <s v="Minor"/>
    <n v="4978"/>
    <n v="1455"/>
    <n v="2024"/>
    <n v="7"/>
    <n v="1"/>
  </r>
  <r>
    <s v="SHP-31519"/>
    <d v="2024-03-06T00:00:00"/>
    <s v="North"/>
    <s v="Delhi"/>
    <s v="Regional Hub"/>
    <s v="Standard"/>
    <s v="Capacity"/>
    <s v="High"/>
    <n v="2"/>
    <n v="6"/>
    <n v="4"/>
    <s v="Yes"/>
    <n v="166"/>
    <n v="5460"/>
    <n v="8312"/>
    <n v="0"/>
    <s v="No"/>
    <s v="Major"/>
    <n v="2078"/>
    <n v="1365"/>
    <n v="2024"/>
    <n v="3"/>
    <n v="1"/>
  </r>
  <r>
    <s v="SHP-31520"/>
    <d v="2024-10-18T00:00:00"/>
    <s v="South"/>
    <s v="Bengaluru"/>
    <s v="Regional Hub"/>
    <s v="Standard"/>
    <s v="System"/>
    <s v="Medium"/>
    <n v="3"/>
    <n v="6"/>
    <n v="3"/>
    <s v="Yes"/>
    <n v="102"/>
    <n v="4509"/>
    <n v="7245"/>
    <n v="0"/>
    <s v="No"/>
    <s v="Major"/>
    <n v="2415"/>
    <n v="1503"/>
    <n v="2024"/>
    <n v="10"/>
    <n v="1"/>
  </r>
  <r>
    <s v="SHP-31521"/>
    <d v="2024-03-13T00:00:00"/>
    <s v="East"/>
    <s v="Bhubaneswar"/>
    <s v="Regional Hub"/>
    <s v="Critical"/>
    <s v="Weather"/>
    <s v="Low"/>
    <n v="2"/>
    <n v="6"/>
    <n v="4"/>
    <s v="Yes"/>
    <n v="269"/>
    <n v="7436"/>
    <n v="15568"/>
    <n v="0"/>
    <s v="No"/>
    <s v="Major"/>
    <n v="3892"/>
    <n v="1859"/>
    <n v="2024"/>
    <n v="3"/>
    <n v="1"/>
  </r>
  <r>
    <s v="SHP-31522"/>
    <d v="2024-10-19T00:00:00"/>
    <s v="West"/>
    <s v="Pune"/>
    <s v="Central Hub"/>
    <s v="Standard"/>
    <s v="Weather"/>
    <s v="Low"/>
    <n v="2"/>
    <n v="4"/>
    <n v="2"/>
    <s v="Yes"/>
    <n v="132"/>
    <n v="3198"/>
    <n v="6912"/>
    <n v="0"/>
    <s v="No"/>
    <s v="Minor"/>
    <n v="3456"/>
    <n v="1599"/>
    <n v="2024"/>
    <n v="10"/>
    <n v="1"/>
  </r>
  <r>
    <s v="SHP-31523"/>
    <d v="2024-07-21T00:00:00"/>
    <s v="West"/>
    <s v="Mumbai"/>
    <s v="Central Hub"/>
    <s v="Express"/>
    <s v="Capacity"/>
    <s v="Low"/>
    <n v="2"/>
    <n v="3"/>
    <n v="1"/>
    <s v="Yes"/>
    <n v="151"/>
    <n v="1905"/>
    <n v="2167"/>
    <n v="0"/>
    <s v="No"/>
    <s v="Minor"/>
    <n v="2167"/>
    <n v="1905"/>
    <n v="2024"/>
    <n v="7"/>
    <n v="1"/>
  </r>
  <r>
    <s v="SHP-31524"/>
    <d v="2024-09-30T00:00:00"/>
    <s v="East"/>
    <s v="Bhubaneswar"/>
    <s v="Regional Hub"/>
    <s v="Critical"/>
    <s v="Weather"/>
    <s v="Low"/>
    <n v="2"/>
    <n v="5"/>
    <n v="3"/>
    <s v="Yes"/>
    <n v="232"/>
    <n v="4845"/>
    <n v="8028"/>
    <n v="0"/>
    <s v="No"/>
    <s v="Major"/>
    <n v="2676"/>
    <n v="1615"/>
    <n v="2024"/>
    <n v="9"/>
    <n v="1"/>
  </r>
  <r>
    <s v="SHP-31525"/>
    <d v="2024-10-12T00:00:00"/>
    <s v="South"/>
    <s v="Chennai"/>
    <s v="Central Hub"/>
    <s v="Critical"/>
    <s v="Weather"/>
    <s v="Medium"/>
    <n v="2"/>
    <n v="6"/>
    <n v="4"/>
    <s v="Yes"/>
    <n v="462"/>
    <n v="9136"/>
    <n v="15260"/>
    <n v="0"/>
    <s v="No"/>
    <s v="Major"/>
    <n v="3815"/>
    <n v="2284"/>
    <n v="2024"/>
    <n v="10"/>
    <n v="1"/>
  </r>
  <r>
    <s v="SHP-31526"/>
    <d v="2024-02-15T00:00:00"/>
    <s v="North"/>
    <s v="Noida"/>
    <s v="Regional Hub"/>
    <s v="Standard"/>
    <s v="Routing"/>
    <s v="High"/>
    <n v="2"/>
    <n v="6"/>
    <n v="4"/>
    <s v="Yes"/>
    <n v="243"/>
    <n v="3644"/>
    <n v="6704"/>
    <n v="0"/>
    <s v="No"/>
    <s v="Major"/>
    <n v="1676"/>
    <n v="911"/>
    <n v="2024"/>
    <n v="2"/>
    <n v="1"/>
  </r>
  <r>
    <s v="SHP-31527"/>
    <d v="2024-03-05T00:00:00"/>
    <s v="North"/>
    <s v="Delhi"/>
    <s v="Regional Hub"/>
    <s v="Standard"/>
    <s v="Capacity"/>
    <s v="Medium"/>
    <n v="1"/>
    <n v="4"/>
    <n v="3"/>
    <s v="Yes"/>
    <n v="278"/>
    <n v="3006"/>
    <n v="5877"/>
    <n v="0"/>
    <s v="No"/>
    <s v="Major"/>
    <n v="1959"/>
    <n v="1002"/>
    <n v="2024"/>
    <n v="3"/>
    <n v="1"/>
  </r>
  <r>
    <s v="SHP-31528"/>
    <d v="2024-03-13T00:00:00"/>
    <s v="South"/>
    <s v="Bengaluru"/>
    <s v="Local Hub"/>
    <s v="Critical"/>
    <s v="Documentation"/>
    <s v="Low"/>
    <n v="5"/>
    <n v="11"/>
    <n v="6"/>
    <s v="Yes"/>
    <n v="346"/>
    <n v="7572"/>
    <n v="13248"/>
    <n v="0"/>
    <s v="No"/>
    <s v="Severe"/>
    <n v="2208"/>
    <n v="1262"/>
    <n v="2024"/>
    <n v="3"/>
    <n v="1"/>
  </r>
  <r>
    <s v="SHP-31529"/>
    <d v="2024-06-11T00:00:00"/>
    <s v="South"/>
    <s v="Bengaluru"/>
    <s v="Central Hub"/>
    <s v="Standard"/>
    <s v="Weather"/>
    <s v="Low"/>
    <n v="3"/>
    <n v="8"/>
    <n v="5"/>
    <s v="Yes"/>
    <n v="482"/>
    <n v="5195"/>
    <n v="20280"/>
    <n v="0"/>
    <s v="No"/>
    <s v="Major"/>
    <n v="4056"/>
    <n v="1039"/>
    <n v="2024"/>
    <n v="6"/>
    <n v="1"/>
  </r>
  <r>
    <s v="SHP-31530"/>
    <d v="2024-12-07T00:00:00"/>
    <s v="North"/>
    <s v="Noida"/>
    <s v="Central Hub"/>
    <s v="Express"/>
    <s v="Routing"/>
    <s v="Low"/>
    <n v="2"/>
    <n v="2"/>
    <n v="0"/>
    <s v="No"/>
    <n v="327"/>
    <n v="0"/>
    <n v="0"/>
    <n v="1"/>
    <s v="No"/>
    <s v="On Time"/>
    <n v="0"/>
    <n v="0"/>
    <n v="2024"/>
    <n v="12"/>
    <n v="0"/>
  </r>
  <r>
    <s v="SHP-31531"/>
    <d v="2024-08-14T00:00:00"/>
    <s v="West"/>
    <s v="Pune"/>
    <s v="Central Hub"/>
    <s v="Standard"/>
    <s v="Capacity"/>
    <s v="Medium"/>
    <n v="1"/>
    <n v="5"/>
    <n v="4"/>
    <s v="Yes"/>
    <n v="77"/>
    <n v="3624"/>
    <n v="14064"/>
    <n v="0"/>
    <s v="No"/>
    <s v="Major"/>
    <n v="3516"/>
    <n v="906"/>
    <n v="2024"/>
    <n v="8"/>
    <n v="1"/>
  </r>
  <r>
    <s v="SHP-31532"/>
    <d v="2024-01-04T00:00:00"/>
    <s v="South"/>
    <s v="Bengaluru"/>
    <s v="Regional Hub"/>
    <s v="Critical"/>
    <s v="Capacity"/>
    <s v="Medium"/>
    <n v="1"/>
    <n v="6"/>
    <n v="5"/>
    <s v="Yes"/>
    <n v="426"/>
    <n v="7915"/>
    <n v="17320"/>
    <n v="0"/>
    <s v="No"/>
    <s v="Major"/>
    <n v="3464"/>
    <n v="1583"/>
    <n v="2024"/>
    <n v="1"/>
    <n v="1"/>
  </r>
  <r>
    <s v="SHP-31533"/>
    <d v="2024-11-09T00:00:00"/>
    <s v="West"/>
    <s v="Mumbai"/>
    <s v="Central Hub"/>
    <s v="Standard"/>
    <s v="Routing"/>
    <s v="Low"/>
    <n v="2"/>
    <n v="3"/>
    <n v="1"/>
    <s v="Yes"/>
    <n v="297"/>
    <n v="1484"/>
    <n v="1794"/>
    <n v="0"/>
    <s v="No"/>
    <s v="Minor"/>
    <n v="1794"/>
    <n v="1484"/>
    <n v="2024"/>
    <n v="11"/>
    <n v="1"/>
  </r>
  <r>
    <s v="SHP-31534"/>
    <d v="2024-02-15T00:00:00"/>
    <s v="East"/>
    <s v="Kolkata"/>
    <s v="Regional Hub"/>
    <s v="Standard"/>
    <s v="Documentation"/>
    <s v="High"/>
    <n v="2"/>
    <n v="9"/>
    <n v="7"/>
    <s v="Yes"/>
    <n v="125"/>
    <n v="10031"/>
    <n v="18277"/>
    <n v="0"/>
    <s v="No"/>
    <s v="Severe"/>
    <n v="2611"/>
    <n v="1433"/>
    <n v="2024"/>
    <n v="2"/>
    <n v="1"/>
  </r>
  <r>
    <s v="SHP-31535"/>
    <d v="2024-05-02T00:00:00"/>
    <s v="South"/>
    <s v="Bengaluru"/>
    <s v="Local Hub"/>
    <s v="Critical"/>
    <s v="System"/>
    <s v="High"/>
    <n v="1"/>
    <n v="5"/>
    <n v="4"/>
    <s v="Yes"/>
    <n v="343"/>
    <n v="3236"/>
    <n v="9968"/>
    <n v="0"/>
    <s v="No"/>
    <s v="Major"/>
    <n v="2492"/>
    <n v="809"/>
    <n v="2024"/>
    <n v="5"/>
    <n v="1"/>
  </r>
  <r>
    <s v="SHP-31536"/>
    <d v="2024-11-02T00:00:00"/>
    <s v="East"/>
    <s v="Kolkata"/>
    <s v="Central Hub"/>
    <s v="Standard"/>
    <s v="Capacity"/>
    <s v="High"/>
    <n v="1"/>
    <n v="7"/>
    <n v="6"/>
    <s v="Yes"/>
    <n v="279"/>
    <n v="11844"/>
    <n v="29808"/>
    <n v="0"/>
    <s v="No"/>
    <s v="Severe"/>
    <n v="4968"/>
    <n v="1974"/>
    <n v="2024"/>
    <n v="11"/>
    <n v="1"/>
  </r>
  <r>
    <s v="SHP-31537"/>
    <d v="2024-07-06T00:00:00"/>
    <s v="South"/>
    <s v="Bengaluru"/>
    <s v="Regional Hub"/>
    <s v="Standard"/>
    <s v="Routing"/>
    <s v="High"/>
    <n v="1"/>
    <n v="4"/>
    <n v="3"/>
    <s v="Yes"/>
    <n v="453"/>
    <n v="4701"/>
    <n v="14547"/>
    <n v="0"/>
    <s v="No"/>
    <s v="Major"/>
    <n v="4849"/>
    <n v="1567"/>
    <n v="2024"/>
    <n v="7"/>
    <n v="1"/>
  </r>
  <r>
    <s v="SHP-31538"/>
    <d v="2024-10-02T00:00:00"/>
    <s v="North"/>
    <s v="Delhi"/>
    <s v="Local Hub"/>
    <s v="Express"/>
    <s v="Documentation"/>
    <s v="Low"/>
    <n v="1"/>
    <n v="3"/>
    <n v="2"/>
    <s v="Yes"/>
    <n v="398"/>
    <n v="4130"/>
    <n v="4214"/>
    <n v="0"/>
    <s v="No"/>
    <s v="Minor"/>
    <n v="2107"/>
    <n v="2065"/>
    <n v="2024"/>
    <n v="10"/>
    <n v="1"/>
  </r>
  <r>
    <s v="SHP-31539"/>
    <d v="2024-02-14T00:00:00"/>
    <s v="East"/>
    <s v="Kolkata"/>
    <s v="Central Hub"/>
    <s v="Standard"/>
    <s v="Documentation"/>
    <s v="High"/>
    <n v="2"/>
    <n v="7"/>
    <n v="5"/>
    <s v="Yes"/>
    <n v="184"/>
    <n v="10445"/>
    <n v="7535"/>
    <n v="0"/>
    <s v="No"/>
    <s v="Major"/>
    <n v="1507"/>
    <n v="2089"/>
    <n v="2024"/>
    <n v="2"/>
    <n v="1"/>
  </r>
  <r>
    <s v="SHP-31540"/>
    <d v="2024-02-05T00:00:00"/>
    <s v="South"/>
    <s v="Chennai"/>
    <s v="Regional Hub"/>
    <s v="Standard"/>
    <s v="Routing"/>
    <s v="Low"/>
    <n v="1"/>
    <n v="2"/>
    <n v="1"/>
    <s v="Yes"/>
    <n v="304"/>
    <n v="1483"/>
    <n v="1563"/>
    <n v="0"/>
    <s v="No"/>
    <s v="Minor"/>
    <n v="1563"/>
    <n v="1483"/>
    <n v="2024"/>
    <n v="2"/>
    <n v="1"/>
  </r>
  <r>
    <s v="SHP-31541"/>
    <d v="2024-10-20T00:00:00"/>
    <s v="West"/>
    <s v="Mumbai"/>
    <s v="Regional Hub"/>
    <s v="Express"/>
    <s v="Weather"/>
    <s v="High"/>
    <n v="2"/>
    <n v="9"/>
    <n v="7"/>
    <s v="Yes"/>
    <n v="410"/>
    <n v="15232"/>
    <n v="20790"/>
    <n v="0"/>
    <s v="No"/>
    <s v="Severe"/>
    <n v="2970"/>
    <n v="2176"/>
    <n v="2024"/>
    <n v="10"/>
    <n v="1"/>
  </r>
  <r>
    <s v="SHP-31542"/>
    <d v="2024-07-03T00:00:00"/>
    <s v="West"/>
    <s v="Mumbai"/>
    <s v="Regional Hub"/>
    <s v="Standard"/>
    <s v="Routing"/>
    <s v="Low"/>
    <n v="5"/>
    <n v="5"/>
    <n v="0"/>
    <s v="No"/>
    <n v="330"/>
    <n v="0"/>
    <n v="0"/>
    <n v="1"/>
    <s v="No"/>
    <s v="On Time"/>
    <n v="0"/>
    <n v="0"/>
    <n v="2024"/>
    <n v="7"/>
    <n v="0"/>
  </r>
  <r>
    <s v="SHP-31543"/>
    <d v="2024-08-08T00:00:00"/>
    <s v="North"/>
    <s v="Noida"/>
    <s v="Regional Hub"/>
    <s v="Standard"/>
    <s v="System"/>
    <s v="Low"/>
    <n v="3"/>
    <n v="5"/>
    <n v="2"/>
    <s v="Yes"/>
    <n v="387"/>
    <n v="4368"/>
    <n v="5106"/>
    <n v="0"/>
    <s v="No"/>
    <s v="Minor"/>
    <n v="2553"/>
    <n v="2184"/>
    <n v="2024"/>
    <n v="8"/>
    <n v="1"/>
  </r>
  <r>
    <s v="SHP-31544"/>
    <d v="2024-03-25T00:00:00"/>
    <s v="West"/>
    <s v="Mumbai"/>
    <s v="Central Hub"/>
    <s v="Standard"/>
    <s v="Capacity"/>
    <s v="Low"/>
    <n v="2"/>
    <n v="2"/>
    <n v="0"/>
    <s v="No"/>
    <n v="239"/>
    <n v="0"/>
    <n v="0"/>
    <n v="1"/>
    <s v="No"/>
    <s v="On Time"/>
    <n v="0"/>
    <n v="0"/>
    <n v="2024"/>
    <n v="3"/>
    <n v="0"/>
  </r>
  <r>
    <s v="SHP-31545"/>
    <d v="2024-10-07T00:00:00"/>
    <s v="West"/>
    <s v="Pune"/>
    <s v="Central Hub"/>
    <s v="Standard"/>
    <s v="Capacity"/>
    <s v="Low"/>
    <n v="2"/>
    <n v="6"/>
    <n v="4"/>
    <s v="Yes"/>
    <n v="328"/>
    <n v="3928"/>
    <n v="17040"/>
    <n v="0"/>
    <s v="No"/>
    <s v="Major"/>
    <n v="4260"/>
    <n v="982"/>
    <n v="2024"/>
    <n v="10"/>
    <n v="1"/>
  </r>
  <r>
    <s v="SHP-31546"/>
    <d v="2024-09-16T00:00:00"/>
    <s v="North"/>
    <s v="Noida"/>
    <s v="Central Hub"/>
    <s v="Express"/>
    <s v="System"/>
    <s v="Low"/>
    <n v="2"/>
    <n v="4"/>
    <n v="2"/>
    <s v="Yes"/>
    <n v="220"/>
    <n v="2464"/>
    <n v="9674"/>
    <n v="0"/>
    <s v="No"/>
    <s v="Minor"/>
    <n v="4837"/>
    <n v="1232"/>
    <n v="2024"/>
    <n v="9"/>
    <n v="1"/>
  </r>
  <r>
    <s v="SHP-31547"/>
    <d v="2024-08-04T00:00:00"/>
    <s v="South"/>
    <s v="Bengaluru"/>
    <s v="Local Hub"/>
    <s v="Standard"/>
    <s v="System"/>
    <s v="Low"/>
    <n v="2"/>
    <n v="2"/>
    <n v="0"/>
    <s v="No"/>
    <n v="426"/>
    <n v="0"/>
    <n v="0"/>
    <n v="1"/>
    <s v="No"/>
    <s v="On Time"/>
    <n v="0"/>
    <n v="0"/>
    <n v="2024"/>
    <n v="8"/>
    <n v="0"/>
  </r>
  <r>
    <s v="SHP-31548"/>
    <d v="2024-12-12T00:00:00"/>
    <s v="South"/>
    <s v="Bengaluru"/>
    <s v="Central Hub"/>
    <s v="Critical"/>
    <s v="Routing"/>
    <s v="Medium"/>
    <n v="1"/>
    <n v="7"/>
    <n v="6"/>
    <s v="Yes"/>
    <n v="447"/>
    <n v="5658"/>
    <n v="25314"/>
    <n v="0"/>
    <s v="No"/>
    <s v="Severe"/>
    <n v="4219"/>
    <n v="943"/>
    <n v="2024"/>
    <n v="12"/>
    <n v="1"/>
  </r>
  <r>
    <s v="SHP-31549"/>
    <d v="2024-06-25T00:00:00"/>
    <s v="West"/>
    <s v="Pune"/>
    <s v="Local Hub"/>
    <s v="Standard"/>
    <s v="Weather"/>
    <s v="Low"/>
    <n v="2"/>
    <n v="7"/>
    <n v="5"/>
    <s v="Yes"/>
    <n v="165"/>
    <n v="6460"/>
    <n v="13570"/>
    <n v="0"/>
    <s v="No"/>
    <s v="Major"/>
    <n v="2714"/>
    <n v="1292"/>
    <n v="2024"/>
    <n v="6"/>
    <n v="1"/>
  </r>
  <r>
    <s v="SHP-31550"/>
    <d v="2024-10-10T00:00:00"/>
    <s v="West"/>
    <s v="Mumbai"/>
    <s v="Local Hub"/>
    <s v="Standard"/>
    <s v="Capacity"/>
    <s v="Medium"/>
    <n v="1"/>
    <n v="2"/>
    <n v="1"/>
    <s v="Yes"/>
    <n v="183"/>
    <n v="1948"/>
    <n v="2631"/>
    <n v="0"/>
    <s v="No"/>
    <s v="Minor"/>
    <n v="2631"/>
    <n v="1948"/>
    <n v="2024"/>
    <n v="10"/>
    <n v="1"/>
  </r>
  <r>
    <s v="SHP-31551"/>
    <d v="2024-04-25T00:00:00"/>
    <s v="West"/>
    <s v="Pune"/>
    <s v="Local Hub"/>
    <s v="Critical"/>
    <s v="Weather"/>
    <s v="Medium"/>
    <n v="3"/>
    <n v="7"/>
    <n v="4"/>
    <s v="Yes"/>
    <n v="218"/>
    <n v="9712"/>
    <n v="6320"/>
    <n v="0"/>
    <s v="No"/>
    <s v="Major"/>
    <n v="1580"/>
    <n v="2428"/>
    <n v="2024"/>
    <n v="4"/>
    <n v="1"/>
  </r>
  <r>
    <s v="SHP-31552"/>
    <d v="2024-07-21T00:00:00"/>
    <s v="South"/>
    <s v="Chennai"/>
    <s v="Central Hub"/>
    <s v="Express"/>
    <s v="Capacity"/>
    <s v="Low"/>
    <n v="2"/>
    <n v="3"/>
    <n v="1"/>
    <s v="Yes"/>
    <n v="223"/>
    <n v="1633"/>
    <n v="1517"/>
    <n v="0"/>
    <s v="No"/>
    <s v="Minor"/>
    <n v="1517"/>
    <n v="1633"/>
    <n v="2024"/>
    <n v="7"/>
    <n v="1"/>
  </r>
  <r>
    <s v="SHP-31553"/>
    <d v="2024-10-04T00:00:00"/>
    <s v="West"/>
    <s v="Mumbai"/>
    <s v="Regional Hub"/>
    <s v="Standard"/>
    <s v="Weather"/>
    <s v="High"/>
    <n v="3"/>
    <n v="10"/>
    <n v="7"/>
    <s v="Yes"/>
    <n v="87"/>
    <n v="15162"/>
    <n v="28462"/>
    <n v="0"/>
    <s v="No"/>
    <s v="Severe"/>
    <n v="4066"/>
    <n v="2166"/>
    <n v="2024"/>
    <n v="10"/>
    <n v="1"/>
  </r>
  <r>
    <s v="SHP-31554"/>
    <d v="2024-09-13T00:00:00"/>
    <s v="North"/>
    <s v="Noida"/>
    <s v="Central Hub"/>
    <s v="Express"/>
    <s v="Routing"/>
    <s v="Low"/>
    <n v="3"/>
    <n v="6"/>
    <n v="3"/>
    <s v="Yes"/>
    <n v="241"/>
    <n v="3822"/>
    <n v="10797"/>
    <n v="0"/>
    <s v="No"/>
    <s v="Major"/>
    <n v="3599"/>
    <n v="1274"/>
    <n v="2024"/>
    <n v="9"/>
    <n v="1"/>
  </r>
  <r>
    <s v="SHP-31555"/>
    <d v="2024-04-11T00:00:00"/>
    <s v="South"/>
    <s v="Bengaluru"/>
    <s v="Local Hub"/>
    <s v="Express"/>
    <s v="Weather"/>
    <s v="High"/>
    <n v="2"/>
    <n v="6"/>
    <n v="4"/>
    <s v="Yes"/>
    <n v="193"/>
    <n v="6060"/>
    <n v="11036"/>
    <n v="0"/>
    <s v="No"/>
    <s v="Major"/>
    <n v="2759"/>
    <n v="1515"/>
    <n v="2024"/>
    <n v="4"/>
    <n v="1"/>
  </r>
  <r>
    <s v="SHP-31556"/>
    <d v="2024-10-07T00:00:00"/>
    <s v="East"/>
    <s v="Bhubaneswar"/>
    <s v="Regional Hub"/>
    <s v="Standard"/>
    <s v="Capacity"/>
    <s v="High"/>
    <n v="2"/>
    <n v="9"/>
    <n v="7"/>
    <s v="Yes"/>
    <n v="286"/>
    <n v="17199"/>
    <n v="16597"/>
    <n v="0"/>
    <s v="No"/>
    <s v="Severe"/>
    <n v="2371"/>
    <n v="2457"/>
    <n v="2024"/>
    <n v="10"/>
    <n v="1"/>
  </r>
  <r>
    <s v="SHP-31557"/>
    <d v="2024-07-17T00:00:00"/>
    <s v="East"/>
    <s v="Kolkata"/>
    <s v="Regional Hub"/>
    <s v="Express"/>
    <s v="Routing"/>
    <s v="Low"/>
    <n v="3"/>
    <n v="6"/>
    <n v="3"/>
    <s v="Yes"/>
    <n v="131"/>
    <n v="5727"/>
    <n v="6963"/>
    <n v="0"/>
    <s v="No"/>
    <s v="Major"/>
    <n v="2321"/>
    <n v="1909"/>
    <n v="2024"/>
    <n v="7"/>
    <n v="1"/>
  </r>
  <r>
    <s v="SHP-31558"/>
    <d v="2024-07-23T00:00:00"/>
    <s v="North"/>
    <s v="Noida"/>
    <s v="Central Hub"/>
    <s v="Standard"/>
    <s v="Documentation"/>
    <s v="Low"/>
    <n v="1"/>
    <n v="3"/>
    <n v="2"/>
    <s v="Yes"/>
    <n v="182"/>
    <n v="4360"/>
    <n v="5434"/>
    <n v="0"/>
    <s v="No"/>
    <s v="Minor"/>
    <n v="2717"/>
    <n v="2180"/>
    <n v="2024"/>
    <n v="7"/>
    <n v="1"/>
  </r>
  <r>
    <s v="SHP-31559"/>
    <d v="2024-08-19T00:00:00"/>
    <s v="West"/>
    <s v="Pune"/>
    <s v="Regional Hub"/>
    <s v="Standard"/>
    <s v="Documentation"/>
    <s v="Low"/>
    <n v="3"/>
    <n v="8"/>
    <n v="5"/>
    <s v="Yes"/>
    <n v="230"/>
    <n v="11670"/>
    <n v="23020"/>
    <n v="0"/>
    <s v="No"/>
    <s v="Major"/>
    <n v="4604"/>
    <n v="2334"/>
    <n v="2024"/>
    <n v="8"/>
    <n v="1"/>
  </r>
  <r>
    <s v="SHP-31560"/>
    <d v="2024-05-21T00:00:00"/>
    <s v="West"/>
    <s v="Mumbai"/>
    <s v="Central Hub"/>
    <s v="Express"/>
    <s v="Capacity"/>
    <s v="Medium"/>
    <n v="3"/>
    <n v="3"/>
    <n v="0"/>
    <s v="No"/>
    <n v="171"/>
    <n v="0"/>
    <n v="0"/>
    <n v="1"/>
    <s v="No"/>
    <s v="On Time"/>
    <n v="0"/>
    <n v="0"/>
    <n v="2024"/>
    <n v="5"/>
    <n v="0"/>
  </r>
  <r>
    <s v="SHP-31561"/>
    <d v="2024-04-25T00:00:00"/>
    <s v="East"/>
    <s v="Kolkata"/>
    <s v="Local Hub"/>
    <s v="Express"/>
    <s v="Capacity"/>
    <s v="Low"/>
    <n v="1"/>
    <n v="6"/>
    <n v="5"/>
    <s v="Yes"/>
    <n v="256"/>
    <n v="9565"/>
    <n v="8660"/>
    <n v="0"/>
    <s v="No"/>
    <s v="Major"/>
    <n v="1732"/>
    <n v="1913"/>
    <n v="2024"/>
    <n v="4"/>
    <n v="1"/>
  </r>
  <r>
    <s v="SHP-31562"/>
    <d v="2024-09-30T00:00:00"/>
    <s v="East"/>
    <s v="Kolkata"/>
    <s v="Regional Hub"/>
    <s v="Standard"/>
    <s v="Capacity"/>
    <s v="Low"/>
    <n v="1"/>
    <n v="1"/>
    <n v="0"/>
    <s v="No"/>
    <n v="426"/>
    <n v="0"/>
    <n v="0"/>
    <n v="1"/>
    <s v="No"/>
    <s v="On Time"/>
    <n v="0"/>
    <n v="0"/>
    <n v="2024"/>
    <n v="9"/>
    <n v="0"/>
  </r>
  <r>
    <s v="SHP-31563"/>
    <d v="2024-03-17T00:00:00"/>
    <s v="North"/>
    <s v="Noida"/>
    <s v="Central Hub"/>
    <s v="Express"/>
    <s v="Weather"/>
    <s v="Low"/>
    <n v="2"/>
    <n v="4"/>
    <n v="2"/>
    <s v="Yes"/>
    <n v="76"/>
    <n v="4576"/>
    <n v="5864"/>
    <n v="0"/>
    <s v="No"/>
    <s v="Minor"/>
    <n v="2932"/>
    <n v="2288"/>
    <n v="2024"/>
    <n v="3"/>
    <n v="1"/>
  </r>
  <r>
    <s v="SHP-31564"/>
    <d v="2024-12-25T00:00:00"/>
    <s v="West"/>
    <s v="Mumbai"/>
    <s v="Local Hub"/>
    <s v="Standard"/>
    <s v="Weather"/>
    <s v="Low"/>
    <n v="1"/>
    <n v="6"/>
    <n v="5"/>
    <s v="Yes"/>
    <n v="212"/>
    <n v="4180"/>
    <n v="23700"/>
    <n v="0"/>
    <s v="No"/>
    <s v="Major"/>
    <n v="4740"/>
    <n v="836"/>
    <n v="2024"/>
    <n v="12"/>
    <n v="1"/>
  </r>
  <r>
    <s v="SHP-31565"/>
    <d v="2024-01-23T00:00:00"/>
    <s v="East"/>
    <s v="Bhubaneswar"/>
    <s v="Regional Hub"/>
    <s v="Standard"/>
    <s v="System"/>
    <s v="Low"/>
    <n v="1"/>
    <n v="1"/>
    <n v="0"/>
    <s v="No"/>
    <n v="466"/>
    <n v="0"/>
    <n v="0"/>
    <n v="1"/>
    <s v="No"/>
    <s v="On Time"/>
    <n v="0"/>
    <n v="0"/>
    <n v="2024"/>
    <n v="1"/>
    <n v="0"/>
  </r>
  <r>
    <s v="SHP-31566"/>
    <d v="2024-05-22T00:00:00"/>
    <s v="West"/>
    <s v="Mumbai"/>
    <s v="Regional Hub"/>
    <s v="Standard"/>
    <s v="Capacity"/>
    <s v="Low"/>
    <n v="2"/>
    <n v="3"/>
    <n v="1"/>
    <s v="Yes"/>
    <n v="56"/>
    <n v="1278"/>
    <n v="2565"/>
    <n v="0"/>
    <s v="No"/>
    <s v="Minor"/>
    <n v="2565"/>
    <n v="1278"/>
    <n v="2024"/>
    <n v="5"/>
    <n v="1"/>
  </r>
  <r>
    <s v="SHP-31567"/>
    <d v="2024-04-28T00:00:00"/>
    <s v="North"/>
    <s v="Noida"/>
    <s v="Local Hub"/>
    <s v="Standard"/>
    <s v="Routing"/>
    <s v="Medium"/>
    <n v="3"/>
    <n v="8"/>
    <n v="5"/>
    <s v="Yes"/>
    <n v="380"/>
    <n v="11625"/>
    <n v="15285"/>
    <n v="0"/>
    <s v="No"/>
    <s v="Major"/>
    <n v="3057"/>
    <n v="2325"/>
    <n v="2024"/>
    <n v="4"/>
    <n v="1"/>
  </r>
  <r>
    <s v="SHP-31568"/>
    <d v="2024-02-21T00:00:00"/>
    <s v="South"/>
    <s v="Chennai"/>
    <s v="Regional Hub"/>
    <s v="Critical"/>
    <s v="Capacity"/>
    <s v="Medium"/>
    <n v="1"/>
    <n v="3"/>
    <n v="2"/>
    <s v="Yes"/>
    <n v="477"/>
    <n v="4226"/>
    <n v="4844"/>
    <n v="0"/>
    <s v="No"/>
    <s v="Minor"/>
    <n v="2422"/>
    <n v="2113"/>
    <n v="2024"/>
    <n v="2"/>
    <n v="1"/>
  </r>
  <r>
    <s v="SHP-31569"/>
    <d v="2024-12-03T00:00:00"/>
    <s v="South"/>
    <s v="Chennai"/>
    <s v="Regional Hub"/>
    <s v="Standard"/>
    <s v="System"/>
    <s v="Medium"/>
    <n v="3"/>
    <n v="7"/>
    <n v="4"/>
    <s v="Yes"/>
    <n v="239"/>
    <n v="7036"/>
    <n v="15152"/>
    <n v="0"/>
    <s v="No"/>
    <s v="Major"/>
    <n v="3788"/>
    <n v="1759"/>
    <n v="2024"/>
    <n v="12"/>
    <n v="1"/>
  </r>
  <r>
    <s v="SHP-31570"/>
    <d v="2024-06-15T00:00:00"/>
    <s v="East"/>
    <s v="Kolkata"/>
    <s v="Central Hub"/>
    <s v="Standard"/>
    <s v="Capacity"/>
    <s v="Low"/>
    <n v="2"/>
    <n v="2"/>
    <n v="0"/>
    <s v="No"/>
    <n v="118"/>
    <n v="0"/>
    <n v="0"/>
    <n v="1"/>
    <s v="No"/>
    <s v="On Time"/>
    <n v="0"/>
    <n v="0"/>
    <n v="2024"/>
    <n v="6"/>
    <n v="0"/>
  </r>
  <r>
    <s v="SHP-31571"/>
    <d v="2024-09-02T00:00:00"/>
    <s v="North"/>
    <s v="Noida"/>
    <s v="Central Hub"/>
    <s v="Standard"/>
    <s v="Weather"/>
    <s v="Medium"/>
    <n v="2"/>
    <n v="7"/>
    <n v="5"/>
    <s v="Yes"/>
    <n v="81"/>
    <n v="4990"/>
    <n v="7765"/>
    <n v="0"/>
    <s v="No"/>
    <s v="Major"/>
    <n v="1553"/>
    <n v="998"/>
    <n v="2024"/>
    <n v="9"/>
    <n v="1"/>
  </r>
  <r>
    <s v="SHP-31572"/>
    <d v="2024-10-18T00:00:00"/>
    <s v="West"/>
    <s v="Mumbai"/>
    <s v="Local Hub"/>
    <s v="Express"/>
    <s v="Weather"/>
    <s v="Low"/>
    <n v="1"/>
    <n v="5"/>
    <n v="4"/>
    <s v="Yes"/>
    <n v="194"/>
    <n v="9416"/>
    <n v="16160"/>
    <n v="0"/>
    <s v="No"/>
    <s v="Major"/>
    <n v="4040"/>
    <n v="2354"/>
    <n v="2024"/>
    <n v="10"/>
    <n v="1"/>
  </r>
  <r>
    <s v="SHP-31573"/>
    <d v="2024-11-13T00:00:00"/>
    <s v="East"/>
    <s v="Bhubaneswar"/>
    <s v="Central Hub"/>
    <s v="Standard"/>
    <s v="Routing"/>
    <s v="Low"/>
    <n v="2"/>
    <n v="7"/>
    <n v="5"/>
    <s v="Yes"/>
    <n v="409"/>
    <n v="5975"/>
    <n v="19210"/>
    <n v="0"/>
    <s v="No"/>
    <s v="Major"/>
    <n v="3842"/>
    <n v="1195"/>
    <n v="2024"/>
    <n v="11"/>
    <n v="1"/>
  </r>
  <r>
    <s v="SHP-31574"/>
    <d v="2024-03-21T00:00:00"/>
    <s v="North"/>
    <s v="Noida"/>
    <s v="Local Hub"/>
    <s v="Express"/>
    <s v="Capacity"/>
    <s v="Low"/>
    <n v="1"/>
    <n v="1"/>
    <n v="0"/>
    <s v="No"/>
    <n v="55"/>
    <n v="0"/>
    <n v="0"/>
    <n v="1"/>
    <s v="No"/>
    <s v="On Time"/>
    <n v="0"/>
    <n v="0"/>
    <n v="2024"/>
    <n v="3"/>
    <n v="0"/>
  </r>
  <r>
    <s v="SHP-31575"/>
    <d v="2024-11-07T00:00:00"/>
    <s v="East"/>
    <s v="Kolkata"/>
    <s v="Local Hub"/>
    <s v="Standard"/>
    <s v="Weather"/>
    <s v="Medium"/>
    <n v="1"/>
    <n v="3"/>
    <n v="2"/>
    <s v="Yes"/>
    <n v="435"/>
    <n v="2500"/>
    <n v="9584"/>
    <n v="0"/>
    <s v="No"/>
    <s v="Minor"/>
    <n v="4792"/>
    <n v="1250"/>
    <n v="2024"/>
    <n v="11"/>
    <n v="1"/>
  </r>
  <r>
    <s v="SHP-31576"/>
    <d v="2024-06-29T00:00:00"/>
    <s v="East"/>
    <s v="Bhubaneswar"/>
    <s v="Regional Hub"/>
    <s v="Express"/>
    <s v="Documentation"/>
    <s v="Low"/>
    <n v="1"/>
    <n v="2"/>
    <n v="1"/>
    <s v="Yes"/>
    <n v="264"/>
    <n v="966"/>
    <n v="3801"/>
    <n v="0"/>
    <s v="No"/>
    <s v="Minor"/>
    <n v="3801"/>
    <n v="966"/>
    <n v="2024"/>
    <n v="6"/>
    <n v="1"/>
  </r>
  <r>
    <s v="SHP-31577"/>
    <d v="2024-06-18T00:00:00"/>
    <s v="East"/>
    <s v="Kolkata"/>
    <s v="Local Hub"/>
    <s v="Express"/>
    <s v="Documentation"/>
    <s v="Low"/>
    <n v="1"/>
    <n v="5"/>
    <n v="4"/>
    <s v="Yes"/>
    <n v="343"/>
    <n v="7180"/>
    <n v="7144"/>
    <n v="0"/>
    <s v="No"/>
    <s v="Major"/>
    <n v="1786"/>
    <n v="1795"/>
    <n v="2024"/>
    <n v="6"/>
    <n v="1"/>
  </r>
  <r>
    <s v="SHP-31578"/>
    <d v="2024-11-09T00:00:00"/>
    <s v="West"/>
    <s v="Mumbai"/>
    <s v="Central Hub"/>
    <s v="Standard"/>
    <s v="System"/>
    <s v="Low"/>
    <n v="2"/>
    <n v="7"/>
    <n v="5"/>
    <s v="Yes"/>
    <n v="257"/>
    <n v="6880"/>
    <n v="12830"/>
    <n v="0"/>
    <s v="No"/>
    <s v="Major"/>
    <n v="2566"/>
    <n v="1376"/>
    <n v="2024"/>
    <n v="11"/>
    <n v="1"/>
  </r>
  <r>
    <s v="SHP-31579"/>
    <d v="2024-04-05T00:00:00"/>
    <s v="West"/>
    <s v="Pune"/>
    <s v="Central Hub"/>
    <s v="Standard"/>
    <s v="Routing"/>
    <s v="Medium"/>
    <n v="1"/>
    <n v="4"/>
    <n v="3"/>
    <s v="Yes"/>
    <n v="120"/>
    <n v="3201"/>
    <n v="7992"/>
    <n v="0"/>
    <s v="No"/>
    <s v="Major"/>
    <n v="2664"/>
    <n v="1067"/>
    <n v="2024"/>
    <n v="4"/>
    <n v="1"/>
  </r>
  <r>
    <s v="SHP-31580"/>
    <d v="2024-05-23T00:00:00"/>
    <s v="East"/>
    <s v="Kolkata"/>
    <s v="Regional Hub"/>
    <s v="Standard"/>
    <s v="Routing"/>
    <s v="Medium"/>
    <n v="1"/>
    <n v="4"/>
    <n v="3"/>
    <s v="Yes"/>
    <n v="176"/>
    <n v="6831"/>
    <n v="7686"/>
    <n v="0"/>
    <s v="No"/>
    <s v="Major"/>
    <n v="2562"/>
    <n v="2277"/>
    <n v="2024"/>
    <n v="5"/>
    <n v="1"/>
  </r>
  <r>
    <s v="SHP-31581"/>
    <d v="2024-12-21T00:00:00"/>
    <s v="West"/>
    <s v="Pune"/>
    <s v="Local Hub"/>
    <s v="Express"/>
    <s v="System"/>
    <s v="Medium"/>
    <n v="1"/>
    <n v="1"/>
    <n v="0"/>
    <s v="No"/>
    <n v="82"/>
    <n v="0"/>
    <n v="0"/>
    <n v="1"/>
    <s v="No"/>
    <s v="On Time"/>
    <n v="0"/>
    <n v="0"/>
    <n v="2024"/>
    <n v="12"/>
    <n v="0"/>
  </r>
  <r>
    <s v="SHP-31582"/>
    <d v="2024-01-07T00:00:00"/>
    <s v="East"/>
    <s v="Kolkata"/>
    <s v="Regional Hub"/>
    <s v="Express"/>
    <s v="Routing"/>
    <s v="Low"/>
    <n v="2"/>
    <n v="3"/>
    <n v="1"/>
    <s v="Yes"/>
    <n v="216"/>
    <n v="838"/>
    <n v="2321"/>
    <n v="0"/>
    <s v="No"/>
    <s v="Minor"/>
    <n v="2321"/>
    <n v="838"/>
    <n v="2024"/>
    <n v="1"/>
    <n v="1"/>
  </r>
  <r>
    <s v="SHP-31583"/>
    <d v="2024-06-29T00:00:00"/>
    <s v="North"/>
    <s v="Noida"/>
    <s v="Local Hub"/>
    <s v="Standard"/>
    <s v="Capacity"/>
    <s v="High"/>
    <n v="3"/>
    <n v="6"/>
    <n v="3"/>
    <s v="Yes"/>
    <n v="272"/>
    <n v="4923"/>
    <n v="11829"/>
    <n v="0"/>
    <s v="No"/>
    <s v="Major"/>
    <n v="3943"/>
    <n v="1641"/>
    <n v="2024"/>
    <n v="6"/>
    <n v="1"/>
  </r>
  <r>
    <s v="SHP-31584"/>
    <d v="2024-08-27T00:00:00"/>
    <s v="East"/>
    <s v="Kolkata"/>
    <s v="Regional Hub"/>
    <s v="Standard"/>
    <s v="System"/>
    <s v="Medium"/>
    <n v="1"/>
    <n v="5"/>
    <n v="4"/>
    <s v="Yes"/>
    <n v="430"/>
    <n v="4208"/>
    <n v="10928"/>
    <n v="0"/>
    <s v="No"/>
    <s v="Major"/>
    <n v="2732"/>
    <n v="1052"/>
    <n v="2024"/>
    <n v="8"/>
    <n v="1"/>
  </r>
  <r>
    <s v="SHP-31585"/>
    <d v="2024-07-14T00:00:00"/>
    <s v="North"/>
    <s v="Noida"/>
    <s v="Local Hub"/>
    <s v="Express"/>
    <s v="Capacity"/>
    <s v="Low"/>
    <n v="1"/>
    <n v="3"/>
    <n v="2"/>
    <s v="Yes"/>
    <n v="168"/>
    <n v="4564"/>
    <n v="8940"/>
    <n v="0"/>
    <s v="No"/>
    <s v="Minor"/>
    <n v="4470"/>
    <n v="2282"/>
    <n v="2024"/>
    <n v="7"/>
    <n v="1"/>
  </r>
  <r>
    <s v="SHP-31586"/>
    <d v="2024-11-24T00:00:00"/>
    <s v="East"/>
    <s v="Bhubaneswar"/>
    <s v="Local Hub"/>
    <s v="Standard"/>
    <s v="Capacity"/>
    <s v="Low"/>
    <n v="2"/>
    <n v="7"/>
    <n v="5"/>
    <s v="Yes"/>
    <n v="162"/>
    <n v="5935"/>
    <n v="18050"/>
    <n v="0"/>
    <s v="No"/>
    <s v="Major"/>
    <n v="3610"/>
    <n v="1187"/>
    <n v="2024"/>
    <n v="11"/>
    <n v="1"/>
  </r>
  <r>
    <s v="SHP-31587"/>
    <d v="2024-08-28T00:00:00"/>
    <s v="North"/>
    <s v="Noida"/>
    <s v="Regional Hub"/>
    <s v="Standard"/>
    <s v="Weather"/>
    <s v="High"/>
    <n v="3"/>
    <n v="10"/>
    <n v="7"/>
    <s v="Yes"/>
    <n v="433"/>
    <n v="6727"/>
    <n v="34286"/>
    <n v="0"/>
    <s v="No"/>
    <s v="Severe"/>
    <n v="4898"/>
    <n v="961"/>
    <n v="2024"/>
    <n v="8"/>
    <n v="1"/>
  </r>
  <r>
    <s v="SHP-31588"/>
    <d v="2024-09-11T00:00:00"/>
    <s v="North"/>
    <s v="Noida"/>
    <s v="Regional Hub"/>
    <s v="Standard"/>
    <s v="Routing"/>
    <s v="Medium"/>
    <n v="2"/>
    <n v="6"/>
    <n v="4"/>
    <s v="Yes"/>
    <n v="417"/>
    <n v="7280"/>
    <n v="15132"/>
    <n v="0"/>
    <s v="No"/>
    <s v="Major"/>
    <n v="3783"/>
    <n v="1820"/>
    <n v="2024"/>
    <n v="9"/>
    <n v="1"/>
  </r>
  <r>
    <s v="SHP-31589"/>
    <d v="2024-09-20T00:00:00"/>
    <s v="North"/>
    <s v="Noida"/>
    <s v="Regional Hub"/>
    <s v="Critical"/>
    <s v="Weather"/>
    <s v="Medium"/>
    <n v="3"/>
    <n v="5"/>
    <n v="2"/>
    <s v="Yes"/>
    <n v="93"/>
    <n v="2446"/>
    <n v="8768"/>
    <n v="0"/>
    <s v="No"/>
    <s v="Minor"/>
    <n v="4384"/>
    <n v="1223"/>
    <n v="2024"/>
    <n v="9"/>
    <n v="1"/>
  </r>
  <r>
    <s v="SHP-31590"/>
    <d v="2024-08-09T00:00:00"/>
    <s v="South"/>
    <s v="Chennai"/>
    <s v="Regional Hub"/>
    <s v="Standard"/>
    <s v="Documentation"/>
    <s v="High"/>
    <n v="1"/>
    <n v="8"/>
    <n v="7"/>
    <s v="Yes"/>
    <n v="68"/>
    <n v="13727"/>
    <n v="23870"/>
    <n v="0"/>
    <s v="No"/>
    <s v="Severe"/>
    <n v="3410"/>
    <n v="1961"/>
    <n v="2024"/>
    <n v="8"/>
    <n v="1"/>
  </r>
  <r>
    <s v="SHP-31591"/>
    <d v="2024-01-18T00:00:00"/>
    <s v="West"/>
    <s v="Mumbai"/>
    <s v="Local Hub"/>
    <s v="Express"/>
    <s v="Capacity"/>
    <s v="Low"/>
    <n v="2"/>
    <n v="3"/>
    <n v="1"/>
    <s v="Yes"/>
    <n v="60"/>
    <n v="2311"/>
    <n v="4607"/>
    <n v="0"/>
    <s v="No"/>
    <s v="Minor"/>
    <n v="4607"/>
    <n v="2311"/>
    <n v="2024"/>
    <n v="1"/>
    <n v="1"/>
  </r>
  <r>
    <s v="SHP-31592"/>
    <d v="2024-08-20T00:00:00"/>
    <s v="North"/>
    <s v="Delhi"/>
    <s v="Local Hub"/>
    <s v="Express"/>
    <s v="System"/>
    <s v="Low"/>
    <n v="2"/>
    <n v="4"/>
    <n v="2"/>
    <s v="Yes"/>
    <n v="311"/>
    <n v="2052"/>
    <n v="8642"/>
    <n v="0"/>
    <s v="No"/>
    <s v="Minor"/>
    <n v="4321"/>
    <n v="1026"/>
    <n v="2024"/>
    <n v="8"/>
    <n v="1"/>
  </r>
  <r>
    <s v="SHP-31593"/>
    <d v="2024-05-04T00:00:00"/>
    <s v="South"/>
    <s v="Bengaluru"/>
    <s v="Local Hub"/>
    <s v="Express"/>
    <s v="Weather"/>
    <s v="Low"/>
    <n v="3"/>
    <n v="3"/>
    <n v="0"/>
    <s v="No"/>
    <n v="414"/>
    <n v="0"/>
    <n v="0"/>
    <n v="1"/>
    <s v="No"/>
    <s v="On Time"/>
    <n v="0"/>
    <n v="0"/>
    <n v="2024"/>
    <n v="5"/>
    <n v="0"/>
  </r>
  <r>
    <s v="SHP-31594"/>
    <d v="2024-12-24T00:00:00"/>
    <s v="South"/>
    <s v="Chennai"/>
    <s v="Regional Hub"/>
    <s v="Express"/>
    <s v="Capacity"/>
    <s v="Medium"/>
    <n v="3"/>
    <n v="4"/>
    <n v="1"/>
    <s v="Yes"/>
    <n v="210"/>
    <n v="1576"/>
    <n v="4505"/>
    <n v="0"/>
    <s v="No"/>
    <s v="Minor"/>
    <n v="4505"/>
    <n v="1576"/>
    <n v="2024"/>
    <n v="12"/>
    <n v="1"/>
  </r>
  <r>
    <s v="SHP-31595"/>
    <d v="2024-04-26T00:00:00"/>
    <s v="South"/>
    <s v="Bengaluru"/>
    <s v="Regional Hub"/>
    <s v="Standard"/>
    <s v="Capacity"/>
    <s v="Medium"/>
    <n v="1"/>
    <n v="6"/>
    <n v="5"/>
    <s v="Yes"/>
    <n v="335"/>
    <n v="8805"/>
    <n v="15840"/>
    <n v="0"/>
    <s v="No"/>
    <s v="Major"/>
    <n v="3168"/>
    <n v="1761"/>
    <n v="2024"/>
    <n v="4"/>
    <n v="1"/>
  </r>
  <r>
    <s v="SHP-31596"/>
    <d v="2024-10-03T00:00:00"/>
    <s v="North"/>
    <s v="Delhi"/>
    <s v="Central Hub"/>
    <s v="Standard"/>
    <s v="Capacity"/>
    <s v="Low"/>
    <n v="3"/>
    <n v="8"/>
    <n v="5"/>
    <s v="Yes"/>
    <n v="232"/>
    <n v="5260"/>
    <n v="14180"/>
    <n v="0"/>
    <s v="No"/>
    <s v="Major"/>
    <n v="2836"/>
    <n v="1052"/>
    <n v="2024"/>
    <n v="10"/>
    <n v="1"/>
  </r>
  <r>
    <s v="SHP-31597"/>
    <d v="2024-06-22T00:00:00"/>
    <s v="North"/>
    <s v="Noida"/>
    <s v="Central Hub"/>
    <s v="Express"/>
    <s v="Weather"/>
    <s v="Low"/>
    <n v="2"/>
    <n v="7"/>
    <n v="5"/>
    <s v="Yes"/>
    <n v="292"/>
    <n v="11865"/>
    <n v="12640"/>
    <n v="0"/>
    <s v="No"/>
    <s v="Major"/>
    <n v="2528"/>
    <n v="2373"/>
    <n v="2024"/>
    <n v="6"/>
    <n v="1"/>
  </r>
  <r>
    <s v="SHP-31598"/>
    <d v="2024-11-22T00:00:00"/>
    <s v="East"/>
    <s v="Kolkata"/>
    <s v="Regional Hub"/>
    <s v="Express"/>
    <s v="System"/>
    <s v="Low"/>
    <n v="1"/>
    <n v="5"/>
    <n v="4"/>
    <s v="Yes"/>
    <n v="305"/>
    <n v="8360"/>
    <n v="11532"/>
    <n v="0"/>
    <s v="No"/>
    <s v="Major"/>
    <n v="2883"/>
    <n v="2090"/>
    <n v="2024"/>
    <n v="11"/>
    <n v="1"/>
  </r>
  <r>
    <s v="SHP-31599"/>
    <d v="2024-06-14T00:00:00"/>
    <s v="South"/>
    <s v="Bengaluru"/>
    <s v="Central Hub"/>
    <s v="Critical"/>
    <s v="System"/>
    <s v="Medium"/>
    <n v="2"/>
    <n v="7"/>
    <n v="5"/>
    <s v="Yes"/>
    <n v="346"/>
    <n v="6115"/>
    <n v="7925"/>
    <n v="0"/>
    <s v="No"/>
    <s v="Major"/>
    <n v="1585"/>
    <n v="1223"/>
    <n v="2024"/>
    <n v="6"/>
    <n v="1"/>
  </r>
  <r>
    <s v="SHP-31600"/>
    <d v="2024-12-04T00:00:00"/>
    <s v="West"/>
    <s v="Mumbai"/>
    <s v="Central Hub"/>
    <s v="Standard"/>
    <s v="Capacity"/>
    <s v="Low"/>
    <n v="2"/>
    <n v="5"/>
    <n v="3"/>
    <s v="Yes"/>
    <n v="465"/>
    <n v="4509"/>
    <n v="13503"/>
    <n v="0"/>
    <s v="No"/>
    <s v="Major"/>
    <n v="4501"/>
    <n v="1503"/>
    <n v="2024"/>
    <n v="12"/>
    <n v="1"/>
  </r>
  <r>
    <s v="SHP-31601"/>
    <d v="2024-12-30T00:00:00"/>
    <s v="East"/>
    <s v="Kolkata"/>
    <s v="Local Hub"/>
    <s v="Express"/>
    <s v="Documentation"/>
    <s v="Medium"/>
    <n v="5"/>
    <n v="7"/>
    <n v="2"/>
    <s v="Yes"/>
    <n v="109"/>
    <n v="3412"/>
    <n v="9220"/>
    <n v="0"/>
    <s v="No"/>
    <s v="Minor"/>
    <n v="4610"/>
    <n v="1706"/>
    <n v="2024"/>
    <n v="12"/>
    <n v="1"/>
  </r>
  <r>
    <s v="SHP-31602"/>
    <d v="2024-09-16T00:00:00"/>
    <s v="East"/>
    <s v="Bhubaneswar"/>
    <s v="Central Hub"/>
    <s v="Standard"/>
    <s v="Weather"/>
    <s v="Medium"/>
    <n v="2"/>
    <n v="4"/>
    <n v="2"/>
    <s v="Yes"/>
    <n v="101"/>
    <n v="3114"/>
    <n v="5494"/>
    <n v="0"/>
    <s v="No"/>
    <s v="Minor"/>
    <n v="2747"/>
    <n v="1557"/>
    <n v="2024"/>
    <n v="9"/>
    <n v="1"/>
  </r>
  <r>
    <s v="SHP-31603"/>
    <d v="2024-11-04T00:00:00"/>
    <s v="West"/>
    <s v="Mumbai"/>
    <s v="Central Hub"/>
    <s v="Express"/>
    <s v="Routing"/>
    <s v="Medium"/>
    <n v="2"/>
    <n v="3"/>
    <n v="1"/>
    <s v="Yes"/>
    <n v="288"/>
    <n v="1646"/>
    <n v="4760"/>
    <n v="0"/>
    <s v="No"/>
    <s v="Minor"/>
    <n v="4760"/>
    <n v="1646"/>
    <n v="2024"/>
    <n v="11"/>
    <n v="1"/>
  </r>
  <r>
    <s v="SHP-31604"/>
    <d v="2024-05-31T00:00:00"/>
    <s v="North"/>
    <s v="Delhi"/>
    <s v="Local Hub"/>
    <s v="Standard"/>
    <s v="Documentation"/>
    <s v="Medium"/>
    <n v="3"/>
    <n v="7"/>
    <n v="4"/>
    <s v="Yes"/>
    <n v="115"/>
    <n v="4704"/>
    <n v="9440"/>
    <n v="0"/>
    <s v="No"/>
    <s v="Major"/>
    <n v="2360"/>
    <n v="1176"/>
    <n v="2024"/>
    <n v="5"/>
    <n v="1"/>
  </r>
  <r>
    <s v="SHP-31605"/>
    <d v="2024-02-26T00:00:00"/>
    <s v="East"/>
    <s v="Bhubaneswar"/>
    <s v="Local Hub"/>
    <s v="Express"/>
    <s v="Capacity"/>
    <s v="Medium"/>
    <n v="2"/>
    <n v="5"/>
    <n v="3"/>
    <s v="Yes"/>
    <n v="424"/>
    <n v="3438"/>
    <n v="14091"/>
    <n v="0"/>
    <s v="No"/>
    <s v="Major"/>
    <n v="4697"/>
    <n v="1146"/>
    <n v="2024"/>
    <n v="2"/>
    <n v="1"/>
  </r>
  <r>
    <s v="SHP-31606"/>
    <d v="2024-08-22T00:00:00"/>
    <s v="East"/>
    <s v="Bhubaneswar"/>
    <s v="Local Hub"/>
    <s v="Standard"/>
    <s v="Weather"/>
    <s v="Low"/>
    <n v="1"/>
    <n v="2"/>
    <n v="1"/>
    <s v="Yes"/>
    <n v="206"/>
    <n v="1045"/>
    <n v="3543"/>
    <n v="0"/>
    <s v="No"/>
    <s v="Minor"/>
    <n v="3543"/>
    <n v="1045"/>
    <n v="2024"/>
    <n v="8"/>
    <n v="1"/>
  </r>
  <r>
    <s v="SHP-31607"/>
    <d v="2024-04-24T00:00:00"/>
    <s v="South"/>
    <s v="Bengaluru"/>
    <s v="Central Hub"/>
    <s v="Standard"/>
    <s v="Documentation"/>
    <s v="Low"/>
    <n v="5"/>
    <n v="10"/>
    <n v="5"/>
    <s v="Yes"/>
    <n v="244"/>
    <n v="10180"/>
    <n v="16285"/>
    <n v="0"/>
    <s v="No"/>
    <s v="Major"/>
    <n v="3257"/>
    <n v="2036"/>
    <n v="2024"/>
    <n v="4"/>
    <n v="1"/>
  </r>
  <r>
    <s v="SHP-31608"/>
    <d v="2024-09-30T00:00:00"/>
    <s v="South"/>
    <s v="Bengaluru"/>
    <s v="Central Hub"/>
    <s v="Critical"/>
    <s v="Documentation"/>
    <s v="High"/>
    <n v="1"/>
    <n v="9"/>
    <n v="8"/>
    <s v="Yes"/>
    <n v="301"/>
    <n v="9936"/>
    <n v="22968"/>
    <n v="0"/>
    <s v="No"/>
    <s v="Severe"/>
    <n v="2871"/>
    <n v="1242"/>
    <n v="2024"/>
    <n v="9"/>
    <n v="1"/>
  </r>
  <r>
    <s v="SHP-31609"/>
    <d v="2024-04-24T00:00:00"/>
    <s v="West"/>
    <s v="Mumbai"/>
    <s v="Local Hub"/>
    <s v="Express"/>
    <s v="Capacity"/>
    <s v="Medium"/>
    <n v="3"/>
    <n v="5"/>
    <n v="2"/>
    <s v="Yes"/>
    <n v="167"/>
    <n v="2104"/>
    <n v="5588"/>
    <n v="0"/>
    <s v="No"/>
    <s v="Minor"/>
    <n v="2794"/>
    <n v="1052"/>
    <n v="2024"/>
    <n v="4"/>
    <n v="1"/>
  </r>
  <r>
    <s v="SHP-31610"/>
    <d v="2024-04-18T00:00:00"/>
    <s v="South"/>
    <s v="Chennai"/>
    <s v="Regional Hub"/>
    <s v="Express"/>
    <s v="Capacity"/>
    <s v="Low"/>
    <n v="3"/>
    <n v="3"/>
    <n v="0"/>
    <s v="No"/>
    <n v="316"/>
    <n v="0"/>
    <n v="0"/>
    <n v="1"/>
    <s v="No"/>
    <s v="On Time"/>
    <n v="0"/>
    <n v="0"/>
    <n v="2024"/>
    <n v="4"/>
    <n v="0"/>
  </r>
  <r>
    <s v="SHP-31611"/>
    <d v="2024-03-09T00:00:00"/>
    <s v="South"/>
    <s v="Bengaluru"/>
    <s v="Regional Hub"/>
    <s v="Express"/>
    <s v="Routing"/>
    <s v="Medium"/>
    <n v="2"/>
    <n v="6"/>
    <n v="4"/>
    <s v="Yes"/>
    <n v="198"/>
    <n v="6252"/>
    <n v="14084"/>
    <n v="0"/>
    <s v="No"/>
    <s v="Major"/>
    <n v="3521"/>
    <n v="1563"/>
    <n v="2024"/>
    <n v="3"/>
    <n v="1"/>
  </r>
  <r>
    <s v="SHP-31612"/>
    <d v="2024-07-25T00:00:00"/>
    <s v="South"/>
    <s v="Bengaluru"/>
    <s v="Local Hub"/>
    <s v="Express"/>
    <s v="Routing"/>
    <s v="Medium"/>
    <n v="1"/>
    <n v="1"/>
    <n v="0"/>
    <s v="No"/>
    <n v="373"/>
    <n v="0"/>
    <n v="0"/>
    <n v="1"/>
    <s v="No"/>
    <s v="On Time"/>
    <n v="0"/>
    <n v="0"/>
    <n v="2024"/>
    <n v="7"/>
    <n v="0"/>
  </r>
  <r>
    <s v="SHP-31613"/>
    <d v="2024-05-19T00:00:00"/>
    <s v="West"/>
    <s v="Pune"/>
    <s v="Regional Hub"/>
    <s v="Express"/>
    <s v="System"/>
    <s v="Medium"/>
    <n v="2"/>
    <n v="4"/>
    <n v="2"/>
    <s v="Yes"/>
    <n v="272"/>
    <n v="2560"/>
    <n v="8332"/>
    <n v="0"/>
    <s v="No"/>
    <s v="Minor"/>
    <n v="4166"/>
    <n v="1280"/>
    <n v="2024"/>
    <n v="5"/>
    <n v="1"/>
  </r>
  <r>
    <s v="SHP-31614"/>
    <d v="2024-08-04T00:00:00"/>
    <s v="West"/>
    <s v="Mumbai"/>
    <s v="Central Hub"/>
    <s v="Standard"/>
    <s v="Documentation"/>
    <s v="Medium"/>
    <n v="3"/>
    <n v="6"/>
    <n v="3"/>
    <s v="Yes"/>
    <n v="246"/>
    <n v="3132"/>
    <n v="11805"/>
    <n v="0"/>
    <s v="No"/>
    <s v="Major"/>
    <n v="3935"/>
    <n v="1044"/>
    <n v="2024"/>
    <n v="8"/>
    <n v="1"/>
  </r>
  <r>
    <s v="SHP-31615"/>
    <d v="2024-11-07T00:00:00"/>
    <s v="West"/>
    <s v="Pune"/>
    <s v="Local Hub"/>
    <s v="Critical"/>
    <s v="Weather"/>
    <s v="Medium"/>
    <n v="1"/>
    <n v="4"/>
    <n v="3"/>
    <s v="Yes"/>
    <n v="146"/>
    <n v="5004"/>
    <n v="10830"/>
    <n v="0"/>
    <s v="No"/>
    <s v="Major"/>
    <n v="3610"/>
    <n v="1668"/>
    <n v="2024"/>
    <n v="11"/>
    <n v="1"/>
  </r>
  <r>
    <s v="SHP-31616"/>
    <d v="2024-01-07T00:00:00"/>
    <s v="East"/>
    <s v="Kolkata"/>
    <s v="Regional Hub"/>
    <s v="Critical"/>
    <s v="Routing"/>
    <s v="Medium"/>
    <n v="2"/>
    <n v="9"/>
    <n v="7"/>
    <s v="Yes"/>
    <n v="177"/>
    <n v="13076"/>
    <n v="33061"/>
    <n v="0"/>
    <s v="No"/>
    <s v="Severe"/>
    <n v="4723"/>
    <n v="1868"/>
    <n v="2024"/>
    <n v="1"/>
    <n v="1"/>
  </r>
  <r>
    <s v="SHP-31617"/>
    <d v="2024-12-23T00:00:00"/>
    <s v="East"/>
    <s v="Bhubaneswar"/>
    <s v="Regional Hub"/>
    <s v="Standard"/>
    <s v="System"/>
    <s v="Medium"/>
    <n v="1"/>
    <n v="3"/>
    <n v="2"/>
    <s v="Yes"/>
    <n v="294"/>
    <n v="3038"/>
    <n v="4016"/>
    <n v="0"/>
    <s v="No"/>
    <s v="Minor"/>
    <n v="2008"/>
    <n v="1519"/>
    <n v="2024"/>
    <n v="12"/>
    <n v="1"/>
  </r>
  <r>
    <s v="SHP-31618"/>
    <d v="2024-10-18T00:00:00"/>
    <s v="North"/>
    <s v="Noida"/>
    <s v="Local Hub"/>
    <s v="Standard"/>
    <s v="Routing"/>
    <s v="Low"/>
    <n v="1"/>
    <n v="2"/>
    <n v="1"/>
    <s v="Yes"/>
    <n v="499"/>
    <n v="1349"/>
    <n v="3345"/>
    <n v="0"/>
    <s v="No"/>
    <s v="Minor"/>
    <n v="3345"/>
    <n v="1349"/>
    <n v="2024"/>
    <n v="10"/>
    <n v="1"/>
  </r>
  <r>
    <s v="SHP-31619"/>
    <d v="2024-04-28T00:00:00"/>
    <s v="North"/>
    <s v="Noida"/>
    <s v="Regional Hub"/>
    <s v="Express"/>
    <s v="Weather"/>
    <s v="Low"/>
    <n v="2"/>
    <n v="6"/>
    <n v="4"/>
    <s v="Yes"/>
    <n v="441"/>
    <n v="6920"/>
    <n v="16136"/>
    <n v="0"/>
    <s v="No"/>
    <s v="Major"/>
    <n v="4034"/>
    <n v="1730"/>
    <n v="2024"/>
    <n v="4"/>
    <n v="1"/>
  </r>
  <r>
    <s v="SHP-31620"/>
    <d v="2024-03-07T00:00:00"/>
    <s v="South"/>
    <s v="Chennai"/>
    <s v="Local Hub"/>
    <s v="Express"/>
    <s v="Documentation"/>
    <s v="High"/>
    <n v="1"/>
    <n v="9"/>
    <n v="8"/>
    <s v="Yes"/>
    <n v="377"/>
    <n v="6936"/>
    <n v="22256"/>
    <n v="0"/>
    <s v="No"/>
    <s v="Severe"/>
    <n v="2782"/>
    <n v="867"/>
    <n v="2024"/>
    <n v="3"/>
    <n v="1"/>
  </r>
  <r>
    <s v="SHP-31621"/>
    <d v="2024-03-13T00:00:00"/>
    <s v="West"/>
    <s v="Mumbai"/>
    <s v="Central Hub"/>
    <s v="Critical"/>
    <s v="System"/>
    <s v="Medium"/>
    <n v="1"/>
    <n v="6"/>
    <n v="5"/>
    <s v="Yes"/>
    <n v="407"/>
    <n v="11640"/>
    <n v="20255"/>
    <n v="0"/>
    <s v="No"/>
    <s v="Major"/>
    <n v="4051"/>
    <n v="2328"/>
    <n v="2024"/>
    <n v="3"/>
    <n v="1"/>
  </r>
  <r>
    <s v="SHP-31622"/>
    <d v="2024-09-29T00:00:00"/>
    <s v="East"/>
    <s v="Bhubaneswar"/>
    <s v="Local Hub"/>
    <s v="Critical"/>
    <s v="Weather"/>
    <s v="High"/>
    <n v="3"/>
    <n v="7"/>
    <n v="4"/>
    <s v="Yes"/>
    <n v="243"/>
    <n v="3404"/>
    <n v="9440"/>
    <n v="0"/>
    <s v="No"/>
    <s v="Major"/>
    <n v="2360"/>
    <n v="851"/>
    <n v="2024"/>
    <n v="9"/>
    <n v="1"/>
  </r>
  <r>
    <s v="SHP-31623"/>
    <d v="2024-09-12T00:00:00"/>
    <s v="South"/>
    <s v="Chennai"/>
    <s v="Local Hub"/>
    <s v="Express"/>
    <s v="Weather"/>
    <s v="Low"/>
    <n v="3"/>
    <n v="6"/>
    <n v="3"/>
    <s v="Yes"/>
    <n v="271"/>
    <n v="6963"/>
    <n v="7116"/>
    <n v="0"/>
    <s v="No"/>
    <s v="Major"/>
    <n v="2372"/>
    <n v="2321"/>
    <n v="2024"/>
    <n v="9"/>
    <n v="1"/>
  </r>
  <r>
    <s v="SHP-31624"/>
    <d v="2024-09-11T00:00:00"/>
    <s v="North"/>
    <s v="Noida"/>
    <s v="Regional Hub"/>
    <s v="Standard"/>
    <s v="Documentation"/>
    <s v="Medium"/>
    <n v="2"/>
    <n v="4"/>
    <n v="2"/>
    <s v="Yes"/>
    <n v="296"/>
    <n v="4822"/>
    <n v="4384"/>
    <n v="0"/>
    <s v="No"/>
    <s v="Minor"/>
    <n v="2192"/>
    <n v="2411"/>
    <n v="2024"/>
    <n v="9"/>
    <n v="1"/>
  </r>
  <r>
    <s v="SHP-31625"/>
    <d v="2024-10-05T00:00:00"/>
    <s v="South"/>
    <s v="Chennai"/>
    <s v="Central Hub"/>
    <s v="Standard"/>
    <s v="Documentation"/>
    <s v="Medium"/>
    <n v="1"/>
    <n v="6"/>
    <n v="5"/>
    <s v="Yes"/>
    <n v="410"/>
    <n v="12145"/>
    <n v="13005"/>
    <n v="0"/>
    <s v="No"/>
    <s v="Major"/>
    <n v="2601"/>
    <n v="2429"/>
    <n v="2024"/>
    <n v="10"/>
    <n v="1"/>
  </r>
  <r>
    <s v="SHP-31626"/>
    <d v="2024-02-05T00:00:00"/>
    <s v="East"/>
    <s v="Bhubaneswar"/>
    <s v="Regional Hub"/>
    <s v="Express"/>
    <s v="Weather"/>
    <s v="Low"/>
    <n v="1"/>
    <n v="5"/>
    <n v="4"/>
    <s v="Yes"/>
    <n v="479"/>
    <n v="5512"/>
    <n v="10196"/>
    <n v="0"/>
    <s v="No"/>
    <s v="Major"/>
    <n v="2549"/>
    <n v="1378"/>
    <n v="2024"/>
    <n v="2"/>
    <n v="1"/>
  </r>
  <r>
    <s v="SHP-31627"/>
    <d v="2024-08-15T00:00:00"/>
    <s v="North"/>
    <s v="Noida"/>
    <s v="Regional Hub"/>
    <s v="Standard"/>
    <s v="Weather"/>
    <s v="Medium"/>
    <n v="5"/>
    <n v="5"/>
    <n v="0"/>
    <s v="No"/>
    <n v="495"/>
    <n v="0"/>
    <n v="0"/>
    <n v="1"/>
    <s v="No"/>
    <s v="On Time"/>
    <n v="0"/>
    <n v="0"/>
    <n v="2024"/>
    <n v="8"/>
    <n v="0"/>
  </r>
  <r>
    <s v="SHP-31628"/>
    <d v="2024-01-30T00:00:00"/>
    <s v="West"/>
    <s v="Pune"/>
    <s v="Regional Hub"/>
    <s v="Standard"/>
    <s v="Weather"/>
    <s v="Medium"/>
    <n v="1"/>
    <n v="2"/>
    <n v="1"/>
    <s v="Yes"/>
    <n v="425"/>
    <n v="1575"/>
    <n v="2661"/>
    <n v="0"/>
    <s v="No"/>
    <s v="Minor"/>
    <n v="2661"/>
    <n v="1575"/>
    <n v="2024"/>
    <n v="1"/>
    <n v="1"/>
  </r>
  <r>
    <s v="SHP-31629"/>
    <d v="2024-09-21T00:00:00"/>
    <s v="West"/>
    <s v="Pune"/>
    <s v="Regional Hub"/>
    <s v="Critical"/>
    <s v="Capacity"/>
    <s v="Low"/>
    <n v="2"/>
    <n v="4"/>
    <n v="2"/>
    <s v="Yes"/>
    <n v="206"/>
    <n v="2742"/>
    <n v="9730"/>
    <n v="0"/>
    <s v="No"/>
    <s v="Minor"/>
    <n v="4865"/>
    <n v="1371"/>
    <n v="2024"/>
    <n v="9"/>
    <n v="1"/>
  </r>
  <r>
    <s v="SHP-31630"/>
    <d v="2024-06-28T00:00:00"/>
    <s v="West"/>
    <s v="Mumbai"/>
    <s v="Local Hub"/>
    <s v="Critical"/>
    <s v="Weather"/>
    <s v="Low"/>
    <n v="1"/>
    <n v="8"/>
    <n v="7"/>
    <s v="Yes"/>
    <n v="104"/>
    <n v="17010"/>
    <n v="21630"/>
    <n v="0"/>
    <s v="No"/>
    <s v="Severe"/>
    <n v="3090"/>
    <n v="2430"/>
    <n v="2024"/>
    <n v="6"/>
    <n v="1"/>
  </r>
  <r>
    <s v="SHP-31631"/>
    <d v="2024-02-21T00:00:00"/>
    <s v="South"/>
    <s v="Chennai"/>
    <s v="Local Hub"/>
    <s v="Standard"/>
    <s v="Weather"/>
    <s v="Medium"/>
    <n v="1"/>
    <n v="6"/>
    <n v="5"/>
    <s v="Yes"/>
    <n v="193"/>
    <n v="9475"/>
    <n v="8875"/>
    <n v="0"/>
    <s v="No"/>
    <s v="Major"/>
    <n v="1775"/>
    <n v="1895"/>
    <n v="2024"/>
    <n v="2"/>
    <n v="1"/>
  </r>
  <r>
    <s v="SHP-31632"/>
    <d v="2024-03-23T00:00:00"/>
    <s v="South"/>
    <s v="Bengaluru"/>
    <s v="Local Hub"/>
    <s v="Standard"/>
    <s v="Capacity"/>
    <s v="Medium"/>
    <n v="1"/>
    <n v="5"/>
    <n v="4"/>
    <s v="Yes"/>
    <n v="347"/>
    <n v="6000"/>
    <n v="14724"/>
    <n v="0"/>
    <s v="No"/>
    <s v="Major"/>
    <n v="3681"/>
    <n v="1500"/>
    <n v="2024"/>
    <n v="3"/>
    <n v="1"/>
  </r>
  <r>
    <s v="SHP-31633"/>
    <d v="2024-07-23T00:00:00"/>
    <s v="West"/>
    <s v="Pune"/>
    <s v="Local Hub"/>
    <s v="Standard"/>
    <s v="Documentation"/>
    <s v="Medium"/>
    <n v="2"/>
    <n v="6"/>
    <n v="4"/>
    <s v="Yes"/>
    <n v="299"/>
    <n v="4212"/>
    <n v="11200"/>
    <n v="0"/>
    <s v="No"/>
    <s v="Major"/>
    <n v="2800"/>
    <n v="1053"/>
    <n v="2024"/>
    <n v="7"/>
    <n v="1"/>
  </r>
  <r>
    <s v="SHP-31634"/>
    <d v="2024-12-05T00:00:00"/>
    <s v="North"/>
    <s v="Delhi"/>
    <s v="Central Hub"/>
    <s v="Critical"/>
    <s v="System"/>
    <s v="Low"/>
    <n v="1"/>
    <n v="7"/>
    <n v="6"/>
    <s v="Yes"/>
    <n v="474"/>
    <n v="12012"/>
    <n v="25632"/>
    <n v="0"/>
    <s v="No"/>
    <s v="Severe"/>
    <n v="4272"/>
    <n v="2002"/>
    <n v="2024"/>
    <n v="12"/>
    <n v="1"/>
  </r>
  <r>
    <s v="SHP-31635"/>
    <d v="2024-05-08T00:00:00"/>
    <s v="North"/>
    <s v="Delhi"/>
    <s v="Local Hub"/>
    <s v="Standard"/>
    <s v="Weather"/>
    <s v="High"/>
    <n v="3"/>
    <n v="6"/>
    <n v="3"/>
    <s v="Yes"/>
    <n v="348"/>
    <n v="4275"/>
    <n v="7959"/>
    <n v="0"/>
    <s v="No"/>
    <s v="Major"/>
    <n v="2653"/>
    <n v="1425"/>
    <n v="2024"/>
    <n v="5"/>
    <n v="1"/>
  </r>
  <r>
    <s v="SHP-31636"/>
    <d v="2024-05-24T00:00:00"/>
    <s v="East"/>
    <s v="Bhubaneswar"/>
    <s v="Local Hub"/>
    <s v="Standard"/>
    <s v="Capacity"/>
    <s v="High"/>
    <n v="3"/>
    <n v="6"/>
    <n v="3"/>
    <s v="Yes"/>
    <n v="161"/>
    <n v="3384"/>
    <n v="7560"/>
    <n v="0"/>
    <s v="No"/>
    <s v="Major"/>
    <n v="2520"/>
    <n v="1128"/>
    <n v="2024"/>
    <n v="5"/>
    <n v="1"/>
  </r>
  <r>
    <s v="SHP-31637"/>
    <d v="2024-12-29T00:00:00"/>
    <s v="West"/>
    <s v="Pune"/>
    <s v="Central Hub"/>
    <s v="Critical"/>
    <s v="Weather"/>
    <s v="Low"/>
    <n v="5"/>
    <n v="8"/>
    <n v="3"/>
    <s v="Yes"/>
    <n v="235"/>
    <n v="4746"/>
    <n v="11853"/>
    <n v="0"/>
    <s v="No"/>
    <s v="Major"/>
    <n v="3951"/>
    <n v="1582"/>
    <n v="2024"/>
    <n v="12"/>
    <n v="1"/>
  </r>
  <r>
    <s v="SHP-31638"/>
    <d v="2024-12-23T00:00:00"/>
    <s v="South"/>
    <s v="Bengaluru"/>
    <s v="Regional Hub"/>
    <s v="Standard"/>
    <s v="System"/>
    <s v="Low"/>
    <n v="1"/>
    <n v="4"/>
    <n v="3"/>
    <s v="Yes"/>
    <n v="82"/>
    <n v="2880"/>
    <n v="12732"/>
    <n v="0"/>
    <s v="No"/>
    <s v="Major"/>
    <n v="4244"/>
    <n v="960"/>
    <n v="2024"/>
    <n v="12"/>
    <n v="1"/>
  </r>
  <r>
    <s v="SHP-31639"/>
    <d v="2024-08-12T00:00:00"/>
    <s v="West"/>
    <s v="Pune"/>
    <s v="Local Hub"/>
    <s v="Express"/>
    <s v="Routing"/>
    <s v="Low"/>
    <n v="3"/>
    <n v="8"/>
    <n v="5"/>
    <s v="Yes"/>
    <n v="76"/>
    <n v="9450"/>
    <n v="13660"/>
    <n v="0"/>
    <s v="No"/>
    <s v="Major"/>
    <n v="2732"/>
    <n v="1890"/>
    <n v="2024"/>
    <n v="8"/>
    <n v="1"/>
  </r>
  <r>
    <s v="SHP-31640"/>
    <d v="2024-08-16T00:00:00"/>
    <s v="South"/>
    <s v="Chennai"/>
    <s v="Regional Hub"/>
    <s v="Express"/>
    <s v="Documentation"/>
    <s v="Low"/>
    <n v="2"/>
    <n v="5"/>
    <n v="3"/>
    <s v="Yes"/>
    <n v="370"/>
    <n v="3465"/>
    <n v="11316"/>
    <n v="0"/>
    <s v="No"/>
    <s v="Major"/>
    <n v="3772"/>
    <n v="1155"/>
    <n v="2024"/>
    <n v="8"/>
    <n v="1"/>
  </r>
  <r>
    <s v="SHP-31641"/>
    <d v="2024-01-11T00:00:00"/>
    <s v="South"/>
    <s v="Bengaluru"/>
    <s v="Regional Hub"/>
    <s v="Critical"/>
    <s v="Routing"/>
    <s v="Low"/>
    <n v="3"/>
    <n v="8"/>
    <n v="5"/>
    <s v="Yes"/>
    <n v="78"/>
    <n v="5600"/>
    <n v="16685"/>
    <n v="0"/>
    <s v="No"/>
    <s v="Major"/>
    <n v="3337"/>
    <n v="1120"/>
    <n v="2024"/>
    <n v="1"/>
    <n v="1"/>
  </r>
  <r>
    <s v="SHP-31642"/>
    <d v="2024-07-17T00:00:00"/>
    <s v="South"/>
    <s v="Bengaluru"/>
    <s v="Local Hub"/>
    <s v="Standard"/>
    <s v="Routing"/>
    <s v="Medium"/>
    <n v="2"/>
    <n v="3"/>
    <n v="1"/>
    <s v="Yes"/>
    <n v="452"/>
    <n v="1711"/>
    <n v="1532"/>
    <n v="0"/>
    <s v="No"/>
    <s v="Minor"/>
    <n v="1532"/>
    <n v="1711"/>
    <n v="2024"/>
    <n v="7"/>
    <n v="1"/>
  </r>
  <r>
    <s v="SHP-31643"/>
    <d v="2024-01-23T00:00:00"/>
    <s v="West"/>
    <s v="Mumbai"/>
    <s v="Central Hub"/>
    <s v="Express"/>
    <s v="Routing"/>
    <s v="Low"/>
    <n v="5"/>
    <n v="7"/>
    <n v="2"/>
    <s v="Yes"/>
    <n v="422"/>
    <n v="2710"/>
    <n v="3490"/>
    <n v="0"/>
    <s v="No"/>
    <s v="Minor"/>
    <n v="1745"/>
    <n v="1355"/>
    <n v="2024"/>
    <n v="1"/>
    <n v="1"/>
  </r>
  <r>
    <s v="SHP-31644"/>
    <d v="2024-06-13T00:00:00"/>
    <s v="South"/>
    <s v="Chennai"/>
    <s v="Local Hub"/>
    <s v="Standard"/>
    <s v="System"/>
    <s v="Medium"/>
    <n v="3"/>
    <n v="5"/>
    <n v="2"/>
    <s v="Yes"/>
    <n v="316"/>
    <n v="2078"/>
    <n v="8580"/>
    <n v="0"/>
    <s v="No"/>
    <s v="Minor"/>
    <n v="4290"/>
    <n v="1039"/>
    <n v="2024"/>
    <n v="6"/>
    <n v="1"/>
  </r>
  <r>
    <s v="SHP-31645"/>
    <d v="2024-05-17T00:00:00"/>
    <s v="South"/>
    <s v="Bengaluru"/>
    <s v="Regional Hub"/>
    <s v="Express"/>
    <s v="Documentation"/>
    <s v="High"/>
    <n v="5"/>
    <n v="12"/>
    <n v="7"/>
    <s v="Yes"/>
    <n v="256"/>
    <n v="15064"/>
    <n v="25137"/>
    <n v="0"/>
    <s v="No"/>
    <s v="Severe"/>
    <n v="3591"/>
    <n v="2152"/>
    <n v="2024"/>
    <n v="5"/>
    <n v="1"/>
  </r>
  <r>
    <s v="SHP-31646"/>
    <d v="2024-02-29T00:00:00"/>
    <s v="North"/>
    <s v="Delhi"/>
    <s v="Regional Hub"/>
    <s v="Express"/>
    <s v="Documentation"/>
    <s v="High"/>
    <n v="1"/>
    <n v="4"/>
    <n v="3"/>
    <s v="Yes"/>
    <n v="428"/>
    <n v="4539"/>
    <n v="10632"/>
    <n v="0"/>
    <s v="No"/>
    <s v="Major"/>
    <n v="3544"/>
    <n v="1513"/>
    <n v="2024"/>
    <n v="2"/>
    <n v="1"/>
  </r>
  <r>
    <s v="SHP-31647"/>
    <d v="2024-08-23T00:00:00"/>
    <s v="North"/>
    <s v="Noida"/>
    <s v="Local Hub"/>
    <s v="Standard"/>
    <s v="Routing"/>
    <s v="Low"/>
    <n v="2"/>
    <n v="7"/>
    <n v="5"/>
    <s v="Yes"/>
    <n v="76"/>
    <n v="4935"/>
    <n v="14610"/>
    <n v="0"/>
    <s v="No"/>
    <s v="Major"/>
    <n v="2922"/>
    <n v="987"/>
    <n v="2024"/>
    <n v="8"/>
    <n v="1"/>
  </r>
  <r>
    <s v="SHP-31648"/>
    <d v="2024-04-14T00:00:00"/>
    <s v="North"/>
    <s v="Noida"/>
    <s v="Local Hub"/>
    <s v="Express"/>
    <s v="System"/>
    <s v="High"/>
    <n v="2"/>
    <n v="5"/>
    <n v="3"/>
    <s v="Yes"/>
    <n v="427"/>
    <n v="7140"/>
    <n v="14991"/>
    <n v="0"/>
    <s v="No"/>
    <s v="Major"/>
    <n v="4997"/>
    <n v="2380"/>
    <n v="2024"/>
    <n v="4"/>
    <n v="1"/>
  </r>
  <r>
    <s v="SHP-31649"/>
    <d v="2024-02-22T00:00:00"/>
    <s v="East"/>
    <s v="Kolkata"/>
    <s v="Regional Hub"/>
    <s v="Express"/>
    <s v="Routing"/>
    <s v="High"/>
    <n v="2"/>
    <n v="7"/>
    <n v="5"/>
    <s v="Yes"/>
    <n v="375"/>
    <n v="9135"/>
    <n v="21955"/>
    <n v="0"/>
    <s v="No"/>
    <s v="Major"/>
    <n v="4391"/>
    <n v="1827"/>
    <n v="2024"/>
    <n v="2"/>
    <n v="1"/>
  </r>
  <r>
    <s v="SHP-31650"/>
    <d v="2024-01-19T00:00:00"/>
    <s v="East"/>
    <s v="Kolkata"/>
    <s v="Central Hub"/>
    <s v="Express"/>
    <s v="Documentation"/>
    <s v="High"/>
    <n v="5"/>
    <n v="11"/>
    <n v="6"/>
    <s v="Yes"/>
    <n v="280"/>
    <n v="10206"/>
    <n v="18246"/>
    <n v="0"/>
    <s v="No"/>
    <s v="Severe"/>
    <n v="3041"/>
    <n v="1701"/>
    <n v="2024"/>
    <n v="1"/>
    <n v="1"/>
  </r>
  <r>
    <s v="SHP-31651"/>
    <d v="2024-09-28T00:00:00"/>
    <s v="West"/>
    <s v="Pune"/>
    <s v="Regional Hub"/>
    <s v="Express"/>
    <s v="Weather"/>
    <s v="High"/>
    <n v="2"/>
    <n v="8"/>
    <n v="6"/>
    <s v="Yes"/>
    <n v="290"/>
    <n v="6192"/>
    <n v="14280"/>
    <n v="0"/>
    <s v="No"/>
    <s v="Severe"/>
    <n v="2380"/>
    <n v="1032"/>
    <n v="2024"/>
    <n v="9"/>
    <n v="1"/>
  </r>
  <r>
    <s v="SHP-31652"/>
    <d v="2024-07-11T00:00:00"/>
    <s v="South"/>
    <s v="Bengaluru"/>
    <s v="Central Hub"/>
    <s v="Standard"/>
    <s v="Weather"/>
    <s v="Medium"/>
    <n v="1"/>
    <n v="2"/>
    <n v="1"/>
    <s v="Yes"/>
    <n v="404"/>
    <n v="1584"/>
    <n v="3995"/>
    <n v="0"/>
    <s v="No"/>
    <s v="Minor"/>
    <n v="3995"/>
    <n v="1584"/>
    <n v="2024"/>
    <n v="7"/>
    <n v="1"/>
  </r>
  <r>
    <s v="SHP-31653"/>
    <d v="2024-12-25T00:00:00"/>
    <s v="South"/>
    <s v="Bengaluru"/>
    <s v="Central Hub"/>
    <s v="Express"/>
    <s v="Capacity"/>
    <s v="Medium"/>
    <n v="1"/>
    <n v="4"/>
    <n v="3"/>
    <s v="Yes"/>
    <n v="416"/>
    <n v="4200"/>
    <n v="14463"/>
    <n v="0"/>
    <s v="No"/>
    <s v="Major"/>
    <n v="4821"/>
    <n v="1400"/>
    <n v="2024"/>
    <n v="12"/>
    <n v="1"/>
  </r>
  <r>
    <s v="SHP-31654"/>
    <d v="2024-10-28T00:00:00"/>
    <s v="West"/>
    <s v="Mumbai"/>
    <s v="Regional Hub"/>
    <s v="Standard"/>
    <s v="Routing"/>
    <s v="Medium"/>
    <n v="2"/>
    <n v="2"/>
    <n v="0"/>
    <s v="No"/>
    <n v="142"/>
    <n v="0"/>
    <n v="0"/>
    <n v="1"/>
    <s v="No"/>
    <s v="On Time"/>
    <n v="0"/>
    <n v="0"/>
    <n v="2024"/>
    <n v="10"/>
    <n v="0"/>
  </r>
  <r>
    <s v="SHP-31655"/>
    <d v="2024-08-10T00:00:00"/>
    <s v="North"/>
    <s v="Delhi"/>
    <s v="Central Hub"/>
    <s v="Critical"/>
    <s v="Routing"/>
    <s v="Low"/>
    <n v="1"/>
    <n v="4"/>
    <n v="3"/>
    <s v="Yes"/>
    <n v="301"/>
    <n v="2643"/>
    <n v="14829"/>
    <n v="0"/>
    <s v="No"/>
    <s v="Major"/>
    <n v="4943"/>
    <n v="881"/>
    <n v="2024"/>
    <n v="8"/>
    <n v="1"/>
  </r>
  <r>
    <s v="SHP-31656"/>
    <d v="2024-05-13T00:00:00"/>
    <s v="West"/>
    <s v="Mumbai"/>
    <s v="Local Hub"/>
    <s v="Standard"/>
    <s v="Capacity"/>
    <s v="Medium"/>
    <n v="2"/>
    <n v="3"/>
    <n v="1"/>
    <s v="Yes"/>
    <n v="267"/>
    <n v="1871"/>
    <n v="1940"/>
    <n v="0"/>
    <s v="No"/>
    <s v="Minor"/>
    <n v="1940"/>
    <n v="1871"/>
    <n v="2024"/>
    <n v="5"/>
    <n v="1"/>
  </r>
  <r>
    <s v="SHP-31657"/>
    <d v="2024-05-05T00:00:00"/>
    <s v="West"/>
    <s v="Pune"/>
    <s v="Regional Hub"/>
    <s v="Critical"/>
    <s v="Capacity"/>
    <s v="Medium"/>
    <n v="3"/>
    <n v="6"/>
    <n v="3"/>
    <s v="Yes"/>
    <n v="257"/>
    <n v="4095"/>
    <n v="8892"/>
    <n v="0"/>
    <s v="No"/>
    <s v="Major"/>
    <n v="2964"/>
    <n v="1365"/>
    <n v="2024"/>
    <n v="5"/>
    <n v="1"/>
  </r>
  <r>
    <s v="SHP-31658"/>
    <d v="2024-02-08T00:00:00"/>
    <s v="East"/>
    <s v="Kolkata"/>
    <s v="Regional Hub"/>
    <s v="Critical"/>
    <s v="Weather"/>
    <s v="Medium"/>
    <n v="3"/>
    <n v="9"/>
    <n v="6"/>
    <s v="Yes"/>
    <n v="312"/>
    <n v="13782"/>
    <n v="12234"/>
    <n v="0"/>
    <s v="No"/>
    <s v="Severe"/>
    <n v="2039"/>
    <n v="2297"/>
    <n v="2024"/>
    <n v="2"/>
    <n v="1"/>
  </r>
  <r>
    <s v="SHP-31659"/>
    <d v="2024-11-23T00:00:00"/>
    <s v="North"/>
    <s v="Delhi"/>
    <s v="Central Hub"/>
    <s v="Standard"/>
    <s v="Documentation"/>
    <s v="Medium"/>
    <n v="3"/>
    <n v="3"/>
    <n v="0"/>
    <s v="No"/>
    <n v="134"/>
    <n v="0"/>
    <n v="0"/>
    <n v="1"/>
    <s v="No"/>
    <s v="On Time"/>
    <n v="0"/>
    <n v="0"/>
    <n v="2024"/>
    <n v="11"/>
    <n v="0"/>
  </r>
  <r>
    <s v="SHP-31660"/>
    <d v="2024-07-12T00:00:00"/>
    <s v="North"/>
    <s v="Noida"/>
    <s v="Central Hub"/>
    <s v="Critical"/>
    <s v="Weather"/>
    <s v="High"/>
    <n v="2"/>
    <n v="10"/>
    <n v="8"/>
    <s v="Yes"/>
    <n v="499"/>
    <n v="16864"/>
    <n v="22832"/>
    <n v="0"/>
    <s v="No"/>
    <s v="Severe"/>
    <n v="2854"/>
    <n v="2108"/>
    <n v="2024"/>
    <n v="7"/>
    <n v="1"/>
  </r>
  <r>
    <s v="SHP-31661"/>
    <d v="2024-06-15T00:00:00"/>
    <s v="South"/>
    <s v="Bengaluru"/>
    <s v="Local Hub"/>
    <s v="Express"/>
    <s v="Capacity"/>
    <s v="Medium"/>
    <n v="3"/>
    <n v="6"/>
    <n v="3"/>
    <s v="Yes"/>
    <n v="411"/>
    <n v="2754"/>
    <n v="4644"/>
    <n v="0"/>
    <s v="No"/>
    <s v="Major"/>
    <n v="1548"/>
    <n v="918"/>
    <n v="2024"/>
    <n v="6"/>
    <n v="1"/>
  </r>
  <r>
    <s v="SHP-31662"/>
    <d v="2024-05-10T00:00:00"/>
    <s v="West"/>
    <s v="Mumbai"/>
    <s v="Local Hub"/>
    <s v="Standard"/>
    <s v="System"/>
    <s v="Low"/>
    <n v="2"/>
    <n v="6"/>
    <n v="4"/>
    <s v="Yes"/>
    <n v="346"/>
    <n v="4216"/>
    <n v="17284"/>
    <n v="0"/>
    <s v="No"/>
    <s v="Major"/>
    <n v="4321"/>
    <n v="1054"/>
    <n v="2024"/>
    <n v="5"/>
    <n v="1"/>
  </r>
  <r>
    <s v="SHP-31663"/>
    <d v="2024-01-15T00:00:00"/>
    <s v="East"/>
    <s v="Kolkata"/>
    <s v="Regional Hub"/>
    <s v="Standard"/>
    <s v="Documentation"/>
    <s v="Medium"/>
    <n v="1"/>
    <n v="1"/>
    <n v="0"/>
    <s v="No"/>
    <n v="83"/>
    <n v="0"/>
    <n v="0"/>
    <n v="1"/>
    <s v="No"/>
    <s v="On Time"/>
    <n v="0"/>
    <n v="0"/>
    <n v="2024"/>
    <n v="1"/>
    <n v="0"/>
  </r>
  <r>
    <s v="SHP-31664"/>
    <d v="2024-02-10T00:00:00"/>
    <s v="North"/>
    <s v="Noida"/>
    <s v="Central Hub"/>
    <s v="Critical"/>
    <s v="Weather"/>
    <s v="Low"/>
    <n v="1"/>
    <n v="2"/>
    <n v="1"/>
    <s v="Yes"/>
    <n v="279"/>
    <n v="1179"/>
    <n v="3519"/>
    <n v="0"/>
    <s v="No"/>
    <s v="Minor"/>
    <n v="3519"/>
    <n v="1179"/>
    <n v="2024"/>
    <n v="2"/>
    <n v="1"/>
  </r>
  <r>
    <s v="SHP-31665"/>
    <d v="2024-05-22T00:00:00"/>
    <s v="South"/>
    <s v="Chennai"/>
    <s v="Local Hub"/>
    <s v="Standard"/>
    <s v="System"/>
    <s v="High"/>
    <n v="2"/>
    <n v="8"/>
    <n v="6"/>
    <s v="Yes"/>
    <n v="463"/>
    <n v="6762"/>
    <n v="15552"/>
    <n v="0"/>
    <s v="No"/>
    <s v="Severe"/>
    <n v="2592"/>
    <n v="1127"/>
    <n v="2024"/>
    <n v="5"/>
    <n v="1"/>
  </r>
  <r>
    <s v="SHP-31666"/>
    <d v="2024-10-20T00:00:00"/>
    <s v="North"/>
    <s v="Noida"/>
    <s v="Local Hub"/>
    <s v="Express"/>
    <s v="Weather"/>
    <s v="Low"/>
    <n v="3"/>
    <n v="7"/>
    <n v="4"/>
    <s v="Yes"/>
    <n v="140"/>
    <n v="3352"/>
    <n v="14720"/>
    <n v="0"/>
    <s v="No"/>
    <s v="Major"/>
    <n v="3680"/>
    <n v="838"/>
    <n v="2024"/>
    <n v="10"/>
    <n v="1"/>
  </r>
  <r>
    <s v="SHP-31667"/>
    <d v="2024-05-09T00:00:00"/>
    <s v="West"/>
    <s v="Pune"/>
    <s v="Regional Hub"/>
    <s v="Standard"/>
    <s v="Weather"/>
    <s v="Medium"/>
    <n v="1"/>
    <n v="2"/>
    <n v="1"/>
    <s v="Yes"/>
    <n v="385"/>
    <n v="1602"/>
    <n v="1771"/>
    <n v="0"/>
    <s v="No"/>
    <s v="Minor"/>
    <n v="1771"/>
    <n v="1602"/>
    <n v="2024"/>
    <n v="5"/>
    <n v="1"/>
  </r>
  <r>
    <s v="SHP-31668"/>
    <d v="2024-01-27T00:00:00"/>
    <s v="South"/>
    <s v="Bengaluru"/>
    <s v="Regional Hub"/>
    <s v="Standard"/>
    <s v="Routing"/>
    <s v="Low"/>
    <n v="1"/>
    <n v="1"/>
    <n v="0"/>
    <s v="No"/>
    <n v="398"/>
    <n v="0"/>
    <n v="0"/>
    <n v="1"/>
    <s v="No"/>
    <s v="On Time"/>
    <n v="0"/>
    <n v="0"/>
    <n v="2024"/>
    <n v="1"/>
    <n v="0"/>
  </r>
  <r>
    <s v="SHP-31669"/>
    <d v="2024-09-07T00:00:00"/>
    <s v="South"/>
    <s v="Bengaluru"/>
    <s v="Central Hub"/>
    <s v="Standard"/>
    <s v="Routing"/>
    <s v="High"/>
    <n v="1"/>
    <n v="4"/>
    <n v="3"/>
    <s v="Yes"/>
    <n v="438"/>
    <n v="5043"/>
    <n v="12252"/>
    <n v="0"/>
    <s v="No"/>
    <s v="Major"/>
    <n v="4084"/>
    <n v="1681"/>
    <n v="2024"/>
    <n v="9"/>
    <n v="1"/>
  </r>
  <r>
    <s v="SHP-31670"/>
    <d v="2024-02-11T00:00:00"/>
    <s v="East"/>
    <s v="Bhubaneswar"/>
    <s v="Regional Hub"/>
    <s v="Critical"/>
    <s v="Weather"/>
    <s v="Medium"/>
    <n v="2"/>
    <n v="5"/>
    <n v="3"/>
    <s v="Yes"/>
    <n v="322"/>
    <n v="5277"/>
    <n v="14421"/>
    <n v="0"/>
    <s v="No"/>
    <s v="Major"/>
    <n v="4807"/>
    <n v="1759"/>
    <n v="2024"/>
    <n v="2"/>
    <n v="1"/>
  </r>
  <r>
    <s v="SHP-31671"/>
    <d v="2024-07-20T00:00:00"/>
    <s v="North"/>
    <s v="Noida"/>
    <s v="Regional Hub"/>
    <s v="Standard"/>
    <s v="System"/>
    <s v="High"/>
    <n v="1"/>
    <n v="9"/>
    <n v="8"/>
    <s v="Yes"/>
    <n v="87"/>
    <n v="13768"/>
    <n v="17704"/>
    <n v="0"/>
    <s v="No"/>
    <s v="Severe"/>
    <n v="2213"/>
    <n v="1721"/>
    <n v="2024"/>
    <n v="7"/>
    <n v="1"/>
  </r>
  <r>
    <s v="SHP-31672"/>
    <d v="2024-01-10T00:00:00"/>
    <s v="North"/>
    <s v="Noida"/>
    <s v="Central Hub"/>
    <s v="Standard"/>
    <s v="Documentation"/>
    <s v="High"/>
    <n v="2"/>
    <n v="5"/>
    <n v="3"/>
    <s v="Yes"/>
    <n v="187"/>
    <n v="2433"/>
    <n v="8994"/>
    <n v="0"/>
    <s v="No"/>
    <s v="Major"/>
    <n v="2998"/>
    <n v="811"/>
    <n v="2024"/>
    <n v="1"/>
    <n v="1"/>
  </r>
  <r>
    <s v="SHP-31673"/>
    <d v="2024-02-01T00:00:00"/>
    <s v="East"/>
    <s v="Kolkata"/>
    <s v="Local Hub"/>
    <s v="Standard"/>
    <s v="Weather"/>
    <s v="High"/>
    <n v="2"/>
    <n v="4"/>
    <n v="2"/>
    <s v="Yes"/>
    <n v="455"/>
    <n v="2100"/>
    <n v="7466"/>
    <n v="0"/>
    <s v="No"/>
    <s v="Minor"/>
    <n v="3733"/>
    <n v="1050"/>
    <n v="2024"/>
    <n v="2"/>
    <n v="1"/>
  </r>
  <r>
    <s v="SHP-31674"/>
    <d v="2024-08-30T00:00:00"/>
    <s v="West"/>
    <s v="Pune"/>
    <s v="Central Hub"/>
    <s v="Standard"/>
    <s v="Routing"/>
    <s v="Low"/>
    <n v="2"/>
    <n v="7"/>
    <n v="5"/>
    <s v="Yes"/>
    <n v="141"/>
    <n v="8780"/>
    <n v="9035"/>
    <n v="0"/>
    <s v="No"/>
    <s v="Major"/>
    <n v="1807"/>
    <n v="1756"/>
    <n v="2024"/>
    <n v="8"/>
    <n v="1"/>
  </r>
  <r>
    <s v="SHP-31675"/>
    <d v="2024-11-13T00:00:00"/>
    <s v="South"/>
    <s v="Bengaluru"/>
    <s v="Local Hub"/>
    <s v="Standard"/>
    <s v="Routing"/>
    <s v="Low"/>
    <n v="3"/>
    <n v="8"/>
    <n v="5"/>
    <s v="Yes"/>
    <n v="351"/>
    <n v="6610"/>
    <n v="19835"/>
    <n v="0"/>
    <s v="No"/>
    <s v="Major"/>
    <n v="3967"/>
    <n v="1322"/>
    <n v="2024"/>
    <n v="11"/>
    <n v="1"/>
  </r>
  <r>
    <s v="SHP-31676"/>
    <d v="2024-09-02T00:00:00"/>
    <s v="West"/>
    <s v="Pune"/>
    <s v="Central Hub"/>
    <s v="Standard"/>
    <s v="Routing"/>
    <s v="Low"/>
    <n v="2"/>
    <n v="2"/>
    <n v="0"/>
    <s v="No"/>
    <n v="305"/>
    <n v="0"/>
    <n v="0"/>
    <n v="1"/>
    <s v="No"/>
    <s v="On Time"/>
    <n v="0"/>
    <n v="0"/>
    <n v="2024"/>
    <n v="9"/>
    <n v="0"/>
  </r>
  <r>
    <s v="SHP-31677"/>
    <d v="2024-11-27T00:00:00"/>
    <s v="South"/>
    <s v="Chennai"/>
    <s v="Central Hub"/>
    <s v="Standard"/>
    <s v="Documentation"/>
    <s v="Medium"/>
    <n v="3"/>
    <n v="7"/>
    <n v="4"/>
    <s v="Yes"/>
    <n v="413"/>
    <n v="6728"/>
    <n v="18680"/>
    <n v="0"/>
    <s v="No"/>
    <s v="Major"/>
    <n v="4670"/>
    <n v="1682"/>
    <n v="2024"/>
    <n v="11"/>
    <n v="1"/>
  </r>
  <r>
    <s v="SHP-31678"/>
    <d v="2024-08-27T00:00:00"/>
    <s v="South"/>
    <s v="Bengaluru"/>
    <s v="Regional Hub"/>
    <s v="Standard"/>
    <s v="Capacity"/>
    <s v="Low"/>
    <n v="2"/>
    <n v="4"/>
    <n v="2"/>
    <s v="Yes"/>
    <n v="165"/>
    <n v="4360"/>
    <n v="9866"/>
    <n v="0"/>
    <s v="No"/>
    <s v="Minor"/>
    <n v="4933"/>
    <n v="2180"/>
    <n v="2024"/>
    <n v="8"/>
    <n v="1"/>
  </r>
  <r>
    <s v="SHP-31679"/>
    <d v="2024-12-24T00:00:00"/>
    <s v="West"/>
    <s v="Mumbai"/>
    <s v="Central Hub"/>
    <s v="Standard"/>
    <s v="Weather"/>
    <s v="Low"/>
    <n v="2"/>
    <n v="6"/>
    <n v="4"/>
    <s v="Yes"/>
    <n v="376"/>
    <n v="7480"/>
    <n v="13052"/>
    <n v="0"/>
    <s v="No"/>
    <s v="Major"/>
    <n v="3263"/>
    <n v="1870"/>
    <n v="2024"/>
    <n v="12"/>
    <n v="1"/>
  </r>
  <r>
    <s v="SHP-31680"/>
    <d v="2024-12-13T00:00:00"/>
    <s v="West"/>
    <s v="Pune"/>
    <s v="Regional Hub"/>
    <s v="Standard"/>
    <s v="Routing"/>
    <s v="Low"/>
    <n v="1"/>
    <n v="6"/>
    <n v="5"/>
    <s v="Yes"/>
    <n v="469"/>
    <n v="6885"/>
    <n v="15320"/>
    <n v="0"/>
    <s v="No"/>
    <s v="Major"/>
    <n v="3064"/>
    <n v="1377"/>
    <n v="2024"/>
    <n v="12"/>
    <n v="1"/>
  </r>
  <r>
    <s v="SHP-31681"/>
    <d v="2024-06-07T00:00:00"/>
    <s v="North"/>
    <s v="Noida"/>
    <s v="Local Hub"/>
    <s v="Express"/>
    <s v="Capacity"/>
    <s v="Medium"/>
    <n v="3"/>
    <n v="6"/>
    <n v="3"/>
    <s v="Yes"/>
    <n v="84"/>
    <n v="3681"/>
    <n v="14277"/>
    <n v="0"/>
    <s v="No"/>
    <s v="Major"/>
    <n v="4759"/>
    <n v="1227"/>
    <n v="2024"/>
    <n v="6"/>
    <n v="1"/>
  </r>
  <r>
    <s v="SHP-31682"/>
    <d v="2024-05-31T00:00:00"/>
    <s v="South"/>
    <s v="Bengaluru"/>
    <s v="Central Hub"/>
    <s v="Express"/>
    <s v="System"/>
    <s v="Low"/>
    <n v="2"/>
    <n v="7"/>
    <n v="5"/>
    <s v="Yes"/>
    <n v="155"/>
    <n v="7545"/>
    <n v="21980"/>
    <n v="0"/>
    <s v="No"/>
    <s v="Major"/>
    <n v="4396"/>
    <n v="1509"/>
    <n v="2024"/>
    <n v="5"/>
    <n v="1"/>
  </r>
  <r>
    <s v="SHP-31683"/>
    <d v="2024-07-29T00:00:00"/>
    <s v="East"/>
    <s v="Kolkata"/>
    <s v="Central Hub"/>
    <s v="Critical"/>
    <s v="Capacity"/>
    <s v="Low"/>
    <n v="3"/>
    <n v="8"/>
    <n v="5"/>
    <s v="Yes"/>
    <n v="467"/>
    <n v="8190"/>
    <n v="24525"/>
    <n v="0"/>
    <s v="No"/>
    <s v="Major"/>
    <n v="4905"/>
    <n v="1638"/>
    <n v="2024"/>
    <n v="7"/>
    <n v="1"/>
  </r>
  <r>
    <s v="SHP-31684"/>
    <d v="2024-07-01T00:00:00"/>
    <s v="South"/>
    <s v="Chennai"/>
    <s v="Central Hub"/>
    <s v="Critical"/>
    <s v="Documentation"/>
    <s v="Medium"/>
    <n v="2"/>
    <n v="7"/>
    <n v="5"/>
    <s v="Yes"/>
    <n v="271"/>
    <n v="10490"/>
    <n v="22570"/>
    <n v="0"/>
    <s v="No"/>
    <s v="Major"/>
    <n v="4514"/>
    <n v="2098"/>
    <n v="2024"/>
    <n v="7"/>
    <n v="1"/>
  </r>
  <r>
    <s v="SHP-31685"/>
    <d v="2024-10-03T00:00:00"/>
    <s v="West"/>
    <s v="Pune"/>
    <s v="Local Hub"/>
    <s v="Standard"/>
    <s v="Routing"/>
    <s v="Low"/>
    <n v="1"/>
    <n v="4"/>
    <n v="3"/>
    <s v="Yes"/>
    <n v="444"/>
    <n v="4719"/>
    <n v="14310"/>
    <n v="0"/>
    <s v="No"/>
    <s v="Major"/>
    <n v="4770"/>
    <n v="1573"/>
    <n v="2024"/>
    <n v="10"/>
    <n v="1"/>
  </r>
  <r>
    <s v="SHP-31686"/>
    <d v="2024-11-08T00:00:00"/>
    <s v="South"/>
    <s v="Chennai"/>
    <s v="Regional Hub"/>
    <s v="Express"/>
    <s v="System"/>
    <s v="High"/>
    <n v="2"/>
    <n v="10"/>
    <n v="8"/>
    <s v="Yes"/>
    <n v="137"/>
    <n v="12144"/>
    <n v="14344"/>
    <n v="0"/>
    <s v="No"/>
    <s v="Severe"/>
    <n v="1793"/>
    <n v="1518"/>
    <n v="2024"/>
    <n v="11"/>
    <n v="1"/>
  </r>
  <r>
    <s v="SHP-31687"/>
    <d v="2024-02-06T00:00:00"/>
    <s v="West"/>
    <s v="Pune"/>
    <s v="Regional Hub"/>
    <s v="Standard"/>
    <s v="Routing"/>
    <s v="High"/>
    <n v="2"/>
    <n v="9"/>
    <n v="7"/>
    <s v="Yes"/>
    <n v="92"/>
    <n v="16072"/>
    <n v="23296"/>
    <n v="0"/>
    <s v="No"/>
    <s v="Severe"/>
    <n v="3328"/>
    <n v="2296"/>
    <n v="2024"/>
    <n v="2"/>
    <n v="1"/>
  </r>
  <r>
    <s v="SHP-31688"/>
    <d v="2024-09-20T00:00:00"/>
    <s v="West"/>
    <s v="Mumbai"/>
    <s v="Regional Hub"/>
    <s v="Standard"/>
    <s v="Capacity"/>
    <s v="High"/>
    <n v="2"/>
    <n v="5"/>
    <n v="3"/>
    <s v="Yes"/>
    <n v="308"/>
    <n v="5766"/>
    <n v="13557"/>
    <n v="0"/>
    <s v="No"/>
    <s v="Major"/>
    <n v="4519"/>
    <n v="1922"/>
    <n v="2024"/>
    <n v="9"/>
    <n v="1"/>
  </r>
  <r>
    <s v="SHP-31689"/>
    <d v="2024-05-23T00:00:00"/>
    <s v="West"/>
    <s v="Pune"/>
    <s v="Regional Hub"/>
    <s v="Standard"/>
    <s v="Capacity"/>
    <s v="High"/>
    <n v="2"/>
    <n v="5"/>
    <n v="3"/>
    <s v="Yes"/>
    <n v="301"/>
    <n v="4311"/>
    <n v="13968"/>
    <n v="0"/>
    <s v="No"/>
    <s v="Major"/>
    <n v="4656"/>
    <n v="1437"/>
    <n v="2024"/>
    <n v="5"/>
    <n v="1"/>
  </r>
  <r>
    <s v="SHP-31690"/>
    <d v="2024-05-13T00:00:00"/>
    <s v="West"/>
    <s v="Pune"/>
    <s v="Regional Hub"/>
    <s v="Standard"/>
    <s v="Capacity"/>
    <s v="Medium"/>
    <n v="2"/>
    <n v="3"/>
    <n v="1"/>
    <s v="Yes"/>
    <n v="211"/>
    <n v="1377"/>
    <n v="1972"/>
    <n v="0"/>
    <s v="No"/>
    <s v="Minor"/>
    <n v="1972"/>
    <n v="1377"/>
    <n v="2024"/>
    <n v="5"/>
    <n v="1"/>
  </r>
  <r>
    <s v="SHP-31691"/>
    <d v="2024-08-21T00:00:00"/>
    <s v="North"/>
    <s v="Delhi"/>
    <s v="Local Hub"/>
    <s v="Standard"/>
    <s v="Capacity"/>
    <s v="High"/>
    <n v="1"/>
    <n v="5"/>
    <n v="4"/>
    <s v="Yes"/>
    <n v="178"/>
    <n v="3960"/>
    <n v="10292"/>
    <n v="0"/>
    <s v="No"/>
    <s v="Major"/>
    <n v="2573"/>
    <n v="990"/>
    <n v="2024"/>
    <n v="8"/>
    <n v="1"/>
  </r>
  <r>
    <s v="SHP-31692"/>
    <d v="2024-03-28T00:00:00"/>
    <s v="South"/>
    <s v="Chennai"/>
    <s v="Regional Hub"/>
    <s v="Standard"/>
    <s v="Weather"/>
    <s v="Medium"/>
    <n v="2"/>
    <n v="3"/>
    <n v="1"/>
    <s v="Yes"/>
    <n v="117"/>
    <n v="2097"/>
    <n v="2214"/>
    <n v="0"/>
    <s v="No"/>
    <s v="Minor"/>
    <n v="2214"/>
    <n v="2097"/>
    <n v="2024"/>
    <n v="3"/>
    <n v="1"/>
  </r>
  <r>
    <s v="SHP-31693"/>
    <d v="2024-11-24T00:00:00"/>
    <s v="North"/>
    <s v="Noida"/>
    <s v="Central Hub"/>
    <s v="Standard"/>
    <s v="Weather"/>
    <s v="Low"/>
    <n v="5"/>
    <n v="9"/>
    <n v="4"/>
    <s v="Yes"/>
    <n v="453"/>
    <n v="5716"/>
    <n v="14136"/>
    <n v="0"/>
    <s v="No"/>
    <s v="Major"/>
    <n v="3534"/>
    <n v="1429"/>
    <n v="2024"/>
    <n v="11"/>
    <n v="1"/>
  </r>
  <r>
    <s v="SHP-31694"/>
    <d v="2024-06-17T00:00:00"/>
    <s v="West"/>
    <s v="Mumbai"/>
    <s v="Local Hub"/>
    <s v="Standard"/>
    <s v="Capacity"/>
    <s v="Medium"/>
    <n v="1"/>
    <n v="1"/>
    <n v="0"/>
    <s v="No"/>
    <n v="190"/>
    <n v="0"/>
    <n v="0"/>
    <n v="1"/>
    <s v="No"/>
    <s v="On Time"/>
    <n v="0"/>
    <n v="0"/>
    <n v="2024"/>
    <n v="6"/>
    <n v="0"/>
  </r>
  <r>
    <s v="SHP-31695"/>
    <d v="2024-10-12T00:00:00"/>
    <s v="West"/>
    <s v="Mumbai"/>
    <s v="Central Hub"/>
    <s v="Standard"/>
    <s v="Weather"/>
    <s v="High"/>
    <n v="1"/>
    <n v="8"/>
    <n v="7"/>
    <s v="Yes"/>
    <n v="260"/>
    <n v="9422"/>
    <n v="26670"/>
    <n v="0"/>
    <s v="No"/>
    <s v="Severe"/>
    <n v="3810"/>
    <n v="1346"/>
    <n v="2024"/>
    <n v="10"/>
    <n v="1"/>
  </r>
  <r>
    <s v="SHP-31696"/>
    <d v="2024-11-05T00:00:00"/>
    <s v="West"/>
    <s v="Mumbai"/>
    <s v="Regional Hub"/>
    <s v="Standard"/>
    <s v="Routing"/>
    <s v="Low"/>
    <n v="2"/>
    <n v="7"/>
    <n v="5"/>
    <s v="Yes"/>
    <n v="137"/>
    <n v="9545"/>
    <n v="23220"/>
    <n v="0"/>
    <s v="No"/>
    <s v="Major"/>
    <n v="4644"/>
    <n v="1909"/>
    <n v="2024"/>
    <n v="11"/>
    <n v="1"/>
  </r>
  <r>
    <s v="SHP-31697"/>
    <d v="2024-08-04T00:00:00"/>
    <s v="West"/>
    <s v="Mumbai"/>
    <s v="Central Hub"/>
    <s v="Standard"/>
    <s v="Weather"/>
    <s v="Low"/>
    <n v="2"/>
    <n v="2"/>
    <n v="0"/>
    <s v="No"/>
    <n v="283"/>
    <n v="0"/>
    <n v="0"/>
    <n v="1"/>
    <s v="No"/>
    <s v="On Time"/>
    <n v="0"/>
    <n v="0"/>
    <n v="2024"/>
    <n v="8"/>
    <n v="0"/>
  </r>
  <r>
    <s v="SHP-31698"/>
    <d v="2024-06-14T00:00:00"/>
    <s v="North"/>
    <s v="Noida"/>
    <s v="Central Hub"/>
    <s v="Standard"/>
    <s v="Weather"/>
    <s v="Low"/>
    <n v="2"/>
    <n v="3"/>
    <n v="1"/>
    <s v="Yes"/>
    <n v="329"/>
    <n v="1925"/>
    <n v="4466"/>
    <n v="0"/>
    <s v="No"/>
    <s v="Minor"/>
    <n v="4466"/>
    <n v="1925"/>
    <n v="2024"/>
    <n v="6"/>
    <n v="1"/>
  </r>
  <r>
    <s v="SHP-31699"/>
    <d v="2024-07-26T00:00:00"/>
    <s v="North"/>
    <s v="Noida"/>
    <s v="Regional Hub"/>
    <s v="Standard"/>
    <s v="System"/>
    <s v="High"/>
    <n v="2"/>
    <n v="4"/>
    <n v="2"/>
    <s v="Yes"/>
    <n v="92"/>
    <n v="3958"/>
    <n v="6468"/>
    <n v="0"/>
    <s v="No"/>
    <s v="Minor"/>
    <n v="3234"/>
    <n v="1979"/>
    <n v="2024"/>
    <n v="7"/>
    <n v="1"/>
  </r>
  <r>
    <s v="SHP-31700"/>
    <d v="2024-10-14T00:00:00"/>
    <s v="East"/>
    <s v="Bhubaneswar"/>
    <s v="Local Hub"/>
    <s v="Standard"/>
    <s v="System"/>
    <s v="Medium"/>
    <n v="1"/>
    <n v="2"/>
    <n v="1"/>
    <s v="Yes"/>
    <n v="354"/>
    <n v="1481"/>
    <n v="3598"/>
    <n v="0"/>
    <s v="No"/>
    <s v="Minor"/>
    <n v="3598"/>
    <n v="1481"/>
    <n v="2024"/>
    <n v="10"/>
    <n v="1"/>
  </r>
  <r>
    <s v="SHP-31701"/>
    <d v="2024-12-06T00:00:00"/>
    <s v="North"/>
    <s v="Delhi"/>
    <s v="Central Hub"/>
    <s v="Standard"/>
    <s v="Capacity"/>
    <s v="Low"/>
    <n v="2"/>
    <n v="5"/>
    <n v="3"/>
    <s v="Yes"/>
    <n v="284"/>
    <n v="3210"/>
    <n v="11685"/>
    <n v="0"/>
    <s v="No"/>
    <s v="Major"/>
    <n v="3895"/>
    <n v="1070"/>
    <n v="2024"/>
    <n v="12"/>
    <n v="1"/>
  </r>
  <r>
    <s v="SHP-31702"/>
    <d v="2024-05-05T00:00:00"/>
    <s v="North"/>
    <s v="Delhi"/>
    <s v="Central Hub"/>
    <s v="Express"/>
    <s v="Capacity"/>
    <s v="High"/>
    <n v="1"/>
    <n v="7"/>
    <n v="6"/>
    <s v="Yes"/>
    <n v="164"/>
    <n v="7362"/>
    <n v="22764"/>
    <n v="0"/>
    <s v="No"/>
    <s v="Severe"/>
    <n v="3794"/>
    <n v="1227"/>
    <n v="2024"/>
    <n v="5"/>
    <n v="1"/>
  </r>
  <r>
    <s v="SHP-31703"/>
    <d v="2024-06-08T00:00:00"/>
    <s v="West"/>
    <s v="Pune"/>
    <s v="Local Hub"/>
    <s v="Standard"/>
    <s v="Documentation"/>
    <s v="Medium"/>
    <n v="2"/>
    <n v="3"/>
    <n v="1"/>
    <s v="Yes"/>
    <n v="347"/>
    <n v="1423"/>
    <n v="3605"/>
    <n v="0"/>
    <s v="No"/>
    <s v="Minor"/>
    <n v="3605"/>
    <n v="1423"/>
    <n v="2024"/>
    <n v="6"/>
    <n v="1"/>
  </r>
  <r>
    <s v="SHP-31704"/>
    <d v="2024-08-19T00:00:00"/>
    <s v="East"/>
    <s v="Bhubaneswar"/>
    <s v="Regional Hub"/>
    <s v="Express"/>
    <s v="Capacity"/>
    <s v="Low"/>
    <n v="2"/>
    <n v="4"/>
    <n v="2"/>
    <s v="Yes"/>
    <n v="497"/>
    <n v="4470"/>
    <n v="3162"/>
    <n v="0"/>
    <s v="No"/>
    <s v="Minor"/>
    <n v="1581"/>
    <n v="2235"/>
    <n v="2024"/>
    <n v="8"/>
    <n v="1"/>
  </r>
  <r>
    <s v="SHP-31705"/>
    <d v="2024-10-19T00:00:00"/>
    <s v="North"/>
    <s v="Delhi"/>
    <s v="Central Hub"/>
    <s v="Express"/>
    <s v="System"/>
    <s v="High"/>
    <n v="2"/>
    <n v="6"/>
    <n v="4"/>
    <s v="Yes"/>
    <n v="172"/>
    <n v="8240"/>
    <n v="18312"/>
    <n v="0"/>
    <s v="No"/>
    <s v="Major"/>
    <n v="4578"/>
    <n v="2060"/>
    <n v="2024"/>
    <n v="10"/>
    <n v="1"/>
  </r>
  <r>
    <s v="SHP-31706"/>
    <d v="2024-09-29T00:00:00"/>
    <s v="West"/>
    <s v="Pune"/>
    <s v="Central Hub"/>
    <s v="Express"/>
    <s v="Weather"/>
    <s v="Medium"/>
    <n v="1"/>
    <n v="4"/>
    <n v="3"/>
    <s v="Yes"/>
    <n v="265"/>
    <n v="3123"/>
    <n v="9543"/>
    <n v="0"/>
    <s v="No"/>
    <s v="Major"/>
    <n v="3181"/>
    <n v="1041"/>
    <n v="2024"/>
    <n v="9"/>
    <n v="1"/>
  </r>
  <r>
    <s v="SHP-31707"/>
    <d v="2024-08-11T00:00:00"/>
    <s v="East"/>
    <s v="Bhubaneswar"/>
    <s v="Regional Hub"/>
    <s v="Express"/>
    <s v="System"/>
    <s v="High"/>
    <n v="3"/>
    <n v="5"/>
    <n v="2"/>
    <s v="Yes"/>
    <n v="372"/>
    <n v="3988"/>
    <n v="5346"/>
    <n v="0"/>
    <s v="No"/>
    <s v="Minor"/>
    <n v="2673"/>
    <n v="1994"/>
    <n v="2024"/>
    <n v="8"/>
    <n v="1"/>
  </r>
  <r>
    <s v="SHP-31708"/>
    <d v="2024-04-20T00:00:00"/>
    <s v="South"/>
    <s v="Chennai"/>
    <s v="Local Hub"/>
    <s v="Critical"/>
    <s v="Weather"/>
    <s v="Low"/>
    <n v="2"/>
    <n v="8"/>
    <n v="6"/>
    <s v="Yes"/>
    <n v="480"/>
    <n v="10560"/>
    <n v="13728"/>
    <n v="0"/>
    <s v="No"/>
    <s v="Severe"/>
    <n v="2288"/>
    <n v="1760"/>
    <n v="2024"/>
    <n v="4"/>
    <n v="1"/>
  </r>
  <r>
    <s v="SHP-31709"/>
    <d v="2024-03-28T00:00:00"/>
    <s v="East"/>
    <s v="Bhubaneswar"/>
    <s v="Local Hub"/>
    <s v="Critical"/>
    <s v="Routing"/>
    <s v="Low"/>
    <n v="3"/>
    <n v="7"/>
    <n v="4"/>
    <s v="Yes"/>
    <n v="332"/>
    <n v="8292"/>
    <n v="9964"/>
    <n v="0"/>
    <s v="No"/>
    <s v="Major"/>
    <n v="2491"/>
    <n v="2073"/>
    <n v="2024"/>
    <n v="3"/>
    <n v="1"/>
  </r>
  <r>
    <s v="SHP-31710"/>
    <d v="2024-09-13T00:00:00"/>
    <s v="East"/>
    <s v="Kolkata"/>
    <s v="Local Hub"/>
    <s v="Standard"/>
    <s v="Routing"/>
    <s v="Low"/>
    <n v="2"/>
    <n v="5"/>
    <n v="3"/>
    <s v="Yes"/>
    <n v="64"/>
    <n v="5223"/>
    <n v="11454"/>
    <n v="0"/>
    <s v="No"/>
    <s v="Major"/>
    <n v="3818"/>
    <n v="1741"/>
    <n v="2024"/>
    <n v="9"/>
    <n v="1"/>
  </r>
  <r>
    <s v="SHP-31711"/>
    <d v="2024-02-14T00:00:00"/>
    <s v="West"/>
    <s v="Mumbai"/>
    <s v="Regional Hub"/>
    <s v="Critical"/>
    <s v="Routing"/>
    <s v="Low"/>
    <n v="2"/>
    <n v="6"/>
    <n v="4"/>
    <s v="Yes"/>
    <n v="164"/>
    <n v="7504"/>
    <n v="9008"/>
    <n v="0"/>
    <s v="No"/>
    <s v="Major"/>
    <n v="2252"/>
    <n v="1876"/>
    <n v="2024"/>
    <n v="2"/>
    <n v="1"/>
  </r>
  <r>
    <s v="SHP-31712"/>
    <d v="2024-11-15T00:00:00"/>
    <s v="North"/>
    <s v="Noida"/>
    <s v="Regional Hub"/>
    <s v="Standard"/>
    <s v="Routing"/>
    <s v="Low"/>
    <n v="3"/>
    <n v="5"/>
    <n v="2"/>
    <s v="Yes"/>
    <n v="463"/>
    <n v="2286"/>
    <n v="5476"/>
    <n v="0"/>
    <s v="No"/>
    <s v="Minor"/>
    <n v="2738"/>
    <n v="1143"/>
    <n v="2024"/>
    <n v="11"/>
    <n v="1"/>
  </r>
  <r>
    <s v="SHP-31713"/>
    <d v="2024-04-15T00:00:00"/>
    <s v="North"/>
    <s v="Delhi"/>
    <s v="Regional Hub"/>
    <s v="Standard"/>
    <s v="Documentation"/>
    <s v="Low"/>
    <n v="2"/>
    <n v="4"/>
    <n v="2"/>
    <s v="Yes"/>
    <n v="359"/>
    <n v="4592"/>
    <n v="6014"/>
    <n v="0"/>
    <s v="No"/>
    <s v="Minor"/>
    <n v="3007"/>
    <n v="2296"/>
    <n v="2024"/>
    <n v="4"/>
    <n v="1"/>
  </r>
  <r>
    <s v="SHP-31714"/>
    <d v="2024-10-12T00:00:00"/>
    <s v="East"/>
    <s v="Kolkata"/>
    <s v="Local Hub"/>
    <s v="Standard"/>
    <s v="Routing"/>
    <s v="Medium"/>
    <n v="3"/>
    <n v="6"/>
    <n v="3"/>
    <s v="Yes"/>
    <n v="316"/>
    <n v="6081"/>
    <n v="8955"/>
    <n v="0"/>
    <s v="No"/>
    <s v="Major"/>
    <n v="2985"/>
    <n v="2027"/>
    <n v="2024"/>
    <n v="10"/>
    <n v="1"/>
  </r>
  <r>
    <s v="SHP-31715"/>
    <d v="2024-04-28T00:00:00"/>
    <s v="South"/>
    <s v="Bengaluru"/>
    <s v="Central Hub"/>
    <s v="Express"/>
    <s v="Weather"/>
    <s v="High"/>
    <n v="1"/>
    <n v="6"/>
    <n v="5"/>
    <s v="Yes"/>
    <n v="320"/>
    <n v="11650"/>
    <n v="24680"/>
    <n v="0"/>
    <s v="No"/>
    <s v="Major"/>
    <n v="4936"/>
    <n v="2330"/>
    <n v="2024"/>
    <n v="4"/>
    <n v="1"/>
  </r>
  <r>
    <s v="SHP-31716"/>
    <d v="2024-08-13T00:00:00"/>
    <s v="South"/>
    <s v="Chennai"/>
    <s v="Local Hub"/>
    <s v="Express"/>
    <s v="Weather"/>
    <s v="Low"/>
    <n v="2"/>
    <n v="5"/>
    <n v="3"/>
    <s v="Yes"/>
    <n v="457"/>
    <n v="5091"/>
    <n v="14997"/>
    <n v="0"/>
    <s v="No"/>
    <s v="Major"/>
    <n v="4999"/>
    <n v="1697"/>
    <n v="2024"/>
    <n v="8"/>
    <n v="1"/>
  </r>
  <r>
    <s v="SHP-31717"/>
    <d v="2024-04-15T00:00:00"/>
    <s v="North"/>
    <s v="Delhi"/>
    <s v="Central Hub"/>
    <s v="Express"/>
    <s v="System"/>
    <s v="Medium"/>
    <n v="1"/>
    <n v="6"/>
    <n v="5"/>
    <s v="Yes"/>
    <n v="441"/>
    <n v="6605"/>
    <n v="14790"/>
    <n v="0"/>
    <s v="No"/>
    <s v="Major"/>
    <n v="2958"/>
    <n v="1321"/>
    <n v="2024"/>
    <n v="4"/>
    <n v="1"/>
  </r>
  <r>
    <s v="SHP-31718"/>
    <d v="2024-05-19T00:00:00"/>
    <s v="East"/>
    <s v="Kolkata"/>
    <s v="Regional Hub"/>
    <s v="Standard"/>
    <s v="Capacity"/>
    <s v="Low"/>
    <n v="3"/>
    <n v="6"/>
    <n v="3"/>
    <s v="Yes"/>
    <n v="485"/>
    <n v="3843"/>
    <n v="6324"/>
    <n v="0"/>
    <s v="No"/>
    <s v="Major"/>
    <n v="2108"/>
    <n v="1281"/>
    <n v="2024"/>
    <n v="5"/>
    <n v="1"/>
  </r>
  <r>
    <s v="SHP-31719"/>
    <d v="2024-09-19T00:00:00"/>
    <s v="South"/>
    <s v="Chennai"/>
    <s v="Local Hub"/>
    <s v="Standard"/>
    <s v="Documentation"/>
    <s v="Medium"/>
    <n v="5"/>
    <n v="9"/>
    <n v="4"/>
    <s v="Yes"/>
    <n v="113"/>
    <n v="7316"/>
    <n v="17992"/>
    <n v="0"/>
    <s v="No"/>
    <s v="Major"/>
    <n v="4498"/>
    <n v="1829"/>
    <n v="2024"/>
    <n v="9"/>
    <n v="1"/>
  </r>
  <r>
    <s v="SHP-31720"/>
    <d v="2024-11-28T00:00:00"/>
    <s v="West"/>
    <s v="Pune"/>
    <s v="Regional Hub"/>
    <s v="Express"/>
    <s v="Capacity"/>
    <s v="Medium"/>
    <n v="3"/>
    <n v="8"/>
    <n v="5"/>
    <s v="Yes"/>
    <n v="120"/>
    <n v="11175"/>
    <n v="13260"/>
    <n v="0"/>
    <s v="No"/>
    <s v="Major"/>
    <n v="2652"/>
    <n v="2235"/>
    <n v="2024"/>
    <n v="11"/>
    <n v="1"/>
  </r>
  <r>
    <s v="SHP-31721"/>
    <d v="2024-09-08T00:00:00"/>
    <s v="South"/>
    <s v="Bengaluru"/>
    <s v="Local Hub"/>
    <s v="Standard"/>
    <s v="System"/>
    <s v="Low"/>
    <n v="1"/>
    <n v="5"/>
    <n v="4"/>
    <s v="Yes"/>
    <n v="332"/>
    <n v="7200"/>
    <n v="13504"/>
    <n v="0"/>
    <s v="No"/>
    <s v="Major"/>
    <n v="3376"/>
    <n v="1800"/>
    <n v="2024"/>
    <n v="9"/>
    <n v="1"/>
  </r>
  <r>
    <s v="SHP-31722"/>
    <d v="2024-08-10T00:00:00"/>
    <s v="East"/>
    <s v="Bhubaneswar"/>
    <s v="Local Hub"/>
    <s v="Standard"/>
    <s v="Capacity"/>
    <s v="Medium"/>
    <n v="2"/>
    <n v="4"/>
    <n v="2"/>
    <s v="Yes"/>
    <n v="311"/>
    <n v="2932"/>
    <n v="4000"/>
    <n v="0"/>
    <s v="No"/>
    <s v="Minor"/>
    <n v="2000"/>
    <n v="1466"/>
    <n v="2024"/>
    <n v="8"/>
    <n v="1"/>
  </r>
  <r>
    <s v="SHP-31723"/>
    <d v="2024-09-27T00:00:00"/>
    <s v="South"/>
    <s v="Chennai"/>
    <s v="Central Hub"/>
    <s v="Standard"/>
    <s v="Capacity"/>
    <s v="Medium"/>
    <n v="3"/>
    <n v="3"/>
    <n v="0"/>
    <s v="No"/>
    <n v="437"/>
    <n v="0"/>
    <n v="0"/>
    <n v="1"/>
    <s v="No"/>
    <s v="On Time"/>
    <n v="0"/>
    <n v="0"/>
    <n v="2024"/>
    <n v="9"/>
    <n v="0"/>
  </r>
  <r>
    <s v="SHP-31724"/>
    <d v="2024-02-29T00:00:00"/>
    <s v="North"/>
    <s v="Noida"/>
    <s v="Regional Hub"/>
    <s v="Express"/>
    <s v="Capacity"/>
    <s v="Medium"/>
    <n v="2"/>
    <n v="4"/>
    <n v="2"/>
    <s v="Yes"/>
    <n v="260"/>
    <n v="2264"/>
    <n v="9804"/>
    <n v="0"/>
    <s v="No"/>
    <s v="Minor"/>
    <n v="4902"/>
    <n v="1132"/>
    <n v="2024"/>
    <n v="2"/>
    <n v="1"/>
  </r>
  <r>
    <s v="SHP-31725"/>
    <d v="2024-01-15T00:00:00"/>
    <s v="East"/>
    <s v="Bhubaneswar"/>
    <s v="Regional Hub"/>
    <s v="Express"/>
    <s v="Weather"/>
    <s v="Medium"/>
    <n v="1"/>
    <n v="6"/>
    <n v="5"/>
    <s v="Yes"/>
    <n v="482"/>
    <n v="8455"/>
    <n v="8210"/>
    <n v="0"/>
    <s v="No"/>
    <s v="Major"/>
    <n v="1642"/>
    <n v="1691"/>
    <n v="2024"/>
    <n v="1"/>
    <n v="1"/>
  </r>
  <r>
    <s v="SHP-31726"/>
    <d v="2024-03-24T00:00:00"/>
    <s v="North"/>
    <s v="Delhi"/>
    <s v="Central Hub"/>
    <s v="Standard"/>
    <s v="Capacity"/>
    <s v="Low"/>
    <n v="2"/>
    <n v="2"/>
    <n v="0"/>
    <s v="No"/>
    <n v="415"/>
    <n v="0"/>
    <n v="0"/>
    <n v="1"/>
    <s v="No"/>
    <s v="On Time"/>
    <n v="0"/>
    <n v="0"/>
    <n v="2024"/>
    <n v="3"/>
    <n v="0"/>
  </r>
  <r>
    <s v="SHP-31727"/>
    <d v="2024-06-17T00:00:00"/>
    <s v="South"/>
    <s v="Chennai"/>
    <s v="Local Hub"/>
    <s v="Standard"/>
    <s v="Weather"/>
    <s v="Low"/>
    <n v="3"/>
    <n v="3"/>
    <n v="0"/>
    <s v="No"/>
    <n v="234"/>
    <n v="0"/>
    <n v="0"/>
    <n v="1"/>
    <s v="No"/>
    <s v="On Time"/>
    <n v="0"/>
    <n v="0"/>
    <n v="2024"/>
    <n v="6"/>
    <n v="0"/>
  </r>
  <r>
    <s v="SHP-31728"/>
    <d v="2024-12-12T00:00:00"/>
    <s v="West"/>
    <s v="Mumbai"/>
    <s v="Central Hub"/>
    <s v="Standard"/>
    <s v="Weather"/>
    <s v="Medium"/>
    <n v="2"/>
    <n v="3"/>
    <n v="1"/>
    <s v="Yes"/>
    <n v="172"/>
    <n v="1667"/>
    <n v="3525"/>
    <n v="0"/>
    <s v="No"/>
    <s v="Minor"/>
    <n v="3525"/>
    <n v="1667"/>
    <n v="2024"/>
    <n v="12"/>
    <n v="1"/>
  </r>
  <r>
    <s v="SHP-31729"/>
    <d v="2024-05-30T00:00:00"/>
    <s v="West"/>
    <s v="Mumbai"/>
    <s v="Regional Hub"/>
    <s v="Standard"/>
    <s v="Weather"/>
    <s v="Low"/>
    <n v="1"/>
    <n v="4"/>
    <n v="3"/>
    <s v="Yes"/>
    <n v="298"/>
    <n v="5031"/>
    <n v="11763"/>
    <n v="0"/>
    <s v="No"/>
    <s v="Major"/>
    <n v="3921"/>
    <n v="1677"/>
    <n v="2024"/>
    <n v="5"/>
    <n v="1"/>
  </r>
  <r>
    <s v="SHP-31730"/>
    <d v="2024-10-22T00:00:00"/>
    <s v="East"/>
    <s v="Kolkata"/>
    <s v="Central Hub"/>
    <s v="Standard"/>
    <s v="Routing"/>
    <s v="Low"/>
    <n v="3"/>
    <n v="3"/>
    <n v="0"/>
    <s v="No"/>
    <n v="491"/>
    <n v="0"/>
    <n v="0"/>
    <n v="1"/>
    <s v="No"/>
    <s v="On Time"/>
    <n v="0"/>
    <n v="0"/>
    <n v="2024"/>
    <n v="10"/>
    <n v="0"/>
  </r>
  <r>
    <s v="SHP-31731"/>
    <d v="2024-07-13T00:00:00"/>
    <s v="North"/>
    <s v="Delhi"/>
    <s v="Central Hub"/>
    <s v="Express"/>
    <s v="Documentation"/>
    <s v="Low"/>
    <n v="2"/>
    <n v="4"/>
    <n v="2"/>
    <s v="Yes"/>
    <n v="419"/>
    <n v="3466"/>
    <n v="5506"/>
    <n v="0"/>
    <s v="No"/>
    <s v="Minor"/>
    <n v="2753"/>
    <n v="1733"/>
    <n v="2024"/>
    <n v="7"/>
    <n v="1"/>
  </r>
  <r>
    <s v="SHP-31732"/>
    <d v="2024-11-24T00:00:00"/>
    <s v="South"/>
    <s v="Chennai"/>
    <s v="Central Hub"/>
    <s v="Standard"/>
    <s v="Weather"/>
    <s v="High"/>
    <n v="1"/>
    <n v="4"/>
    <n v="3"/>
    <s v="Yes"/>
    <n v="456"/>
    <n v="3744"/>
    <n v="4638"/>
    <n v="0"/>
    <s v="No"/>
    <s v="Major"/>
    <n v="1546"/>
    <n v="1248"/>
    <n v="2024"/>
    <n v="11"/>
    <n v="1"/>
  </r>
  <r>
    <s v="SHP-31733"/>
    <d v="2024-04-17T00:00:00"/>
    <s v="East"/>
    <s v="Bhubaneswar"/>
    <s v="Central Hub"/>
    <s v="Standard"/>
    <s v="Capacity"/>
    <s v="High"/>
    <n v="1"/>
    <n v="8"/>
    <n v="7"/>
    <s v="Yes"/>
    <n v="69"/>
    <n v="9765"/>
    <n v="16681"/>
    <n v="0"/>
    <s v="No"/>
    <s v="Severe"/>
    <n v="2383"/>
    <n v="1395"/>
    <n v="2024"/>
    <n v="4"/>
    <n v="1"/>
  </r>
  <r>
    <s v="SHP-31734"/>
    <d v="2024-08-06T00:00:00"/>
    <s v="North"/>
    <s v="Delhi"/>
    <s v="Regional Hub"/>
    <s v="Standard"/>
    <s v="Documentation"/>
    <s v="Low"/>
    <n v="2"/>
    <n v="2"/>
    <n v="0"/>
    <s v="No"/>
    <n v="114"/>
    <n v="0"/>
    <n v="0"/>
    <n v="1"/>
    <s v="No"/>
    <s v="On Time"/>
    <n v="0"/>
    <n v="0"/>
    <n v="2024"/>
    <n v="8"/>
    <n v="0"/>
  </r>
  <r>
    <s v="SHP-31735"/>
    <d v="2024-03-13T00:00:00"/>
    <s v="East"/>
    <s v="Kolkata"/>
    <s v="Local Hub"/>
    <s v="Standard"/>
    <s v="Capacity"/>
    <s v="Low"/>
    <n v="1"/>
    <n v="4"/>
    <n v="3"/>
    <s v="Yes"/>
    <n v="92"/>
    <n v="3459"/>
    <n v="10803"/>
    <n v="0"/>
    <s v="No"/>
    <s v="Major"/>
    <n v="3601"/>
    <n v="1153"/>
    <n v="2024"/>
    <n v="3"/>
    <n v="1"/>
  </r>
  <r>
    <s v="SHP-31736"/>
    <d v="2024-01-01T00:00:00"/>
    <s v="West"/>
    <s v="Mumbai"/>
    <s v="Regional Hub"/>
    <s v="Express"/>
    <s v="Routing"/>
    <s v="Low"/>
    <n v="3"/>
    <n v="7"/>
    <n v="4"/>
    <s v="Yes"/>
    <n v="361"/>
    <n v="6324"/>
    <n v="9144"/>
    <n v="0"/>
    <s v="No"/>
    <s v="Major"/>
    <n v="2286"/>
    <n v="1581"/>
    <n v="2024"/>
    <n v="1"/>
    <n v="1"/>
  </r>
  <r>
    <s v="SHP-31737"/>
    <d v="2024-04-26T00:00:00"/>
    <s v="West"/>
    <s v="Mumbai"/>
    <s v="Regional Hub"/>
    <s v="Express"/>
    <s v="Weather"/>
    <s v="High"/>
    <n v="5"/>
    <n v="9"/>
    <n v="4"/>
    <s v="Yes"/>
    <n v="142"/>
    <n v="4844"/>
    <n v="17196"/>
    <n v="0"/>
    <s v="No"/>
    <s v="Major"/>
    <n v="4299"/>
    <n v="1211"/>
    <n v="2024"/>
    <n v="4"/>
    <n v="1"/>
  </r>
  <r>
    <s v="SHP-31738"/>
    <d v="2024-09-05T00:00:00"/>
    <s v="South"/>
    <s v="Bengaluru"/>
    <s v="Central Hub"/>
    <s v="Standard"/>
    <s v="Capacity"/>
    <s v="Medium"/>
    <n v="2"/>
    <n v="6"/>
    <n v="4"/>
    <s v="Yes"/>
    <n v="176"/>
    <n v="4340"/>
    <n v="12896"/>
    <n v="0"/>
    <s v="No"/>
    <s v="Major"/>
    <n v="3224"/>
    <n v="1085"/>
    <n v="2024"/>
    <n v="9"/>
    <n v="1"/>
  </r>
  <r>
    <s v="SHP-31739"/>
    <d v="2024-01-30T00:00:00"/>
    <s v="North"/>
    <s v="Noida"/>
    <s v="Local Hub"/>
    <s v="Express"/>
    <s v="Capacity"/>
    <s v="High"/>
    <n v="1"/>
    <n v="4"/>
    <n v="3"/>
    <s v="Yes"/>
    <n v="135"/>
    <n v="5133"/>
    <n v="11439"/>
    <n v="0"/>
    <s v="No"/>
    <s v="Major"/>
    <n v="3813"/>
    <n v="1711"/>
    <n v="2024"/>
    <n v="1"/>
    <n v="1"/>
  </r>
  <r>
    <s v="SHP-31740"/>
    <d v="2024-04-14T00:00:00"/>
    <s v="West"/>
    <s v="Pune"/>
    <s v="Regional Hub"/>
    <s v="Standard"/>
    <s v="Weather"/>
    <s v="Medium"/>
    <n v="1"/>
    <n v="1"/>
    <n v="0"/>
    <s v="No"/>
    <n v="183"/>
    <n v="0"/>
    <n v="0"/>
    <n v="1"/>
    <s v="No"/>
    <s v="On Time"/>
    <n v="0"/>
    <n v="0"/>
    <n v="2024"/>
    <n v="4"/>
    <n v="0"/>
  </r>
  <r>
    <s v="SHP-31741"/>
    <d v="2024-05-18T00:00:00"/>
    <s v="West"/>
    <s v="Mumbai"/>
    <s v="Regional Hub"/>
    <s v="Standard"/>
    <s v="Weather"/>
    <s v="Low"/>
    <n v="2"/>
    <n v="2"/>
    <n v="0"/>
    <s v="No"/>
    <n v="95"/>
    <n v="0"/>
    <n v="0"/>
    <n v="1"/>
    <s v="No"/>
    <s v="On Time"/>
    <n v="0"/>
    <n v="0"/>
    <n v="2024"/>
    <n v="5"/>
    <n v="0"/>
  </r>
  <r>
    <s v="SHP-31742"/>
    <d v="2024-02-02T00:00:00"/>
    <s v="East"/>
    <s v="Kolkata"/>
    <s v="Central Hub"/>
    <s v="Standard"/>
    <s v="Documentation"/>
    <s v="Medium"/>
    <n v="1"/>
    <n v="6"/>
    <n v="5"/>
    <s v="Yes"/>
    <n v="437"/>
    <n v="7855"/>
    <n v="13400"/>
    <n v="0"/>
    <s v="No"/>
    <s v="Major"/>
    <n v="2680"/>
    <n v="1571"/>
    <n v="2024"/>
    <n v="2"/>
    <n v="1"/>
  </r>
  <r>
    <s v="SHP-31743"/>
    <d v="2024-04-21T00:00:00"/>
    <s v="East"/>
    <s v="Kolkata"/>
    <s v="Regional Hub"/>
    <s v="Express"/>
    <s v="Weather"/>
    <s v="High"/>
    <n v="1"/>
    <n v="8"/>
    <n v="7"/>
    <s v="Yes"/>
    <n v="449"/>
    <n v="8603"/>
    <n v="18508"/>
    <n v="0"/>
    <s v="No"/>
    <s v="Severe"/>
    <n v="2644"/>
    <n v="1229"/>
    <n v="2024"/>
    <n v="4"/>
    <n v="1"/>
  </r>
  <r>
    <s v="SHP-31744"/>
    <d v="2024-08-19T00:00:00"/>
    <s v="East"/>
    <s v="Kolkata"/>
    <s v="Regional Hub"/>
    <s v="Standard"/>
    <s v="Weather"/>
    <s v="Low"/>
    <n v="1"/>
    <n v="2"/>
    <n v="1"/>
    <s v="Yes"/>
    <n v="141"/>
    <n v="1139"/>
    <n v="1710"/>
    <n v="0"/>
    <s v="No"/>
    <s v="Minor"/>
    <n v="1710"/>
    <n v="1139"/>
    <n v="2024"/>
    <n v="8"/>
    <n v="1"/>
  </r>
  <r>
    <s v="SHP-31745"/>
    <d v="2024-08-09T00:00:00"/>
    <s v="North"/>
    <s v="Noida"/>
    <s v="Regional Hub"/>
    <s v="Standard"/>
    <s v="Documentation"/>
    <s v="High"/>
    <n v="2"/>
    <n v="5"/>
    <n v="3"/>
    <s v="Yes"/>
    <n v="472"/>
    <n v="5589"/>
    <n v="13968"/>
    <n v="0"/>
    <s v="No"/>
    <s v="Major"/>
    <n v="4656"/>
    <n v="1863"/>
    <n v="2024"/>
    <n v="8"/>
    <n v="1"/>
  </r>
  <r>
    <s v="SHP-31746"/>
    <d v="2024-10-25T00:00:00"/>
    <s v="South"/>
    <s v="Chennai"/>
    <s v="Regional Hub"/>
    <s v="Express"/>
    <s v="Documentation"/>
    <s v="Medium"/>
    <n v="3"/>
    <n v="3"/>
    <n v="0"/>
    <s v="No"/>
    <n v="420"/>
    <n v="0"/>
    <n v="0"/>
    <n v="1"/>
    <s v="No"/>
    <s v="On Time"/>
    <n v="0"/>
    <n v="0"/>
    <n v="2024"/>
    <n v="10"/>
    <n v="0"/>
  </r>
  <r>
    <s v="SHP-31747"/>
    <d v="2024-10-09T00:00:00"/>
    <s v="North"/>
    <s v="Noida"/>
    <s v="Regional Hub"/>
    <s v="Standard"/>
    <s v="System"/>
    <s v="Medium"/>
    <n v="2"/>
    <n v="5"/>
    <n v="3"/>
    <s v="Yes"/>
    <n v="281"/>
    <n v="4098"/>
    <n v="14457"/>
    <n v="0"/>
    <s v="No"/>
    <s v="Major"/>
    <n v="4819"/>
    <n v="1366"/>
    <n v="2024"/>
    <n v="10"/>
    <n v="1"/>
  </r>
  <r>
    <s v="SHP-31748"/>
    <d v="2024-02-03T00:00:00"/>
    <s v="West"/>
    <s v="Pune"/>
    <s v="Local Hub"/>
    <s v="Express"/>
    <s v="System"/>
    <s v="Low"/>
    <n v="1"/>
    <n v="6"/>
    <n v="5"/>
    <s v="Yes"/>
    <n v="155"/>
    <n v="5325"/>
    <n v="23745"/>
    <n v="0"/>
    <s v="No"/>
    <s v="Major"/>
    <n v="4749"/>
    <n v="1065"/>
    <n v="2024"/>
    <n v="2"/>
    <n v="1"/>
  </r>
  <r>
    <s v="SHP-31749"/>
    <d v="2024-07-09T00:00:00"/>
    <s v="West"/>
    <s v="Pune"/>
    <s v="Regional Hub"/>
    <s v="Express"/>
    <s v="Routing"/>
    <s v="Medium"/>
    <n v="1"/>
    <n v="3"/>
    <n v="2"/>
    <s v="Yes"/>
    <n v="462"/>
    <n v="1624"/>
    <n v="9986"/>
    <n v="0"/>
    <s v="No"/>
    <s v="Minor"/>
    <n v="4993"/>
    <n v="812"/>
    <n v="2024"/>
    <n v="7"/>
    <n v="1"/>
  </r>
  <r>
    <s v="SHP-31750"/>
    <d v="2024-06-11T00:00:00"/>
    <s v="South"/>
    <s v="Bengaluru"/>
    <s v="Regional Hub"/>
    <s v="Standard"/>
    <s v="Weather"/>
    <s v="Medium"/>
    <n v="1"/>
    <n v="5"/>
    <n v="4"/>
    <s v="Yes"/>
    <n v="204"/>
    <n v="8176"/>
    <n v="15944"/>
    <n v="0"/>
    <s v="No"/>
    <s v="Major"/>
    <n v="3986"/>
    <n v="2044"/>
    <n v="2024"/>
    <n v="6"/>
    <n v="1"/>
  </r>
  <r>
    <s v="SHP-31751"/>
    <d v="2024-01-02T00:00:00"/>
    <s v="West"/>
    <s v="Pune"/>
    <s v="Local Hub"/>
    <s v="Standard"/>
    <s v="Weather"/>
    <s v="Medium"/>
    <n v="3"/>
    <n v="7"/>
    <n v="4"/>
    <s v="Yes"/>
    <n v="191"/>
    <n v="5340"/>
    <n v="13876"/>
    <n v="0"/>
    <s v="No"/>
    <s v="Major"/>
    <n v="3469"/>
    <n v="1335"/>
    <n v="2024"/>
    <n v="1"/>
    <n v="1"/>
  </r>
  <r>
    <s v="SHP-31752"/>
    <d v="2024-06-03T00:00:00"/>
    <s v="West"/>
    <s v="Mumbai"/>
    <s v="Local Hub"/>
    <s v="Standard"/>
    <s v="Documentation"/>
    <s v="Medium"/>
    <n v="2"/>
    <n v="6"/>
    <n v="4"/>
    <s v="Yes"/>
    <n v="185"/>
    <n v="8844"/>
    <n v="18816"/>
    <n v="0"/>
    <s v="No"/>
    <s v="Major"/>
    <n v="4704"/>
    <n v="2211"/>
    <n v="2024"/>
    <n v="6"/>
    <n v="1"/>
  </r>
  <r>
    <s v="SHP-31753"/>
    <d v="2024-06-08T00:00:00"/>
    <s v="North"/>
    <s v="Delhi"/>
    <s v="Central Hub"/>
    <s v="Critical"/>
    <s v="Weather"/>
    <s v="High"/>
    <n v="1"/>
    <n v="11"/>
    <n v="10"/>
    <s v="Yes"/>
    <n v="433"/>
    <n v="8400"/>
    <n v="47160"/>
    <n v="0"/>
    <s v="No"/>
    <s v="Severe"/>
    <n v="4716"/>
    <n v="840"/>
    <n v="2024"/>
    <n v="6"/>
    <n v="1"/>
  </r>
  <r>
    <s v="SHP-31754"/>
    <d v="2024-10-29T00:00:00"/>
    <s v="West"/>
    <s v="Pune"/>
    <s v="Local Hub"/>
    <s v="Standard"/>
    <s v="Capacity"/>
    <s v="Medium"/>
    <n v="5"/>
    <n v="9"/>
    <n v="4"/>
    <s v="Yes"/>
    <n v="278"/>
    <n v="8112"/>
    <n v="6992"/>
    <n v="0"/>
    <s v="No"/>
    <s v="Major"/>
    <n v="1748"/>
    <n v="2028"/>
    <n v="2024"/>
    <n v="10"/>
    <n v="1"/>
  </r>
  <r>
    <s v="SHP-31755"/>
    <d v="2024-05-08T00:00:00"/>
    <s v="North"/>
    <s v="Delhi"/>
    <s v="Central Hub"/>
    <s v="Critical"/>
    <s v="Capacity"/>
    <s v="Medium"/>
    <n v="1"/>
    <n v="3"/>
    <n v="2"/>
    <s v="Yes"/>
    <n v="63"/>
    <n v="1916"/>
    <n v="5544"/>
    <n v="0"/>
    <s v="No"/>
    <s v="Minor"/>
    <n v="2772"/>
    <n v="958"/>
    <n v="2024"/>
    <n v="5"/>
    <n v="1"/>
  </r>
  <r>
    <s v="SHP-31756"/>
    <d v="2024-06-24T00:00:00"/>
    <s v="East"/>
    <s v="Bhubaneswar"/>
    <s v="Central Hub"/>
    <s v="Express"/>
    <s v="Weather"/>
    <s v="Medium"/>
    <n v="3"/>
    <n v="3"/>
    <n v="0"/>
    <s v="No"/>
    <n v="102"/>
    <n v="0"/>
    <n v="0"/>
    <n v="1"/>
    <s v="No"/>
    <s v="On Time"/>
    <n v="0"/>
    <n v="0"/>
    <n v="2024"/>
    <n v="6"/>
    <n v="0"/>
  </r>
  <r>
    <s v="SHP-31757"/>
    <d v="2024-11-04T00:00:00"/>
    <s v="North"/>
    <s v="Noida"/>
    <s v="Regional Hub"/>
    <s v="Standard"/>
    <s v="Weather"/>
    <s v="Low"/>
    <n v="2"/>
    <n v="7"/>
    <n v="5"/>
    <s v="Yes"/>
    <n v="252"/>
    <n v="9705"/>
    <n v="18050"/>
    <n v="0"/>
    <s v="No"/>
    <s v="Major"/>
    <n v="3610"/>
    <n v="1941"/>
    <n v="2024"/>
    <n v="11"/>
    <n v="1"/>
  </r>
  <r>
    <s v="SHP-31758"/>
    <d v="2024-06-28T00:00:00"/>
    <s v="South"/>
    <s v="Chennai"/>
    <s v="Central Hub"/>
    <s v="Standard"/>
    <s v="Weather"/>
    <s v="High"/>
    <n v="2"/>
    <n v="5"/>
    <n v="3"/>
    <s v="Yes"/>
    <n v="421"/>
    <n v="3762"/>
    <n v="10557"/>
    <n v="0"/>
    <s v="No"/>
    <s v="Major"/>
    <n v="3519"/>
    <n v="1254"/>
    <n v="2024"/>
    <n v="6"/>
    <n v="1"/>
  </r>
  <r>
    <s v="SHP-31759"/>
    <d v="2024-08-27T00:00:00"/>
    <s v="South"/>
    <s v="Bengaluru"/>
    <s v="Central Hub"/>
    <s v="Standard"/>
    <s v="System"/>
    <s v="Medium"/>
    <n v="1"/>
    <n v="2"/>
    <n v="1"/>
    <s v="Yes"/>
    <n v="402"/>
    <n v="969"/>
    <n v="4016"/>
    <n v="0"/>
    <s v="No"/>
    <s v="Minor"/>
    <n v="4016"/>
    <n v="969"/>
    <n v="2024"/>
    <n v="8"/>
    <n v="1"/>
  </r>
  <r>
    <s v="SHP-31760"/>
    <d v="2024-05-07T00:00:00"/>
    <s v="South"/>
    <s v="Chennai"/>
    <s v="Regional Hub"/>
    <s v="Standard"/>
    <s v="Capacity"/>
    <s v="High"/>
    <n v="2"/>
    <n v="7"/>
    <n v="5"/>
    <s v="Yes"/>
    <n v="121"/>
    <n v="9510"/>
    <n v="12360"/>
    <n v="0"/>
    <s v="No"/>
    <s v="Major"/>
    <n v="2472"/>
    <n v="1902"/>
    <n v="2024"/>
    <n v="5"/>
    <n v="1"/>
  </r>
  <r>
    <s v="SHP-31761"/>
    <d v="2024-05-13T00:00:00"/>
    <s v="West"/>
    <s v="Pune"/>
    <s v="Regional Hub"/>
    <s v="Critical"/>
    <s v="Weather"/>
    <s v="Low"/>
    <n v="3"/>
    <n v="9"/>
    <n v="6"/>
    <s v="Yes"/>
    <n v="189"/>
    <n v="8754"/>
    <n v="26382"/>
    <n v="0"/>
    <s v="No"/>
    <s v="Severe"/>
    <n v="4397"/>
    <n v="1459"/>
    <n v="2024"/>
    <n v="5"/>
    <n v="1"/>
  </r>
  <r>
    <s v="SHP-31762"/>
    <d v="2024-05-31T00:00:00"/>
    <s v="North"/>
    <s v="Noida"/>
    <s v="Central Hub"/>
    <s v="Standard"/>
    <s v="Weather"/>
    <s v="High"/>
    <n v="3"/>
    <n v="7"/>
    <n v="4"/>
    <s v="Yes"/>
    <n v="450"/>
    <n v="3640"/>
    <n v="19460"/>
    <n v="0"/>
    <s v="No"/>
    <s v="Major"/>
    <n v="4865"/>
    <n v="910"/>
    <n v="2024"/>
    <n v="5"/>
    <n v="1"/>
  </r>
  <r>
    <s v="SHP-31763"/>
    <d v="2024-02-12T00:00:00"/>
    <s v="South"/>
    <s v="Bengaluru"/>
    <s v="Central Hub"/>
    <s v="Critical"/>
    <s v="System"/>
    <s v="Low"/>
    <n v="1"/>
    <n v="5"/>
    <n v="4"/>
    <s v="Yes"/>
    <n v="415"/>
    <n v="9092"/>
    <n v="12112"/>
    <n v="0"/>
    <s v="No"/>
    <s v="Major"/>
    <n v="3028"/>
    <n v="2273"/>
    <n v="2024"/>
    <n v="2"/>
    <n v="1"/>
  </r>
  <r>
    <s v="SHP-31764"/>
    <d v="2024-03-05T00:00:00"/>
    <s v="West"/>
    <s v="Pune"/>
    <s v="Regional Hub"/>
    <s v="Express"/>
    <s v="Documentation"/>
    <s v="Low"/>
    <n v="3"/>
    <n v="4"/>
    <n v="1"/>
    <s v="Yes"/>
    <n v="334"/>
    <n v="1984"/>
    <n v="1814"/>
    <n v="0"/>
    <s v="No"/>
    <s v="Minor"/>
    <n v="1814"/>
    <n v="1984"/>
    <n v="2024"/>
    <n v="3"/>
    <n v="1"/>
  </r>
  <r>
    <s v="SHP-31765"/>
    <d v="2024-01-02T00:00:00"/>
    <s v="South"/>
    <s v="Bengaluru"/>
    <s v="Central Hub"/>
    <s v="Standard"/>
    <s v="Capacity"/>
    <s v="Medium"/>
    <n v="5"/>
    <n v="9"/>
    <n v="4"/>
    <s v="Yes"/>
    <n v="191"/>
    <n v="5160"/>
    <n v="14680"/>
    <n v="0"/>
    <s v="No"/>
    <s v="Major"/>
    <n v="3670"/>
    <n v="1290"/>
    <n v="2024"/>
    <n v="1"/>
    <n v="1"/>
  </r>
  <r>
    <s v="SHP-31766"/>
    <d v="2024-08-21T00:00:00"/>
    <s v="West"/>
    <s v="Pune"/>
    <s v="Central Hub"/>
    <s v="Express"/>
    <s v="System"/>
    <s v="High"/>
    <n v="2"/>
    <n v="5"/>
    <n v="3"/>
    <s v="Yes"/>
    <n v="326"/>
    <n v="5325"/>
    <n v="7209"/>
    <n v="0"/>
    <s v="No"/>
    <s v="Major"/>
    <n v="2403"/>
    <n v="1775"/>
    <n v="2024"/>
    <n v="8"/>
    <n v="1"/>
  </r>
  <r>
    <s v="SHP-31767"/>
    <d v="2024-11-09T00:00:00"/>
    <s v="North"/>
    <s v="Delhi"/>
    <s v="Central Hub"/>
    <s v="Standard"/>
    <s v="Weather"/>
    <s v="Medium"/>
    <n v="2"/>
    <n v="5"/>
    <n v="3"/>
    <s v="Yes"/>
    <n v="141"/>
    <n v="2772"/>
    <n v="14331"/>
    <n v="0"/>
    <s v="No"/>
    <s v="Major"/>
    <n v="4777"/>
    <n v="924"/>
    <n v="2024"/>
    <n v="11"/>
    <n v="1"/>
  </r>
  <r>
    <s v="SHP-31768"/>
    <d v="2024-04-02T00:00:00"/>
    <s v="South"/>
    <s v="Bengaluru"/>
    <s v="Local Hub"/>
    <s v="Critical"/>
    <s v="Capacity"/>
    <s v="Medium"/>
    <n v="1"/>
    <n v="7"/>
    <n v="6"/>
    <s v="Yes"/>
    <n v="325"/>
    <n v="12048"/>
    <n v="20838"/>
    <n v="0"/>
    <s v="No"/>
    <s v="Severe"/>
    <n v="3473"/>
    <n v="2008"/>
    <n v="2024"/>
    <n v="4"/>
    <n v="1"/>
  </r>
  <r>
    <s v="SHP-31769"/>
    <d v="2024-10-21T00:00:00"/>
    <s v="North"/>
    <s v="Delhi"/>
    <s v="Regional Hub"/>
    <s v="Express"/>
    <s v="Routing"/>
    <s v="Low"/>
    <n v="2"/>
    <n v="7"/>
    <n v="5"/>
    <s v="Yes"/>
    <n v="238"/>
    <n v="5345"/>
    <n v="19195"/>
    <n v="0"/>
    <s v="No"/>
    <s v="Major"/>
    <n v="3839"/>
    <n v="1069"/>
    <n v="2024"/>
    <n v="10"/>
    <n v="1"/>
  </r>
  <r>
    <s v="SHP-31770"/>
    <d v="2024-01-20T00:00:00"/>
    <s v="West"/>
    <s v="Mumbai"/>
    <s v="Local Hub"/>
    <s v="Standard"/>
    <s v="Weather"/>
    <s v="Medium"/>
    <n v="3"/>
    <n v="5"/>
    <n v="2"/>
    <s v="Yes"/>
    <n v="282"/>
    <n v="4802"/>
    <n v="9360"/>
    <n v="0"/>
    <s v="No"/>
    <s v="Minor"/>
    <n v="4680"/>
    <n v="2401"/>
    <n v="2024"/>
    <n v="1"/>
    <n v="1"/>
  </r>
  <r>
    <s v="SHP-31771"/>
    <d v="2024-09-30T00:00:00"/>
    <s v="West"/>
    <s v="Mumbai"/>
    <s v="Central Hub"/>
    <s v="Standard"/>
    <s v="Capacity"/>
    <s v="Medium"/>
    <n v="5"/>
    <n v="8"/>
    <n v="3"/>
    <s v="Yes"/>
    <n v="197"/>
    <n v="7401"/>
    <n v="12423"/>
    <n v="0"/>
    <s v="No"/>
    <s v="Major"/>
    <n v="4141"/>
    <n v="2467"/>
    <n v="2024"/>
    <n v="9"/>
    <n v="1"/>
  </r>
  <r>
    <s v="SHP-31772"/>
    <d v="2024-06-01T00:00:00"/>
    <s v="West"/>
    <s v="Pune"/>
    <s v="Local Hub"/>
    <s v="Critical"/>
    <s v="Capacity"/>
    <s v="High"/>
    <n v="5"/>
    <n v="12"/>
    <n v="7"/>
    <s v="Yes"/>
    <n v="113"/>
    <n v="6195"/>
    <n v="11732"/>
    <n v="0"/>
    <s v="No"/>
    <s v="Severe"/>
    <n v="1676"/>
    <n v="885"/>
    <n v="2024"/>
    <n v="6"/>
    <n v="1"/>
  </r>
  <r>
    <s v="SHP-31773"/>
    <d v="2024-12-12T00:00:00"/>
    <s v="North"/>
    <s v="Delhi"/>
    <s v="Local Hub"/>
    <s v="Standard"/>
    <s v="Documentation"/>
    <s v="High"/>
    <n v="3"/>
    <n v="8"/>
    <n v="5"/>
    <s v="Yes"/>
    <n v="313"/>
    <n v="11610"/>
    <n v="8375"/>
    <n v="0"/>
    <s v="No"/>
    <s v="Major"/>
    <n v="1675"/>
    <n v="2322"/>
    <n v="2024"/>
    <n v="12"/>
    <n v="1"/>
  </r>
  <r>
    <s v="SHP-31774"/>
    <d v="2024-12-30T00:00:00"/>
    <s v="North"/>
    <s v="Delhi"/>
    <s v="Regional Hub"/>
    <s v="Standard"/>
    <s v="Weather"/>
    <s v="Low"/>
    <n v="2"/>
    <n v="7"/>
    <n v="5"/>
    <s v="Yes"/>
    <n v="418"/>
    <n v="11790"/>
    <n v="18365"/>
    <n v="0"/>
    <s v="No"/>
    <s v="Major"/>
    <n v="3673"/>
    <n v="2358"/>
    <n v="2024"/>
    <n v="12"/>
    <n v="1"/>
  </r>
  <r>
    <s v="SHP-31775"/>
    <d v="2024-05-16T00:00:00"/>
    <s v="East"/>
    <s v="Kolkata"/>
    <s v="Regional Hub"/>
    <s v="Standard"/>
    <s v="Routing"/>
    <s v="High"/>
    <n v="3"/>
    <n v="11"/>
    <n v="8"/>
    <s v="Yes"/>
    <n v="496"/>
    <n v="11640"/>
    <n v="29376"/>
    <n v="0"/>
    <s v="No"/>
    <s v="Severe"/>
    <n v="3672"/>
    <n v="1455"/>
    <n v="2024"/>
    <n v="5"/>
    <n v="1"/>
  </r>
  <r>
    <s v="SHP-31776"/>
    <d v="2024-04-04T00:00:00"/>
    <s v="West"/>
    <s v="Mumbai"/>
    <s v="Central Hub"/>
    <s v="Critical"/>
    <s v="Routing"/>
    <s v="High"/>
    <n v="2"/>
    <n v="11"/>
    <n v="9"/>
    <s v="Yes"/>
    <n v="376"/>
    <n v="14760"/>
    <n v="20916"/>
    <n v="0"/>
    <s v="No"/>
    <s v="Severe"/>
    <n v="2324"/>
    <n v="1640"/>
    <n v="2024"/>
    <n v="4"/>
    <n v="1"/>
  </r>
  <r>
    <s v="SHP-31777"/>
    <d v="2024-12-22T00:00:00"/>
    <s v="East"/>
    <s v="Bhubaneswar"/>
    <s v="Regional Hub"/>
    <s v="Critical"/>
    <s v="Capacity"/>
    <s v="High"/>
    <n v="2"/>
    <n v="10"/>
    <n v="8"/>
    <s v="Yes"/>
    <n v="154"/>
    <n v="18080"/>
    <n v="24024"/>
    <n v="0"/>
    <s v="No"/>
    <s v="Severe"/>
    <n v="3003"/>
    <n v="2260"/>
    <n v="2024"/>
    <n v="12"/>
    <n v="1"/>
  </r>
  <r>
    <s v="SHP-31778"/>
    <d v="2024-05-08T00:00:00"/>
    <s v="East"/>
    <s v="Kolkata"/>
    <s v="Central Hub"/>
    <s v="Standard"/>
    <s v="Weather"/>
    <s v="Low"/>
    <n v="2"/>
    <n v="5"/>
    <n v="3"/>
    <s v="Yes"/>
    <n v="225"/>
    <n v="5898"/>
    <n v="10611"/>
    <n v="0"/>
    <s v="No"/>
    <s v="Major"/>
    <n v="3537"/>
    <n v="1966"/>
    <n v="2024"/>
    <n v="5"/>
    <n v="1"/>
  </r>
  <r>
    <s v="SHP-31779"/>
    <d v="2024-07-04T00:00:00"/>
    <s v="North"/>
    <s v="Delhi"/>
    <s v="Regional Hub"/>
    <s v="Standard"/>
    <s v="System"/>
    <s v="Medium"/>
    <n v="2"/>
    <n v="2"/>
    <n v="0"/>
    <s v="No"/>
    <n v="165"/>
    <n v="0"/>
    <n v="0"/>
    <n v="1"/>
    <s v="No"/>
    <s v="On Time"/>
    <n v="0"/>
    <n v="0"/>
    <n v="2024"/>
    <n v="7"/>
    <n v="0"/>
  </r>
  <r>
    <s v="SHP-31780"/>
    <d v="2024-10-28T00:00:00"/>
    <s v="North"/>
    <s v="Delhi"/>
    <s v="Regional Hub"/>
    <s v="Standard"/>
    <s v="Routing"/>
    <s v="Medium"/>
    <n v="1"/>
    <n v="4"/>
    <n v="3"/>
    <s v="Yes"/>
    <n v="456"/>
    <n v="3573"/>
    <n v="12363"/>
    <n v="0"/>
    <s v="No"/>
    <s v="Major"/>
    <n v="4121"/>
    <n v="1191"/>
    <n v="2024"/>
    <n v="10"/>
    <n v="1"/>
  </r>
  <r>
    <s v="SHP-31781"/>
    <d v="2024-07-20T00:00:00"/>
    <s v="West"/>
    <s v="Mumbai"/>
    <s v="Regional Hub"/>
    <s v="Critical"/>
    <s v="System"/>
    <s v="Low"/>
    <n v="1"/>
    <n v="4"/>
    <n v="3"/>
    <s v="Yes"/>
    <n v="155"/>
    <n v="4257"/>
    <n v="14991"/>
    <n v="0"/>
    <s v="No"/>
    <s v="Major"/>
    <n v="4997"/>
    <n v="1419"/>
    <n v="2024"/>
    <n v="7"/>
    <n v="1"/>
  </r>
  <r>
    <s v="SHP-31782"/>
    <d v="2024-09-20T00:00:00"/>
    <s v="East"/>
    <s v="Bhubaneswar"/>
    <s v="Regional Hub"/>
    <s v="Critical"/>
    <s v="Weather"/>
    <s v="Low"/>
    <n v="3"/>
    <n v="5"/>
    <n v="2"/>
    <s v="Yes"/>
    <n v="58"/>
    <n v="2974"/>
    <n v="7160"/>
    <n v="0"/>
    <s v="No"/>
    <s v="Minor"/>
    <n v="3580"/>
    <n v="1487"/>
    <n v="2024"/>
    <n v="9"/>
    <n v="1"/>
  </r>
  <r>
    <s v="SHP-31783"/>
    <d v="2024-01-07T00:00:00"/>
    <s v="East"/>
    <s v="Kolkata"/>
    <s v="Central Hub"/>
    <s v="Standard"/>
    <s v="Weather"/>
    <s v="Low"/>
    <n v="1"/>
    <n v="1"/>
    <n v="0"/>
    <s v="No"/>
    <n v="181"/>
    <n v="0"/>
    <n v="0"/>
    <n v="1"/>
    <s v="No"/>
    <s v="On Time"/>
    <n v="0"/>
    <n v="0"/>
    <n v="2024"/>
    <n v="1"/>
    <n v="0"/>
  </r>
  <r>
    <s v="SHP-31784"/>
    <d v="2024-03-17T00:00:00"/>
    <s v="West"/>
    <s v="Pune"/>
    <s v="Local Hub"/>
    <s v="Express"/>
    <s v="Weather"/>
    <s v="Medium"/>
    <n v="1"/>
    <n v="4"/>
    <n v="3"/>
    <s v="Yes"/>
    <n v="346"/>
    <n v="4344"/>
    <n v="6159"/>
    <n v="0"/>
    <s v="No"/>
    <s v="Major"/>
    <n v="2053"/>
    <n v="1448"/>
    <n v="2024"/>
    <n v="3"/>
    <n v="1"/>
  </r>
  <r>
    <s v="SHP-31785"/>
    <d v="2024-05-30T00:00:00"/>
    <s v="West"/>
    <s v="Pune"/>
    <s v="Local Hub"/>
    <s v="Express"/>
    <s v="Routing"/>
    <s v="Low"/>
    <n v="2"/>
    <n v="6"/>
    <n v="4"/>
    <s v="Yes"/>
    <n v="399"/>
    <n v="5884"/>
    <n v="16780"/>
    <n v="0"/>
    <s v="No"/>
    <s v="Major"/>
    <n v="4195"/>
    <n v="1471"/>
    <n v="2024"/>
    <n v="5"/>
    <n v="1"/>
  </r>
  <r>
    <s v="SHP-31786"/>
    <d v="2024-10-17T00:00:00"/>
    <s v="North"/>
    <s v="Delhi"/>
    <s v="Central Hub"/>
    <s v="Standard"/>
    <s v="Routing"/>
    <s v="Medium"/>
    <n v="3"/>
    <n v="7"/>
    <n v="4"/>
    <s v="Yes"/>
    <n v="451"/>
    <n v="8500"/>
    <n v="19048"/>
    <n v="0"/>
    <s v="No"/>
    <s v="Major"/>
    <n v="4762"/>
    <n v="2125"/>
    <n v="2024"/>
    <n v="10"/>
    <n v="1"/>
  </r>
  <r>
    <s v="SHP-31787"/>
    <d v="2024-09-08T00:00:00"/>
    <s v="East"/>
    <s v="Kolkata"/>
    <s v="Regional Hub"/>
    <s v="Standard"/>
    <s v="System"/>
    <s v="Medium"/>
    <n v="2"/>
    <n v="5"/>
    <n v="3"/>
    <s v="Yes"/>
    <n v="379"/>
    <n v="3723"/>
    <n v="5088"/>
    <n v="0"/>
    <s v="No"/>
    <s v="Major"/>
    <n v="1696"/>
    <n v="1241"/>
    <n v="2024"/>
    <n v="9"/>
    <n v="1"/>
  </r>
  <r>
    <s v="SHP-31788"/>
    <d v="2024-11-30T00:00:00"/>
    <s v="South"/>
    <s v="Bengaluru"/>
    <s v="Local Hub"/>
    <s v="Critical"/>
    <s v="Weather"/>
    <s v="Low"/>
    <n v="2"/>
    <n v="5"/>
    <n v="3"/>
    <s v="Yes"/>
    <n v="342"/>
    <n v="5970"/>
    <n v="10956"/>
    <n v="0"/>
    <s v="No"/>
    <s v="Major"/>
    <n v="3652"/>
    <n v="1990"/>
    <n v="2024"/>
    <n v="11"/>
    <n v="1"/>
  </r>
  <r>
    <s v="SHP-31789"/>
    <d v="2024-06-13T00:00:00"/>
    <s v="South"/>
    <s v="Chennai"/>
    <s v="Central Hub"/>
    <s v="Standard"/>
    <s v="Weather"/>
    <s v="Low"/>
    <n v="1"/>
    <n v="3"/>
    <n v="2"/>
    <s v="Yes"/>
    <n v="174"/>
    <n v="2686"/>
    <n v="4402"/>
    <n v="0"/>
    <s v="No"/>
    <s v="Minor"/>
    <n v="2201"/>
    <n v="1343"/>
    <n v="2024"/>
    <n v="6"/>
    <n v="1"/>
  </r>
  <r>
    <s v="SHP-31790"/>
    <d v="2024-03-07T00:00:00"/>
    <s v="East"/>
    <s v="Bhubaneswar"/>
    <s v="Local Hub"/>
    <s v="Express"/>
    <s v="Routing"/>
    <s v="Medium"/>
    <n v="3"/>
    <n v="7"/>
    <n v="4"/>
    <s v="Yes"/>
    <n v="101"/>
    <n v="5232"/>
    <n v="11360"/>
    <n v="0"/>
    <s v="No"/>
    <s v="Major"/>
    <n v="2840"/>
    <n v="1308"/>
    <n v="2024"/>
    <n v="3"/>
    <n v="1"/>
  </r>
  <r>
    <s v="SHP-31791"/>
    <d v="2024-05-29T00:00:00"/>
    <s v="North"/>
    <s v="Noida"/>
    <s v="Regional Hub"/>
    <s v="Express"/>
    <s v="Weather"/>
    <s v="Low"/>
    <n v="1"/>
    <n v="5"/>
    <n v="4"/>
    <s v="Yes"/>
    <n v="345"/>
    <n v="9688"/>
    <n v="6116"/>
    <n v="0"/>
    <s v="No"/>
    <s v="Major"/>
    <n v="1529"/>
    <n v="2422"/>
    <n v="2024"/>
    <n v="5"/>
    <n v="1"/>
  </r>
  <r>
    <s v="SHP-31792"/>
    <d v="2024-02-05T00:00:00"/>
    <s v="North"/>
    <s v="Noida"/>
    <s v="Regional Hub"/>
    <s v="Critical"/>
    <s v="Weather"/>
    <s v="Low"/>
    <n v="3"/>
    <n v="6"/>
    <n v="3"/>
    <s v="Yes"/>
    <n v="138"/>
    <n v="6123"/>
    <n v="11673"/>
    <n v="0"/>
    <s v="No"/>
    <s v="Major"/>
    <n v="3891"/>
    <n v="2041"/>
    <n v="2024"/>
    <n v="2"/>
    <n v="1"/>
  </r>
  <r>
    <s v="SHP-31793"/>
    <d v="2024-08-20T00:00:00"/>
    <s v="North"/>
    <s v="Delhi"/>
    <s v="Central Hub"/>
    <s v="Standard"/>
    <s v="Capacity"/>
    <s v="Low"/>
    <n v="2"/>
    <n v="2"/>
    <n v="0"/>
    <s v="No"/>
    <n v="426"/>
    <n v="0"/>
    <n v="0"/>
    <n v="1"/>
    <s v="No"/>
    <s v="On Time"/>
    <n v="0"/>
    <n v="0"/>
    <n v="2024"/>
    <n v="8"/>
    <n v="0"/>
  </r>
  <r>
    <s v="SHP-31794"/>
    <d v="2024-07-30T00:00:00"/>
    <s v="West"/>
    <s v="Mumbai"/>
    <s v="Regional Hub"/>
    <s v="Standard"/>
    <s v="Routing"/>
    <s v="Low"/>
    <n v="1"/>
    <n v="1"/>
    <n v="0"/>
    <s v="No"/>
    <n v="357"/>
    <n v="0"/>
    <n v="0"/>
    <n v="1"/>
    <s v="No"/>
    <s v="On Time"/>
    <n v="0"/>
    <n v="0"/>
    <n v="2024"/>
    <n v="7"/>
    <n v="0"/>
  </r>
  <r>
    <s v="SHP-31795"/>
    <d v="2024-07-31T00:00:00"/>
    <s v="West"/>
    <s v="Pune"/>
    <s v="Regional Hub"/>
    <s v="Critical"/>
    <s v="Weather"/>
    <s v="Low"/>
    <n v="1"/>
    <n v="5"/>
    <n v="4"/>
    <s v="Yes"/>
    <n v="88"/>
    <n v="3696"/>
    <n v="10292"/>
    <n v="0"/>
    <s v="No"/>
    <s v="Major"/>
    <n v="2573"/>
    <n v="924"/>
    <n v="2024"/>
    <n v="7"/>
    <n v="1"/>
  </r>
  <r>
    <s v="SHP-31796"/>
    <d v="2024-04-12T00:00:00"/>
    <s v="East"/>
    <s v="Kolkata"/>
    <s v="Central Hub"/>
    <s v="Standard"/>
    <s v="Routing"/>
    <s v="Low"/>
    <n v="3"/>
    <n v="4"/>
    <n v="1"/>
    <s v="Yes"/>
    <n v="92"/>
    <n v="834"/>
    <n v="4652"/>
    <n v="0"/>
    <s v="No"/>
    <s v="Minor"/>
    <n v="4652"/>
    <n v="834"/>
    <n v="2024"/>
    <n v="4"/>
    <n v="1"/>
  </r>
  <r>
    <s v="SHP-31797"/>
    <d v="2024-03-21T00:00:00"/>
    <s v="South"/>
    <s v="Chennai"/>
    <s v="Regional Hub"/>
    <s v="Critical"/>
    <s v="Documentation"/>
    <s v="High"/>
    <n v="2"/>
    <n v="6"/>
    <n v="4"/>
    <s v="Yes"/>
    <n v="374"/>
    <n v="3872"/>
    <n v="15344"/>
    <n v="0"/>
    <s v="No"/>
    <s v="Major"/>
    <n v="3836"/>
    <n v="968"/>
    <n v="2024"/>
    <n v="3"/>
    <n v="1"/>
  </r>
  <r>
    <s v="SHP-31798"/>
    <d v="2024-12-25T00:00:00"/>
    <s v="West"/>
    <s v="Pune"/>
    <s v="Central Hub"/>
    <s v="Express"/>
    <s v="System"/>
    <s v="Medium"/>
    <n v="1"/>
    <n v="3"/>
    <n v="2"/>
    <s v="Yes"/>
    <n v="268"/>
    <n v="3072"/>
    <n v="8508"/>
    <n v="0"/>
    <s v="No"/>
    <s v="Minor"/>
    <n v="4254"/>
    <n v="1536"/>
    <n v="2024"/>
    <n v="12"/>
    <n v="1"/>
  </r>
  <r>
    <s v="SHP-31799"/>
    <d v="2024-05-13T00:00:00"/>
    <s v="West"/>
    <s v="Mumbai"/>
    <s v="Regional Hub"/>
    <s v="Standard"/>
    <s v="Weather"/>
    <s v="High"/>
    <n v="2"/>
    <n v="8"/>
    <n v="6"/>
    <s v="Yes"/>
    <n v="470"/>
    <n v="10188"/>
    <n v="21822"/>
    <n v="0"/>
    <s v="No"/>
    <s v="Severe"/>
    <n v="3637"/>
    <n v="1698"/>
    <n v="2024"/>
    <n v="5"/>
    <n v="1"/>
  </r>
  <r>
    <s v="SHP-31800"/>
    <d v="2024-08-13T00:00:00"/>
    <s v="North"/>
    <s v="Delhi"/>
    <s v="Central Hub"/>
    <s v="Express"/>
    <s v="Weather"/>
    <s v="Medium"/>
    <n v="5"/>
    <n v="5"/>
    <n v="0"/>
    <s v="No"/>
    <n v="345"/>
    <n v="0"/>
    <n v="0"/>
    <n v="1"/>
    <s v="No"/>
    <s v="On Time"/>
    <n v="0"/>
    <n v="0"/>
    <n v="2024"/>
    <n v="8"/>
    <n v="0"/>
  </r>
  <r>
    <s v="SHP-31801"/>
    <d v="2024-03-07T00:00:00"/>
    <s v="East"/>
    <s v="Kolkata"/>
    <s v="Regional Hub"/>
    <s v="Express"/>
    <s v="System"/>
    <s v="High"/>
    <n v="5"/>
    <n v="12"/>
    <n v="7"/>
    <s v="Yes"/>
    <n v="57"/>
    <n v="13713"/>
    <n v="20615"/>
    <n v="0"/>
    <s v="No"/>
    <s v="Severe"/>
    <n v="2945"/>
    <n v="1959"/>
    <n v="2024"/>
    <n v="3"/>
    <n v="1"/>
  </r>
  <r>
    <s v="SHP-31802"/>
    <d v="2024-10-01T00:00:00"/>
    <s v="West"/>
    <s v="Pune"/>
    <s v="Central Hub"/>
    <s v="Critical"/>
    <s v="Capacity"/>
    <s v="High"/>
    <n v="2"/>
    <n v="11"/>
    <n v="9"/>
    <s v="Yes"/>
    <n v="396"/>
    <n v="16209"/>
    <n v="41310"/>
    <n v="0"/>
    <s v="No"/>
    <s v="Severe"/>
    <n v="4590"/>
    <n v="1801"/>
    <n v="2024"/>
    <n v="10"/>
    <n v="1"/>
  </r>
  <r>
    <s v="SHP-31803"/>
    <d v="2024-05-05T00:00:00"/>
    <s v="East"/>
    <s v="Bhubaneswar"/>
    <s v="Regional Hub"/>
    <s v="Standard"/>
    <s v="Routing"/>
    <s v="Medium"/>
    <n v="1"/>
    <n v="6"/>
    <n v="5"/>
    <s v="Yes"/>
    <n v="192"/>
    <n v="8045"/>
    <n v="19400"/>
    <n v="0"/>
    <s v="No"/>
    <s v="Major"/>
    <n v="3880"/>
    <n v="1609"/>
    <n v="2024"/>
    <n v="5"/>
    <n v="1"/>
  </r>
  <r>
    <s v="SHP-31804"/>
    <d v="2024-09-27T00:00:00"/>
    <s v="North"/>
    <s v="Noida"/>
    <s v="Regional Hub"/>
    <s v="Critical"/>
    <s v="Documentation"/>
    <s v="Medium"/>
    <n v="1"/>
    <n v="3"/>
    <n v="2"/>
    <s v="Yes"/>
    <n v="461"/>
    <n v="3260"/>
    <n v="8166"/>
    <n v="0"/>
    <s v="No"/>
    <s v="Minor"/>
    <n v="4083"/>
    <n v="1630"/>
    <n v="2024"/>
    <n v="9"/>
    <n v="1"/>
  </r>
  <r>
    <s v="SHP-31805"/>
    <d v="2024-10-03T00:00:00"/>
    <s v="South"/>
    <s v="Chennai"/>
    <s v="Local Hub"/>
    <s v="Express"/>
    <s v="Documentation"/>
    <s v="Low"/>
    <n v="3"/>
    <n v="7"/>
    <n v="4"/>
    <s v="Yes"/>
    <n v="201"/>
    <n v="6452"/>
    <n v="17908"/>
    <n v="0"/>
    <s v="No"/>
    <s v="Major"/>
    <n v="4477"/>
    <n v="1613"/>
    <n v="2024"/>
    <n v="10"/>
    <n v="1"/>
  </r>
  <r>
    <s v="SHP-31806"/>
    <d v="2024-01-26T00:00:00"/>
    <s v="East"/>
    <s v="Kolkata"/>
    <s v="Central Hub"/>
    <s v="Standard"/>
    <s v="Capacity"/>
    <s v="Low"/>
    <n v="5"/>
    <n v="10"/>
    <n v="5"/>
    <s v="Yes"/>
    <n v="215"/>
    <n v="4050"/>
    <n v="23265"/>
    <n v="0"/>
    <s v="No"/>
    <s v="Major"/>
    <n v="4653"/>
    <n v="810"/>
    <n v="2024"/>
    <n v="1"/>
    <n v="1"/>
  </r>
  <r>
    <s v="SHP-31807"/>
    <d v="2024-07-16T00:00:00"/>
    <s v="South"/>
    <s v="Bengaluru"/>
    <s v="Local Hub"/>
    <s v="Standard"/>
    <s v="Routing"/>
    <s v="Low"/>
    <n v="3"/>
    <n v="8"/>
    <n v="5"/>
    <s v="Yes"/>
    <n v="448"/>
    <n v="8490"/>
    <n v="15285"/>
    <n v="0"/>
    <s v="No"/>
    <s v="Major"/>
    <n v="3057"/>
    <n v="1698"/>
    <n v="2024"/>
    <n v="7"/>
    <n v="1"/>
  </r>
  <r>
    <s v="SHP-31808"/>
    <d v="2024-05-02T00:00:00"/>
    <s v="East"/>
    <s v="Kolkata"/>
    <s v="Regional Hub"/>
    <s v="Standard"/>
    <s v="System"/>
    <s v="Medium"/>
    <n v="1"/>
    <n v="5"/>
    <n v="4"/>
    <s v="Yes"/>
    <n v="64"/>
    <n v="3440"/>
    <n v="12056"/>
    <n v="0"/>
    <s v="No"/>
    <s v="Major"/>
    <n v="3014"/>
    <n v="860"/>
    <n v="2024"/>
    <n v="5"/>
    <n v="1"/>
  </r>
  <r>
    <s v="SHP-31809"/>
    <d v="2024-09-10T00:00:00"/>
    <s v="South"/>
    <s v="Chennai"/>
    <s v="Local Hub"/>
    <s v="Standard"/>
    <s v="Documentation"/>
    <s v="Low"/>
    <n v="2"/>
    <n v="4"/>
    <n v="2"/>
    <s v="Yes"/>
    <n v="146"/>
    <n v="4904"/>
    <n v="4752"/>
    <n v="0"/>
    <s v="No"/>
    <s v="Minor"/>
    <n v="2376"/>
    <n v="2452"/>
    <n v="2024"/>
    <n v="9"/>
    <n v="1"/>
  </r>
  <r>
    <s v="SHP-31810"/>
    <d v="2024-06-14T00:00:00"/>
    <s v="North"/>
    <s v="Delhi"/>
    <s v="Regional Hub"/>
    <s v="Critical"/>
    <s v="System"/>
    <s v="Medium"/>
    <n v="1"/>
    <n v="4"/>
    <n v="3"/>
    <s v="Yes"/>
    <n v="390"/>
    <n v="5331"/>
    <n v="5211"/>
    <n v="0"/>
    <s v="No"/>
    <s v="Major"/>
    <n v="1737"/>
    <n v="1777"/>
    <n v="2024"/>
    <n v="6"/>
    <n v="1"/>
  </r>
  <r>
    <s v="SHP-31811"/>
    <d v="2024-05-02T00:00:00"/>
    <s v="East"/>
    <s v="Bhubaneswar"/>
    <s v="Central Hub"/>
    <s v="Critical"/>
    <s v="Routing"/>
    <s v="High"/>
    <n v="1"/>
    <n v="7"/>
    <n v="6"/>
    <s v="Yes"/>
    <n v="252"/>
    <n v="11886"/>
    <n v="11976"/>
    <n v="0"/>
    <s v="No"/>
    <s v="Severe"/>
    <n v="1996"/>
    <n v="1981"/>
    <n v="2024"/>
    <n v="5"/>
    <n v="1"/>
  </r>
  <r>
    <s v="SHP-31812"/>
    <d v="2024-11-11T00:00:00"/>
    <s v="East"/>
    <s v="Bhubaneswar"/>
    <s v="Regional Hub"/>
    <s v="Standard"/>
    <s v="System"/>
    <s v="High"/>
    <n v="5"/>
    <n v="7"/>
    <n v="2"/>
    <s v="Yes"/>
    <n v="167"/>
    <n v="4740"/>
    <n v="7042"/>
    <n v="0"/>
    <s v="No"/>
    <s v="Minor"/>
    <n v="3521"/>
    <n v="2370"/>
    <n v="2024"/>
    <n v="11"/>
    <n v="1"/>
  </r>
  <r>
    <s v="SHP-31813"/>
    <d v="2024-01-26T00:00:00"/>
    <s v="East"/>
    <s v="Kolkata"/>
    <s v="Regional Hub"/>
    <s v="Standard"/>
    <s v="Documentation"/>
    <s v="Low"/>
    <n v="3"/>
    <n v="7"/>
    <n v="4"/>
    <s v="Yes"/>
    <n v="158"/>
    <n v="4612"/>
    <n v="6308"/>
    <n v="0"/>
    <s v="No"/>
    <s v="Major"/>
    <n v="1577"/>
    <n v="1153"/>
    <n v="2024"/>
    <n v="1"/>
    <n v="1"/>
  </r>
  <r>
    <s v="SHP-31814"/>
    <d v="2024-10-28T00:00:00"/>
    <s v="North"/>
    <s v="Delhi"/>
    <s v="Local Hub"/>
    <s v="Standard"/>
    <s v="Routing"/>
    <s v="Medium"/>
    <n v="3"/>
    <n v="3"/>
    <n v="0"/>
    <s v="No"/>
    <n v="135"/>
    <n v="0"/>
    <n v="0"/>
    <n v="1"/>
    <s v="No"/>
    <s v="On Time"/>
    <n v="0"/>
    <n v="0"/>
    <n v="2024"/>
    <n v="10"/>
    <n v="0"/>
  </r>
  <r>
    <s v="SHP-31815"/>
    <d v="2024-08-11T00:00:00"/>
    <s v="West"/>
    <s v="Pune"/>
    <s v="Central Hub"/>
    <s v="Standard"/>
    <s v="Routing"/>
    <s v="Medium"/>
    <n v="2"/>
    <n v="7"/>
    <n v="5"/>
    <s v="Yes"/>
    <n v="165"/>
    <n v="10085"/>
    <n v="24660"/>
    <n v="0"/>
    <s v="No"/>
    <s v="Major"/>
    <n v="4932"/>
    <n v="2017"/>
    <n v="2024"/>
    <n v="8"/>
    <n v="1"/>
  </r>
  <r>
    <s v="SHP-31816"/>
    <d v="2024-03-31T00:00:00"/>
    <s v="West"/>
    <s v="Pune"/>
    <s v="Central Hub"/>
    <s v="Standard"/>
    <s v="Capacity"/>
    <s v="Low"/>
    <n v="3"/>
    <n v="6"/>
    <n v="3"/>
    <s v="Yes"/>
    <n v="397"/>
    <n v="4905"/>
    <n v="8001"/>
    <n v="0"/>
    <s v="No"/>
    <s v="Major"/>
    <n v="2667"/>
    <n v="1635"/>
    <n v="2024"/>
    <n v="3"/>
    <n v="1"/>
  </r>
  <r>
    <s v="SHP-31817"/>
    <d v="2024-03-06T00:00:00"/>
    <s v="East"/>
    <s v="Kolkata"/>
    <s v="Local Hub"/>
    <s v="Standard"/>
    <s v="Weather"/>
    <s v="Medium"/>
    <n v="2"/>
    <n v="3"/>
    <n v="1"/>
    <s v="Yes"/>
    <n v="368"/>
    <n v="1177"/>
    <n v="2248"/>
    <n v="0"/>
    <s v="No"/>
    <s v="Minor"/>
    <n v="2248"/>
    <n v="1177"/>
    <n v="2024"/>
    <n v="3"/>
    <n v="1"/>
  </r>
  <r>
    <s v="SHP-31818"/>
    <d v="2024-06-08T00:00:00"/>
    <s v="South"/>
    <s v="Chennai"/>
    <s v="Central Hub"/>
    <s v="Standard"/>
    <s v="Weather"/>
    <s v="Medium"/>
    <n v="1"/>
    <n v="5"/>
    <n v="4"/>
    <s v="Yes"/>
    <n v="489"/>
    <n v="5784"/>
    <n v="17716"/>
    <n v="0"/>
    <s v="No"/>
    <s v="Major"/>
    <n v="4429"/>
    <n v="1446"/>
    <n v="2024"/>
    <n v="6"/>
    <n v="1"/>
  </r>
  <r>
    <s v="SHP-31819"/>
    <d v="2024-12-08T00:00:00"/>
    <s v="South"/>
    <s v="Chennai"/>
    <s v="Local Hub"/>
    <s v="Express"/>
    <s v="Weather"/>
    <s v="Low"/>
    <n v="1"/>
    <n v="3"/>
    <n v="2"/>
    <s v="Yes"/>
    <n v="185"/>
    <n v="4030"/>
    <n v="3540"/>
    <n v="0"/>
    <s v="No"/>
    <s v="Minor"/>
    <n v="1770"/>
    <n v="2015"/>
    <n v="2024"/>
    <n v="12"/>
    <n v="1"/>
  </r>
  <r>
    <s v="SHP-31820"/>
    <d v="2024-08-01T00:00:00"/>
    <s v="South"/>
    <s v="Chennai"/>
    <s v="Regional Hub"/>
    <s v="Critical"/>
    <s v="Weather"/>
    <s v="High"/>
    <n v="2"/>
    <n v="8"/>
    <n v="6"/>
    <s v="Yes"/>
    <n v="92"/>
    <n v="10698"/>
    <n v="13182"/>
    <n v="0"/>
    <s v="No"/>
    <s v="Severe"/>
    <n v="2197"/>
    <n v="1783"/>
    <n v="2024"/>
    <n v="8"/>
    <n v="1"/>
  </r>
  <r>
    <s v="SHP-31821"/>
    <d v="2024-05-15T00:00:00"/>
    <s v="South"/>
    <s v="Bengaluru"/>
    <s v="Regional Hub"/>
    <s v="Standard"/>
    <s v="Routing"/>
    <s v="High"/>
    <n v="1"/>
    <n v="7"/>
    <n v="6"/>
    <s v="Yes"/>
    <n v="146"/>
    <n v="12990"/>
    <n v="25452"/>
    <n v="0"/>
    <s v="No"/>
    <s v="Severe"/>
    <n v="4242"/>
    <n v="2165"/>
    <n v="2024"/>
    <n v="5"/>
    <n v="1"/>
  </r>
  <r>
    <s v="SHP-31822"/>
    <d v="2024-10-26T00:00:00"/>
    <s v="North"/>
    <s v="Noida"/>
    <s v="Regional Hub"/>
    <s v="Standard"/>
    <s v="Capacity"/>
    <s v="Low"/>
    <n v="5"/>
    <n v="10"/>
    <n v="5"/>
    <s v="Yes"/>
    <n v="411"/>
    <n v="5100"/>
    <n v="17030"/>
    <n v="0"/>
    <s v="No"/>
    <s v="Major"/>
    <n v="3406"/>
    <n v="1020"/>
    <n v="2024"/>
    <n v="10"/>
    <n v="1"/>
  </r>
  <r>
    <s v="SHP-31823"/>
    <d v="2024-10-02T00:00:00"/>
    <s v="West"/>
    <s v="Mumbai"/>
    <s v="Regional Hub"/>
    <s v="Standard"/>
    <s v="Weather"/>
    <s v="Medium"/>
    <n v="1"/>
    <n v="4"/>
    <n v="3"/>
    <s v="Yes"/>
    <n v="143"/>
    <n v="5277"/>
    <n v="12459"/>
    <n v="0"/>
    <s v="No"/>
    <s v="Major"/>
    <n v="4153"/>
    <n v="1759"/>
    <n v="2024"/>
    <n v="10"/>
    <n v="1"/>
  </r>
  <r>
    <s v="SHP-31824"/>
    <d v="2024-12-29T00:00:00"/>
    <s v="East"/>
    <s v="Kolkata"/>
    <s v="Local Hub"/>
    <s v="Standard"/>
    <s v="Capacity"/>
    <s v="Low"/>
    <n v="1"/>
    <n v="3"/>
    <n v="2"/>
    <s v="Yes"/>
    <n v="67"/>
    <n v="2040"/>
    <n v="3882"/>
    <n v="0"/>
    <s v="No"/>
    <s v="Minor"/>
    <n v="1941"/>
    <n v="1020"/>
    <n v="2024"/>
    <n v="12"/>
    <n v="1"/>
  </r>
  <r>
    <s v="SHP-31825"/>
    <d v="2024-03-13T00:00:00"/>
    <s v="West"/>
    <s v="Mumbai"/>
    <s v="Local Hub"/>
    <s v="Standard"/>
    <s v="System"/>
    <s v="High"/>
    <n v="1"/>
    <n v="5"/>
    <n v="4"/>
    <s v="Yes"/>
    <n v="140"/>
    <n v="5440"/>
    <n v="17984"/>
    <n v="0"/>
    <s v="No"/>
    <s v="Major"/>
    <n v="4496"/>
    <n v="1360"/>
    <n v="2024"/>
    <n v="3"/>
    <n v="1"/>
  </r>
  <r>
    <s v="SHP-31826"/>
    <d v="2024-07-22T00:00:00"/>
    <s v="West"/>
    <s v="Mumbai"/>
    <s v="Central Hub"/>
    <s v="Critical"/>
    <s v="Weather"/>
    <s v="Medium"/>
    <n v="1"/>
    <n v="7"/>
    <n v="6"/>
    <s v="Yes"/>
    <n v="254"/>
    <n v="10590"/>
    <n v="25200"/>
    <n v="0"/>
    <s v="No"/>
    <s v="Severe"/>
    <n v="4200"/>
    <n v="1765"/>
    <n v="2024"/>
    <n v="7"/>
    <n v="1"/>
  </r>
  <r>
    <s v="SHP-31827"/>
    <d v="2024-09-10T00:00:00"/>
    <s v="North"/>
    <s v="Noida"/>
    <s v="Local Hub"/>
    <s v="Standard"/>
    <s v="Documentation"/>
    <s v="High"/>
    <n v="2"/>
    <n v="5"/>
    <n v="3"/>
    <s v="Yes"/>
    <n v="323"/>
    <n v="4386"/>
    <n v="12825"/>
    <n v="0"/>
    <s v="No"/>
    <s v="Major"/>
    <n v="4275"/>
    <n v="1462"/>
    <n v="2024"/>
    <n v="9"/>
    <n v="1"/>
  </r>
  <r>
    <s v="SHP-31828"/>
    <d v="2024-01-10T00:00:00"/>
    <s v="East"/>
    <s v="Kolkata"/>
    <s v="Regional Hub"/>
    <s v="Express"/>
    <s v="Capacity"/>
    <s v="Low"/>
    <n v="2"/>
    <n v="2"/>
    <n v="0"/>
    <s v="No"/>
    <n v="453"/>
    <n v="0"/>
    <n v="0"/>
    <n v="1"/>
    <s v="No"/>
    <s v="On Time"/>
    <n v="0"/>
    <n v="0"/>
    <n v="2024"/>
    <n v="1"/>
    <n v="0"/>
  </r>
  <r>
    <s v="SHP-31829"/>
    <d v="2024-08-28T00:00:00"/>
    <s v="South"/>
    <s v="Bengaluru"/>
    <s v="Regional Hub"/>
    <s v="Critical"/>
    <s v="Capacity"/>
    <s v="Medium"/>
    <n v="1"/>
    <n v="3"/>
    <n v="2"/>
    <s v="Yes"/>
    <n v="494"/>
    <n v="3126"/>
    <n v="4942"/>
    <n v="0"/>
    <s v="No"/>
    <s v="Minor"/>
    <n v="2471"/>
    <n v="1563"/>
    <n v="2024"/>
    <n v="8"/>
    <n v="1"/>
  </r>
  <r>
    <s v="SHP-31830"/>
    <d v="2024-01-31T00:00:00"/>
    <s v="North"/>
    <s v="Delhi"/>
    <s v="Regional Hub"/>
    <s v="Standard"/>
    <s v="Documentation"/>
    <s v="Low"/>
    <n v="3"/>
    <n v="4"/>
    <n v="1"/>
    <s v="Yes"/>
    <n v="210"/>
    <n v="2447"/>
    <n v="2015"/>
    <n v="0"/>
    <s v="No"/>
    <s v="Minor"/>
    <n v="2015"/>
    <n v="2447"/>
    <n v="2024"/>
    <n v="1"/>
    <n v="1"/>
  </r>
  <r>
    <s v="SHP-31831"/>
    <d v="2024-03-10T00:00:00"/>
    <s v="West"/>
    <s v="Mumbai"/>
    <s v="Central Hub"/>
    <s v="Standard"/>
    <s v="Documentation"/>
    <s v="High"/>
    <n v="5"/>
    <n v="9"/>
    <n v="4"/>
    <s v="Yes"/>
    <n v="344"/>
    <n v="3368"/>
    <n v="15352"/>
    <n v="0"/>
    <s v="No"/>
    <s v="Major"/>
    <n v="3838"/>
    <n v="842"/>
    <n v="2024"/>
    <n v="3"/>
    <n v="1"/>
  </r>
  <r>
    <s v="SHP-31832"/>
    <d v="2024-12-13T00:00:00"/>
    <s v="East"/>
    <s v="Kolkata"/>
    <s v="Local Hub"/>
    <s v="Standard"/>
    <s v="Weather"/>
    <s v="Medium"/>
    <n v="2"/>
    <n v="7"/>
    <n v="5"/>
    <s v="Yes"/>
    <n v="58"/>
    <n v="4545"/>
    <n v="22295"/>
    <n v="0"/>
    <s v="No"/>
    <s v="Major"/>
    <n v="4459"/>
    <n v="909"/>
    <n v="2024"/>
    <n v="12"/>
    <n v="1"/>
  </r>
  <r>
    <s v="SHP-31833"/>
    <d v="2024-11-30T00:00:00"/>
    <s v="North"/>
    <s v="Noida"/>
    <s v="Local Hub"/>
    <s v="Standard"/>
    <s v="Capacity"/>
    <s v="Low"/>
    <n v="3"/>
    <n v="8"/>
    <n v="5"/>
    <s v="Yes"/>
    <n v="361"/>
    <n v="8400"/>
    <n v="15680"/>
    <n v="0"/>
    <s v="No"/>
    <s v="Major"/>
    <n v="3136"/>
    <n v="1680"/>
    <n v="2024"/>
    <n v="11"/>
    <n v="1"/>
  </r>
  <r>
    <s v="SHP-31834"/>
    <d v="2024-10-18T00:00:00"/>
    <s v="East"/>
    <s v="Bhubaneswar"/>
    <s v="Regional Hub"/>
    <s v="Express"/>
    <s v="System"/>
    <s v="Medium"/>
    <n v="3"/>
    <n v="5"/>
    <n v="2"/>
    <s v="Yes"/>
    <n v="259"/>
    <n v="4516"/>
    <n v="4590"/>
    <n v="0"/>
    <s v="No"/>
    <s v="Minor"/>
    <n v="2295"/>
    <n v="2258"/>
    <n v="2024"/>
    <n v="10"/>
    <n v="1"/>
  </r>
  <r>
    <s v="SHP-31835"/>
    <d v="2024-09-01T00:00:00"/>
    <s v="West"/>
    <s v="Pune"/>
    <s v="Local Hub"/>
    <s v="Standard"/>
    <s v="Capacity"/>
    <s v="High"/>
    <n v="1"/>
    <n v="8"/>
    <n v="7"/>
    <s v="Yes"/>
    <n v="371"/>
    <n v="11879"/>
    <n v="26292"/>
    <n v="0"/>
    <s v="No"/>
    <s v="Severe"/>
    <n v="3756"/>
    <n v="1697"/>
    <n v="2024"/>
    <n v="9"/>
    <n v="1"/>
  </r>
  <r>
    <s v="SHP-31836"/>
    <d v="2024-09-05T00:00:00"/>
    <s v="North"/>
    <s v="Noida"/>
    <s v="Central Hub"/>
    <s v="Standard"/>
    <s v="Routing"/>
    <s v="Low"/>
    <n v="2"/>
    <n v="3"/>
    <n v="1"/>
    <s v="Yes"/>
    <n v="486"/>
    <n v="1401"/>
    <n v="2965"/>
    <n v="0"/>
    <s v="No"/>
    <s v="Minor"/>
    <n v="2965"/>
    <n v="1401"/>
    <n v="2024"/>
    <n v="9"/>
    <n v="1"/>
  </r>
  <r>
    <s v="SHP-31837"/>
    <d v="2024-05-09T00:00:00"/>
    <s v="South"/>
    <s v="Bengaluru"/>
    <s v="Regional Hub"/>
    <s v="Critical"/>
    <s v="Routing"/>
    <s v="Low"/>
    <n v="1"/>
    <n v="6"/>
    <n v="5"/>
    <s v="Yes"/>
    <n v="266"/>
    <n v="5195"/>
    <n v="9455"/>
    <n v="0"/>
    <s v="No"/>
    <s v="Major"/>
    <n v="1891"/>
    <n v="1039"/>
    <n v="2024"/>
    <n v="5"/>
    <n v="1"/>
  </r>
  <r>
    <s v="SHP-31838"/>
    <d v="2024-08-22T00:00:00"/>
    <s v="South"/>
    <s v="Chennai"/>
    <s v="Local Hub"/>
    <s v="Critical"/>
    <s v="Capacity"/>
    <s v="Low"/>
    <n v="3"/>
    <n v="9"/>
    <n v="6"/>
    <s v="Yes"/>
    <n v="110"/>
    <n v="13872"/>
    <n v="22932"/>
    <n v="0"/>
    <s v="No"/>
    <s v="Severe"/>
    <n v="3822"/>
    <n v="2312"/>
    <n v="2024"/>
    <n v="8"/>
    <n v="1"/>
  </r>
  <r>
    <s v="SHP-31839"/>
    <d v="2024-09-24T00:00:00"/>
    <s v="North"/>
    <s v="Delhi"/>
    <s v="Local Hub"/>
    <s v="Express"/>
    <s v="Documentation"/>
    <s v="High"/>
    <n v="2"/>
    <n v="7"/>
    <n v="5"/>
    <s v="Yes"/>
    <n v="493"/>
    <n v="8220"/>
    <n v="17565"/>
    <n v="0"/>
    <s v="No"/>
    <s v="Major"/>
    <n v="3513"/>
    <n v="1644"/>
    <n v="2024"/>
    <n v="9"/>
    <n v="1"/>
  </r>
  <r>
    <s v="SHP-31840"/>
    <d v="2024-05-13T00:00:00"/>
    <s v="East"/>
    <s v="Kolkata"/>
    <s v="Central Hub"/>
    <s v="Standard"/>
    <s v="Capacity"/>
    <s v="Low"/>
    <n v="2"/>
    <n v="4"/>
    <n v="2"/>
    <s v="Yes"/>
    <n v="479"/>
    <n v="4700"/>
    <n v="7320"/>
    <n v="0"/>
    <s v="No"/>
    <s v="Minor"/>
    <n v="3660"/>
    <n v="2350"/>
    <n v="2024"/>
    <n v="5"/>
    <n v="1"/>
  </r>
  <r>
    <s v="SHP-31841"/>
    <d v="2024-02-02T00:00:00"/>
    <s v="West"/>
    <s v="Pune"/>
    <s v="Central Hub"/>
    <s v="Standard"/>
    <s v="System"/>
    <s v="Low"/>
    <n v="2"/>
    <n v="4"/>
    <n v="2"/>
    <s v="Yes"/>
    <n v="141"/>
    <n v="2180"/>
    <n v="3610"/>
    <n v="0"/>
    <s v="No"/>
    <s v="Minor"/>
    <n v="1805"/>
    <n v="1090"/>
    <n v="2024"/>
    <n v="2"/>
    <n v="1"/>
  </r>
  <r>
    <s v="SHP-31842"/>
    <d v="2024-12-08T00:00:00"/>
    <s v="South"/>
    <s v="Chennai"/>
    <s v="Local Hub"/>
    <s v="Standard"/>
    <s v="System"/>
    <s v="Low"/>
    <n v="1"/>
    <n v="5"/>
    <n v="4"/>
    <s v="Yes"/>
    <n v="56"/>
    <n v="9072"/>
    <n v="18064"/>
    <n v="0"/>
    <s v="No"/>
    <s v="Major"/>
    <n v="4516"/>
    <n v="2268"/>
    <n v="2024"/>
    <n v="12"/>
    <n v="1"/>
  </r>
  <r>
    <s v="SHP-31843"/>
    <d v="2024-09-20T00:00:00"/>
    <s v="South"/>
    <s v="Bengaluru"/>
    <s v="Regional Hub"/>
    <s v="Standard"/>
    <s v="Routing"/>
    <s v="Low"/>
    <n v="2"/>
    <n v="6"/>
    <n v="4"/>
    <s v="Yes"/>
    <n v="333"/>
    <n v="8720"/>
    <n v="11832"/>
    <n v="0"/>
    <s v="No"/>
    <s v="Major"/>
    <n v="2958"/>
    <n v="2180"/>
    <n v="2024"/>
    <n v="9"/>
    <n v="1"/>
  </r>
  <r>
    <s v="SHP-31844"/>
    <d v="2024-08-18T00:00:00"/>
    <s v="East"/>
    <s v="Kolkata"/>
    <s v="Regional Hub"/>
    <s v="Standard"/>
    <s v="Routing"/>
    <s v="High"/>
    <n v="2"/>
    <n v="5"/>
    <n v="3"/>
    <s v="Yes"/>
    <n v="129"/>
    <n v="4194"/>
    <n v="5004"/>
    <n v="0"/>
    <s v="No"/>
    <s v="Major"/>
    <n v="1668"/>
    <n v="1398"/>
    <n v="2024"/>
    <n v="8"/>
    <n v="1"/>
  </r>
  <r>
    <s v="SHP-31845"/>
    <d v="2024-05-21T00:00:00"/>
    <s v="South"/>
    <s v="Chennai"/>
    <s v="Regional Hub"/>
    <s v="Standard"/>
    <s v="Routing"/>
    <s v="Low"/>
    <n v="1"/>
    <n v="2"/>
    <n v="1"/>
    <s v="Yes"/>
    <n v="499"/>
    <n v="1698"/>
    <n v="1643"/>
    <n v="0"/>
    <s v="No"/>
    <s v="Minor"/>
    <n v="1643"/>
    <n v="1698"/>
    <n v="2024"/>
    <n v="5"/>
    <n v="1"/>
  </r>
  <r>
    <s v="SHP-31846"/>
    <d v="2024-01-09T00:00:00"/>
    <s v="West"/>
    <s v="Mumbai"/>
    <s v="Local Hub"/>
    <s v="Standard"/>
    <s v="Capacity"/>
    <s v="High"/>
    <n v="1"/>
    <n v="6"/>
    <n v="5"/>
    <s v="Yes"/>
    <n v="330"/>
    <n v="5305"/>
    <n v="17020"/>
    <n v="0"/>
    <s v="No"/>
    <s v="Major"/>
    <n v="3404"/>
    <n v="1061"/>
    <n v="2024"/>
    <n v="1"/>
    <n v="1"/>
  </r>
  <r>
    <s v="SHP-31847"/>
    <d v="2024-12-18T00:00:00"/>
    <s v="West"/>
    <s v="Pune"/>
    <s v="Central Hub"/>
    <s v="Express"/>
    <s v="System"/>
    <s v="Low"/>
    <n v="1"/>
    <n v="1"/>
    <n v="0"/>
    <s v="No"/>
    <n v="174"/>
    <n v="0"/>
    <n v="0"/>
    <n v="1"/>
    <s v="No"/>
    <s v="On Time"/>
    <n v="0"/>
    <n v="0"/>
    <n v="2024"/>
    <n v="12"/>
    <n v="0"/>
  </r>
  <r>
    <s v="SHP-31848"/>
    <d v="2024-07-02T00:00:00"/>
    <s v="West"/>
    <s v="Pune"/>
    <s v="Local Hub"/>
    <s v="Standard"/>
    <s v="Routing"/>
    <s v="High"/>
    <n v="2"/>
    <n v="7"/>
    <n v="5"/>
    <s v="Yes"/>
    <n v="431"/>
    <n v="9345"/>
    <n v="17420"/>
    <n v="0"/>
    <s v="No"/>
    <s v="Major"/>
    <n v="3484"/>
    <n v="1869"/>
    <n v="2024"/>
    <n v="7"/>
    <n v="1"/>
  </r>
  <r>
    <s v="SHP-31849"/>
    <d v="2024-12-06T00:00:00"/>
    <s v="South"/>
    <s v="Chennai"/>
    <s v="Central Hub"/>
    <s v="Express"/>
    <s v="Routing"/>
    <s v="Medium"/>
    <n v="2"/>
    <n v="3"/>
    <n v="1"/>
    <s v="Yes"/>
    <n v="198"/>
    <n v="2188"/>
    <n v="3362"/>
    <n v="0"/>
    <s v="No"/>
    <s v="Minor"/>
    <n v="3362"/>
    <n v="2188"/>
    <n v="2024"/>
    <n v="12"/>
    <n v="1"/>
  </r>
  <r>
    <s v="SHP-31850"/>
    <d v="2024-09-01T00:00:00"/>
    <s v="East"/>
    <s v="Kolkata"/>
    <s v="Central Hub"/>
    <s v="Standard"/>
    <s v="Capacity"/>
    <s v="Medium"/>
    <n v="3"/>
    <n v="8"/>
    <n v="5"/>
    <s v="Yes"/>
    <n v="77"/>
    <n v="12465"/>
    <n v="20630"/>
    <n v="0"/>
    <s v="No"/>
    <s v="Major"/>
    <n v="4126"/>
    <n v="2493"/>
    <n v="2024"/>
    <n v="9"/>
    <n v="1"/>
  </r>
  <r>
    <s v="SHP-31851"/>
    <d v="2024-09-28T00:00:00"/>
    <s v="West"/>
    <s v="Pune"/>
    <s v="Regional Hub"/>
    <s v="Express"/>
    <s v="Documentation"/>
    <s v="Low"/>
    <n v="2"/>
    <n v="6"/>
    <n v="4"/>
    <s v="Yes"/>
    <n v="71"/>
    <n v="4852"/>
    <n v="11948"/>
    <n v="0"/>
    <s v="No"/>
    <s v="Major"/>
    <n v="2987"/>
    <n v="1213"/>
    <n v="2024"/>
    <n v="9"/>
    <n v="1"/>
  </r>
  <r>
    <s v="SHP-31852"/>
    <d v="2024-03-23T00:00:00"/>
    <s v="North"/>
    <s v="Noida"/>
    <s v="Regional Hub"/>
    <s v="Standard"/>
    <s v="Documentation"/>
    <s v="Medium"/>
    <n v="3"/>
    <n v="6"/>
    <n v="3"/>
    <s v="Yes"/>
    <n v="366"/>
    <n v="6789"/>
    <n v="5349"/>
    <n v="0"/>
    <s v="No"/>
    <s v="Major"/>
    <n v="1783"/>
    <n v="2263"/>
    <n v="2024"/>
    <n v="3"/>
    <n v="1"/>
  </r>
  <r>
    <s v="SHP-31853"/>
    <d v="2024-02-27T00:00:00"/>
    <s v="East"/>
    <s v="Bhubaneswar"/>
    <s v="Regional Hub"/>
    <s v="Critical"/>
    <s v="Routing"/>
    <s v="Low"/>
    <n v="1"/>
    <n v="3"/>
    <n v="2"/>
    <s v="Yes"/>
    <n v="321"/>
    <n v="4814"/>
    <n v="7674"/>
    <n v="0"/>
    <s v="No"/>
    <s v="Minor"/>
    <n v="3837"/>
    <n v="2407"/>
    <n v="2024"/>
    <n v="2"/>
    <n v="1"/>
  </r>
  <r>
    <s v="SHP-31854"/>
    <d v="2024-05-20T00:00:00"/>
    <s v="North"/>
    <s v="Noida"/>
    <s v="Local Hub"/>
    <s v="Standard"/>
    <s v="Capacity"/>
    <s v="Medium"/>
    <n v="1"/>
    <n v="3"/>
    <n v="2"/>
    <s v="Yes"/>
    <n v="124"/>
    <n v="3928"/>
    <n v="4872"/>
    <n v="0"/>
    <s v="No"/>
    <s v="Minor"/>
    <n v="2436"/>
    <n v="1964"/>
    <n v="2024"/>
    <n v="5"/>
    <n v="1"/>
  </r>
  <r>
    <s v="SHP-31855"/>
    <d v="2024-11-03T00:00:00"/>
    <s v="North"/>
    <s v="Delhi"/>
    <s v="Local Hub"/>
    <s v="Critical"/>
    <s v="Weather"/>
    <s v="Medium"/>
    <n v="1"/>
    <n v="2"/>
    <n v="1"/>
    <s v="Yes"/>
    <n v="408"/>
    <n v="2418"/>
    <n v="4100"/>
    <n v="0"/>
    <s v="No"/>
    <s v="Minor"/>
    <n v="4100"/>
    <n v="2418"/>
    <n v="2024"/>
    <n v="11"/>
    <n v="1"/>
  </r>
  <r>
    <s v="SHP-31856"/>
    <d v="2024-10-10T00:00:00"/>
    <s v="North"/>
    <s v="Noida"/>
    <s v="Central Hub"/>
    <s v="Express"/>
    <s v="Weather"/>
    <s v="Low"/>
    <n v="1"/>
    <n v="3"/>
    <n v="2"/>
    <s v="Yes"/>
    <n v="219"/>
    <n v="3042"/>
    <n v="6046"/>
    <n v="0"/>
    <s v="No"/>
    <s v="Minor"/>
    <n v="3023"/>
    <n v="1521"/>
    <n v="2024"/>
    <n v="10"/>
    <n v="1"/>
  </r>
  <r>
    <s v="SHP-31857"/>
    <d v="2024-02-21T00:00:00"/>
    <s v="North"/>
    <s v="Noida"/>
    <s v="Regional Hub"/>
    <s v="Standard"/>
    <s v="Weather"/>
    <s v="High"/>
    <n v="1"/>
    <n v="4"/>
    <n v="3"/>
    <s v="Yes"/>
    <n v="469"/>
    <n v="3411"/>
    <n v="6777"/>
    <n v="0"/>
    <s v="No"/>
    <s v="Major"/>
    <n v="2259"/>
    <n v="1137"/>
    <n v="2024"/>
    <n v="2"/>
    <n v="1"/>
  </r>
  <r>
    <s v="SHP-31858"/>
    <d v="2024-07-31T00:00:00"/>
    <s v="East"/>
    <s v="Bhubaneswar"/>
    <s v="Local Hub"/>
    <s v="Standard"/>
    <s v="System"/>
    <s v="Low"/>
    <n v="5"/>
    <n v="9"/>
    <n v="4"/>
    <s v="Yes"/>
    <n v="321"/>
    <n v="3848"/>
    <n v="7772"/>
    <n v="0"/>
    <s v="No"/>
    <s v="Major"/>
    <n v="1943"/>
    <n v="962"/>
    <n v="2024"/>
    <n v="7"/>
    <n v="1"/>
  </r>
  <r>
    <s v="SHP-31859"/>
    <d v="2024-05-03T00:00:00"/>
    <s v="West"/>
    <s v="Mumbai"/>
    <s v="Regional Hub"/>
    <s v="Express"/>
    <s v="Capacity"/>
    <s v="Low"/>
    <n v="2"/>
    <n v="6"/>
    <n v="4"/>
    <s v="Yes"/>
    <n v="490"/>
    <n v="9388"/>
    <n v="15536"/>
    <n v="0"/>
    <s v="No"/>
    <s v="Major"/>
    <n v="3884"/>
    <n v="2347"/>
    <n v="2024"/>
    <n v="5"/>
    <n v="1"/>
  </r>
  <r>
    <s v="SHP-31860"/>
    <d v="2024-09-01T00:00:00"/>
    <s v="East"/>
    <s v="Kolkata"/>
    <s v="Regional Hub"/>
    <s v="Express"/>
    <s v="Routing"/>
    <s v="Low"/>
    <n v="2"/>
    <n v="6"/>
    <n v="4"/>
    <s v="Yes"/>
    <n v="254"/>
    <n v="3988"/>
    <n v="7832"/>
    <n v="0"/>
    <s v="No"/>
    <s v="Major"/>
    <n v="1958"/>
    <n v="997"/>
    <n v="2024"/>
    <n v="9"/>
    <n v="1"/>
  </r>
  <r>
    <s v="SHP-31861"/>
    <d v="2024-07-09T00:00:00"/>
    <s v="West"/>
    <s v="Pune"/>
    <s v="Central Hub"/>
    <s v="Critical"/>
    <s v="Weather"/>
    <s v="Medium"/>
    <n v="2"/>
    <n v="5"/>
    <n v="3"/>
    <s v="Yes"/>
    <n v="274"/>
    <n v="4431"/>
    <n v="9774"/>
    <n v="0"/>
    <s v="No"/>
    <s v="Major"/>
    <n v="3258"/>
    <n v="1477"/>
    <n v="2024"/>
    <n v="7"/>
    <n v="1"/>
  </r>
  <r>
    <s v="SHP-31862"/>
    <d v="2024-01-26T00:00:00"/>
    <s v="South"/>
    <s v="Chennai"/>
    <s v="Regional Hub"/>
    <s v="Standard"/>
    <s v="Documentation"/>
    <s v="Medium"/>
    <n v="2"/>
    <n v="2"/>
    <n v="0"/>
    <s v="No"/>
    <n v="156"/>
    <n v="0"/>
    <n v="0"/>
    <n v="1"/>
    <s v="No"/>
    <s v="On Time"/>
    <n v="0"/>
    <n v="0"/>
    <n v="2024"/>
    <n v="1"/>
    <n v="0"/>
  </r>
  <r>
    <s v="SHP-31863"/>
    <d v="2024-11-06T00:00:00"/>
    <s v="North"/>
    <s v="Delhi"/>
    <s v="Central Hub"/>
    <s v="Express"/>
    <s v="Weather"/>
    <s v="Medium"/>
    <n v="3"/>
    <n v="5"/>
    <n v="2"/>
    <s v="Yes"/>
    <n v="150"/>
    <n v="4636"/>
    <n v="9972"/>
    <n v="0"/>
    <s v="No"/>
    <s v="Minor"/>
    <n v="4986"/>
    <n v="2318"/>
    <n v="2024"/>
    <n v="11"/>
    <n v="1"/>
  </r>
  <r>
    <s v="SHP-31864"/>
    <d v="2024-05-07T00:00:00"/>
    <s v="East"/>
    <s v="Bhubaneswar"/>
    <s v="Regional Hub"/>
    <s v="Critical"/>
    <s v="Documentation"/>
    <s v="Medium"/>
    <n v="3"/>
    <n v="6"/>
    <n v="3"/>
    <s v="Yes"/>
    <n v="287"/>
    <n v="6753"/>
    <n v="14739"/>
    <n v="0"/>
    <s v="No"/>
    <s v="Major"/>
    <n v="4913"/>
    <n v="2251"/>
    <n v="2024"/>
    <n v="5"/>
    <n v="1"/>
  </r>
  <r>
    <s v="SHP-31865"/>
    <d v="2024-09-28T00:00:00"/>
    <s v="West"/>
    <s v="Pune"/>
    <s v="Central Hub"/>
    <s v="Express"/>
    <s v="Documentation"/>
    <s v="Low"/>
    <n v="2"/>
    <n v="2"/>
    <n v="0"/>
    <s v="No"/>
    <n v="355"/>
    <n v="0"/>
    <n v="0"/>
    <n v="1"/>
    <s v="No"/>
    <s v="On Time"/>
    <n v="0"/>
    <n v="0"/>
    <n v="2024"/>
    <n v="9"/>
    <n v="0"/>
  </r>
  <r>
    <s v="SHP-31866"/>
    <d v="2024-12-13T00:00:00"/>
    <s v="East"/>
    <s v="Bhubaneswar"/>
    <s v="Central Hub"/>
    <s v="Critical"/>
    <s v="Routing"/>
    <s v="Medium"/>
    <n v="1"/>
    <n v="6"/>
    <n v="5"/>
    <s v="Yes"/>
    <n v="293"/>
    <n v="6675"/>
    <n v="13205"/>
    <n v="0"/>
    <s v="No"/>
    <s v="Major"/>
    <n v="2641"/>
    <n v="1335"/>
    <n v="2024"/>
    <n v="12"/>
    <n v="1"/>
  </r>
  <r>
    <s v="SHP-31867"/>
    <d v="2024-11-16T00:00:00"/>
    <s v="South"/>
    <s v="Bengaluru"/>
    <s v="Central Hub"/>
    <s v="Critical"/>
    <s v="Weather"/>
    <s v="High"/>
    <n v="1"/>
    <n v="6"/>
    <n v="5"/>
    <s v="Yes"/>
    <n v="336"/>
    <n v="10045"/>
    <n v="22630"/>
    <n v="0"/>
    <s v="No"/>
    <s v="Major"/>
    <n v="4526"/>
    <n v="2009"/>
    <n v="2024"/>
    <n v="11"/>
    <n v="1"/>
  </r>
  <r>
    <s v="SHP-31868"/>
    <d v="2024-08-26T00:00:00"/>
    <s v="North"/>
    <s v="Delhi"/>
    <s v="Central Hub"/>
    <s v="Critical"/>
    <s v="Documentation"/>
    <s v="Low"/>
    <n v="5"/>
    <n v="8"/>
    <n v="3"/>
    <s v="Yes"/>
    <n v="402"/>
    <n v="6468"/>
    <n v="5319"/>
    <n v="0"/>
    <s v="No"/>
    <s v="Major"/>
    <n v="1773"/>
    <n v="2156"/>
    <n v="2024"/>
    <n v="8"/>
    <n v="1"/>
  </r>
  <r>
    <s v="SHP-31869"/>
    <d v="2024-02-16T00:00:00"/>
    <s v="South"/>
    <s v="Bengaluru"/>
    <s v="Local Hub"/>
    <s v="Standard"/>
    <s v="Weather"/>
    <s v="Low"/>
    <n v="2"/>
    <n v="7"/>
    <n v="5"/>
    <s v="Yes"/>
    <n v="370"/>
    <n v="11410"/>
    <n v="12420"/>
    <n v="0"/>
    <s v="No"/>
    <s v="Major"/>
    <n v="2484"/>
    <n v="2282"/>
    <n v="2024"/>
    <n v="2"/>
    <n v="1"/>
  </r>
  <r>
    <s v="SHP-31870"/>
    <d v="2024-01-11T00:00:00"/>
    <s v="North"/>
    <s v="Delhi"/>
    <s v="Regional Hub"/>
    <s v="Standard"/>
    <s v="System"/>
    <s v="Low"/>
    <n v="2"/>
    <n v="2"/>
    <n v="0"/>
    <s v="No"/>
    <n v="293"/>
    <n v="0"/>
    <n v="0"/>
    <n v="1"/>
    <s v="No"/>
    <s v="On Time"/>
    <n v="0"/>
    <n v="0"/>
    <n v="2024"/>
    <n v="1"/>
    <n v="0"/>
  </r>
  <r>
    <s v="SHP-31871"/>
    <d v="2024-12-17T00:00:00"/>
    <s v="North"/>
    <s v="Delhi"/>
    <s v="Central Hub"/>
    <s v="Express"/>
    <s v="Documentation"/>
    <s v="High"/>
    <n v="2"/>
    <n v="9"/>
    <n v="7"/>
    <s v="Yes"/>
    <n v="113"/>
    <n v="15666"/>
    <n v="16681"/>
    <n v="0"/>
    <s v="No"/>
    <s v="Severe"/>
    <n v="2383"/>
    <n v="2238"/>
    <n v="2024"/>
    <n v="12"/>
    <n v="1"/>
  </r>
  <r>
    <s v="SHP-31872"/>
    <d v="2024-07-13T00:00:00"/>
    <s v="East"/>
    <s v="Kolkata"/>
    <s v="Regional Hub"/>
    <s v="Standard"/>
    <s v="Capacity"/>
    <s v="Low"/>
    <n v="1"/>
    <n v="6"/>
    <n v="5"/>
    <s v="Yes"/>
    <n v="464"/>
    <n v="4065"/>
    <n v="12590"/>
    <n v="0"/>
    <s v="No"/>
    <s v="Major"/>
    <n v="2518"/>
    <n v="813"/>
    <n v="2024"/>
    <n v="7"/>
    <n v="1"/>
  </r>
  <r>
    <s v="SHP-31873"/>
    <d v="2024-01-04T00:00:00"/>
    <s v="East"/>
    <s v="Kolkata"/>
    <s v="Local Hub"/>
    <s v="Critical"/>
    <s v="Routing"/>
    <s v="High"/>
    <n v="1"/>
    <n v="9"/>
    <n v="8"/>
    <s v="Yes"/>
    <n v="259"/>
    <n v="9488"/>
    <n v="35392"/>
    <n v="0"/>
    <s v="No"/>
    <s v="Severe"/>
    <n v="4424"/>
    <n v="1186"/>
    <n v="2024"/>
    <n v="1"/>
    <n v="1"/>
  </r>
  <r>
    <s v="SHP-31874"/>
    <d v="2024-03-31T00:00:00"/>
    <s v="South"/>
    <s v="Bengaluru"/>
    <s v="Central Hub"/>
    <s v="Express"/>
    <s v="Documentation"/>
    <s v="Low"/>
    <n v="1"/>
    <n v="3"/>
    <n v="2"/>
    <s v="Yes"/>
    <n v="210"/>
    <n v="2480"/>
    <n v="9584"/>
    <n v="0"/>
    <s v="No"/>
    <s v="Minor"/>
    <n v="4792"/>
    <n v="1240"/>
    <n v="2024"/>
    <n v="3"/>
    <n v="1"/>
  </r>
  <r>
    <s v="SHP-31875"/>
    <d v="2024-11-06T00:00:00"/>
    <s v="East"/>
    <s v="Bhubaneswar"/>
    <s v="Central Hub"/>
    <s v="Critical"/>
    <s v="Documentation"/>
    <s v="High"/>
    <n v="5"/>
    <n v="13"/>
    <n v="8"/>
    <s v="Yes"/>
    <n v="177"/>
    <n v="17200"/>
    <n v="13432"/>
    <n v="0"/>
    <s v="No"/>
    <s v="Severe"/>
    <n v="1679"/>
    <n v="2150"/>
    <n v="2024"/>
    <n v="11"/>
    <n v="1"/>
  </r>
  <r>
    <s v="SHP-31876"/>
    <d v="2024-03-06T00:00:00"/>
    <s v="West"/>
    <s v="Pune"/>
    <s v="Regional Hub"/>
    <s v="Express"/>
    <s v="Weather"/>
    <s v="Medium"/>
    <n v="3"/>
    <n v="8"/>
    <n v="5"/>
    <s v="Yes"/>
    <n v="446"/>
    <n v="9430"/>
    <n v="22900"/>
    <n v="0"/>
    <s v="No"/>
    <s v="Major"/>
    <n v="4580"/>
    <n v="1886"/>
    <n v="2024"/>
    <n v="3"/>
    <n v="1"/>
  </r>
  <r>
    <s v="SHP-31877"/>
    <d v="2024-07-18T00:00:00"/>
    <s v="West"/>
    <s v="Pune"/>
    <s v="Regional Hub"/>
    <s v="Standard"/>
    <s v="Documentation"/>
    <s v="Low"/>
    <n v="2"/>
    <n v="7"/>
    <n v="5"/>
    <s v="Yes"/>
    <n v="344"/>
    <n v="11755"/>
    <n v="19345"/>
    <n v="0"/>
    <s v="No"/>
    <s v="Major"/>
    <n v="3869"/>
    <n v="2351"/>
    <n v="2024"/>
    <n v="7"/>
    <n v="1"/>
  </r>
  <r>
    <s v="SHP-31878"/>
    <d v="2024-08-30T00:00:00"/>
    <s v="East"/>
    <s v="Kolkata"/>
    <s v="Central Hub"/>
    <s v="Express"/>
    <s v="Weather"/>
    <s v="Medium"/>
    <n v="3"/>
    <n v="7"/>
    <n v="4"/>
    <s v="Yes"/>
    <n v="463"/>
    <n v="4492"/>
    <n v="12000"/>
    <n v="0"/>
    <s v="No"/>
    <s v="Major"/>
    <n v="3000"/>
    <n v="1123"/>
    <n v="2024"/>
    <n v="8"/>
    <n v="1"/>
  </r>
  <r>
    <s v="SHP-31879"/>
    <d v="2024-12-07T00:00:00"/>
    <s v="East"/>
    <s v="Kolkata"/>
    <s v="Local Hub"/>
    <s v="Standard"/>
    <s v="Routing"/>
    <s v="Low"/>
    <n v="3"/>
    <n v="4"/>
    <n v="1"/>
    <s v="Yes"/>
    <n v="457"/>
    <n v="1398"/>
    <n v="2127"/>
    <n v="0"/>
    <s v="No"/>
    <s v="Minor"/>
    <n v="2127"/>
    <n v="1398"/>
    <n v="2024"/>
    <n v="12"/>
    <n v="1"/>
  </r>
  <r>
    <s v="SHP-31880"/>
    <d v="2024-08-05T00:00:00"/>
    <s v="South"/>
    <s v="Bengaluru"/>
    <s v="Local Hub"/>
    <s v="Critical"/>
    <s v="Routing"/>
    <s v="Medium"/>
    <n v="1"/>
    <n v="4"/>
    <n v="3"/>
    <s v="Yes"/>
    <n v="494"/>
    <n v="4599"/>
    <n v="10602"/>
    <n v="0"/>
    <s v="No"/>
    <s v="Major"/>
    <n v="3534"/>
    <n v="1533"/>
    <n v="2024"/>
    <n v="8"/>
    <n v="1"/>
  </r>
  <r>
    <s v="SHP-31881"/>
    <d v="2024-09-13T00:00:00"/>
    <s v="East"/>
    <s v="Bhubaneswar"/>
    <s v="Central Hub"/>
    <s v="Critical"/>
    <s v="Capacity"/>
    <s v="High"/>
    <n v="1"/>
    <n v="8"/>
    <n v="7"/>
    <s v="Yes"/>
    <n v="263"/>
    <n v="7840"/>
    <n v="19411"/>
    <n v="0"/>
    <s v="No"/>
    <s v="Severe"/>
    <n v="2773"/>
    <n v="1120"/>
    <n v="2024"/>
    <n v="9"/>
    <n v="1"/>
  </r>
  <r>
    <s v="SHP-31882"/>
    <d v="2024-09-07T00:00:00"/>
    <s v="East"/>
    <s v="Bhubaneswar"/>
    <s v="Local Hub"/>
    <s v="Standard"/>
    <s v="Weather"/>
    <s v="Low"/>
    <n v="2"/>
    <n v="2"/>
    <n v="0"/>
    <s v="No"/>
    <n v="64"/>
    <n v="0"/>
    <n v="0"/>
    <n v="1"/>
    <s v="No"/>
    <s v="On Time"/>
    <n v="0"/>
    <n v="0"/>
    <n v="2024"/>
    <n v="9"/>
    <n v="0"/>
  </r>
  <r>
    <s v="SHP-31883"/>
    <d v="2024-03-12T00:00:00"/>
    <s v="West"/>
    <s v="Mumbai"/>
    <s v="Regional Hub"/>
    <s v="Critical"/>
    <s v="Capacity"/>
    <s v="Medium"/>
    <n v="3"/>
    <n v="5"/>
    <n v="2"/>
    <s v="Yes"/>
    <n v="328"/>
    <n v="4056"/>
    <n v="3500"/>
    <n v="0"/>
    <s v="No"/>
    <s v="Minor"/>
    <n v="1750"/>
    <n v="2028"/>
    <n v="2024"/>
    <n v="3"/>
    <n v="1"/>
  </r>
  <r>
    <s v="SHP-31884"/>
    <d v="2024-05-23T00:00:00"/>
    <s v="North"/>
    <s v="Delhi"/>
    <s v="Local Hub"/>
    <s v="Standard"/>
    <s v="Weather"/>
    <s v="High"/>
    <n v="2"/>
    <n v="10"/>
    <n v="8"/>
    <s v="Yes"/>
    <n v="414"/>
    <n v="18280"/>
    <n v="19112"/>
    <n v="0"/>
    <s v="No"/>
    <s v="Severe"/>
    <n v="2389"/>
    <n v="2285"/>
    <n v="2024"/>
    <n v="5"/>
    <n v="1"/>
  </r>
  <r>
    <s v="SHP-31885"/>
    <d v="2024-05-25T00:00:00"/>
    <s v="West"/>
    <s v="Mumbai"/>
    <s v="Local Hub"/>
    <s v="Express"/>
    <s v="Routing"/>
    <s v="Low"/>
    <n v="3"/>
    <n v="6"/>
    <n v="3"/>
    <s v="Yes"/>
    <n v="470"/>
    <n v="2403"/>
    <n v="14637"/>
    <n v="0"/>
    <s v="No"/>
    <s v="Major"/>
    <n v="4879"/>
    <n v="801"/>
    <n v="2024"/>
    <n v="5"/>
    <n v="1"/>
  </r>
  <r>
    <s v="SHP-31886"/>
    <d v="2024-07-26T00:00:00"/>
    <s v="West"/>
    <s v="Mumbai"/>
    <s v="Regional Hub"/>
    <s v="Express"/>
    <s v="Documentation"/>
    <s v="Low"/>
    <n v="1"/>
    <n v="5"/>
    <n v="4"/>
    <s v="Yes"/>
    <n v="245"/>
    <n v="7980"/>
    <n v="14092"/>
    <n v="0"/>
    <s v="No"/>
    <s v="Major"/>
    <n v="3523"/>
    <n v="1995"/>
    <n v="2024"/>
    <n v="7"/>
    <n v="1"/>
  </r>
  <r>
    <s v="SHP-31887"/>
    <d v="2024-11-08T00:00:00"/>
    <s v="East"/>
    <s v="Bhubaneswar"/>
    <s v="Central Hub"/>
    <s v="Express"/>
    <s v="Weather"/>
    <s v="Medium"/>
    <n v="2"/>
    <n v="2"/>
    <n v="0"/>
    <s v="No"/>
    <n v="315"/>
    <n v="0"/>
    <n v="0"/>
    <n v="1"/>
    <s v="No"/>
    <s v="On Time"/>
    <n v="0"/>
    <n v="0"/>
    <n v="2024"/>
    <n v="11"/>
    <n v="0"/>
  </r>
  <r>
    <s v="SHP-31888"/>
    <d v="2024-04-16T00:00:00"/>
    <s v="West"/>
    <s v="Pune"/>
    <s v="Regional Hub"/>
    <s v="Critical"/>
    <s v="Documentation"/>
    <s v="High"/>
    <n v="5"/>
    <n v="14"/>
    <n v="9"/>
    <s v="Yes"/>
    <n v="155"/>
    <n v="7587"/>
    <n v="29358"/>
    <n v="0"/>
    <s v="No"/>
    <s v="Severe"/>
    <n v="3262"/>
    <n v="843"/>
    <n v="2024"/>
    <n v="4"/>
    <n v="1"/>
  </r>
  <r>
    <s v="SHP-31889"/>
    <d v="2024-05-12T00:00:00"/>
    <s v="East"/>
    <s v="Kolkata"/>
    <s v="Regional Hub"/>
    <s v="Standard"/>
    <s v="Capacity"/>
    <s v="Low"/>
    <n v="3"/>
    <n v="3"/>
    <n v="0"/>
    <s v="No"/>
    <n v="267"/>
    <n v="0"/>
    <n v="0"/>
    <n v="1"/>
    <s v="No"/>
    <s v="On Time"/>
    <n v="0"/>
    <n v="0"/>
    <n v="2024"/>
    <n v="5"/>
    <n v="0"/>
  </r>
  <r>
    <s v="SHP-31890"/>
    <d v="2024-08-27T00:00:00"/>
    <s v="North"/>
    <s v="Noida"/>
    <s v="Regional Hub"/>
    <s v="Critical"/>
    <s v="Capacity"/>
    <s v="High"/>
    <n v="2"/>
    <n v="12"/>
    <n v="10"/>
    <s v="Yes"/>
    <n v="435"/>
    <n v="20050"/>
    <n v="42600"/>
    <n v="0"/>
    <s v="No"/>
    <s v="Severe"/>
    <n v="4260"/>
    <n v="2005"/>
    <n v="2024"/>
    <n v="8"/>
    <n v="1"/>
  </r>
  <r>
    <s v="SHP-31891"/>
    <d v="2024-09-08T00:00:00"/>
    <s v="East"/>
    <s v="Bhubaneswar"/>
    <s v="Regional Hub"/>
    <s v="Standard"/>
    <s v="Capacity"/>
    <s v="Low"/>
    <n v="1"/>
    <n v="5"/>
    <n v="4"/>
    <s v="Yes"/>
    <n v="177"/>
    <n v="9736"/>
    <n v="14676"/>
    <n v="0"/>
    <s v="No"/>
    <s v="Major"/>
    <n v="3669"/>
    <n v="2434"/>
    <n v="2024"/>
    <n v="9"/>
    <n v="1"/>
  </r>
  <r>
    <s v="SHP-31892"/>
    <d v="2024-10-06T00:00:00"/>
    <s v="West"/>
    <s v="Pune"/>
    <s v="Central Hub"/>
    <s v="Standard"/>
    <s v="Weather"/>
    <s v="Medium"/>
    <n v="2"/>
    <n v="3"/>
    <n v="1"/>
    <s v="Yes"/>
    <n v="151"/>
    <n v="2465"/>
    <n v="3639"/>
    <n v="0"/>
    <s v="No"/>
    <s v="Minor"/>
    <n v="3639"/>
    <n v="2465"/>
    <n v="2024"/>
    <n v="10"/>
    <n v="1"/>
  </r>
  <r>
    <s v="SHP-31893"/>
    <d v="2024-04-02T00:00:00"/>
    <s v="East"/>
    <s v="Kolkata"/>
    <s v="Regional Hub"/>
    <s v="Express"/>
    <s v="Documentation"/>
    <s v="High"/>
    <n v="3"/>
    <n v="9"/>
    <n v="6"/>
    <s v="Yes"/>
    <n v="215"/>
    <n v="5808"/>
    <n v="20712"/>
    <n v="0"/>
    <s v="No"/>
    <s v="Severe"/>
    <n v="3452"/>
    <n v="968"/>
    <n v="2024"/>
    <n v="4"/>
    <n v="1"/>
  </r>
  <r>
    <s v="SHP-31894"/>
    <d v="2024-10-30T00:00:00"/>
    <s v="North"/>
    <s v="Noida"/>
    <s v="Regional Hub"/>
    <s v="Express"/>
    <s v="Weather"/>
    <s v="Medium"/>
    <n v="5"/>
    <n v="7"/>
    <n v="2"/>
    <s v="Yes"/>
    <n v="347"/>
    <n v="3356"/>
    <n v="9056"/>
    <n v="0"/>
    <s v="No"/>
    <s v="Minor"/>
    <n v="4528"/>
    <n v="1678"/>
    <n v="2024"/>
    <n v="10"/>
    <n v="1"/>
  </r>
  <r>
    <s v="SHP-31895"/>
    <d v="2024-12-24T00:00:00"/>
    <s v="East"/>
    <s v="Kolkata"/>
    <s v="Central Hub"/>
    <s v="Express"/>
    <s v="Documentation"/>
    <s v="Low"/>
    <n v="2"/>
    <n v="2"/>
    <n v="0"/>
    <s v="No"/>
    <n v="224"/>
    <n v="0"/>
    <n v="0"/>
    <n v="1"/>
    <s v="No"/>
    <s v="On Time"/>
    <n v="0"/>
    <n v="0"/>
    <n v="2024"/>
    <n v="12"/>
    <n v="0"/>
  </r>
  <r>
    <s v="SHP-31896"/>
    <d v="2024-01-29T00:00:00"/>
    <s v="West"/>
    <s v="Mumbai"/>
    <s v="Regional Hub"/>
    <s v="Express"/>
    <s v="Routing"/>
    <s v="Low"/>
    <n v="2"/>
    <n v="3"/>
    <n v="1"/>
    <s v="Yes"/>
    <n v="286"/>
    <n v="2354"/>
    <n v="2381"/>
    <n v="0"/>
    <s v="No"/>
    <s v="Minor"/>
    <n v="2381"/>
    <n v="2354"/>
    <n v="2024"/>
    <n v="1"/>
    <n v="1"/>
  </r>
  <r>
    <s v="SHP-31897"/>
    <d v="2024-06-18T00:00:00"/>
    <s v="West"/>
    <s v="Pune"/>
    <s v="Regional Hub"/>
    <s v="Standard"/>
    <s v="Capacity"/>
    <s v="High"/>
    <n v="1"/>
    <n v="7"/>
    <n v="6"/>
    <s v="Yes"/>
    <n v="368"/>
    <n v="5514"/>
    <n v="27948"/>
    <n v="0"/>
    <s v="No"/>
    <s v="Severe"/>
    <n v="4658"/>
    <n v="919"/>
    <n v="2024"/>
    <n v="6"/>
    <n v="1"/>
  </r>
  <r>
    <s v="SHP-31898"/>
    <d v="2024-01-14T00:00:00"/>
    <s v="South"/>
    <s v="Bengaluru"/>
    <s v="Regional Hub"/>
    <s v="Critical"/>
    <s v="Capacity"/>
    <s v="High"/>
    <n v="2"/>
    <n v="10"/>
    <n v="8"/>
    <s v="Yes"/>
    <n v="499"/>
    <n v="9984"/>
    <n v="12440"/>
    <n v="0"/>
    <s v="No"/>
    <s v="Severe"/>
    <n v="1555"/>
    <n v="1248"/>
    <n v="2024"/>
    <n v="1"/>
    <n v="1"/>
  </r>
  <r>
    <s v="SHP-31899"/>
    <d v="2024-04-17T00:00:00"/>
    <s v="South"/>
    <s v="Bengaluru"/>
    <s v="Regional Hub"/>
    <s v="Standard"/>
    <s v="Capacity"/>
    <s v="Low"/>
    <n v="1"/>
    <n v="5"/>
    <n v="4"/>
    <s v="Yes"/>
    <n v="139"/>
    <n v="9376"/>
    <n v="9888"/>
    <n v="0"/>
    <s v="No"/>
    <s v="Major"/>
    <n v="2472"/>
    <n v="2344"/>
    <n v="2024"/>
    <n v="4"/>
    <n v="1"/>
  </r>
  <r>
    <s v="SHP-31900"/>
    <d v="2024-05-16T00:00:00"/>
    <s v="West"/>
    <s v="Mumbai"/>
    <s v="Regional Hub"/>
    <s v="Standard"/>
    <s v="Capacity"/>
    <s v="Low"/>
    <n v="2"/>
    <n v="5"/>
    <n v="3"/>
    <s v="Yes"/>
    <n v="488"/>
    <n v="5322"/>
    <n v="6279"/>
    <n v="0"/>
    <s v="No"/>
    <s v="Major"/>
    <n v="2093"/>
    <n v="1774"/>
    <n v="2024"/>
    <n v="5"/>
    <n v="1"/>
  </r>
  <r>
    <s v="SHP-31901"/>
    <d v="2024-12-06T00:00:00"/>
    <s v="South"/>
    <s v="Chennai"/>
    <s v="Central Hub"/>
    <s v="Standard"/>
    <s v="Routing"/>
    <s v="Medium"/>
    <n v="2"/>
    <n v="5"/>
    <n v="3"/>
    <s v="Yes"/>
    <n v="407"/>
    <n v="5913"/>
    <n v="8295"/>
    <n v="0"/>
    <s v="No"/>
    <s v="Major"/>
    <n v="2765"/>
    <n v="1971"/>
    <n v="2024"/>
    <n v="12"/>
    <n v="1"/>
  </r>
  <r>
    <s v="SHP-31902"/>
    <d v="2024-01-27T00:00:00"/>
    <s v="North"/>
    <s v="Noida"/>
    <s v="Central Hub"/>
    <s v="Standard"/>
    <s v="Capacity"/>
    <s v="High"/>
    <n v="2"/>
    <n v="8"/>
    <n v="6"/>
    <s v="Yes"/>
    <n v="181"/>
    <n v="8802"/>
    <n v="19086"/>
    <n v="0"/>
    <s v="No"/>
    <s v="Severe"/>
    <n v="3181"/>
    <n v="1467"/>
    <n v="2024"/>
    <n v="1"/>
    <n v="1"/>
  </r>
  <r>
    <s v="SHP-31903"/>
    <d v="2024-10-24T00:00:00"/>
    <s v="West"/>
    <s v="Pune"/>
    <s v="Local Hub"/>
    <s v="Critical"/>
    <s v="Documentation"/>
    <s v="Medium"/>
    <n v="3"/>
    <n v="9"/>
    <n v="6"/>
    <s v="Yes"/>
    <n v="236"/>
    <n v="9786"/>
    <n v="9918"/>
    <n v="0"/>
    <s v="No"/>
    <s v="Severe"/>
    <n v="1653"/>
    <n v="1631"/>
    <n v="2024"/>
    <n v="10"/>
    <n v="1"/>
  </r>
  <r>
    <s v="SHP-31904"/>
    <d v="2024-12-17T00:00:00"/>
    <s v="South"/>
    <s v="Chennai"/>
    <s v="Central Hub"/>
    <s v="Standard"/>
    <s v="Routing"/>
    <s v="Medium"/>
    <n v="3"/>
    <n v="6"/>
    <n v="3"/>
    <s v="Yes"/>
    <n v="301"/>
    <n v="4551"/>
    <n v="9087"/>
    <n v="0"/>
    <s v="No"/>
    <s v="Major"/>
    <n v="3029"/>
    <n v="1517"/>
    <n v="2024"/>
    <n v="12"/>
    <n v="1"/>
  </r>
  <r>
    <s v="SHP-31905"/>
    <d v="2024-08-29T00:00:00"/>
    <s v="West"/>
    <s v="Mumbai"/>
    <s v="Central Hub"/>
    <s v="Standard"/>
    <s v="Routing"/>
    <s v="Low"/>
    <n v="3"/>
    <n v="4"/>
    <n v="1"/>
    <s v="Yes"/>
    <n v="439"/>
    <n v="909"/>
    <n v="2844"/>
    <n v="0"/>
    <s v="No"/>
    <s v="Minor"/>
    <n v="2844"/>
    <n v="909"/>
    <n v="2024"/>
    <n v="8"/>
    <n v="1"/>
  </r>
  <r>
    <s v="SHP-31906"/>
    <d v="2024-09-08T00:00:00"/>
    <s v="West"/>
    <s v="Pune"/>
    <s v="Local Hub"/>
    <s v="Standard"/>
    <s v="Weather"/>
    <s v="Medium"/>
    <n v="5"/>
    <n v="6"/>
    <n v="1"/>
    <s v="Yes"/>
    <n v="265"/>
    <n v="964"/>
    <n v="4728"/>
    <n v="0"/>
    <s v="No"/>
    <s v="Minor"/>
    <n v="4728"/>
    <n v="964"/>
    <n v="2024"/>
    <n v="9"/>
    <n v="1"/>
  </r>
  <r>
    <s v="SHP-31907"/>
    <d v="2024-02-28T00:00:00"/>
    <s v="South"/>
    <s v="Chennai"/>
    <s v="Regional Hub"/>
    <s v="Standard"/>
    <s v="Documentation"/>
    <s v="Low"/>
    <n v="2"/>
    <n v="2"/>
    <n v="0"/>
    <s v="No"/>
    <n v="440"/>
    <n v="0"/>
    <n v="0"/>
    <n v="1"/>
    <s v="No"/>
    <s v="On Time"/>
    <n v="0"/>
    <n v="0"/>
    <n v="2024"/>
    <n v="2"/>
    <n v="0"/>
  </r>
  <r>
    <s v="SHP-31908"/>
    <d v="2024-03-18T00:00:00"/>
    <s v="North"/>
    <s v="Noida"/>
    <s v="Regional Hub"/>
    <s v="Critical"/>
    <s v="Capacity"/>
    <s v="Low"/>
    <n v="5"/>
    <n v="11"/>
    <n v="6"/>
    <s v="Yes"/>
    <n v="404"/>
    <n v="12486"/>
    <n v="13746"/>
    <n v="0"/>
    <s v="No"/>
    <s v="Severe"/>
    <n v="2291"/>
    <n v="2081"/>
    <n v="2024"/>
    <n v="3"/>
    <n v="1"/>
  </r>
  <r>
    <s v="SHP-31909"/>
    <d v="2024-12-11T00:00:00"/>
    <s v="East"/>
    <s v="Bhubaneswar"/>
    <s v="Central Hub"/>
    <s v="Standard"/>
    <s v="Capacity"/>
    <s v="Low"/>
    <n v="2"/>
    <n v="5"/>
    <n v="3"/>
    <s v="Yes"/>
    <n v="327"/>
    <n v="5823"/>
    <n v="9606"/>
    <n v="0"/>
    <s v="No"/>
    <s v="Major"/>
    <n v="3202"/>
    <n v="1941"/>
    <n v="2024"/>
    <n v="12"/>
    <n v="1"/>
  </r>
  <r>
    <s v="SHP-31910"/>
    <d v="2024-09-11T00:00:00"/>
    <s v="East"/>
    <s v="Bhubaneswar"/>
    <s v="Regional Hub"/>
    <s v="Standard"/>
    <s v="Capacity"/>
    <s v="Medium"/>
    <n v="1"/>
    <n v="5"/>
    <n v="4"/>
    <s v="Yes"/>
    <n v="185"/>
    <n v="9792"/>
    <n v="17740"/>
    <n v="0"/>
    <s v="No"/>
    <s v="Major"/>
    <n v="4435"/>
    <n v="2448"/>
    <n v="2024"/>
    <n v="9"/>
    <n v="1"/>
  </r>
  <r>
    <s v="SHP-31911"/>
    <d v="2024-04-06T00:00:00"/>
    <s v="South"/>
    <s v="Chennai"/>
    <s v="Central Hub"/>
    <s v="Standard"/>
    <s v="Routing"/>
    <s v="Medium"/>
    <n v="3"/>
    <n v="5"/>
    <n v="2"/>
    <s v="Yes"/>
    <n v="332"/>
    <n v="3994"/>
    <n v="8404"/>
    <n v="0"/>
    <s v="No"/>
    <s v="Minor"/>
    <n v="4202"/>
    <n v="1997"/>
    <n v="2024"/>
    <n v="4"/>
    <n v="1"/>
  </r>
  <r>
    <s v="SHP-31912"/>
    <d v="2024-11-09T00:00:00"/>
    <s v="West"/>
    <s v="Pune"/>
    <s v="Central Hub"/>
    <s v="Standard"/>
    <s v="Routing"/>
    <s v="High"/>
    <n v="2"/>
    <n v="9"/>
    <n v="7"/>
    <s v="Yes"/>
    <n v="192"/>
    <n v="6629"/>
    <n v="25858"/>
    <n v="0"/>
    <s v="No"/>
    <s v="Severe"/>
    <n v="3694"/>
    <n v="947"/>
    <n v="2024"/>
    <n v="11"/>
    <n v="1"/>
  </r>
  <r>
    <s v="SHP-31913"/>
    <d v="2024-03-25T00:00:00"/>
    <s v="East"/>
    <s v="Kolkata"/>
    <s v="Regional Hub"/>
    <s v="Express"/>
    <s v="Weather"/>
    <s v="Low"/>
    <n v="1"/>
    <n v="2"/>
    <n v="1"/>
    <s v="Yes"/>
    <n v="74"/>
    <n v="1819"/>
    <n v="2340"/>
    <n v="0"/>
    <s v="No"/>
    <s v="Minor"/>
    <n v="2340"/>
    <n v="1819"/>
    <n v="2024"/>
    <n v="3"/>
    <n v="1"/>
  </r>
  <r>
    <s v="SHP-31914"/>
    <d v="2024-04-24T00:00:00"/>
    <s v="North"/>
    <s v="Noida"/>
    <s v="Regional Hub"/>
    <s v="Express"/>
    <s v="Weather"/>
    <s v="High"/>
    <n v="1"/>
    <n v="6"/>
    <n v="5"/>
    <s v="Yes"/>
    <n v="277"/>
    <n v="9750"/>
    <n v="15860"/>
    <n v="0"/>
    <s v="No"/>
    <s v="Major"/>
    <n v="3172"/>
    <n v="1950"/>
    <n v="2024"/>
    <n v="4"/>
    <n v="1"/>
  </r>
  <r>
    <s v="SHP-31915"/>
    <d v="2024-10-21T00:00:00"/>
    <s v="West"/>
    <s v="Mumbai"/>
    <s v="Regional Hub"/>
    <s v="Express"/>
    <s v="System"/>
    <s v="Low"/>
    <n v="2"/>
    <n v="6"/>
    <n v="4"/>
    <s v="Yes"/>
    <n v="167"/>
    <n v="3368"/>
    <n v="9104"/>
    <n v="0"/>
    <s v="No"/>
    <s v="Major"/>
    <n v="2276"/>
    <n v="842"/>
    <n v="2024"/>
    <n v="10"/>
    <n v="1"/>
  </r>
  <r>
    <s v="SHP-31916"/>
    <d v="2024-12-29T00:00:00"/>
    <s v="North"/>
    <s v="Noida"/>
    <s v="Regional Hub"/>
    <s v="Express"/>
    <s v="Documentation"/>
    <s v="Low"/>
    <n v="1"/>
    <n v="5"/>
    <n v="4"/>
    <s v="Yes"/>
    <n v="487"/>
    <n v="3940"/>
    <n v="17208"/>
    <n v="0"/>
    <s v="No"/>
    <s v="Major"/>
    <n v="4302"/>
    <n v="985"/>
    <n v="2024"/>
    <n v="12"/>
    <n v="1"/>
  </r>
  <r>
    <s v="SHP-31917"/>
    <d v="2024-12-08T00:00:00"/>
    <s v="North"/>
    <s v="Noida"/>
    <s v="Regional Hub"/>
    <s v="Standard"/>
    <s v="Routing"/>
    <s v="Low"/>
    <n v="2"/>
    <n v="2"/>
    <n v="0"/>
    <s v="No"/>
    <n v="425"/>
    <n v="0"/>
    <n v="0"/>
    <n v="1"/>
    <s v="No"/>
    <s v="On Time"/>
    <n v="0"/>
    <n v="0"/>
    <n v="2024"/>
    <n v="12"/>
    <n v="0"/>
  </r>
  <r>
    <s v="SHP-31918"/>
    <d v="2024-09-17T00:00:00"/>
    <s v="West"/>
    <s v="Pune"/>
    <s v="Central Hub"/>
    <s v="Critical"/>
    <s v="System"/>
    <s v="Low"/>
    <n v="2"/>
    <n v="5"/>
    <n v="3"/>
    <s v="Yes"/>
    <n v="130"/>
    <n v="4167"/>
    <n v="13590"/>
    <n v="0"/>
    <s v="No"/>
    <s v="Major"/>
    <n v="4530"/>
    <n v="1389"/>
    <n v="2024"/>
    <n v="9"/>
    <n v="1"/>
  </r>
  <r>
    <s v="SHP-31919"/>
    <d v="2024-04-16T00:00:00"/>
    <s v="East"/>
    <s v="Bhubaneswar"/>
    <s v="Central Hub"/>
    <s v="Standard"/>
    <s v="Capacity"/>
    <s v="Medium"/>
    <n v="3"/>
    <n v="8"/>
    <n v="5"/>
    <s v="Yes"/>
    <n v="292"/>
    <n v="10055"/>
    <n v="13900"/>
    <n v="0"/>
    <s v="No"/>
    <s v="Major"/>
    <n v="2780"/>
    <n v="2011"/>
    <n v="2024"/>
    <n v="4"/>
    <n v="1"/>
  </r>
  <r>
    <s v="SHP-31920"/>
    <d v="2024-03-29T00:00:00"/>
    <s v="East"/>
    <s v="Kolkata"/>
    <s v="Local Hub"/>
    <s v="Express"/>
    <s v="Documentation"/>
    <s v="Low"/>
    <n v="2"/>
    <n v="6"/>
    <n v="4"/>
    <s v="Yes"/>
    <n v="192"/>
    <n v="8900"/>
    <n v="8652"/>
    <n v="0"/>
    <s v="No"/>
    <s v="Major"/>
    <n v="2163"/>
    <n v="2225"/>
    <n v="2024"/>
    <n v="3"/>
    <n v="1"/>
  </r>
  <r>
    <s v="SHP-31921"/>
    <d v="2024-03-14T00:00:00"/>
    <s v="South"/>
    <s v="Bengaluru"/>
    <s v="Regional Hub"/>
    <s v="Standard"/>
    <s v="Weather"/>
    <s v="High"/>
    <n v="2"/>
    <n v="7"/>
    <n v="5"/>
    <s v="Yes"/>
    <n v="350"/>
    <n v="4010"/>
    <n v="19680"/>
    <n v="0"/>
    <s v="No"/>
    <s v="Major"/>
    <n v="3936"/>
    <n v="802"/>
    <n v="2024"/>
    <n v="3"/>
    <n v="1"/>
  </r>
  <r>
    <s v="SHP-31922"/>
    <d v="2024-06-19T00:00:00"/>
    <s v="North"/>
    <s v="Noida"/>
    <s v="Local Hub"/>
    <s v="Critical"/>
    <s v="Documentation"/>
    <s v="High"/>
    <n v="2"/>
    <n v="9"/>
    <n v="7"/>
    <s v="Yes"/>
    <n v="423"/>
    <n v="6769"/>
    <n v="23835"/>
    <n v="0"/>
    <s v="No"/>
    <s v="Severe"/>
    <n v="3405"/>
    <n v="967"/>
    <n v="2024"/>
    <n v="6"/>
    <n v="1"/>
  </r>
  <r>
    <s v="SHP-31923"/>
    <d v="2024-01-23T00:00:00"/>
    <s v="North"/>
    <s v="Delhi"/>
    <s v="Regional Hub"/>
    <s v="Express"/>
    <s v="Weather"/>
    <s v="Low"/>
    <n v="2"/>
    <n v="2"/>
    <n v="0"/>
    <s v="No"/>
    <n v="240"/>
    <n v="0"/>
    <n v="0"/>
    <n v="1"/>
    <s v="No"/>
    <s v="On Time"/>
    <n v="0"/>
    <n v="0"/>
    <n v="2024"/>
    <n v="1"/>
    <n v="0"/>
  </r>
  <r>
    <s v="SHP-31924"/>
    <d v="2024-11-14T00:00:00"/>
    <s v="West"/>
    <s v="Mumbai"/>
    <s v="Central Hub"/>
    <s v="Standard"/>
    <s v="Documentation"/>
    <s v="Medium"/>
    <n v="5"/>
    <n v="6"/>
    <n v="1"/>
    <s v="Yes"/>
    <n v="201"/>
    <n v="1975"/>
    <n v="4342"/>
    <n v="0"/>
    <s v="No"/>
    <s v="Minor"/>
    <n v="4342"/>
    <n v="1975"/>
    <n v="2024"/>
    <n v="11"/>
    <n v="1"/>
  </r>
  <r>
    <s v="SHP-31925"/>
    <d v="2024-04-19T00:00:00"/>
    <s v="West"/>
    <s v="Mumbai"/>
    <s v="Regional Hub"/>
    <s v="Critical"/>
    <s v="Routing"/>
    <s v="Medium"/>
    <n v="1"/>
    <n v="8"/>
    <n v="7"/>
    <s v="Yes"/>
    <n v="62"/>
    <n v="14252"/>
    <n v="12418"/>
    <n v="0"/>
    <s v="No"/>
    <s v="Severe"/>
    <n v="1774"/>
    <n v="2036"/>
    <n v="2024"/>
    <n v="4"/>
    <n v="1"/>
  </r>
  <r>
    <s v="SHP-31926"/>
    <d v="2024-01-13T00:00:00"/>
    <s v="East"/>
    <s v="Kolkata"/>
    <s v="Central Hub"/>
    <s v="Standard"/>
    <s v="Documentation"/>
    <s v="Low"/>
    <n v="5"/>
    <n v="6"/>
    <n v="1"/>
    <s v="Yes"/>
    <n v="321"/>
    <n v="1200"/>
    <n v="2752"/>
    <n v="0"/>
    <s v="No"/>
    <s v="Minor"/>
    <n v="2752"/>
    <n v="1200"/>
    <n v="2024"/>
    <n v="1"/>
    <n v="1"/>
  </r>
  <r>
    <s v="SHP-31927"/>
    <d v="2024-10-12T00:00:00"/>
    <s v="North"/>
    <s v="Delhi"/>
    <s v="Central Hub"/>
    <s v="Standard"/>
    <s v="Capacity"/>
    <s v="Medium"/>
    <n v="2"/>
    <n v="7"/>
    <n v="5"/>
    <s v="Yes"/>
    <n v="488"/>
    <n v="10455"/>
    <n v="18885"/>
    <n v="0"/>
    <s v="No"/>
    <s v="Major"/>
    <n v="3777"/>
    <n v="2091"/>
    <n v="2024"/>
    <n v="10"/>
    <n v="1"/>
  </r>
  <r>
    <s v="SHP-31928"/>
    <d v="2024-10-17T00:00:00"/>
    <s v="East"/>
    <s v="Bhubaneswar"/>
    <s v="Central Hub"/>
    <s v="Standard"/>
    <s v="Weather"/>
    <s v="High"/>
    <n v="3"/>
    <n v="10"/>
    <n v="7"/>
    <s v="Yes"/>
    <n v="149"/>
    <n v="7105"/>
    <n v="16359"/>
    <n v="0"/>
    <s v="No"/>
    <s v="Severe"/>
    <n v="2337"/>
    <n v="1015"/>
    <n v="2024"/>
    <n v="10"/>
    <n v="1"/>
  </r>
  <r>
    <s v="SHP-31929"/>
    <d v="2024-12-03T00:00:00"/>
    <s v="East"/>
    <s v="Kolkata"/>
    <s v="Local Hub"/>
    <s v="Express"/>
    <s v="Capacity"/>
    <s v="Low"/>
    <n v="2"/>
    <n v="7"/>
    <n v="5"/>
    <s v="Yes"/>
    <n v="361"/>
    <n v="4770"/>
    <n v="16925"/>
    <n v="0"/>
    <s v="No"/>
    <s v="Major"/>
    <n v="3385"/>
    <n v="954"/>
    <n v="2024"/>
    <n v="12"/>
    <n v="1"/>
  </r>
  <r>
    <s v="SHP-31930"/>
    <d v="2024-10-22T00:00:00"/>
    <s v="North"/>
    <s v="Noida"/>
    <s v="Central Hub"/>
    <s v="Standard"/>
    <s v="Weather"/>
    <s v="Low"/>
    <n v="1"/>
    <n v="1"/>
    <n v="0"/>
    <s v="No"/>
    <n v="346"/>
    <n v="0"/>
    <n v="0"/>
    <n v="1"/>
    <s v="No"/>
    <s v="On Time"/>
    <n v="0"/>
    <n v="0"/>
    <n v="2024"/>
    <n v="10"/>
    <n v="0"/>
  </r>
  <r>
    <s v="SHP-31931"/>
    <d v="2024-09-08T00:00:00"/>
    <s v="West"/>
    <s v="Pune"/>
    <s v="Local Hub"/>
    <s v="Standard"/>
    <s v="Weather"/>
    <s v="Medium"/>
    <n v="2"/>
    <n v="7"/>
    <n v="5"/>
    <s v="Yes"/>
    <n v="268"/>
    <n v="8770"/>
    <n v="12055"/>
    <n v="0"/>
    <s v="No"/>
    <s v="Major"/>
    <n v="2411"/>
    <n v="1754"/>
    <n v="2024"/>
    <n v="9"/>
    <n v="1"/>
  </r>
  <r>
    <s v="SHP-31932"/>
    <d v="2024-01-02T00:00:00"/>
    <s v="South"/>
    <s v="Chennai"/>
    <s v="Local Hub"/>
    <s v="Express"/>
    <s v="Routing"/>
    <s v="Low"/>
    <n v="3"/>
    <n v="4"/>
    <n v="1"/>
    <s v="Yes"/>
    <n v="336"/>
    <n v="1452"/>
    <n v="3814"/>
    <n v="0"/>
    <s v="No"/>
    <s v="Minor"/>
    <n v="3814"/>
    <n v="1452"/>
    <n v="2024"/>
    <n v="1"/>
    <n v="1"/>
  </r>
  <r>
    <s v="SHP-31933"/>
    <d v="2024-04-09T00:00:00"/>
    <s v="East"/>
    <s v="Bhubaneswar"/>
    <s v="Central Hub"/>
    <s v="Critical"/>
    <s v="Weather"/>
    <s v="Medium"/>
    <n v="2"/>
    <n v="9"/>
    <n v="7"/>
    <s v="Yes"/>
    <n v="141"/>
    <n v="12397"/>
    <n v="23107"/>
    <n v="0"/>
    <s v="No"/>
    <s v="Severe"/>
    <n v="3301"/>
    <n v="1771"/>
    <n v="2024"/>
    <n v="4"/>
    <n v="1"/>
  </r>
  <r>
    <s v="SHP-31934"/>
    <d v="2024-11-08T00:00:00"/>
    <s v="South"/>
    <s v="Chennai"/>
    <s v="Central Hub"/>
    <s v="Express"/>
    <s v="Capacity"/>
    <s v="Low"/>
    <n v="2"/>
    <n v="2"/>
    <n v="0"/>
    <s v="No"/>
    <n v="213"/>
    <n v="0"/>
    <n v="0"/>
    <n v="1"/>
    <s v="No"/>
    <s v="On Time"/>
    <n v="0"/>
    <n v="0"/>
    <n v="2024"/>
    <n v="11"/>
    <n v="0"/>
  </r>
  <r>
    <s v="SHP-31935"/>
    <d v="2024-01-04T00:00:00"/>
    <s v="South"/>
    <s v="Bengaluru"/>
    <s v="Regional Hub"/>
    <s v="Express"/>
    <s v="Capacity"/>
    <s v="Low"/>
    <n v="5"/>
    <n v="10"/>
    <n v="5"/>
    <s v="Yes"/>
    <n v="402"/>
    <n v="7940"/>
    <n v="22375"/>
    <n v="0"/>
    <s v="No"/>
    <s v="Major"/>
    <n v="4475"/>
    <n v="1588"/>
    <n v="2024"/>
    <n v="1"/>
    <n v="1"/>
  </r>
  <r>
    <s v="SHP-31936"/>
    <d v="2024-11-11T00:00:00"/>
    <s v="South"/>
    <s v="Chennai"/>
    <s v="Local Hub"/>
    <s v="Express"/>
    <s v="Routing"/>
    <s v="Low"/>
    <n v="1"/>
    <n v="3"/>
    <n v="2"/>
    <s v="Yes"/>
    <n v="136"/>
    <n v="2900"/>
    <n v="6850"/>
    <n v="0"/>
    <s v="No"/>
    <s v="Minor"/>
    <n v="3425"/>
    <n v="1450"/>
    <n v="2024"/>
    <n v="11"/>
    <n v="1"/>
  </r>
  <r>
    <s v="SHP-31937"/>
    <d v="2024-02-20T00:00:00"/>
    <s v="West"/>
    <s v="Mumbai"/>
    <s v="Regional Hub"/>
    <s v="Standard"/>
    <s v="Capacity"/>
    <s v="Low"/>
    <n v="2"/>
    <n v="4"/>
    <n v="2"/>
    <s v="Yes"/>
    <n v="275"/>
    <n v="3058"/>
    <n v="7236"/>
    <n v="0"/>
    <s v="No"/>
    <s v="Minor"/>
    <n v="3618"/>
    <n v="1529"/>
    <n v="2024"/>
    <n v="2"/>
    <n v="1"/>
  </r>
  <r>
    <s v="SHP-31938"/>
    <d v="2024-05-11T00:00:00"/>
    <s v="East"/>
    <s v="Bhubaneswar"/>
    <s v="Regional Hub"/>
    <s v="Express"/>
    <s v="Documentation"/>
    <s v="Medium"/>
    <n v="1"/>
    <n v="4"/>
    <n v="3"/>
    <s v="Yes"/>
    <n v="475"/>
    <n v="6462"/>
    <n v="9099"/>
    <n v="0"/>
    <s v="No"/>
    <s v="Major"/>
    <n v="3033"/>
    <n v="2154"/>
    <n v="2024"/>
    <n v="5"/>
    <n v="1"/>
  </r>
  <r>
    <s v="SHP-31939"/>
    <d v="2024-11-09T00:00:00"/>
    <s v="West"/>
    <s v="Mumbai"/>
    <s v="Central Hub"/>
    <s v="Standard"/>
    <s v="Weather"/>
    <s v="Medium"/>
    <n v="2"/>
    <n v="3"/>
    <n v="1"/>
    <s v="Yes"/>
    <n v="108"/>
    <n v="1578"/>
    <n v="4529"/>
    <n v="0"/>
    <s v="No"/>
    <s v="Minor"/>
    <n v="4529"/>
    <n v="1578"/>
    <n v="2024"/>
    <n v="11"/>
    <n v="1"/>
  </r>
  <r>
    <s v="SHP-31940"/>
    <d v="2024-09-05T00:00:00"/>
    <s v="North"/>
    <s v="Delhi"/>
    <s v="Central Hub"/>
    <s v="Standard"/>
    <s v="Weather"/>
    <s v="Low"/>
    <n v="3"/>
    <n v="7"/>
    <n v="4"/>
    <s v="Yes"/>
    <n v="465"/>
    <n v="9136"/>
    <n v="17640"/>
    <n v="0"/>
    <s v="No"/>
    <s v="Major"/>
    <n v="4410"/>
    <n v="2284"/>
    <n v="2024"/>
    <n v="9"/>
    <n v="1"/>
  </r>
  <r>
    <s v="SHP-31941"/>
    <d v="2024-04-23T00:00:00"/>
    <s v="South"/>
    <s v="Chennai"/>
    <s v="Local Hub"/>
    <s v="Critical"/>
    <s v="Documentation"/>
    <s v="Low"/>
    <n v="1"/>
    <n v="7"/>
    <n v="6"/>
    <s v="Yes"/>
    <n v="159"/>
    <n v="13206"/>
    <n v="13260"/>
    <n v="0"/>
    <s v="No"/>
    <s v="Severe"/>
    <n v="2210"/>
    <n v="2201"/>
    <n v="2024"/>
    <n v="4"/>
    <n v="1"/>
  </r>
  <r>
    <s v="SHP-31942"/>
    <d v="2024-06-25T00:00:00"/>
    <s v="North"/>
    <s v="Delhi"/>
    <s v="Regional Hub"/>
    <s v="Standard"/>
    <s v="Weather"/>
    <s v="Low"/>
    <n v="2"/>
    <n v="7"/>
    <n v="5"/>
    <s v="Yes"/>
    <n v="298"/>
    <n v="5370"/>
    <n v="16655"/>
    <n v="0"/>
    <s v="No"/>
    <s v="Major"/>
    <n v="3331"/>
    <n v="1074"/>
    <n v="2024"/>
    <n v="6"/>
    <n v="1"/>
  </r>
  <r>
    <s v="SHP-31943"/>
    <d v="2024-10-21T00:00:00"/>
    <s v="South"/>
    <s v="Bengaluru"/>
    <s v="Regional Hub"/>
    <s v="Standard"/>
    <s v="System"/>
    <s v="High"/>
    <n v="2"/>
    <n v="5"/>
    <n v="3"/>
    <s v="Yes"/>
    <n v="186"/>
    <n v="6066"/>
    <n v="9309"/>
    <n v="0"/>
    <s v="No"/>
    <s v="Major"/>
    <n v="3103"/>
    <n v="2022"/>
    <n v="2024"/>
    <n v="10"/>
    <n v="1"/>
  </r>
  <r>
    <s v="SHP-31944"/>
    <d v="2024-08-03T00:00:00"/>
    <s v="North"/>
    <s v="Noida"/>
    <s v="Central Hub"/>
    <s v="Critical"/>
    <s v="Documentation"/>
    <s v="High"/>
    <n v="1"/>
    <n v="6"/>
    <n v="5"/>
    <s v="Yes"/>
    <n v="98"/>
    <n v="8465"/>
    <n v="24420"/>
    <n v="0"/>
    <s v="No"/>
    <s v="Major"/>
    <n v="4884"/>
    <n v="1693"/>
    <n v="2024"/>
    <n v="8"/>
    <n v="1"/>
  </r>
  <r>
    <s v="SHP-31945"/>
    <d v="2024-06-12T00:00:00"/>
    <s v="North"/>
    <s v="Delhi"/>
    <s v="Regional Hub"/>
    <s v="Express"/>
    <s v="Routing"/>
    <s v="Low"/>
    <n v="2"/>
    <n v="5"/>
    <n v="3"/>
    <s v="Yes"/>
    <n v="187"/>
    <n v="4017"/>
    <n v="14286"/>
    <n v="0"/>
    <s v="No"/>
    <s v="Major"/>
    <n v="4762"/>
    <n v="1339"/>
    <n v="2024"/>
    <n v="6"/>
    <n v="1"/>
  </r>
  <r>
    <s v="SHP-31946"/>
    <d v="2024-10-20T00:00:00"/>
    <s v="North"/>
    <s v="Noida"/>
    <s v="Local Hub"/>
    <s v="Standard"/>
    <s v="Routing"/>
    <s v="Low"/>
    <n v="1"/>
    <n v="3"/>
    <n v="2"/>
    <s v="Yes"/>
    <n v="119"/>
    <n v="4522"/>
    <n v="9386"/>
    <n v="0"/>
    <s v="No"/>
    <s v="Minor"/>
    <n v="4693"/>
    <n v="2261"/>
    <n v="2024"/>
    <n v="10"/>
    <n v="1"/>
  </r>
  <r>
    <s v="SHP-31947"/>
    <d v="2024-04-19T00:00:00"/>
    <s v="South"/>
    <s v="Bengaluru"/>
    <s v="Regional Hub"/>
    <s v="Express"/>
    <s v="Weather"/>
    <s v="High"/>
    <n v="1"/>
    <n v="3"/>
    <n v="2"/>
    <s v="Yes"/>
    <n v="435"/>
    <n v="4418"/>
    <n v="5360"/>
    <n v="0"/>
    <s v="No"/>
    <s v="Minor"/>
    <n v="2680"/>
    <n v="2209"/>
    <n v="2024"/>
    <n v="4"/>
    <n v="1"/>
  </r>
  <r>
    <s v="SHP-31948"/>
    <d v="2024-03-23T00:00:00"/>
    <s v="West"/>
    <s v="Mumbai"/>
    <s v="Central Hub"/>
    <s v="Standard"/>
    <s v="Documentation"/>
    <s v="High"/>
    <n v="3"/>
    <n v="9"/>
    <n v="6"/>
    <s v="Yes"/>
    <n v="401"/>
    <n v="13776"/>
    <n v="15726"/>
    <n v="0"/>
    <s v="No"/>
    <s v="Severe"/>
    <n v="2621"/>
    <n v="2296"/>
    <n v="2024"/>
    <n v="3"/>
    <n v="1"/>
  </r>
  <r>
    <s v="SHP-31949"/>
    <d v="2024-12-28T00:00:00"/>
    <s v="West"/>
    <s v="Pune"/>
    <s v="Central Hub"/>
    <s v="Critical"/>
    <s v="System"/>
    <s v="Low"/>
    <n v="2"/>
    <n v="9"/>
    <n v="7"/>
    <s v="Yes"/>
    <n v="432"/>
    <n v="10612"/>
    <n v="25221"/>
    <n v="0"/>
    <s v="No"/>
    <s v="Severe"/>
    <n v="3603"/>
    <n v="1516"/>
    <n v="2024"/>
    <n v="12"/>
    <n v="1"/>
  </r>
  <r>
    <s v="SHP-31950"/>
    <d v="2024-12-05T00:00:00"/>
    <s v="North"/>
    <s v="Noida"/>
    <s v="Central Hub"/>
    <s v="Standard"/>
    <s v="System"/>
    <s v="Low"/>
    <n v="2"/>
    <n v="5"/>
    <n v="3"/>
    <s v="Yes"/>
    <n v="232"/>
    <n v="6090"/>
    <n v="14487"/>
    <n v="0"/>
    <s v="No"/>
    <s v="Major"/>
    <n v="4829"/>
    <n v="2030"/>
    <n v="2024"/>
    <n v="12"/>
    <n v="1"/>
  </r>
  <r>
    <s v="SHP-31951"/>
    <d v="2024-03-09T00:00:00"/>
    <s v="North"/>
    <s v="Noida"/>
    <s v="Central Hub"/>
    <s v="Standard"/>
    <s v="Weather"/>
    <s v="Low"/>
    <n v="2"/>
    <n v="7"/>
    <n v="5"/>
    <s v="Yes"/>
    <n v="325"/>
    <n v="5050"/>
    <n v="15315"/>
    <n v="0"/>
    <s v="No"/>
    <s v="Major"/>
    <n v="3063"/>
    <n v="1010"/>
    <n v="2024"/>
    <n v="3"/>
    <n v="1"/>
  </r>
  <r>
    <s v="SHP-31952"/>
    <d v="2024-05-25T00:00:00"/>
    <s v="South"/>
    <s v="Bengaluru"/>
    <s v="Regional Hub"/>
    <s v="Express"/>
    <s v="Documentation"/>
    <s v="Medium"/>
    <n v="1"/>
    <n v="6"/>
    <n v="5"/>
    <s v="Yes"/>
    <n v="427"/>
    <n v="7855"/>
    <n v="18940"/>
    <n v="0"/>
    <s v="No"/>
    <s v="Major"/>
    <n v="3788"/>
    <n v="1571"/>
    <n v="2024"/>
    <n v="5"/>
    <n v="1"/>
  </r>
  <r>
    <s v="SHP-31953"/>
    <d v="2024-02-23T00:00:00"/>
    <s v="East"/>
    <s v="Kolkata"/>
    <s v="Local Hub"/>
    <s v="Standard"/>
    <s v="Documentation"/>
    <s v="Low"/>
    <n v="2"/>
    <n v="5"/>
    <n v="3"/>
    <s v="Yes"/>
    <n v="193"/>
    <n v="7191"/>
    <n v="6651"/>
    <n v="0"/>
    <s v="No"/>
    <s v="Major"/>
    <n v="2217"/>
    <n v="2397"/>
    <n v="2024"/>
    <n v="2"/>
    <n v="1"/>
  </r>
  <r>
    <s v="SHP-31954"/>
    <d v="2024-09-28T00:00:00"/>
    <s v="North"/>
    <s v="Delhi"/>
    <s v="Regional Hub"/>
    <s v="Critical"/>
    <s v="Weather"/>
    <s v="High"/>
    <n v="3"/>
    <n v="10"/>
    <n v="7"/>
    <s v="Yes"/>
    <n v="313"/>
    <n v="11130"/>
    <n v="13986"/>
    <n v="0"/>
    <s v="No"/>
    <s v="Severe"/>
    <n v="1998"/>
    <n v="1590"/>
    <n v="2024"/>
    <n v="9"/>
    <n v="1"/>
  </r>
  <r>
    <s v="SHP-31955"/>
    <d v="2024-11-28T00:00:00"/>
    <s v="South"/>
    <s v="Bengaluru"/>
    <s v="Regional Hub"/>
    <s v="Express"/>
    <s v="System"/>
    <s v="Medium"/>
    <n v="1"/>
    <n v="6"/>
    <n v="5"/>
    <s v="Yes"/>
    <n v="106"/>
    <n v="10900"/>
    <n v="17210"/>
    <n v="0"/>
    <s v="No"/>
    <s v="Major"/>
    <n v="3442"/>
    <n v="2180"/>
    <n v="2024"/>
    <n v="11"/>
    <n v="1"/>
  </r>
  <r>
    <s v="SHP-31956"/>
    <d v="2024-08-30T00:00:00"/>
    <s v="East"/>
    <s v="Bhubaneswar"/>
    <s v="Local Hub"/>
    <s v="Critical"/>
    <s v="System"/>
    <s v="Medium"/>
    <n v="3"/>
    <n v="7"/>
    <n v="4"/>
    <s v="Yes"/>
    <n v="133"/>
    <n v="8580"/>
    <n v="10840"/>
    <n v="0"/>
    <s v="No"/>
    <s v="Major"/>
    <n v="2710"/>
    <n v="2145"/>
    <n v="2024"/>
    <n v="8"/>
    <n v="1"/>
  </r>
  <r>
    <s v="SHP-31957"/>
    <d v="2024-04-27T00:00:00"/>
    <s v="South"/>
    <s v="Chennai"/>
    <s v="Regional Hub"/>
    <s v="Express"/>
    <s v="Capacity"/>
    <s v="Medium"/>
    <n v="1"/>
    <n v="5"/>
    <n v="4"/>
    <s v="Yes"/>
    <n v="378"/>
    <n v="5364"/>
    <n v="8304"/>
    <n v="0"/>
    <s v="No"/>
    <s v="Major"/>
    <n v="2076"/>
    <n v="1341"/>
    <n v="2024"/>
    <n v="4"/>
    <n v="1"/>
  </r>
  <r>
    <s v="SHP-31958"/>
    <d v="2024-09-10T00:00:00"/>
    <s v="North"/>
    <s v="Delhi"/>
    <s v="Local Hub"/>
    <s v="Critical"/>
    <s v="Weather"/>
    <s v="Low"/>
    <n v="1"/>
    <n v="5"/>
    <n v="4"/>
    <s v="Yes"/>
    <n v="367"/>
    <n v="9528"/>
    <n v="13012"/>
    <n v="0"/>
    <s v="No"/>
    <s v="Major"/>
    <n v="3253"/>
    <n v="2382"/>
    <n v="2024"/>
    <n v="9"/>
    <n v="1"/>
  </r>
  <r>
    <s v="SHP-31959"/>
    <d v="2024-09-12T00:00:00"/>
    <s v="West"/>
    <s v="Pune"/>
    <s v="Central Hub"/>
    <s v="Express"/>
    <s v="System"/>
    <s v="High"/>
    <n v="1"/>
    <n v="3"/>
    <n v="2"/>
    <s v="Yes"/>
    <n v="448"/>
    <n v="2578"/>
    <n v="8208"/>
    <n v="0"/>
    <s v="No"/>
    <s v="Minor"/>
    <n v="4104"/>
    <n v="1289"/>
    <n v="2024"/>
    <n v="9"/>
    <n v="1"/>
  </r>
  <r>
    <s v="SHP-31960"/>
    <d v="2024-11-17T00:00:00"/>
    <s v="West"/>
    <s v="Pune"/>
    <s v="Regional Hub"/>
    <s v="Standard"/>
    <s v="Weather"/>
    <s v="High"/>
    <n v="1"/>
    <n v="5"/>
    <n v="4"/>
    <s v="Yes"/>
    <n v="81"/>
    <n v="3988"/>
    <n v="15752"/>
    <n v="0"/>
    <s v="No"/>
    <s v="Major"/>
    <n v="3938"/>
    <n v="997"/>
    <n v="2024"/>
    <n v="11"/>
    <n v="1"/>
  </r>
  <r>
    <s v="SHP-31961"/>
    <d v="2024-03-29T00:00:00"/>
    <s v="West"/>
    <s v="Mumbai"/>
    <s v="Local Hub"/>
    <s v="Express"/>
    <s v="Capacity"/>
    <s v="Low"/>
    <n v="3"/>
    <n v="7"/>
    <n v="4"/>
    <s v="Yes"/>
    <n v="144"/>
    <n v="7340"/>
    <n v="18560"/>
    <n v="0"/>
    <s v="No"/>
    <s v="Major"/>
    <n v="4640"/>
    <n v="1835"/>
    <n v="2024"/>
    <n v="3"/>
    <n v="1"/>
  </r>
  <r>
    <s v="SHP-31962"/>
    <d v="2024-12-12T00:00:00"/>
    <s v="East"/>
    <s v="Kolkata"/>
    <s v="Central Hub"/>
    <s v="Critical"/>
    <s v="Routing"/>
    <s v="Low"/>
    <n v="3"/>
    <n v="7"/>
    <n v="4"/>
    <s v="Yes"/>
    <n v="376"/>
    <n v="4768"/>
    <n v="7952"/>
    <n v="0"/>
    <s v="No"/>
    <s v="Major"/>
    <n v="1988"/>
    <n v="1192"/>
    <n v="2024"/>
    <n v="12"/>
    <n v="1"/>
  </r>
  <r>
    <s v="SHP-31963"/>
    <d v="2024-09-13T00:00:00"/>
    <s v="North"/>
    <s v="Noida"/>
    <s v="Central Hub"/>
    <s v="Critical"/>
    <s v="Capacity"/>
    <s v="Medium"/>
    <n v="2"/>
    <n v="4"/>
    <n v="2"/>
    <s v="Yes"/>
    <n v="267"/>
    <n v="3836"/>
    <n v="9642"/>
    <n v="0"/>
    <s v="No"/>
    <s v="Minor"/>
    <n v="4821"/>
    <n v="1918"/>
    <n v="2024"/>
    <n v="9"/>
    <n v="1"/>
  </r>
  <r>
    <s v="SHP-31964"/>
    <d v="2024-07-09T00:00:00"/>
    <s v="East"/>
    <s v="Kolkata"/>
    <s v="Local Hub"/>
    <s v="Critical"/>
    <s v="Routing"/>
    <s v="High"/>
    <n v="2"/>
    <n v="6"/>
    <n v="4"/>
    <s v="Yes"/>
    <n v="187"/>
    <n v="4296"/>
    <n v="7252"/>
    <n v="0"/>
    <s v="No"/>
    <s v="Major"/>
    <n v="1813"/>
    <n v="1074"/>
    <n v="2024"/>
    <n v="7"/>
    <n v="1"/>
  </r>
  <r>
    <s v="SHP-31965"/>
    <d v="2024-02-08T00:00:00"/>
    <s v="South"/>
    <s v="Bengaluru"/>
    <s v="Central Hub"/>
    <s v="Express"/>
    <s v="Capacity"/>
    <s v="High"/>
    <n v="2"/>
    <n v="6"/>
    <n v="4"/>
    <s v="Yes"/>
    <n v="233"/>
    <n v="5172"/>
    <n v="7828"/>
    <n v="0"/>
    <s v="No"/>
    <s v="Major"/>
    <n v="1957"/>
    <n v="1293"/>
    <n v="2024"/>
    <n v="2"/>
    <n v="1"/>
  </r>
  <r>
    <s v="SHP-31966"/>
    <d v="2024-07-25T00:00:00"/>
    <s v="North"/>
    <s v="Noida"/>
    <s v="Central Hub"/>
    <s v="Express"/>
    <s v="Documentation"/>
    <s v="High"/>
    <n v="1"/>
    <n v="5"/>
    <n v="4"/>
    <s v="Yes"/>
    <n v="118"/>
    <n v="8360"/>
    <n v="13484"/>
    <n v="0"/>
    <s v="No"/>
    <s v="Major"/>
    <n v="3371"/>
    <n v="2090"/>
    <n v="2024"/>
    <n v="7"/>
    <n v="1"/>
  </r>
  <r>
    <s v="SHP-31967"/>
    <d v="2024-03-31T00:00:00"/>
    <s v="West"/>
    <s v="Mumbai"/>
    <s v="Local Hub"/>
    <s v="Standard"/>
    <s v="Capacity"/>
    <s v="Low"/>
    <n v="1"/>
    <n v="3"/>
    <n v="2"/>
    <s v="Yes"/>
    <n v="140"/>
    <n v="4214"/>
    <n v="3102"/>
    <n v="0"/>
    <s v="No"/>
    <s v="Minor"/>
    <n v="1551"/>
    <n v="2107"/>
    <n v="2024"/>
    <n v="3"/>
    <n v="1"/>
  </r>
  <r>
    <s v="SHP-31968"/>
    <d v="2024-11-28T00:00:00"/>
    <s v="East"/>
    <s v="Bhubaneswar"/>
    <s v="Local Hub"/>
    <s v="Standard"/>
    <s v="Capacity"/>
    <s v="Medium"/>
    <n v="2"/>
    <n v="3"/>
    <n v="1"/>
    <s v="Yes"/>
    <n v="398"/>
    <n v="2460"/>
    <n v="3173"/>
    <n v="0"/>
    <s v="No"/>
    <s v="Minor"/>
    <n v="3173"/>
    <n v="2460"/>
    <n v="2024"/>
    <n v="11"/>
    <n v="1"/>
  </r>
  <r>
    <s v="SHP-31969"/>
    <d v="2024-07-27T00:00:00"/>
    <s v="North"/>
    <s v="Noida"/>
    <s v="Central Hub"/>
    <s v="Critical"/>
    <s v="Routing"/>
    <s v="High"/>
    <n v="2"/>
    <n v="9"/>
    <n v="7"/>
    <s v="Yes"/>
    <n v="303"/>
    <n v="15799"/>
    <n v="20790"/>
    <n v="0"/>
    <s v="No"/>
    <s v="Severe"/>
    <n v="2970"/>
    <n v="2257"/>
    <n v="2024"/>
    <n v="7"/>
    <n v="1"/>
  </r>
  <r>
    <s v="SHP-31970"/>
    <d v="2024-11-14T00:00:00"/>
    <s v="North"/>
    <s v="Noida"/>
    <s v="Central Hub"/>
    <s v="Standard"/>
    <s v="Weather"/>
    <s v="High"/>
    <n v="2"/>
    <n v="9"/>
    <n v="7"/>
    <s v="Yes"/>
    <n v="215"/>
    <n v="11410"/>
    <n v="13482"/>
    <n v="0"/>
    <s v="No"/>
    <s v="Severe"/>
    <n v="1926"/>
    <n v="1630"/>
    <n v="2024"/>
    <n v="11"/>
    <n v="1"/>
  </r>
  <r>
    <s v="SHP-31971"/>
    <d v="2024-01-06T00:00:00"/>
    <s v="South"/>
    <s v="Bengaluru"/>
    <s v="Central Hub"/>
    <s v="Standard"/>
    <s v="Documentation"/>
    <s v="Low"/>
    <n v="2"/>
    <n v="2"/>
    <n v="0"/>
    <s v="No"/>
    <n v="388"/>
    <n v="0"/>
    <n v="0"/>
    <n v="1"/>
    <s v="No"/>
    <s v="On Time"/>
    <n v="0"/>
    <n v="0"/>
    <n v="2024"/>
    <n v="1"/>
    <n v="0"/>
  </r>
  <r>
    <s v="SHP-31972"/>
    <d v="2024-03-15T00:00:00"/>
    <s v="North"/>
    <s v="Noida"/>
    <s v="Local Hub"/>
    <s v="Express"/>
    <s v="Weather"/>
    <s v="Low"/>
    <n v="1"/>
    <n v="6"/>
    <n v="5"/>
    <s v="Yes"/>
    <n v="322"/>
    <n v="5375"/>
    <n v="12710"/>
    <n v="0"/>
    <s v="No"/>
    <s v="Major"/>
    <n v="2542"/>
    <n v="1075"/>
    <n v="2024"/>
    <n v="3"/>
    <n v="1"/>
  </r>
  <r>
    <s v="SHP-31973"/>
    <d v="2024-01-14T00:00:00"/>
    <s v="South"/>
    <s v="Chennai"/>
    <s v="Regional Hub"/>
    <s v="Express"/>
    <s v="Weather"/>
    <s v="Low"/>
    <n v="2"/>
    <n v="2"/>
    <n v="0"/>
    <s v="No"/>
    <n v="325"/>
    <n v="0"/>
    <n v="0"/>
    <n v="1"/>
    <s v="No"/>
    <s v="On Time"/>
    <n v="0"/>
    <n v="0"/>
    <n v="2024"/>
    <n v="1"/>
    <n v="0"/>
  </r>
  <r>
    <s v="SHP-31974"/>
    <d v="2024-06-05T00:00:00"/>
    <s v="North"/>
    <s v="Noida"/>
    <s v="Local Hub"/>
    <s v="Standard"/>
    <s v="Weather"/>
    <s v="Low"/>
    <n v="1"/>
    <n v="3"/>
    <n v="2"/>
    <s v="Yes"/>
    <n v="136"/>
    <n v="3368"/>
    <n v="6844"/>
    <n v="0"/>
    <s v="No"/>
    <s v="Minor"/>
    <n v="3422"/>
    <n v="1684"/>
    <n v="2024"/>
    <n v="6"/>
    <n v="1"/>
  </r>
  <r>
    <s v="SHP-31975"/>
    <d v="2024-10-06T00:00:00"/>
    <s v="West"/>
    <s v="Pune"/>
    <s v="Central Hub"/>
    <s v="Standard"/>
    <s v="Capacity"/>
    <s v="Low"/>
    <n v="2"/>
    <n v="7"/>
    <n v="5"/>
    <s v="Yes"/>
    <n v="366"/>
    <n v="7260"/>
    <n v="22500"/>
    <n v="0"/>
    <s v="No"/>
    <s v="Major"/>
    <n v="4500"/>
    <n v="1452"/>
    <n v="2024"/>
    <n v="10"/>
    <n v="1"/>
  </r>
  <r>
    <s v="SHP-31976"/>
    <d v="2024-07-20T00:00:00"/>
    <s v="North"/>
    <s v="Noida"/>
    <s v="Central Hub"/>
    <s v="Express"/>
    <s v="Documentation"/>
    <s v="Low"/>
    <n v="1"/>
    <n v="6"/>
    <n v="5"/>
    <s v="Yes"/>
    <n v="468"/>
    <n v="6210"/>
    <n v="16360"/>
    <n v="0"/>
    <s v="No"/>
    <s v="Major"/>
    <n v="3272"/>
    <n v="1242"/>
    <n v="2024"/>
    <n v="7"/>
    <n v="1"/>
  </r>
  <r>
    <s v="SHP-31977"/>
    <d v="2024-02-11T00:00:00"/>
    <s v="East"/>
    <s v="Kolkata"/>
    <s v="Central Hub"/>
    <s v="Standard"/>
    <s v="Routing"/>
    <s v="Medium"/>
    <n v="3"/>
    <n v="7"/>
    <n v="4"/>
    <s v="Yes"/>
    <n v="60"/>
    <n v="5764"/>
    <n v="8808"/>
    <n v="0"/>
    <s v="No"/>
    <s v="Major"/>
    <n v="2202"/>
    <n v="1441"/>
    <n v="2024"/>
    <n v="2"/>
    <n v="1"/>
  </r>
  <r>
    <s v="SHP-31978"/>
    <d v="2024-01-22T00:00:00"/>
    <s v="West"/>
    <s v="Pune"/>
    <s v="Regional Hub"/>
    <s v="Standard"/>
    <s v="System"/>
    <s v="Medium"/>
    <n v="3"/>
    <n v="6"/>
    <n v="3"/>
    <s v="Yes"/>
    <n v="127"/>
    <n v="2871"/>
    <n v="10632"/>
    <n v="0"/>
    <s v="No"/>
    <s v="Major"/>
    <n v="3544"/>
    <n v="957"/>
    <n v="2024"/>
    <n v="1"/>
    <n v="1"/>
  </r>
  <r>
    <s v="SHP-31979"/>
    <d v="2024-08-07T00:00:00"/>
    <s v="North"/>
    <s v="Delhi"/>
    <s v="Central Hub"/>
    <s v="Express"/>
    <s v="Documentation"/>
    <s v="Medium"/>
    <n v="2"/>
    <n v="2"/>
    <n v="0"/>
    <s v="No"/>
    <n v="99"/>
    <n v="0"/>
    <n v="0"/>
    <n v="1"/>
    <s v="No"/>
    <s v="On Time"/>
    <n v="0"/>
    <n v="0"/>
    <n v="2024"/>
    <n v="8"/>
    <n v="0"/>
  </r>
  <r>
    <s v="SHP-31980"/>
    <d v="2024-12-27T00:00:00"/>
    <s v="East"/>
    <s v="Kolkata"/>
    <s v="Regional Hub"/>
    <s v="Standard"/>
    <s v="Routing"/>
    <s v="Medium"/>
    <n v="1"/>
    <n v="5"/>
    <n v="4"/>
    <s v="Yes"/>
    <n v="440"/>
    <n v="4144"/>
    <n v="8564"/>
    <n v="0"/>
    <s v="No"/>
    <s v="Major"/>
    <n v="2141"/>
    <n v="1036"/>
    <n v="2024"/>
    <n v="12"/>
    <n v="1"/>
  </r>
  <r>
    <s v="SHP-31981"/>
    <d v="2024-07-19T00:00:00"/>
    <s v="South"/>
    <s v="Bengaluru"/>
    <s v="Local Hub"/>
    <s v="Express"/>
    <s v="Capacity"/>
    <s v="Low"/>
    <n v="2"/>
    <n v="7"/>
    <n v="5"/>
    <s v="Yes"/>
    <n v="384"/>
    <n v="5420"/>
    <n v="22880"/>
    <n v="0"/>
    <s v="No"/>
    <s v="Major"/>
    <n v="4576"/>
    <n v="1084"/>
    <n v="2024"/>
    <n v="7"/>
    <n v="1"/>
  </r>
  <r>
    <s v="SHP-31982"/>
    <d v="2024-04-09T00:00:00"/>
    <s v="North"/>
    <s v="Delhi"/>
    <s v="Regional Hub"/>
    <s v="Express"/>
    <s v="Capacity"/>
    <s v="Low"/>
    <n v="2"/>
    <n v="7"/>
    <n v="5"/>
    <s v="Yes"/>
    <n v="267"/>
    <n v="7365"/>
    <n v="14020"/>
    <n v="0"/>
    <s v="No"/>
    <s v="Major"/>
    <n v="2804"/>
    <n v="1473"/>
    <n v="2024"/>
    <n v="4"/>
    <n v="1"/>
  </r>
  <r>
    <s v="SHP-31983"/>
    <d v="2024-01-09T00:00:00"/>
    <s v="South"/>
    <s v="Bengaluru"/>
    <s v="Regional Hub"/>
    <s v="Critical"/>
    <s v="Documentation"/>
    <s v="Medium"/>
    <n v="2"/>
    <n v="8"/>
    <n v="6"/>
    <s v="Yes"/>
    <n v="138"/>
    <n v="10038"/>
    <n v="20736"/>
    <n v="0"/>
    <s v="No"/>
    <s v="Severe"/>
    <n v="3456"/>
    <n v="1673"/>
    <n v="2024"/>
    <n v="1"/>
    <n v="1"/>
  </r>
  <r>
    <s v="SHP-31984"/>
    <d v="2024-04-21T00:00:00"/>
    <s v="South"/>
    <s v="Bengaluru"/>
    <s v="Local Hub"/>
    <s v="Critical"/>
    <s v="Routing"/>
    <s v="Low"/>
    <n v="1"/>
    <n v="3"/>
    <n v="2"/>
    <s v="Yes"/>
    <n v="240"/>
    <n v="3042"/>
    <n v="8508"/>
    <n v="0"/>
    <s v="No"/>
    <s v="Minor"/>
    <n v="4254"/>
    <n v="1521"/>
    <n v="2024"/>
    <n v="4"/>
    <n v="1"/>
  </r>
  <r>
    <s v="SHP-31985"/>
    <d v="2024-05-30T00:00:00"/>
    <s v="North"/>
    <s v="Delhi"/>
    <s v="Regional Hub"/>
    <s v="Critical"/>
    <s v="Documentation"/>
    <s v="Low"/>
    <n v="1"/>
    <n v="5"/>
    <n v="4"/>
    <s v="Yes"/>
    <n v="420"/>
    <n v="9060"/>
    <n v="14388"/>
    <n v="0"/>
    <s v="No"/>
    <s v="Major"/>
    <n v="3597"/>
    <n v="2265"/>
    <n v="2024"/>
    <n v="5"/>
    <n v="1"/>
  </r>
  <r>
    <s v="SHP-31986"/>
    <d v="2024-08-25T00:00:00"/>
    <s v="East"/>
    <s v="Kolkata"/>
    <s v="Central Hub"/>
    <s v="Standard"/>
    <s v="Weather"/>
    <s v="Low"/>
    <n v="1"/>
    <n v="2"/>
    <n v="1"/>
    <s v="Yes"/>
    <n v="91"/>
    <n v="1128"/>
    <n v="2759"/>
    <n v="0"/>
    <s v="No"/>
    <s v="Minor"/>
    <n v="2759"/>
    <n v="1128"/>
    <n v="2024"/>
    <n v="8"/>
    <n v="1"/>
  </r>
  <r>
    <s v="SHP-31987"/>
    <d v="2024-08-08T00:00:00"/>
    <s v="East"/>
    <s v="Bhubaneswar"/>
    <s v="Regional Hub"/>
    <s v="Standard"/>
    <s v="Weather"/>
    <s v="High"/>
    <n v="3"/>
    <n v="7"/>
    <n v="4"/>
    <s v="Yes"/>
    <n v="221"/>
    <n v="8700"/>
    <n v="17972"/>
    <n v="0"/>
    <s v="No"/>
    <s v="Major"/>
    <n v="4493"/>
    <n v="2175"/>
    <n v="2024"/>
    <n v="8"/>
    <n v="1"/>
  </r>
  <r>
    <s v="SHP-31988"/>
    <d v="2024-09-22T00:00:00"/>
    <s v="North"/>
    <s v="Delhi"/>
    <s v="Local Hub"/>
    <s v="Express"/>
    <s v="Capacity"/>
    <s v="Medium"/>
    <n v="1"/>
    <n v="1"/>
    <n v="0"/>
    <s v="No"/>
    <n v="146"/>
    <n v="0"/>
    <n v="0"/>
    <n v="1"/>
    <s v="No"/>
    <s v="On Time"/>
    <n v="0"/>
    <n v="0"/>
    <n v="2024"/>
    <n v="9"/>
    <n v="0"/>
  </r>
  <r>
    <s v="SHP-31989"/>
    <d v="2024-05-03T00:00:00"/>
    <s v="West"/>
    <s v="Mumbai"/>
    <s v="Regional Hub"/>
    <s v="Critical"/>
    <s v="Documentation"/>
    <s v="Low"/>
    <n v="2"/>
    <n v="7"/>
    <n v="5"/>
    <s v="Yes"/>
    <n v="177"/>
    <n v="9100"/>
    <n v="9405"/>
    <n v="0"/>
    <s v="No"/>
    <s v="Major"/>
    <n v="1881"/>
    <n v="1820"/>
    <n v="2024"/>
    <n v="5"/>
    <n v="1"/>
  </r>
  <r>
    <s v="SHP-31990"/>
    <d v="2024-03-01T00:00:00"/>
    <s v="South"/>
    <s v="Bengaluru"/>
    <s v="Central Hub"/>
    <s v="Standard"/>
    <s v="Capacity"/>
    <s v="Medium"/>
    <n v="2"/>
    <n v="4"/>
    <n v="2"/>
    <s v="Yes"/>
    <n v="386"/>
    <n v="2024"/>
    <n v="5856"/>
    <n v="0"/>
    <s v="No"/>
    <s v="Minor"/>
    <n v="2928"/>
    <n v="1012"/>
    <n v="2024"/>
    <n v="3"/>
    <n v="1"/>
  </r>
  <r>
    <s v="SHP-31991"/>
    <d v="2024-08-30T00:00:00"/>
    <s v="South"/>
    <s v="Chennai"/>
    <s v="Central Hub"/>
    <s v="Critical"/>
    <s v="Routing"/>
    <s v="High"/>
    <n v="2"/>
    <n v="10"/>
    <n v="8"/>
    <s v="Yes"/>
    <n v="247"/>
    <n v="11736"/>
    <n v="24304"/>
    <n v="0"/>
    <s v="No"/>
    <s v="Severe"/>
    <n v="3038"/>
    <n v="1467"/>
    <n v="2024"/>
    <n v="8"/>
    <n v="1"/>
  </r>
  <r>
    <s v="SHP-31992"/>
    <d v="2024-06-21T00:00:00"/>
    <s v="East"/>
    <s v="Kolkata"/>
    <s v="Central Hub"/>
    <s v="Standard"/>
    <s v="Weather"/>
    <s v="Low"/>
    <n v="2"/>
    <n v="2"/>
    <n v="0"/>
    <s v="No"/>
    <n v="376"/>
    <n v="0"/>
    <n v="0"/>
    <n v="1"/>
    <s v="No"/>
    <s v="On Time"/>
    <n v="0"/>
    <n v="0"/>
    <n v="2024"/>
    <n v="6"/>
    <n v="0"/>
  </r>
  <r>
    <s v="SHP-31993"/>
    <d v="2024-08-13T00:00:00"/>
    <s v="North"/>
    <s v="Noida"/>
    <s v="Regional Hub"/>
    <s v="Express"/>
    <s v="Capacity"/>
    <s v="Medium"/>
    <n v="1"/>
    <n v="5"/>
    <n v="4"/>
    <s v="Yes"/>
    <n v="296"/>
    <n v="7012"/>
    <n v="13536"/>
    <n v="0"/>
    <s v="No"/>
    <s v="Major"/>
    <n v="3384"/>
    <n v="1753"/>
    <n v="2024"/>
    <n v="8"/>
    <n v="1"/>
  </r>
  <r>
    <s v="SHP-31994"/>
    <d v="2024-07-13T00:00:00"/>
    <s v="North"/>
    <s v="Noida"/>
    <s v="Local Hub"/>
    <s v="Standard"/>
    <s v="Routing"/>
    <s v="Medium"/>
    <n v="1"/>
    <n v="5"/>
    <n v="4"/>
    <s v="Yes"/>
    <n v="457"/>
    <n v="3268"/>
    <n v="10504"/>
    <n v="0"/>
    <s v="No"/>
    <s v="Major"/>
    <n v="2626"/>
    <n v="817"/>
    <n v="2024"/>
    <n v="7"/>
    <n v="1"/>
  </r>
  <r>
    <s v="SHP-31995"/>
    <d v="2024-05-12T00:00:00"/>
    <s v="North"/>
    <s v="Delhi"/>
    <s v="Local Hub"/>
    <s v="Critical"/>
    <s v="Capacity"/>
    <s v="Medium"/>
    <n v="2"/>
    <n v="3"/>
    <n v="1"/>
    <s v="Yes"/>
    <n v="341"/>
    <n v="1033"/>
    <n v="4870"/>
    <n v="0"/>
    <s v="No"/>
    <s v="Minor"/>
    <n v="4870"/>
    <n v="1033"/>
    <n v="2024"/>
    <n v="5"/>
    <n v="1"/>
  </r>
  <r>
    <s v="SHP-31996"/>
    <d v="2024-11-28T00:00:00"/>
    <s v="North"/>
    <s v="Noida"/>
    <s v="Local Hub"/>
    <s v="Express"/>
    <s v="Capacity"/>
    <s v="Low"/>
    <n v="5"/>
    <n v="8"/>
    <n v="3"/>
    <s v="Yes"/>
    <n v="77"/>
    <n v="4026"/>
    <n v="11817"/>
    <n v="0"/>
    <s v="No"/>
    <s v="Major"/>
    <n v="3939"/>
    <n v="1342"/>
    <n v="2024"/>
    <n v="11"/>
    <n v="1"/>
  </r>
  <r>
    <s v="SHP-31997"/>
    <d v="2024-05-15T00:00:00"/>
    <s v="North"/>
    <s v="Noida"/>
    <s v="Local Hub"/>
    <s v="Standard"/>
    <s v="Weather"/>
    <s v="Medium"/>
    <n v="2"/>
    <n v="5"/>
    <n v="3"/>
    <s v="Yes"/>
    <n v="138"/>
    <n v="7182"/>
    <n v="6399"/>
    <n v="0"/>
    <s v="No"/>
    <s v="Major"/>
    <n v="2133"/>
    <n v="2394"/>
    <n v="2024"/>
    <n v="5"/>
    <n v="1"/>
  </r>
  <r>
    <s v="SHP-31998"/>
    <d v="2024-06-17T00:00:00"/>
    <s v="East"/>
    <s v="Kolkata"/>
    <s v="Central Hub"/>
    <s v="Critical"/>
    <s v="Capacity"/>
    <s v="Low"/>
    <n v="2"/>
    <n v="6"/>
    <n v="4"/>
    <s v="Yes"/>
    <n v="456"/>
    <n v="4968"/>
    <n v="16044"/>
    <n v="0"/>
    <s v="No"/>
    <s v="Major"/>
    <n v="4011"/>
    <n v="1242"/>
    <n v="2024"/>
    <n v="6"/>
    <n v="1"/>
  </r>
  <r>
    <s v="SHP-31999"/>
    <d v="2024-07-21T00:00:00"/>
    <s v="North"/>
    <s v="Delhi"/>
    <s v="Central Hub"/>
    <s v="Critical"/>
    <s v="Capacity"/>
    <s v="Medium"/>
    <n v="2"/>
    <n v="8"/>
    <n v="6"/>
    <s v="Yes"/>
    <n v="185"/>
    <n v="10368"/>
    <n v="27522"/>
    <n v="0"/>
    <s v="No"/>
    <s v="Severe"/>
    <n v="4587"/>
    <n v="1728"/>
    <n v="2024"/>
    <n v="7"/>
    <n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s v="SHP-30000"/>
    <d v="2024-08-29T00:00:00"/>
    <x v="0"/>
    <s v="Chennai"/>
    <x v="0"/>
    <x v="0"/>
    <x v="0"/>
    <s v="Low"/>
    <n v="2"/>
    <n v="6"/>
    <n v="4"/>
    <s v="Yes"/>
    <n v="367"/>
    <n v="8308"/>
    <n v="6932"/>
    <n v="0"/>
    <s v="No"/>
    <s v="Major"/>
    <n v="1733"/>
    <n v="2077"/>
    <n v="2024"/>
    <n v="8"/>
  </r>
  <r>
    <s v="SHP-30001"/>
    <d v="2024-07-23T00:00:00"/>
    <x v="0"/>
    <s v="Bengaluru"/>
    <x v="1"/>
    <x v="1"/>
    <x v="0"/>
    <s v="Medium"/>
    <n v="3"/>
    <n v="8"/>
    <n v="5"/>
    <s v="Yes"/>
    <n v="279"/>
    <n v="5370"/>
    <n v="14890"/>
    <n v="0"/>
    <s v="No"/>
    <s v="Major"/>
    <n v="2978"/>
    <n v="1074"/>
    <n v="2024"/>
    <n v="7"/>
  </r>
  <r>
    <s v="SHP-30002"/>
    <d v="2024-09-05T00:00:00"/>
    <x v="1"/>
    <s v="Kolkata"/>
    <x v="2"/>
    <x v="2"/>
    <x v="1"/>
    <s v="High"/>
    <n v="1"/>
    <n v="8"/>
    <n v="7"/>
    <s v="Yes"/>
    <n v="321"/>
    <n v="16044"/>
    <n v="16506"/>
    <n v="0"/>
    <s v="No"/>
    <s v="Severe"/>
    <n v="2358"/>
    <n v="2292"/>
    <n v="2024"/>
    <n v="9"/>
  </r>
  <r>
    <s v="SHP-30003"/>
    <d v="2024-11-28T00:00:00"/>
    <x v="2"/>
    <s v="Noida"/>
    <x v="2"/>
    <x v="0"/>
    <x v="0"/>
    <s v="Medium"/>
    <n v="2"/>
    <n v="6"/>
    <n v="4"/>
    <s v="Yes"/>
    <n v="280"/>
    <n v="6884"/>
    <n v="11760"/>
    <n v="0"/>
    <s v="No"/>
    <s v="Major"/>
    <n v="2940"/>
    <n v="1721"/>
    <n v="2024"/>
    <n v="11"/>
  </r>
  <r>
    <s v="SHP-30004"/>
    <d v="2024-11-18T00:00:00"/>
    <x v="1"/>
    <s v="Kolkata"/>
    <x v="1"/>
    <x v="0"/>
    <x v="2"/>
    <s v="Medium"/>
    <n v="2"/>
    <n v="3"/>
    <n v="1"/>
    <s v="Yes"/>
    <n v="58"/>
    <n v="2394"/>
    <n v="4163"/>
    <n v="0"/>
    <s v="No"/>
    <s v="Minor"/>
    <n v="4163"/>
    <n v="2394"/>
    <n v="2024"/>
    <n v="11"/>
  </r>
  <r>
    <s v="SHP-30005"/>
    <d v="2024-01-06T00:00:00"/>
    <x v="1"/>
    <s v="Kolkata"/>
    <x v="0"/>
    <x v="1"/>
    <x v="3"/>
    <s v="Low"/>
    <n v="3"/>
    <n v="8"/>
    <n v="5"/>
    <s v="Yes"/>
    <n v="304"/>
    <n v="10880"/>
    <n v="10720"/>
    <n v="0"/>
    <s v="No"/>
    <s v="Major"/>
    <n v="2144"/>
    <n v="2176"/>
    <n v="2024"/>
    <n v="1"/>
  </r>
  <r>
    <s v="SHP-30006"/>
    <d v="2024-01-02T00:00:00"/>
    <x v="1"/>
    <s v="Kolkata"/>
    <x v="2"/>
    <x v="2"/>
    <x v="3"/>
    <s v="Medium"/>
    <n v="2"/>
    <n v="4"/>
    <n v="2"/>
    <s v="Yes"/>
    <n v="244"/>
    <n v="2284"/>
    <n v="9804"/>
    <n v="0"/>
    <s v="No"/>
    <s v="Minor"/>
    <n v="4902"/>
    <n v="1142"/>
    <n v="2024"/>
    <n v="1"/>
  </r>
  <r>
    <s v="SHP-30007"/>
    <d v="2024-02-03T00:00:00"/>
    <x v="0"/>
    <s v="Chennai"/>
    <x v="0"/>
    <x v="2"/>
    <x v="3"/>
    <s v="Low"/>
    <n v="2"/>
    <n v="8"/>
    <n v="6"/>
    <s v="Yes"/>
    <n v="295"/>
    <n v="12042"/>
    <n v="13446"/>
    <n v="0"/>
    <s v="No"/>
    <s v="Severe"/>
    <n v="2241"/>
    <n v="2007"/>
    <n v="2024"/>
    <n v="2"/>
  </r>
  <r>
    <s v="SHP-30008"/>
    <d v="2024-04-04T00:00:00"/>
    <x v="2"/>
    <s v="Delhi"/>
    <x v="0"/>
    <x v="1"/>
    <x v="0"/>
    <s v="Medium"/>
    <n v="2"/>
    <n v="6"/>
    <n v="4"/>
    <s v="Yes"/>
    <n v="458"/>
    <n v="6020"/>
    <n v="15380"/>
    <n v="0"/>
    <s v="No"/>
    <s v="Major"/>
    <n v="3845"/>
    <n v="1505"/>
    <n v="2024"/>
    <n v="4"/>
  </r>
  <r>
    <s v="SHP-30009"/>
    <d v="2024-11-25T00:00:00"/>
    <x v="0"/>
    <s v="Bengaluru"/>
    <x v="2"/>
    <x v="0"/>
    <x v="1"/>
    <s v="Low"/>
    <n v="1"/>
    <n v="1"/>
    <n v="0"/>
    <s v="No"/>
    <n v="84"/>
    <n v="0"/>
    <n v="0"/>
    <n v="1"/>
    <s v="No"/>
    <s v="On Time"/>
    <n v="0"/>
    <n v="0"/>
    <n v="2024"/>
    <n v="11"/>
  </r>
  <r>
    <s v="SHP-30010"/>
    <d v="2024-06-30T00:00:00"/>
    <x v="2"/>
    <s v="Delhi"/>
    <x v="2"/>
    <x v="0"/>
    <x v="4"/>
    <s v="Low"/>
    <n v="2"/>
    <n v="7"/>
    <n v="5"/>
    <s v="Yes"/>
    <n v="313"/>
    <n v="7360"/>
    <n v="14340"/>
    <n v="0"/>
    <s v="No"/>
    <s v="Major"/>
    <n v="2868"/>
    <n v="1472"/>
    <n v="2024"/>
    <n v="6"/>
  </r>
  <r>
    <s v="SHP-30011"/>
    <d v="2024-12-23T00:00:00"/>
    <x v="0"/>
    <s v="Chennai"/>
    <x v="0"/>
    <x v="2"/>
    <x v="1"/>
    <s v="Low"/>
    <n v="1"/>
    <n v="5"/>
    <n v="4"/>
    <s v="Yes"/>
    <n v="260"/>
    <n v="7656"/>
    <n v="15408"/>
    <n v="0"/>
    <s v="No"/>
    <s v="Major"/>
    <n v="3852"/>
    <n v="1914"/>
    <n v="2024"/>
    <n v="12"/>
  </r>
  <r>
    <s v="SHP-30012"/>
    <d v="2024-12-23T00:00:00"/>
    <x v="3"/>
    <s v="Pune"/>
    <x v="2"/>
    <x v="2"/>
    <x v="3"/>
    <s v="Low"/>
    <n v="1"/>
    <n v="7"/>
    <n v="6"/>
    <s v="Yes"/>
    <n v="252"/>
    <n v="6228"/>
    <n v="27300"/>
    <n v="0"/>
    <s v="No"/>
    <s v="Severe"/>
    <n v="4550"/>
    <n v="1038"/>
    <n v="2024"/>
    <n v="12"/>
  </r>
  <r>
    <s v="SHP-30013"/>
    <d v="2024-05-19T00:00:00"/>
    <x v="0"/>
    <s v="Bengaluru"/>
    <x v="0"/>
    <x v="0"/>
    <x v="3"/>
    <s v="Low"/>
    <n v="5"/>
    <n v="10"/>
    <n v="5"/>
    <s v="Yes"/>
    <n v="150"/>
    <n v="5495"/>
    <n v="23825"/>
    <n v="0"/>
    <s v="No"/>
    <s v="Major"/>
    <n v="4765"/>
    <n v="1099"/>
    <n v="2024"/>
    <n v="5"/>
  </r>
  <r>
    <s v="SHP-30014"/>
    <d v="2024-04-30T00:00:00"/>
    <x v="1"/>
    <s v="Bhubaneswar"/>
    <x v="1"/>
    <x v="1"/>
    <x v="1"/>
    <s v="Medium"/>
    <n v="1"/>
    <n v="5"/>
    <n v="4"/>
    <s v="Yes"/>
    <n v="483"/>
    <n v="9676"/>
    <n v="15652"/>
    <n v="0"/>
    <s v="No"/>
    <s v="Major"/>
    <n v="3913"/>
    <n v="2419"/>
    <n v="2024"/>
    <n v="4"/>
  </r>
  <r>
    <s v="SHP-30015"/>
    <d v="2024-05-18T00:00:00"/>
    <x v="3"/>
    <s v="Mumbai"/>
    <x v="0"/>
    <x v="0"/>
    <x v="2"/>
    <s v="High"/>
    <n v="2"/>
    <n v="8"/>
    <n v="6"/>
    <s v="Yes"/>
    <n v="242"/>
    <n v="4902"/>
    <n v="28974"/>
    <n v="0"/>
    <s v="No"/>
    <s v="Severe"/>
    <n v="4829"/>
    <n v="817"/>
    <n v="2024"/>
    <n v="5"/>
  </r>
  <r>
    <s v="SHP-30016"/>
    <d v="2024-07-30T00:00:00"/>
    <x v="0"/>
    <s v="Bengaluru"/>
    <x v="2"/>
    <x v="1"/>
    <x v="3"/>
    <s v="Medium"/>
    <n v="2"/>
    <n v="5"/>
    <n v="3"/>
    <s v="Yes"/>
    <n v="345"/>
    <n v="5691"/>
    <n v="5631"/>
    <n v="0"/>
    <s v="No"/>
    <s v="Major"/>
    <n v="1877"/>
    <n v="1897"/>
    <n v="2024"/>
    <n v="7"/>
  </r>
  <r>
    <s v="SHP-30017"/>
    <d v="2024-04-11T00:00:00"/>
    <x v="2"/>
    <s v="Delhi"/>
    <x v="0"/>
    <x v="1"/>
    <x v="2"/>
    <s v="Low"/>
    <n v="1"/>
    <n v="2"/>
    <n v="1"/>
    <s v="Yes"/>
    <n v="394"/>
    <n v="1003"/>
    <n v="2609"/>
    <n v="0"/>
    <s v="No"/>
    <s v="Minor"/>
    <n v="2609"/>
    <n v="1003"/>
    <n v="2024"/>
    <n v="4"/>
  </r>
  <r>
    <s v="SHP-30018"/>
    <d v="2024-05-09T00:00:00"/>
    <x v="1"/>
    <s v="Bhubaneswar"/>
    <x v="0"/>
    <x v="1"/>
    <x v="2"/>
    <s v="Low"/>
    <n v="2"/>
    <n v="4"/>
    <n v="2"/>
    <s v="Yes"/>
    <n v="198"/>
    <n v="3546"/>
    <n v="3440"/>
    <n v="0"/>
    <s v="No"/>
    <s v="Minor"/>
    <n v="1720"/>
    <n v="1773"/>
    <n v="2024"/>
    <n v="5"/>
  </r>
  <r>
    <s v="SHP-30019"/>
    <d v="2024-02-24T00:00:00"/>
    <x v="3"/>
    <s v="Mumbai"/>
    <x v="1"/>
    <x v="1"/>
    <x v="3"/>
    <s v="High"/>
    <n v="5"/>
    <n v="8"/>
    <n v="3"/>
    <s v="Yes"/>
    <n v="123"/>
    <n v="6765"/>
    <n v="14151"/>
    <n v="0"/>
    <s v="No"/>
    <s v="Major"/>
    <n v="4717"/>
    <n v="2255"/>
    <n v="2024"/>
    <n v="2"/>
  </r>
  <r>
    <s v="SHP-30020"/>
    <d v="2024-10-29T00:00:00"/>
    <x v="2"/>
    <s v="Delhi"/>
    <x v="0"/>
    <x v="2"/>
    <x v="3"/>
    <s v="Low"/>
    <n v="1"/>
    <n v="3"/>
    <n v="2"/>
    <s v="Yes"/>
    <n v="382"/>
    <n v="4590"/>
    <n v="9860"/>
    <n v="0"/>
    <s v="No"/>
    <s v="Minor"/>
    <n v="4930"/>
    <n v="2295"/>
    <n v="2024"/>
    <n v="10"/>
  </r>
  <r>
    <s v="SHP-30021"/>
    <d v="2024-01-22T00:00:00"/>
    <x v="0"/>
    <s v="Chennai"/>
    <x v="1"/>
    <x v="2"/>
    <x v="2"/>
    <s v="Low"/>
    <n v="2"/>
    <n v="8"/>
    <n v="6"/>
    <s v="Yes"/>
    <n v="69"/>
    <n v="8328"/>
    <n v="10182"/>
    <n v="0"/>
    <s v="No"/>
    <s v="Severe"/>
    <n v="1697"/>
    <n v="1388"/>
    <n v="2024"/>
    <n v="1"/>
  </r>
  <r>
    <s v="SHP-30022"/>
    <d v="2024-07-01T00:00:00"/>
    <x v="3"/>
    <s v="Pune"/>
    <x v="0"/>
    <x v="1"/>
    <x v="4"/>
    <s v="Low"/>
    <n v="1"/>
    <n v="4"/>
    <n v="3"/>
    <s v="Yes"/>
    <n v="172"/>
    <n v="2889"/>
    <n v="14880"/>
    <n v="0"/>
    <s v="No"/>
    <s v="Major"/>
    <n v="4960"/>
    <n v="963"/>
    <n v="2024"/>
    <n v="7"/>
  </r>
  <r>
    <s v="SHP-30023"/>
    <d v="2024-04-15T00:00:00"/>
    <x v="1"/>
    <s v="Kolkata"/>
    <x v="2"/>
    <x v="1"/>
    <x v="3"/>
    <s v="Low"/>
    <n v="2"/>
    <n v="3"/>
    <n v="1"/>
    <s v="Yes"/>
    <n v="268"/>
    <n v="2172"/>
    <n v="4872"/>
    <n v="0"/>
    <s v="No"/>
    <s v="Minor"/>
    <n v="4872"/>
    <n v="2172"/>
    <n v="2024"/>
    <n v="4"/>
  </r>
  <r>
    <s v="SHP-30024"/>
    <d v="2024-02-01T00:00:00"/>
    <x v="0"/>
    <s v="Bengaluru"/>
    <x v="1"/>
    <x v="0"/>
    <x v="0"/>
    <s v="Low"/>
    <n v="2"/>
    <n v="2"/>
    <n v="0"/>
    <s v="No"/>
    <n v="479"/>
    <n v="0"/>
    <n v="0"/>
    <n v="1"/>
    <s v="No"/>
    <s v="On Time"/>
    <n v="0"/>
    <n v="0"/>
    <n v="2024"/>
    <n v="2"/>
  </r>
  <r>
    <s v="SHP-30025"/>
    <d v="2024-10-09T00:00:00"/>
    <x v="3"/>
    <s v="Mumbai"/>
    <x v="1"/>
    <x v="1"/>
    <x v="4"/>
    <s v="Medium"/>
    <n v="1"/>
    <n v="1"/>
    <n v="0"/>
    <s v="No"/>
    <n v="207"/>
    <n v="0"/>
    <n v="0"/>
    <n v="1"/>
    <s v="No"/>
    <s v="On Time"/>
    <n v="0"/>
    <n v="0"/>
    <n v="2024"/>
    <n v="10"/>
  </r>
  <r>
    <s v="SHP-30026"/>
    <d v="2024-10-15T00:00:00"/>
    <x v="0"/>
    <s v="Chennai"/>
    <x v="0"/>
    <x v="2"/>
    <x v="1"/>
    <s v="High"/>
    <n v="2"/>
    <n v="7"/>
    <n v="5"/>
    <s v="Yes"/>
    <n v="238"/>
    <n v="9550"/>
    <n v="20660"/>
    <n v="0"/>
    <s v="No"/>
    <s v="Major"/>
    <n v="4132"/>
    <n v="1910"/>
    <n v="2024"/>
    <n v="10"/>
  </r>
  <r>
    <s v="SHP-30027"/>
    <d v="2024-11-21T00:00:00"/>
    <x v="2"/>
    <s v="Delhi"/>
    <x v="1"/>
    <x v="0"/>
    <x v="1"/>
    <s v="Medium"/>
    <n v="1"/>
    <n v="4"/>
    <n v="3"/>
    <s v="Yes"/>
    <n v="201"/>
    <n v="6954"/>
    <n v="11721"/>
    <n v="0"/>
    <s v="No"/>
    <s v="Major"/>
    <n v="3907"/>
    <n v="2318"/>
    <n v="2024"/>
    <n v="11"/>
  </r>
  <r>
    <s v="SHP-30028"/>
    <d v="2024-01-06T00:00:00"/>
    <x v="0"/>
    <s v="Chennai"/>
    <x v="2"/>
    <x v="0"/>
    <x v="0"/>
    <s v="Low"/>
    <n v="2"/>
    <n v="2"/>
    <n v="0"/>
    <s v="No"/>
    <n v="384"/>
    <n v="0"/>
    <n v="0"/>
    <n v="1"/>
    <s v="No"/>
    <s v="On Time"/>
    <n v="0"/>
    <n v="0"/>
    <n v="2024"/>
    <n v="1"/>
  </r>
  <r>
    <s v="SHP-30029"/>
    <d v="2024-07-11T00:00:00"/>
    <x v="3"/>
    <s v="Pune"/>
    <x v="2"/>
    <x v="1"/>
    <x v="0"/>
    <s v="Medium"/>
    <n v="1"/>
    <n v="5"/>
    <n v="4"/>
    <s v="Yes"/>
    <n v="417"/>
    <n v="9352"/>
    <n v="10920"/>
    <n v="0"/>
    <s v="No"/>
    <s v="Major"/>
    <n v="2730"/>
    <n v="2338"/>
    <n v="2024"/>
    <n v="7"/>
  </r>
  <r>
    <s v="SHP-30030"/>
    <d v="2024-11-20T00:00:00"/>
    <x v="3"/>
    <s v="Pune"/>
    <x v="2"/>
    <x v="0"/>
    <x v="4"/>
    <s v="Medium"/>
    <n v="1"/>
    <n v="6"/>
    <n v="5"/>
    <s v="Yes"/>
    <n v="229"/>
    <n v="10745"/>
    <n v="7820"/>
    <n v="0"/>
    <s v="No"/>
    <s v="Major"/>
    <n v="1564"/>
    <n v="2149"/>
    <n v="2024"/>
    <n v="11"/>
  </r>
  <r>
    <s v="SHP-30031"/>
    <d v="2024-02-17T00:00:00"/>
    <x v="1"/>
    <s v="Bhubaneswar"/>
    <x v="2"/>
    <x v="0"/>
    <x v="2"/>
    <s v="Low"/>
    <n v="2"/>
    <n v="5"/>
    <n v="3"/>
    <s v="Yes"/>
    <n v="221"/>
    <n v="5715"/>
    <n v="11727"/>
    <n v="0"/>
    <s v="No"/>
    <s v="Major"/>
    <n v="3909"/>
    <n v="1905"/>
    <n v="2024"/>
    <n v="2"/>
  </r>
  <r>
    <s v="SHP-30032"/>
    <d v="2024-02-10T00:00:00"/>
    <x v="0"/>
    <s v="Chennai"/>
    <x v="0"/>
    <x v="0"/>
    <x v="4"/>
    <s v="Medium"/>
    <n v="1"/>
    <n v="1"/>
    <n v="0"/>
    <s v="No"/>
    <n v="193"/>
    <n v="0"/>
    <n v="0"/>
    <n v="1"/>
    <s v="No"/>
    <s v="On Time"/>
    <n v="0"/>
    <n v="0"/>
    <n v="2024"/>
    <n v="2"/>
  </r>
  <r>
    <s v="SHP-30033"/>
    <d v="2024-08-26T00:00:00"/>
    <x v="2"/>
    <s v="Noida"/>
    <x v="1"/>
    <x v="1"/>
    <x v="0"/>
    <s v="Medium"/>
    <n v="1"/>
    <n v="5"/>
    <n v="4"/>
    <s v="Yes"/>
    <n v="316"/>
    <n v="6800"/>
    <n v="6392"/>
    <n v="0"/>
    <s v="No"/>
    <s v="Major"/>
    <n v="1598"/>
    <n v="1700"/>
    <n v="2024"/>
    <n v="8"/>
  </r>
  <r>
    <s v="SHP-30034"/>
    <d v="2024-02-18T00:00:00"/>
    <x v="0"/>
    <s v="Bengaluru"/>
    <x v="2"/>
    <x v="0"/>
    <x v="4"/>
    <s v="High"/>
    <n v="3"/>
    <n v="8"/>
    <n v="5"/>
    <s v="Yes"/>
    <n v="352"/>
    <n v="12250"/>
    <n v="17535"/>
    <n v="0"/>
    <s v="No"/>
    <s v="Major"/>
    <n v="3507"/>
    <n v="2450"/>
    <n v="2024"/>
    <n v="2"/>
  </r>
  <r>
    <s v="SHP-30035"/>
    <d v="2024-02-01T00:00:00"/>
    <x v="3"/>
    <s v="Pune"/>
    <x v="1"/>
    <x v="0"/>
    <x v="4"/>
    <s v="Medium"/>
    <n v="1"/>
    <n v="2"/>
    <n v="1"/>
    <s v="Yes"/>
    <n v="311"/>
    <n v="977"/>
    <n v="2622"/>
    <n v="0"/>
    <s v="No"/>
    <s v="Minor"/>
    <n v="2622"/>
    <n v="977"/>
    <n v="2024"/>
    <n v="2"/>
  </r>
  <r>
    <s v="SHP-30036"/>
    <d v="2024-04-27T00:00:00"/>
    <x v="3"/>
    <s v="Mumbai"/>
    <x v="2"/>
    <x v="1"/>
    <x v="4"/>
    <s v="Low"/>
    <n v="1"/>
    <n v="4"/>
    <n v="3"/>
    <s v="Yes"/>
    <n v="155"/>
    <n v="6852"/>
    <n v="8940"/>
    <n v="0"/>
    <s v="No"/>
    <s v="Major"/>
    <n v="2980"/>
    <n v="2284"/>
    <n v="2024"/>
    <n v="4"/>
  </r>
  <r>
    <s v="SHP-30037"/>
    <d v="2024-01-21T00:00:00"/>
    <x v="0"/>
    <s v="Bengaluru"/>
    <x v="2"/>
    <x v="1"/>
    <x v="0"/>
    <s v="Low"/>
    <n v="1"/>
    <n v="5"/>
    <n v="4"/>
    <s v="Yes"/>
    <n v="471"/>
    <n v="5892"/>
    <n v="15604"/>
    <n v="0"/>
    <s v="No"/>
    <s v="Major"/>
    <n v="3901"/>
    <n v="1473"/>
    <n v="2024"/>
    <n v="1"/>
  </r>
  <r>
    <s v="SHP-30038"/>
    <d v="2024-08-31T00:00:00"/>
    <x v="0"/>
    <s v="Chennai"/>
    <x v="0"/>
    <x v="0"/>
    <x v="0"/>
    <s v="Low"/>
    <n v="5"/>
    <n v="5"/>
    <n v="0"/>
    <s v="No"/>
    <n v="391"/>
    <n v="0"/>
    <n v="0"/>
    <n v="1"/>
    <s v="No"/>
    <s v="On Time"/>
    <n v="0"/>
    <n v="0"/>
    <n v="2024"/>
    <n v="8"/>
  </r>
  <r>
    <s v="SHP-30039"/>
    <d v="2024-09-01T00:00:00"/>
    <x v="0"/>
    <s v="Chennai"/>
    <x v="1"/>
    <x v="0"/>
    <x v="0"/>
    <s v="Medium"/>
    <n v="1"/>
    <n v="4"/>
    <n v="3"/>
    <s v="Yes"/>
    <n v="323"/>
    <n v="5844"/>
    <n v="12129"/>
    <n v="0"/>
    <s v="No"/>
    <s v="Major"/>
    <n v="4043"/>
    <n v="1948"/>
    <n v="2024"/>
    <n v="9"/>
  </r>
  <r>
    <s v="SHP-30040"/>
    <d v="2024-11-26T00:00:00"/>
    <x v="1"/>
    <s v="Kolkata"/>
    <x v="0"/>
    <x v="2"/>
    <x v="1"/>
    <s v="High"/>
    <n v="3"/>
    <n v="9"/>
    <n v="6"/>
    <s v="Yes"/>
    <n v="481"/>
    <n v="13422"/>
    <n v="13776"/>
    <n v="0"/>
    <s v="No"/>
    <s v="Severe"/>
    <n v="2296"/>
    <n v="2237"/>
    <n v="2024"/>
    <n v="11"/>
  </r>
  <r>
    <s v="SHP-30041"/>
    <d v="2024-08-02T00:00:00"/>
    <x v="3"/>
    <s v="Pune"/>
    <x v="1"/>
    <x v="1"/>
    <x v="4"/>
    <s v="Medium"/>
    <n v="5"/>
    <n v="6"/>
    <n v="1"/>
    <s v="Yes"/>
    <n v="419"/>
    <n v="1279"/>
    <n v="1848"/>
    <n v="0"/>
    <s v="No"/>
    <s v="Minor"/>
    <n v="1848"/>
    <n v="1279"/>
    <n v="2024"/>
    <n v="8"/>
  </r>
  <r>
    <s v="SHP-30042"/>
    <d v="2024-08-23T00:00:00"/>
    <x v="0"/>
    <s v="Bengaluru"/>
    <x v="1"/>
    <x v="0"/>
    <x v="1"/>
    <s v="High"/>
    <n v="1"/>
    <n v="3"/>
    <n v="2"/>
    <s v="Yes"/>
    <n v="290"/>
    <n v="2902"/>
    <n v="6922"/>
    <n v="0"/>
    <s v="No"/>
    <s v="Minor"/>
    <n v="3461"/>
    <n v="1451"/>
    <n v="2024"/>
    <n v="8"/>
  </r>
  <r>
    <s v="SHP-30043"/>
    <d v="2024-12-30T00:00:00"/>
    <x v="3"/>
    <s v="Mumbai"/>
    <x v="0"/>
    <x v="0"/>
    <x v="2"/>
    <s v="Low"/>
    <n v="1"/>
    <n v="6"/>
    <n v="5"/>
    <s v="Yes"/>
    <n v="200"/>
    <n v="6120"/>
    <n v="16210"/>
    <n v="0"/>
    <s v="No"/>
    <s v="Major"/>
    <n v="3242"/>
    <n v="1224"/>
    <n v="2024"/>
    <n v="12"/>
  </r>
  <r>
    <s v="SHP-30044"/>
    <d v="2024-06-03T00:00:00"/>
    <x v="3"/>
    <s v="Pune"/>
    <x v="0"/>
    <x v="1"/>
    <x v="4"/>
    <s v="Low"/>
    <n v="1"/>
    <n v="1"/>
    <n v="0"/>
    <s v="No"/>
    <n v="231"/>
    <n v="0"/>
    <n v="0"/>
    <n v="1"/>
    <s v="No"/>
    <s v="On Time"/>
    <n v="0"/>
    <n v="0"/>
    <n v="2024"/>
    <n v="6"/>
  </r>
  <r>
    <s v="SHP-30045"/>
    <d v="2024-09-02T00:00:00"/>
    <x v="3"/>
    <s v="Mumbai"/>
    <x v="1"/>
    <x v="0"/>
    <x v="1"/>
    <s v="High"/>
    <n v="2"/>
    <n v="9"/>
    <n v="7"/>
    <s v="Yes"/>
    <n v="208"/>
    <n v="10843"/>
    <n v="21378"/>
    <n v="0"/>
    <s v="No"/>
    <s v="Severe"/>
    <n v="3054"/>
    <n v="1549"/>
    <n v="2024"/>
    <n v="9"/>
  </r>
  <r>
    <s v="SHP-30046"/>
    <d v="2024-04-28T00:00:00"/>
    <x v="0"/>
    <s v="Bengaluru"/>
    <x v="0"/>
    <x v="1"/>
    <x v="2"/>
    <s v="Low"/>
    <n v="3"/>
    <n v="3"/>
    <n v="0"/>
    <s v="No"/>
    <n v="405"/>
    <n v="0"/>
    <n v="0"/>
    <n v="1"/>
    <s v="No"/>
    <s v="On Time"/>
    <n v="0"/>
    <n v="0"/>
    <n v="2024"/>
    <n v="4"/>
  </r>
  <r>
    <s v="SHP-30047"/>
    <d v="2024-01-14T00:00:00"/>
    <x v="3"/>
    <s v="Mumbai"/>
    <x v="1"/>
    <x v="1"/>
    <x v="0"/>
    <s v="Low"/>
    <n v="5"/>
    <n v="6"/>
    <n v="1"/>
    <s v="Yes"/>
    <n v="228"/>
    <n v="1769"/>
    <n v="3887"/>
    <n v="0"/>
    <s v="No"/>
    <s v="Minor"/>
    <n v="3887"/>
    <n v="1769"/>
    <n v="2024"/>
    <n v="1"/>
  </r>
  <r>
    <s v="SHP-30048"/>
    <d v="2024-06-22T00:00:00"/>
    <x v="2"/>
    <s v="Noida"/>
    <x v="2"/>
    <x v="1"/>
    <x v="2"/>
    <s v="High"/>
    <n v="2"/>
    <n v="10"/>
    <n v="8"/>
    <s v="Yes"/>
    <n v="390"/>
    <n v="9112"/>
    <n v="24704"/>
    <n v="0"/>
    <s v="No"/>
    <s v="Severe"/>
    <n v="3088"/>
    <n v="1139"/>
    <n v="2024"/>
    <n v="6"/>
  </r>
  <r>
    <s v="SHP-30049"/>
    <d v="2024-01-11T00:00:00"/>
    <x v="2"/>
    <s v="Delhi"/>
    <x v="0"/>
    <x v="1"/>
    <x v="3"/>
    <s v="High"/>
    <n v="1"/>
    <n v="4"/>
    <n v="3"/>
    <s v="Yes"/>
    <n v="480"/>
    <n v="3267"/>
    <n v="5055"/>
    <n v="0"/>
    <s v="No"/>
    <s v="Major"/>
    <n v="1685"/>
    <n v="1089"/>
    <n v="2024"/>
    <n v="1"/>
  </r>
  <r>
    <s v="SHP-30050"/>
    <d v="2024-07-23T00:00:00"/>
    <x v="0"/>
    <s v="Chennai"/>
    <x v="2"/>
    <x v="1"/>
    <x v="4"/>
    <s v="Medium"/>
    <n v="3"/>
    <n v="5"/>
    <n v="2"/>
    <s v="Yes"/>
    <n v="256"/>
    <n v="4054"/>
    <n v="3308"/>
    <n v="0"/>
    <s v="No"/>
    <s v="Minor"/>
    <n v="1654"/>
    <n v="2027"/>
    <n v="2024"/>
    <n v="7"/>
  </r>
  <r>
    <s v="SHP-30051"/>
    <d v="2024-04-19T00:00:00"/>
    <x v="1"/>
    <s v="Kolkata"/>
    <x v="2"/>
    <x v="1"/>
    <x v="3"/>
    <s v="Medium"/>
    <n v="5"/>
    <n v="5"/>
    <n v="0"/>
    <s v="No"/>
    <n v="308"/>
    <n v="0"/>
    <n v="0"/>
    <n v="1"/>
    <s v="No"/>
    <s v="On Time"/>
    <n v="0"/>
    <n v="0"/>
    <n v="2024"/>
    <n v="4"/>
  </r>
  <r>
    <s v="SHP-30052"/>
    <d v="2024-04-10T00:00:00"/>
    <x v="2"/>
    <s v="Delhi"/>
    <x v="1"/>
    <x v="0"/>
    <x v="1"/>
    <s v="Low"/>
    <n v="1"/>
    <n v="3"/>
    <n v="2"/>
    <s v="Yes"/>
    <n v="474"/>
    <n v="3032"/>
    <n v="6858"/>
    <n v="0"/>
    <s v="No"/>
    <s v="Minor"/>
    <n v="3429"/>
    <n v="1516"/>
    <n v="2024"/>
    <n v="4"/>
  </r>
  <r>
    <s v="SHP-30053"/>
    <d v="2024-08-27T00:00:00"/>
    <x v="3"/>
    <s v="Mumbai"/>
    <x v="1"/>
    <x v="2"/>
    <x v="3"/>
    <s v="Low"/>
    <n v="5"/>
    <n v="8"/>
    <n v="3"/>
    <s v="Yes"/>
    <n v="225"/>
    <n v="6054"/>
    <n v="6375"/>
    <n v="0"/>
    <s v="No"/>
    <s v="Major"/>
    <n v="2125"/>
    <n v="2018"/>
    <n v="2024"/>
    <n v="8"/>
  </r>
  <r>
    <s v="SHP-30054"/>
    <d v="2024-08-16T00:00:00"/>
    <x v="2"/>
    <s v="Delhi"/>
    <x v="2"/>
    <x v="0"/>
    <x v="4"/>
    <s v="Low"/>
    <n v="1"/>
    <n v="5"/>
    <n v="4"/>
    <s v="Yes"/>
    <n v="494"/>
    <n v="7012"/>
    <n v="13092"/>
    <n v="0"/>
    <s v="No"/>
    <s v="Major"/>
    <n v="3273"/>
    <n v="1753"/>
    <n v="2024"/>
    <n v="8"/>
  </r>
  <r>
    <s v="SHP-30055"/>
    <d v="2024-04-14T00:00:00"/>
    <x v="1"/>
    <s v="Bhubaneswar"/>
    <x v="2"/>
    <x v="0"/>
    <x v="2"/>
    <s v="Medium"/>
    <n v="3"/>
    <n v="6"/>
    <n v="3"/>
    <s v="Yes"/>
    <n v="234"/>
    <n v="6030"/>
    <n v="10908"/>
    <n v="0"/>
    <s v="No"/>
    <s v="Major"/>
    <n v="3636"/>
    <n v="2010"/>
    <n v="2024"/>
    <n v="4"/>
  </r>
  <r>
    <s v="SHP-30056"/>
    <d v="2024-10-11T00:00:00"/>
    <x v="2"/>
    <s v="Delhi"/>
    <x v="2"/>
    <x v="1"/>
    <x v="2"/>
    <s v="Medium"/>
    <n v="1"/>
    <n v="4"/>
    <n v="3"/>
    <s v="Yes"/>
    <n v="402"/>
    <n v="7362"/>
    <n v="11295"/>
    <n v="0"/>
    <s v="No"/>
    <s v="Major"/>
    <n v="3765"/>
    <n v="2454"/>
    <n v="2024"/>
    <n v="10"/>
  </r>
  <r>
    <s v="SHP-30057"/>
    <d v="2024-04-30T00:00:00"/>
    <x v="3"/>
    <s v="Pune"/>
    <x v="1"/>
    <x v="0"/>
    <x v="3"/>
    <s v="Low"/>
    <n v="1"/>
    <n v="5"/>
    <n v="4"/>
    <s v="Yes"/>
    <n v="471"/>
    <n v="7544"/>
    <n v="13516"/>
    <n v="0"/>
    <s v="No"/>
    <s v="Major"/>
    <n v="3379"/>
    <n v="1886"/>
    <n v="2024"/>
    <n v="4"/>
  </r>
  <r>
    <s v="SHP-30058"/>
    <d v="2024-10-28T00:00:00"/>
    <x v="1"/>
    <s v="Bhubaneswar"/>
    <x v="0"/>
    <x v="2"/>
    <x v="2"/>
    <s v="Medium"/>
    <n v="1"/>
    <n v="2"/>
    <n v="1"/>
    <s v="Yes"/>
    <n v="382"/>
    <n v="2450"/>
    <n v="3025"/>
    <n v="0"/>
    <s v="No"/>
    <s v="Minor"/>
    <n v="3025"/>
    <n v="2450"/>
    <n v="2024"/>
    <n v="10"/>
  </r>
  <r>
    <s v="SHP-30059"/>
    <d v="2024-07-08T00:00:00"/>
    <x v="3"/>
    <s v="Pune"/>
    <x v="0"/>
    <x v="2"/>
    <x v="0"/>
    <s v="Medium"/>
    <n v="3"/>
    <n v="8"/>
    <n v="5"/>
    <s v="Yes"/>
    <n v="328"/>
    <n v="6070"/>
    <n v="22065"/>
    <n v="0"/>
    <s v="No"/>
    <s v="Major"/>
    <n v="4413"/>
    <n v="1214"/>
    <n v="2024"/>
    <n v="7"/>
  </r>
  <r>
    <s v="SHP-30060"/>
    <d v="2024-08-13T00:00:00"/>
    <x v="0"/>
    <s v="Chennai"/>
    <x v="0"/>
    <x v="1"/>
    <x v="1"/>
    <s v="High"/>
    <n v="2"/>
    <n v="7"/>
    <n v="5"/>
    <s v="Yes"/>
    <n v="166"/>
    <n v="11280"/>
    <n v="8600"/>
    <n v="0"/>
    <s v="No"/>
    <s v="Major"/>
    <n v="1720"/>
    <n v="2256"/>
    <n v="2024"/>
    <n v="8"/>
  </r>
  <r>
    <s v="SHP-30061"/>
    <d v="2024-07-24T00:00:00"/>
    <x v="1"/>
    <s v="Bhubaneswar"/>
    <x v="0"/>
    <x v="1"/>
    <x v="1"/>
    <s v="High"/>
    <n v="2"/>
    <n v="9"/>
    <n v="7"/>
    <s v="Yes"/>
    <n v="498"/>
    <n v="7966"/>
    <n v="24871"/>
    <n v="0"/>
    <s v="No"/>
    <s v="Severe"/>
    <n v="3553"/>
    <n v="1138"/>
    <n v="2024"/>
    <n v="7"/>
  </r>
  <r>
    <s v="SHP-30062"/>
    <d v="2024-09-21T00:00:00"/>
    <x v="3"/>
    <s v="Pune"/>
    <x v="2"/>
    <x v="1"/>
    <x v="0"/>
    <s v="Low"/>
    <n v="2"/>
    <n v="3"/>
    <n v="1"/>
    <s v="Yes"/>
    <n v="481"/>
    <n v="1006"/>
    <n v="4261"/>
    <n v="0"/>
    <s v="No"/>
    <s v="Minor"/>
    <n v="4261"/>
    <n v="1006"/>
    <n v="2024"/>
    <n v="9"/>
  </r>
  <r>
    <s v="SHP-30063"/>
    <d v="2024-11-15T00:00:00"/>
    <x v="3"/>
    <s v="Mumbai"/>
    <x v="2"/>
    <x v="1"/>
    <x v="4"/>
    <s v="Low"/>
    <n v="3"/>
    <n v="4"/>
    <n v="1"/>
    <s v="Yes"/>
    <n v="185"/>
    <n v="1917"/>
    <n v="3470"/>
    <n v="0"/>
    <s v="No"/>
    <s v="Minor"/>
    <n v="3470"/>
    <n v="1917"/>
    <n v="2024"/>
    <n v="11"/>
  </r>
  <r>
    <s v="SHP-30064"/>
    <d v="2024-12-01T00:00:00"/>
    <x v="0"/>
    <s v="Chennai"/>
    <x v="1"/>
    <x v="1"/>
    <x v="4"/>
    <s v="Low"/>
    <n v="3"/>
    <n v="6"/>
    <n v="3"/>
    <s v="Yes"/>
    <n v="61"/>
    <n v="5772"/>
    <n v="4914"/>
    <n v="0"/>
    <s v="No"/>
    <s v="Major"/>
    <n v="1638"/>
    <n v="1924"/>
    <n v="2024"/>
    <n v="12"/>
  </r>
  <r>
    <s v="SHP-30065"/>
    <d v="2024-07-06T00:00:00"/>
    <x v="1"/>
    <s v="Kolkata"/>
    <x v="2"/>
    <x v="1"/>
    <x v="3"/>
    <s v="Low"/>
    <n v="2"/>
    <n v="2"/>
    <n v="0"/>
    <s v="No"/>
    <n v="164"/>
    <n v="0"/>
    <n v="0"/>
    <n v="1"/>
    <s v="No"/>
    <s v="On Time"/>
    <n v="0"/>
    <n v="0"/>
    <n v="2024"/>
    <n v="7"/>
  </r>
  <r>
    <s v="SHP-30066"/>
    <d v="2024-06-17T00:00:00"/>
    <x v="3"/>
    <s v="Pune"/>
    <x v="2"/>
    <x v="1"/>
    <x v="4"/>
    <s v="Low"/>
    <n v="1"/>
    <n v="1"/>
    <n v="0"/>
    <s v="No"/>
    <n v="408"/>
    <n v="0"/>
    <n v="0"/>
    <n v="1"/>
    <s v="No"/>
    <s v="On Time"/>
    <n v="0"/>
    <n v="0"/>
    <n v="2024"/>
    <n v="6"/>
  </r>
  <r>
    <s v="SHP-30067"/>
    <d v="2024-11-16T00:00:00"/>
    <x v="2"/>
    <s v="Delhi"/>
    <x v="1"/>
    <x v="1"/>
    <x v="1"/>
    <s v="Medium"/>
    <n v="1"/>
    <n v="6"/>
    <n v="5"/>
    <s v="Yes"/>
    <n v="213"/>
    <n v="11715"/>
    <n v="19880"/>
    <n v="0"/>
    <s v="No"/>
    <s v="Major"/>
    <n v="3976"/>
    <n v="2343"/>
    <n v="2024"/>
    <n v="11"/>
  </r>
  <r>
    <s v="SHP-30068"/>
    <d v="2024-09-20T00:00:00"/>
    <x v="2"/>
    <s v="Delhi"/>
    <x v="0"/>
    <x v="2"/>
    <x v="0"/>
    <s v="High"/>
    <n v="2"/>
    <n v="10"/>
    <n v="8"/>
    <s v="Yes"/>
    <n v="338"/>
    <n v="11024"/>
    <n v="26040"/>
    <n v="0"/>
    <s v="No"/>
    <s v="Severe"/>
    <n v="3255"/>
    <n v="1378"/>
    <n v="2024"/>
    <n v="9"/>
  </r>
  <r>
    <s v="SHP-30069"/>
    <d v="2024-02-13T00:00:00"/>
    <x v="0"/>
    <s v="Chennai"/>
    <x v="2"/>
    <x v="1"/>
    <x v="0"/>
    <s v="Low"/>
    <n v="2"/>
    <n v="2"/>
    <n v="0"/>
    <s v="No"/>
    <n v="361"/>
    <n v="0"/>
    <n v="0"/>
    <n v="1"/>
    <s v="No"/>
    <s v="On Time"/>
    <n v="0"/>
    <n v="0"/>
    <n v="2024"/>
    <n v="2"/>
  </r>
  <r>
    <s v="SHP-30070"/>
    <d v="2024-04-18T00:00:00"/>
    <x v="1"/>
    <s v="Bhubaneswar"/>
    <x v="2"/>
    <x v="1"/>
    <x v="2"/>
    <s v="Low"/>
    <n v="3"/>
    <n v="8"/>
    <n v="5"/>
    <s v="Yes"/>
    <n v="482"/>
    <n v="12275"/>
    <n v="22645"/>
    <n v="0"/>
    <s v="No"/>
    <s v="Major"/>
    <n v="4529"/>
    <n v="2455"/>
    <n v="2024"/>
    <n v="4"/>
  </r>
  <r>
    <s v="SHP-30071"/>
    <d v="2024-03-11T00:00:00"/>
    <x v="3"/>
    <s v="Mumbai"/>
    <x v="2"/>
    <x v="1"/>
    <x v="0"/>
    <s v="Low"/>
    <n v="2"/>
    <n v="3"/>
    <n v="1"/>
    <s v="Yes"/>
    <n v="191"/>
    <n v="2464"/>
    <n v="2140"/>
    <n v="0"/>
    <s v="No"/>
    <s v="Minor"/>
    <n v="2140"/>
    <n v="2464"/>
    <n v="2024"/>
    <n v="3"/>
  </r>
  <r>
    <s v="SHP-30072"/>
    <d v="2024-06-07T00:00:00"/>
    <x v="1"/>
    <s v="Bhubaneswar"/>
    <x v="1"/>
    <x v="2"/>
    <x v="4"/>
    <s v="High"/>
    <n v="2"/>
    <n v="9"/>
    <n v="7"/>
    <s v="Yes"/>
    <n v="175"/>
    <n v="14315"/>
    <n v="23324"/>
    <n v="0"/>
    <s v="No"/>
    <s v="Severe"/>
    <n v="3332"/>
    <n v="2045"/>
    <n v="2024"/>
    <n v="6"/>
  </r>
  <r>
    <s v="SHP-30073"/>
    <d v="2024-03-28T00:00:00"/>
    <x v="0"/>
    <s v="Bengaluru"/>
    <x v="2"/>
    <x v="2"/>
    <x v="0"/>
    <s v="Low"/>
    <n v="2"/>
    <n v="6"/>
    <n v="4"/>
    <s v="Yes"/>
    <n v="367"/>
    <n v="8916"/>
    <n v="8040"/>
    <n v="0"/>
    <s v="No"/>
    <s v="Major"/>
    <n v="2010"/>
    <n v="2229"/>
    <n v="2024"/>
    <n v="3"/>
  </r>
  <r>
    <s v="SHP-30074"/>
    <d v="2024-10-24T00:00:00"/>
    <x v="1"/>
    <s v="Bhubaneswar"/>
    <x v="0"/>
    <x v="1"/>
    <x v="1"/>
    <s v="Low"/>
    <n v="2"/>
    <n v="6"/>
    <n v="4"/>
    <s v="Yes"/>
    <n v="257"/>
    <n v="8584"/>
    <n v="11836"/>
    <n v="0"/>
    <s v="No"/>
    <s v="Major"/>
    <n v="2959"/>
    <n v="2146"/>
    <n v="2024"/>
    <n v="10"/>
  </r>
  <r>
    <s v="SHP-30075"/>
    <d v="2024-10-28T00:00:00"/>
    <x v="2"/>
    <s v="Noida"/>
    <x v="1"/>
    <x v="1"/>
    <x v="4"/>
    <s v="Medium"/>
    <n v="2"/>
    <n v="3"/>
    <n v="1"/>
    <s v="Yes"/>
    <n v="183"/>
    <n v="855"/>
    <n v="3502"/>
    <n v="0"/>
    <s v="No"/>
    <s v="Minor"/>
    <n v="3502"/>
    <n v="855"/>
    <n v="2024"/>
    <n v="10"/>
  </r>
  <r>
    <s v="SHP-30076"/>
    <d v="2024-01-14T00:00:00"/>
    <x v="0"/>
    <s v="Chennai"/>
    <x v="0"/>
    <x v="0"/>
    <x v="4"/>
    <s v="Medium"/>
    <n v="3"/>
    <n v="6"/>
    <n v="3"/>
    <s v="Yes"/>
    <n v="67"/>
    <n v="6783"/>
    <n v="14445"/>
    <n v="0"/>
    <s v="No"/>
    <s v="Major"/>
    <n v="4815"/>
    <n v="2261"/>
    <n v="2024"/>
    <n v="1"/>
  </r>
  <r>
    <s v="SHP-30077"/>
    <d v="2024-03-08T00:00:00"/>
    <x v="2"/>
    <s v="Delhi"/>
    <x v="0"/>
    <x v="1"/>
    <x v="4"/>
    <s v="Medium"/>
    <n v="2"/>
    <n v="3"/>
    <n v="1"/>
    <s v="Yes"/>
    <n v="291"/>
    <n v="1443"/>
    <n v="3124"/>
    <n v="0"/>
    <s v="No"/>
    <s v="Minor"/>
    <n v="3124"/>
    <n v="1443"/>
    <n v="2024"/>
    <n v="3"/>
  </r>
  <r>
    <s v="SHP-30078"/>
    <d v="2024-09-24T00:00:00"/>
    <x v="1"/>
    <s v="Bhubaneswar"/>
    <x v="1"/>
    <x v="1"/>
    <x v="4"/>
    <s v="Medium"/>
    <n v="2"/>
    <n v="5"/>
    <n v="3"/>
    <s v="Yes"/>
    <n v="152"/>
    <n v="3903"/>
    <n v="9981"/>
    <n v="0"/>
    <s v="No"/>
    <s v="Major"/>
    <n v="3327"/>
    <n v="1301"/>
    <n v="2024"/>
    <n v="9"/>
  </r>
  <r>
    <s v="SHP-30079"/>
    <d v="2024-05-25T00:00:00"/>
    <x v="0"/>
    <s v="Chennai"/>
    <x v="2"/>
    <x v="1"/>
    <x v="4"/>
    <s v="Low"/>
    <n v="5"/>
    <n v="6"/>
    <n v="1"/>
    <s v="Yes"/>
    <n v="62"/>
    <n v="1979"/>
    <n v="2485"/>
    <n v="0"/>
    <s v="No"/>
    <s v="Minor"/>
    <n v="2485"/>
    <n v="1979"/>
    <n v="2024"/>
    <n v="5"/>
  </r>
  <r>
    <s v="SHP-30080"/>
    <d v="2024-09-27T00:00:00"/>
    <x v="2"/>
    <s v="Noida"/>
    <x v="1"/>
    <x v="1"/>
    <x v="0"/>
    <s v="Low"/>
    <n v="1"/>
    <n v="1"/>
    <n v="0"/>
    <s v="No"/>
    <n v="246"/>
    <n v="0"/>
    <n v="0"/>
    <n v="1"/>
    <s v="No"/>
    <s v="On Time"/>
    <n v="0"/>
    <n v="0"/>
    <n v="2024"/>
    <n v="9"/>
  </r>
  <r>
    <s v="SHP-30081"/>
    <d v="2024-05-30T00:00:00"/>
    <x v="0"/>
    <s v="Chennai"/>
    <x v="0"/>
    <x v="1"/>
    <x v="4"/>
    <s v="Low"/>
    <n v="3"/>
    <n v="3"/>
    <n v="0"/>
    <s v="No"/>
    <n v="173"/>
    <n v="0"/>
    <n v="0"/>
    <n v="1"/>
    <s v="No"/>
    <s v="On Time"/>
    <n v="0"/>
    <n v="0"/>
    <n v="2024"/>
    <n v="5"/>
  </r>
  <r>
    <s v="SHP-30082"/>
    <d v="2024-03-15T00:00:00"/>
    <x v="1"/>
    <s v="Bhubaneswar"/>
    <x v="1"/>
    <x v="1"/>
    <x v="3"/>
    <s v="Low"/>
    <n v="5"/>
    <n v="6"/>
    <n v="1"/>
    <s v="Yes"/>
    <n v="281"/>
    <n v="1460"/>
    <n v="3295"/>
    <n v="0"/>
    <s v="No"/>
    <s v="Minor"/>
    <n v="3295"/>
    <n v="1460"/>
    <n v="2024"/>
    <n v="3"/>
  </r>
  <r>
    <s v="SHP-30083"/>
    <d v="2024-05-22T00:00:00"/>
    <x v="1"/>
    <s v="Bhubaneswar"/>
    <x v="2"/>
    <x v="2"/>
    <x v="1"/>
    <s v="Low"/>
    <n v="1"/>
    <n v="5"/>
    <n v="4"/>
    <s v="Yes"/>
    <n v="353"/>
    <n v="3684"/>
    <n v="15556"/>
    <n v="0"/>
    <s v="No"/>
    <s v="Major"/>
    <n v="3889"/>
    <n v="921"/>
    <n v="2024"/>
    <n v="5"/>
  </r>
  <r>
    <s v="SHP-30084"/>
    <d v="2024-04-27T00:00:00"/>
    <x v="3"/>
    <s v="Mumbai"/>
    <x v="2"/>
    <x v="1"/>
    <x v="4"/>
    <s v="Medium"/>
    <n v="3"/>
    <n v="4"/>
    <n v="1"/>
    <s v="Yes"/>
    <n v="485"/>
    <n v="1724"/>
    <n v="4759"/>
    <n v="0"/>
    <s v="No"/>
    <s v="Minor"/>
    <n v="4759"/>
    <n v="1724"/>
    <n v="2024"/>
    <n v="4"/>
  </r>
  <r>
    <s v="SHP-30085"/>
    <d v="2024-06-17T00:00:00"/>
    <x v="0"/>
    <s v="Chennai"/>
    <x v="2"/>
    <x v="1"/>
    <x v="0"/>
    <s v="High"/>
    <n v="1"/>
    <n v="4"/>
    <n v="3"/>
    <s v="Yes"/>
    <n v="403"/>
    <n v="2553"/>
    <n v="10854"/>
    <n v="0"/>
    <s v="No"/>
    <s v="Major"/>
    <n v="3618"/>
    <n v="851"/>
    <n v="2024"/>
    <n v="6"/>
  </r>
  <r>
    <s v="SHP-30086"/>
    <d v="2024-10-14T00:00:00"/>
    <x v="3"/>
    <s v="Mumbai"/>
    <x v="0"/>
    <x v="1"/>
    <x v="3"/>
    <s v="High"/>
    <n v="1"/>
    <n v="4"/>
    <n v="3"/>
    <s v="Yes"/>
    <n v="106"/>
    <n v="6138"/>
    <n v="12897"/>
    <n v="0"/>
    <s v="No"/>
    <s v="Major"/>
    <n v="4299"/>
    <n v="2046"/>
    <n v="2024"/>
    <n v="10"/>
  </r>
  <r>
    <s v="SHP-30087"/>
    <d v="2024-04-08T00:00:00"/>
    <x v="3"/>
    <s v="Pune"/>
    <x v="1"/>
    <x v="0"/>
    <x v="0"/>
    <s v="Medium"/>
    <n v="5"/>
    <n v="7"/>
    <n v="2"/>
    <s v="Yes"/>
    <n v="313"/>
    <n v="3414"/>
    <n v="6668"/>
    <n v="0"/>
    <s v="No"/>
    <s v="Minor"/>
    <n v="3334"/>
    <n v="1707"/>
    <n v="2024"/>
    <n v="4"/>
  </r>
  <r>
    <s v="SHP-30088"/>
    <d v="2024-04-10T00:00:00"/>
    <x v="3"/>
    <s v="Pune"/>
    <x v="0"/>
    <x v="1"/>
    <x v="2"/>
    <s v="Low"/>
    <n v="1"/>
    <n v="5"/>
    <n v="4"/>
    <s v="Yes"/>
    <n v="140"/>
    <n v="6844"/>
    <n v="8800"/>
    <n v="0"/>
    <s v="No"/>
    <s v="Major"/>
    <n v="2200"/>
    <n v="1711"/>
    <n v="2024"/>
    <n v="4"/>
  </r>
  <r>
    <s v="SHP-30089"/>
    <d v="2024-10-01T00:00:00"/>
    <x v="1"/>
    <s v="Bhubaneswar"/>
    <x v="0"/>
    <x v="0"/>
    <x v="2"/>
    <s v="Medium"/>
    <n v="5"/>
    <n v="6"/>
    <n v="1"/>
    <s v="Yes"/>
    <n v="381"/>
    <n v="1641"/>
    <n v="2196"/>
    <n v="0"/>
    <s v="No"/>
    <s v="Minor"/>
    <n v="2196"/>
    <n v="1641"/>
    <n v="2024"/>
    <n v="10"/>
  </r>
  <r>
    <s v="SHP-30090"/>
    <d v="2024-03-23T00:00:00"/>
    <x v="1"/>
    <s v="Kolkata"/>
    <x v="1"/>
    <x v="2"/>
    <x v="4"/>
    <s v="Low"/>
    <n v="5"/>
    <n v="9"/>
    <n v="4"/>
    <s v="Yes"/>
    <n v="106"/>
    <n v="8128"/>
    <n v="6996"/>
    <n v="0"/>
    <s v="No"/>
    <s v="Major"/>
    <n v="1749"/>
    <n v="2032"/>
    <n v="2024"/>
    <n v="3"/>
  </r>
  <r>
    <s v="SHP-30091"/>
    <d v="2024-05-06T00:00:00"/>
    <x v="3"/>
    <s v="Mumbai"/>
    <x v="1"/>
    <x v="1"/>
    <x v="1"/>
    <s v="Medium"/>
    <n v="1"/>
    <n v="1"/>
    <n v="0"/>
    <s v="No"/>
    <n v="136"/>
    <n v="0"/>
    <n v="0"/>
    <n v="1"/>
    <s v="No"/>
    <s v="On Time"/>
    <n v="0"/>
    <n v="0"/>
    <n v="2024"/>
    <n v="5"/>
  </r>
  <r>
    <s v="SHP-30092"/>
    <d v="2024-06-10T00:00:00"/>
    <x v="1"/>
    <s v="Kolkata"/>
    <x v="2"/>
    <x v="2"/>
    <x v="4"/>
    <s v="Low"/>
    <n v="2"/>
    <n v="4"/>
    <n v="2"/>
    <s v="Yes"/>
    <n v="408"/>
    <n v="4622"/>
    <n v="9848"/>
    <n v="0"/>
    <s v="No"/>
    <s v="Minor"/>
    <n v="4924"/>
    <n v="2311"/>
    <n v="2024"/>
    <n v="6"/>
  </r>
  <r>
    <s v="SHP-30093"/>
    <d v="2024-07-29T00:00:00"/>
    <x v="2"/>
    <s v="Noida"/>
    <x v="1"/>
    <x v="0"/>
    <x v="0"/>
    <s v="High"/>
    <n v="1"/>
    <n v="7"/>
    <n v="6"/>
    <s v="Yes"/>
    <n v="427"/>
    <n v="10458"/>
    <n v="9732"/>
    <n v="0"/>
    <s v="No"/>
    <s v="Severe"/>
    <n v="1622"/>
    <n v="1743"/>
    <n v="2024"/>
    <n v="7"/>
  </r>
  <r>
    <s v="SHP-30094"/>
    <d v="2024-06-11T00:00:00"/>
    <x v="0"/>
    <s v="Bengaluru"/>
    <x v="0"/>
    <x v="0"/>
    <x v="1"/>
    <s v="High"/>
    <n v="2"/>
    <n v="9"/>
    <n v="7"/>
    <s v="Yes"/>
    <n v="288"/>
    <n v="6643"/>
    <n v="11760"/>
    <n v="0"/>
    <s v="No"/>
    <s v="Severe"/>
    <n v="1680"/>
    <n v="949"/>
    <n v="2024"/>
    <n v="6"/>
  </r>
  <r>
    <s v="SHP-30095"/>
    <d v="2024-05-24T00:00:00"/>
    <x v="2"/>
    <s v="Noida"/>
    <x v="2"/>
    <x v="0"/>
    <x v="1"/>
    <s v="Low"/>
    <n v="1"/>
    <n v="3"/>
    <n v="2"/>
    <s v="Yes"/>
    <n v="243"/>
    <n v="3982"/>
    <n v="8816"/>
    <n v="0"/>
    <s v="No"/>
    <s v="Minor"/>
    <n v="4408"/>
    <n v="1991"/>
    <n v="2024"/>
    <n v="5"/>
  </r>
  <r>
    <s v="SHP-30096"/>
    <d v="2024-06-03T00:00:00"/>
    <x v="0"/>
    <s v="Chennai"/>
    <x v="2"/>
    <x v="1"/>
    <x v="1"/>
    <s v="High"/>
    <n v="2"/>
    <n v="10"/>
    <n v="8"/>
    <s v="Yes"/>
    <n v="132"/>
    <n v="14864"/>
    <n v="39752"/>
    <n v="0"/>
    <s v="No"/>
    <s v="Severe"/>
    <n v="4969"/>
    <n v="1858"/>
    <n v="2024"/>
    <n v="6"/>
  </r>
  <r>
    <s v="SHP-30097"/>
    <d v="2024-11-17T00:00:00"/>
    <x v="0"/>
    <s v="Bengaluru"/>
    <x v="0"/>
    <x v="2"/>
    <x v="0"/>
    <s v="High"/>
    <n v="1"/>
    <n v="9"/>
    <n v="8"/>
    <s v="Yes"/>
    <n v="242"/>
    <n v="13552"/>
    <n v="19040"/>
    <n v="0"/>
    <s v="No"/>
    <s v="Severe"/>
    <n v="2380"/>
    <n v="1694"/>
    <n v="2024"/>
    <n v="11"/>
  </r>
  <r>
    <s v="SHP-30098"/>
    <d v="2024-12-09T00:00:00"/>
    <x v="3"/>
    <s v="Pune"/>
    <x v="2"/>
    <x v="1"/>
    <x v="3"/>
    <s v="Medium"/>
    <n v="2"/>
    <n v="6"/>
    <n v="4"/>
    <s v="Yes"/>
    <n v="409"/>
    <n v="3352"/>
    <n v="13228"/>
    <n v="0"/>
    <s v="No"/>
    <s v="Major"/>
    <n v="3307"/>
    <n v="838"/>
    <n v="2024"/>
    <n v="12"/>
  </r>
  <r>
    <s v="SHP-30099"/>
    <d v="2024-05-29T00:00:00"/>
    <x v="3"/>
    <s v="Mumbai"/>
    <x v="1"/>
    <x v="1"/>
    <x v="1"/>
    <s v="Low"/>
    <n v="1"/>
    <n v="4"/>
    <n v="3"/>
    <s v="Yes"/>
    <n v="312"/>
    <n v="7461"/>
    <n v="5787"/>
    <n v="0"/>
    <s v="No"/>
    <s v="Major"/>
    <n v="1929"/>
    <n v="2487"/>
    <n v="2024"/>
    <n v="5"/>
  </r>
  <r>
    <s v="SHP-30100"/>
    <d v="2024-10-04T00:00:00"/>
    <x v="1"/>
    <s v="Bhubaneswar"/>
    <x v="0"/>
    <x v="2"/>
    <x v="1"/>
    <s v="Medium"/>
    <n v="3"/>
    <n v="9"/>
    <n v="6"/>
    <s v="Yes"/>
    <n v="247"/>
    <n v="10572"/>
    <n v="15714"/>
    <n v="0"/>
    <s v="No"/>
    <s v="Severe"/>
    <n v="2619"/>
    <n v="1762"/>
    <n v="2024"/>
    <n v="10"/>
  </r>
  <r>
    <s v="SHP-30101"/>
    <d v="2024-01-28T00:00:00"/>
    <x v="2"/>
    <s v="Delhi"/>
    <x v="0"/>
    <x v="1"/>
    <x v="3"/>
    <s v="High"/>
    <n v="2"/>
    <n v="9"/>
    <n v="7"/>
    <s v="Yes"/>
    <n v="226"/>
    <n v="13405"/>
    <n v="25739"/>
    <n v="0"/>
    <s v="No"/>
    <s v="Severe"/>
    <n v="3677"/>
    <n v="1915"/>
    <n v="2024"/>
    <n v="1"/>
  </r>
  <r>
    <s v="SHP-30102"/>
    <d v="2024-01-04T00:00:00"/>
    <x v="2"/>
    <s v="Noida"/>
    <x v="2"/>
    <x v="0"/>
    <x v="3"/>
    <s v="Medium"/>
    <n v="2"/>
    <n v="7"/>
    <n v="5"/>
    <s v="Yes"/>
    <n v="209"/>
    <n v="11215"/>
    <n v="10470"/>
    <n v="0"/>
    <s v="No"/>
    <s v="Major"/>
    <n v="2094"/>
    <n v="2243"/>
    <n v="2024"/>
    <n v="1"/>
  </r>
  <r>
    <s v="SHP-30103"/>
    <d v="2024-03-31T00:00:00"/>
    <x v="0"/>
    <s v="Bengaluru"/>
    <x v="2"/>
    <x v="1"/>
    <x v="0"/>
    <s v="High"/>
    <n v="2"/>
    <n v="6"/>
    <n v="4"/>
    <s v="Yes"/>
    <n v="137"/>
    <n v="7148"/>
    <n v="19856"/>
    <n v="0"/>
    <s v="No"/>
    <s v="Major"/>
    <n v="4964"/>
    <n v="1787"/>
    <n v="2024"/>
    <n v="3"/>
  </r>
  <r>
    <s v="SHP-30104"/>
    <d v="2024-09-18T00:00:00"/>
    <x v="1"/>
    <s v="Bhubaneswar"/>
    <x v="2"/>
    <x v="0"/>
    <x v="1"/>
    <s v="Low"/>
    <n v="2"/>
    <n v="2"/>
    <n v="0"/>
    <s v="No"/>
    <n v="113"/>
    <n v="0"/>
    <n v="0"/>
    <n v="1"/>
    <s v="No"/>
    <s v="On Time"/>
    <n v="0"/>
    <n v="0"/>
    <n v="2024"/>
    <n v="9"/>
  </r>
  <r>
    <s v="SHP-30105"/>
    <d v="2024-11-06T00:00:00"/>
    <x v="2"/>
    <s v="Delhi"/>
    <x v="1"/>
    <x v="1"/>
    <x v="3"/>
    <s v="High"/>
    <n v="1"/>
    <n v="4"/>
    <n v="3"/>
    <s v="Yes"/>
    <n v="265"/>
    <n v="6753"/>
    <n v="7485"/>
    <n v="0"/>
    <s v="No"/>
    <s v="Major"/>
    <n v="2495"/>
    <n v="2251"/>
    <n v="2024"/>
    <n v="11"/>
  </r>
  <r>
    <s v="SHP-30106"/>
    <d v="2024-12-12T00:00:00"/>
    <x v="0"/>
    <s v="Chennai"/>
    <x v="1"/>
    <x v="0"/>
    <x v="1"/>
    <s v="High"/>
    <n v="2"/>
    <n v="8"/>
    <n v="6"/>
    <s v="Yes"/>
    <n v="184"/>
    <n v="7806"/>
    <n v="19488"/>
    <n v="0"/>
    <s v="No"/>
    <s v="Severe"/>
    <n v="3248"/>
    <n v="1301"/>
    <n v="2024"/>
    <n v="12"/>
  </r>
  <r>
    <s v="SHP-30107"/>
    <d v="2024-08-04T00:00:00"/>
    <x v="1"/>
    <s v="Kolkata"/>
    <x v="2"/>
    <x v="1"/>
    <x v="0"/>
    <s v="Low"/>
    <n v="3"/>
    <n v="8"/>
    <n v="5"/>
    <s v="Yes"/>
    <n v="329"/>
    <n v="10720"/>
    <n v="12835"/>
    <n v="0"/>
    <s v="No"/>
    <s v="Major"/>
    <n v="2567"/>
    <n v="2144"/>
    <n v="2024"/>
    <n v="8"/>
  </r>
  <r>
    <s v="SHP-30108"/>
    <d v="2024-06-10T00:00:00"/>
    <x v="3"/>
    <s v="Pune"/>
    <x v="2"/>
    <x v="1"/>
    <x v="0"/>
    <s v="Low"/>
    <n v="2"/>
    <n v="7"/>
    <n v="5"/>
    <s v="Yes"/>
    <n v="200"/>
    <n v="11560"/>
    <n v="10805"/>
    <n v="0"/>
    <s v="No"/>
    <s v="Major"/>
    <n v="2161"/>
    <n v="2312"/>
    <n v="2024"/>
    <n v="6"/>
  </r>
  <r>
    <s v="SHP-30109"/>
    <d v="2024-03-20T00:00:00"/>
    <x v="3"/>
    <s v="Mumbai"/>
    <x v="0"/>
    <x v="2"/>
    <x v="1"/>
    <s v="Low"/>
    <n v="5"/>
    <n v="6"/>
    <n v="1"/>
    <s v="Yes"/>
    <n v="366"/>
    <n v="1431"/>
    <n v="3401"/>
    <n v="0"/>
    <s v="No"/>
    <s v="Minor"/>
    <n v="3401"/>
    <n v="1431"/>
    <n v="2024"/>
    <n v="3"/>
  </r>
  <r>
    <s v="SHP-30110"/>
    <d v="2024-02-20T00:00:00"/>
    <x v="3"/>
    <s v="Pune"/>
    <x v="1"/>
    <x v="1"/>
    <x v="0"/>
    <s v="Medium"/>
    <n v="2"/>
    <n v="7"/>
    <n v="5"/>
    <s v="Yes"/>
    <n v="346"/>
    <n v="4920"/>
    <n v="21435"/>
    <n v="0"/>
    <s v="No"/>
    <s v="Major"/>
    <n v="4287"/>
    <n v="984"/>
    <n v="2024"/>
    <n v="2"/>
  </r>
  <r>
    <s v="SHP-30111"/>
    <d v="2024-04-18T00:00:00"/>
    <x v="3"/>
    <s v="Pune"/>
    <x v="1"/>
    <x v="0"/>
    <x v="0"/>
    <s v="Low"/>
    <n v="2"/>
    <n v="2"/>
    <n v="0"/>
    <s v="No"/>
    <n v="437"/>
    <n v="0"/>
    <n v="0"/>
    <n v="1"/>
    <s v="No"/>
    <s v="On Time"/>
    <n v="0"/>
    <n v="0"/>
    <n v="2024"/>
    <n v="4"/>
  </r>
  <r>
    <s v="SHP-30112"/>
    <d v="2024-04-27T00:00:00"/>
    <x v="2"/>
    <s v="Delhi"/>
    <x v="2"/>
    <x v="1"/>
    <x v="1"/>
    <s v="High"/>
    <n v="1"/>
    <n v="4"/>
    <n v="3"/>
    <s v="Yes"/>
    <n v="68"/>
    <n v="3549"/>
    <n v="14508"/>
    <n v="0"/>
    <s v="No"/>
    <s v="Major"/>
    <n v="4836"/>
    <n v="1183"/>
    <n v="2024"/>
    <n v="4"/>
  </r>
  <r>
    <s v="SHP-30113"/>
    <d v="2024-03-03T00:00:00"/>
    <x v="2"/>
    <s v="Delhi"/>
    <x v="1"/>
    <x v="1"/>
    <x v="3"/>
    <s v="Medium"/>
    <n v="2"/>
    <n v="5"/>
    <n v="3"/>
    <s v="Yes"/>
    <n v="375"/>
    <n v="2829"/>
    <n v="6312"/>
    <n v="0"/>
    <s v="No"/>
    <s v="Major"/>
    <n v="2104"/>
    <n v="943"/>
    <n v="2024"/>
    <n v="3"/>
  </r>
  <r>
    <s v="SHP-30114"/>
    <d v="2024-08-04T00:00:00"/>
    <x v="1"/>
    <s v="Bhubaneswar"/>
    <x v="2"/>
    <x v="0"/>
    <x v="1"/>
    <s v="Low"/>
    <n v="1"/>
    <n v="5"/>
    <n v="4"/>
    <s v="Yes"/>
    <n v="71"/>
    <n v="9128"/>
    <n v="9760"/>
    <n v="0"/>
    <s v="No"/>
    <s v="Major"/>
    <n v="2440"/>
    <n v="2282"/>
    <n v="2024"/>
    <n v="8"/>
  </r>
  <r>
    <s v="SHP-30115"/>
    <d v="2024-09-24T00:00:00"/>
    <x v="0"/>
    <s v="Bengaluru"/>
    <x v="2"/>
    <x v="0"/>
    <x v="0"/>
    <s v="Medium"/>
    <n v="1"/>
    <n v="3"/>
    <n v="2"/>
    <s v="Yes"/>
    <n v="141"/>
    <n v="4998"/>
    <n v="9812"/>
    <n v="0"/>
    <s v="No"/>
    <s v="Minor"/>
    <n v="4906"/>
    <n v="2499"/>
    <n v="2024"/>
    <n v="9"/>
  </r>
  <r>
    <s v="SHP-30116"/>
    <d v="2024-04-06T00:00:00"/>
    <x v="2"/>
    <s v="Delhi"/>
    <x v="2"/>
    <x v="0"/>
    <x v="4"/>
    <s v="Low"/>
    <n v="2"/>
    <n v="5"/>
    <n v="3"/>
    <s v="Yes"/>
    <n v="411"/>
    <n v="6813"/>
    <n v="12582"/>
    <n v="0"/>
    <s v="No"/>
    <s v="Major"/>
    <n v="4194"/>
    <n v="2271"/>
    <n v="2024"/>
    <n v="4"/>
  </r>
  <r>
    <s v="SHP-30117"/>
    <d v="2024-08-15T00:00:00"/>
    <x v="2"/>
    <s v="Noida"/>
    <x v="2"/>
    <x v="0"/>
    <x v="4"/>
    <s v="Low"/>
    <n v="3"/>
    <n v="8"/>
    <n v="5"/>
    <s v="Yes"/>
    <n v="462"/>
    <n v="9045"/>
    <n v="11930"/>
    <n v="0"/>
    <s v="No"/>
    <s v="Major"/>
    <n v="2386"/>
    <n v="1809"/>
    <n v="2024"/>
    <n v="8"/>
  </r>
  <r>
    <s v="SHP-30118"/>
    <d v="2024-05-24T00:00:00"/>
    <x v="3"/>
    <s v="Mumbai"/>
    <x v="1"/>
    <x v="0"/>
    <x v="1"/>
    <s v="Medium"/>
    <n v="2"/>
    <n v="5"/>
    <n v="3"/>
    <s v="Yes"/>
    <n v="148"/>
    <n v="3144"/>
    <n v="13635"/>
    <n v="0"/>
    <s v="No"/>
    <s v="Major"/>
    <n v="4545"/>
    <n v="1048"/>
    <n v="2024"/>
    <n v="5"/>
  </r>
  <r>
    <s v="SHP-30119"/>
    <d v="2024-01-22T00:00:00"/>
    <x v="0"/>
    <s v="Bengaluru"/>
    <x v="2"/>
    <x v="0"/>
    <x v="0"/>
    <s v="Medium"/>
    <n v="3"/>
    <n v="6"/>
    <n v="3"/>
    <s v="Yes"/>
    <n v="188"/>
    <n v="6684"/>
    <n v="9876"/>
    <n v="0"/>
    <s v="No"/>
    <s v="Major"/>
    <n v="3292"/>
    <n v="2228"/>
    <n v="2024"/>
    <n v="1"/>
  </r>
  <r>
    <s v="SHP-30120"/>
    <d v="2024-08-04T00:00:00"/>
    <x v="0"/>
    <s v="Chennai"/>
    <x v="2"/>
    <x v="2"/>
    <x v="2"/>
    <s v="Low"/>
    <n v="1"/>
    <n v="4"/>
    <n v="3"/>
    <s v="Yes"/>
    <n v="375"/>
    <n v="5589"/>
    <n v="9411"/>
    <n v="0"/>
    <s v="No"/>
    <s v="Major"/>
    <n v="3137"/>
    <n v="1863"/>
    <n v="2024"/>
    <n v="8"/>
  </r>
  <r>
    <s v="SHP-30121"/>
    <d v="2024-01-29T00:00:00"/>
    <x v="0"/>
    <s v="Chennai"/>
    <x v="1"/>
    <x v="2"/>
    <x v="1"/>
    <s v="Low"/>
    <n v="1"/>
    <n v="5"/>
    <n v="4"/>
    <s v="Yes"/>
    <n v="169"/>
    <n v="7096"/>
    <n v="7992"/>
    <n v="0"/>
    <s v="No"/>
    <s v="Major"/>
    <n v="1998"/>
    <n v="1774"/>
    <n v="2024"/>
    <n v="1"/>
  </r>
  <r>
    <s v="SHP-30122"/>
    <d v="2024-07-24T00:00:00"/>
    <x v="1"/>
    <s v="Bhubaneswar"/>
    <x v="0"/>
    <x v="0"/>
    <x v="2"/>
    <s v="Low"/>
    <n v="3"/>
    <n v="3"/>
    <n v="0"/>
    <s v="No"/>
    <n v="415"/>
    <n v="0"/>
    <n v="0"/>
    <n v="1"/>
    <s v="No"/>
    <s v="On Time"/>
    <n v="0"/>
    <n v="0"/>
    <n v="2024"/>
    <n v="7"/>
  </r>
  <r>
    <s v="SHP-30123"/>
    <d v="2024-05-10T00:00:00"/>
    <x v="1"/>
    <s v="Kolkata"/>
    <x v="0"/>
    <x v="0"/>
    <x v="4"/>
    <s v="Low"/>
    <n v="1"/>
    <n v="1"/>
    <n v="0"/>
    <s v="No"/>
    <n v="384"/>
    <n v="0"/>
    <n v="0"/>
    <n v="1"/>
    <s v="No"/>
    <s v="On Time"/>
    <n v="0"/>
    <n v="0"/>
    <n v="2024"/>
    <n v="5"/>
  </r>
  <r>
    <s v="SHP-30124"/>
    <d v="2024-04-14T00:00:00"/>
    <x v="2"/>
    <s v="Noida"/>
    <x v="0"/>
    <x v="0"/>
    <x v="4"/>
    <s v="High"/>
    <n v="1"/>
    <n v="8"/>
    <n v="7"/>
    <s v="Yes"/>
    <n v="137"/>
    <n v="5719"/>
    <n v="26831"/>
    <n v="0"/>
    <s v="No"/>
    <s v="Severe"/>
    <n v="3833"/>
    <n v="817"/>
    <n v="2024"/>
    <n v="4"/>
  </r>
  <r>
    <s v="SHP-30125"/>
    <d v="2024-07-14T00:00:00"/>
    <x v="3"/>
    <s v="Mumbai"/>
    <x v="2"/>
    <x v="1"/>
    <x v="0"/>
    <s v="Medium"/>
    <n v="3"/>
    <n v="8"/>
    <n v="5"/>
    <s v="Yes"/>
    <n v="408"/>
    <n v="9145"/>
    <n v="14825"/>
    <n v="0"/>
    <s v="No"/>
    <s v="Major"/>
    <n v="2965"/>
    <n v="1829"/>
    <n v="2024"/>
    <n v="7"/>
  </r>
  <r>
    <s v="SHP-30126"/>
    <d v="2024-10-29T00:00:00"/>
    <x v="3"/>
    <s v="Mumbai"/>
    <x v="0"/>
    <x v="1"/>
    <x v="2"/>
    <s v="Medium"/>
    <n v="5"/>
    <n v="8"/>
    <n v="3"/>
    <s v="Yes"/>
    <n v="356"/>
    <n v="4986"/>
    <n v="12483"/>
    <n v="0"/>
    <s v="No"/>
    <s v="Major"/>
    <n v="4161"/>
    <n v="1662"/>
    <n v="2024"/>
    <n v="10"/>
  </r>
  <r>
    <s v="SHP-30127"/>
    <d v="2024-01-11T00:00:00"/>
    <x v="2"/>
    <s v="Delhi"/>
    <x v="2"/>
    <x v="0"/>
    <x v="1"/>
    <s v="Medium"/>
    <n v="1"/>
    <n v="6"/>
    <n v="5"/>
    <s v="Yes"/>
    <n v="198"/>
    <n v="6270"/>
    <n v="14595"/>
    <n v="0"/>
    <s v="No"/>
    <s v="Major"/>
    <n v="2919"/>
    <n v="1254"/>
    <n v="2024"/>
    <n v="1"/>
  </r>
  <r>
    <s v="SHP-30128"/>
    <d v="2024-11-20T00:00:00"/>
    <x v="0"/>
    <s v="Bengaluru"/>
    <x v="0"/>
    <x v="2"/>
    <x v="2"/>
    <s v="Low"/>
    <n v="2"/>
    <n v="5"/>
    <n v="3"/>
    <s v="Yes"/>
    <n v="459"/>
    <n v="5850"/>
    <n v="9744"/>
    <n v="0"/>
    <s v="No"/>
    <s v="Major"/>
    <n v="3248"/>
    <n v="1950"/>
    <n v="2024"/>
    <n v="11"/>
  </r>
  <r>
    <s v="SHP-30129"/>
    <d v="2024-07-26T00:00:00"/>
    <x v="2"/>
    <s v="Noida"/>
    <x v="2"/>
    <x v="0"/>
    <x v="4"/>
    <s v="Low"/>
    <n v="3"/>
    <n v="6"/>
    <n v="3"/>
    <s v="Yes"/>
    <n v="496"/>
    <n v="5592"/>
    <n v="12102"/>
    <n v="0"/>
    <s v="No"/>
    <s v="Major"/>
    <n v="4034"/>
    <n v="1864"/>
    <n v="2024"/>
    <n v="7"/>
  </r>
  <r>
    <s v="SHP-30130"/>
    <d v="2024-01-24T00:00:00"/>
    <x v="2"/>
    <s v="Delhi"/>
    <x v="1"/>
    <x v="1"/>
    <x v="0"/>
    <s v="Medium"/>
    <n v="1"/>
    <n v="3"/>
    <n v="2"/>
    <s v="Yes"/>
    <n v="89"/>
    <n v="4626"/>
    <n v="6408"/>
    <n v="0"/>
    <s v="No"/>
    <s v="Minor"/>
    <n v="3204"/>
    <n v="2313"/>
    <n v="2024"/>
    <n v="1"/>
  </r>
  <r>
    <s v="SHP-30131"/>
    <d v="2024-05-20T00:00:00"/>
    <x v="3"/>
    <s v="Pune"/>
    <x v="2"/>
    <x v="0"/>
    <x v="1"/>
    <s v="High"/>
    <n v="2"/>
    <n v="9"/>
    <n v="7"/>
    <s v="Yes"/>
    <n v="58"/>
    <n v="13412"/>
    <n v="15673"/>
    <n v="0"/>
    <s v="No"/>
    <s v="Severe"/>
    <n v="2239"/>
    <n v="1916"/>
    <n v="2024"/>
    <n v="5"/>
  </r>
  <r>
    <s v="SHP-30132"/>
    <d v="2024-03-23T00:00:00"/>
    <x v="2"/>
    <s v="Delhi"/>
    <x v="0"/>
    <x v="2"/>
    <x v="2"/>
    <s v="High"/>
    <n v="3"/>
    <n v="11"/>
    <n v="8"/>
    <s v="Yes"/>
    <n v="273"/>
    <n v="18600"/>
    <n v="38832"/>
    <n v="0"/>
    <s v="No"/>
    <s v="Severe"/>
    <n v="4854"/>
    <n v="2325"/>
    <n v="2024"/>
    <n v="3"/>
  </r>
  <r>
    <s v="SHP-30133"/>
    <d v="2024-06-26T00:00:00"/>
    <x v="0"/>
    <s v="Chennai"/>
    <x v="0"/>
    <x v="0"/>
    <x v="2"/>
    <s v="Low"/>
    <n v="1"/>
    <n v="4"/>
    <n v="3"/>
    <s v="Yes"/>
    <n v="243"/>
    <n v="3570"/>
    <n v="5001"/>
    <n v="0"/>
    <s v="No"/>
    <s v="Major"/>
    <n v="1667"/>
    <n v="1190"/>
    <n v="2024"/>
    <n v="6"/>
  </r>
  <r>
    <s v="SHP-30134"/>
    <d v="2024-03-12T00:00:00"/>
    <x v="1"/>
    <s v="Kolkata"/>
    <x v="2"/>
    <x v="2"/>
    <x v="3"/>
    <s v="Low"/>
    <n v="2"/>
    <n v="4"/>
    <n v="2"/>
    <s v="Yes"/>
    <n v="465"/>
    <n v="2498"/>
    <n v="9136"/>
    <n v="0"/>
    <s v="No"/>
    <s v="Minor"/>
    <n v="4568"/>
    <n v="1249"/>
    <n v="2024"/>
    <n v="3"/>
  </r>
  <r>
    <s v="SHP-30135"/>
    <d v="2024-02-27T00:00:00"/>
    <x v="2"/>
    <s v="Delhi"/>
    <x v="2"/>
    <x v="1"/>
    <x v="2"/>
    <s v="Medium"/>
    <n v="3"/>
    <n v="4"/>
    <n v="1"/>
    <s v="Yes"/>
    <n v="295"/>
    <n v="1576"/>
    <n v="2003"/>
    <n v="0"/>
    <s v="No"/>
    <s v="Minor"/>
    <n v="2003"/>
    <n v="1576"/>
    <n v="2024"/>
    <n v="2"/>
  </r>
  <r>
    <s v="SHP-30136"/>
    <d v="2024-01-16T00:00:00"/>
    <x v="1"/>
    <s v="Bhubaneswar"/>
    <x v="2"/>
    <x v="0"/>
    <x v="0"/>
    <s v="Low"/>
    <n v="2"/>
    <n v="3"/>
    <n v="1"/>
    <s v="Yes"/>
    <n v="391"/>
    <n v="2140"/>
    <n v="4852"/>
    <n v="0"/>
    <s v="No"/>
    <s v="Minor"/>
    <n v="4852"/>
    <n v="2140"/>
    <n v="2024"/>
    <n v="1"/>
  </r>
  <r>
    <s v="SHP-30137"/>
    <d v="2024-04-23T00:00:00"/>
    <x v="2"/>
    <s v="Noida"/>
    <x v="0"/>
    <x v="2"/>
    <x v="0"/>
    <s v="Medium"/>
    <n v="1"/>
    <n v="3"/>
    <n v="2"/>
    <s v="Yes"/>
    <n v="224"/>
    <n v="4554"/>
    <n v="8066"/>
    <n v="0"/>
    <s v="No"/>
    <s v="Minor"/>
    <n v="4033"/>
    <n v="2277"/>
    <n v="2024"/>
    <n v="4"/>
  </r>
  <r>
    <s v="SHP-30138"/>
    <d v="2024-09-09T00:00:00"/>
    <x v="3"/>
    <s v="Pune"/>
    <x v="2"/>
    <x v="1"/>
    <x v="0"/>
    <s v="Low"/>
    <n v="1"/>
    <n v="1"/>
    <n v="0"/>
    <s v="No"/>
    <n v="339"/>
    <n v="0"/>
    <n v="0"/>
    <n v="1"/>
    <s v="No"/>
    <s v="On Time"/>
    <n v="0"/>
    <n v="0"/>
    <n v="2024"/>
    <n v="9"/>
  </r>
  <r>
    <s v="SHP-30139"/>
    <d v="2024-12-22T00:00:00"/>
    <x v="0"/>
    <s v="Bengaluru"/>
    <x v="1"/>
    <x v="1"/>
    <x v="2"/>
    <s v="Low"/>
    <n v="2"/>
    <n v="4"/>
    <n v="2"/>
    <s v="Yes"/>
    <n v="455"/>
    <n v="4456"/>
    <n v="7708"/>
    <n v="0"/>
    <s v="No"/>
    <s v="Minor"/>
    <n v="3854"/>
    <n v="2228"/>
    <n v="2024"/>
    <n v="12"/>
  </r>
  <r>
    <s v="SHP-30140"/>
    <d v="2024-11-21T00:00:00"/>
    <x v="3"/>
    <s v="Pune"/>
    <x v="2"/>
    <x v="0"/>
    <x v="3"/>
    <s v="Medium"/>
    <n v="2"/>
    <n v="4"/>
    <n v="2"/>
    <s v="Yes"/>
    <n v="340"/>
    <n v="2092"/>
    <n v="5198"/>
    <n v="0"/>
    <s v="No"/>
    <s v="Minor"/>
    <n v="2599"/>
    <n v="1046"/>
    <n v="2024"/>
    <n v="11"/>
  </r>
  <r>
    <s v="SHP-30141"/>
    <d v="2024-02-22T00:00:00"/>
    <x v="1"/>
    <s v="Bhubaneswar"/>
    <x v="1"/>
    <x v="1"/>
    <x v="1"/>
    <s v="Medium"/>
    <n v="1"/>
    <n v="5"/>
    <n v="4"/>
    <s v="Yes"/>
    <n v="177"/>
    <n v="7604"/>
    <n v="17100"/>
    <n v="0"/>
    <s v="No"/>
    <s v="Major"/>
    <n v="4275"/>
    <n v="1901"/>
    <n v="2024"/>
    <n v="2"/>
  </r>
  <r>
    <s v="SHP-30142"/>
    <d v="2024-05-16T00:00:00"/>
    <x v="3"/>
    <s v="Pune"/>
    <x v="2"/>
    <x v="1"/>
    <x v="0"/>
    <s v="High"/>
    <n v="3"/>
    <n v="8"/>
    <n v="5"/>
    <s v="Yes"/>
    <n v="397"/>
    <n v="9200"/>
    <n v="15095"/>
    <n v="0"/>
    <s v="No"/>
    <s v="Major"/>
    <n v="3019"/>
    <n v="1840"/>
    <n v="2024"/>
    <n v="5"/>
  </r>
  <r>
    <s v="SHP-30143"/>
    <d v="2024-11-24T00:00:00"/>
    <x v="2"/>
    <s v="Delhi"/>
    <x v="0"/>
    <x v="2"/>
    <x v="1"/>
    <s v="Medium"/>
    <n v="3"/>
    <n v="7"/>
    <n v="4"/>
    <s v="Yes"/>
    <n v="283"/>
    <n v="8404"/>
    <n v="11596"/>
    <n v="0"/>
    <s v="No"/>
    <s v="Major"/>
    <n v="2899"/>
    <n v="2101"/>
    <n v="2024"/>
    <n v="11"/>
  </r>
  <r>
    <s v="SHP-30144"/>
    <d v="2024-12-25T00:00:00"/>
    <x v="1"/>
    <s v="Bhubaneswar"/>
    <x v="2"/>
    <x v="1"/>
    <x v="2"/>
    <s v="Medium"/>
    <n v="1"/>
    <n v="1"/>
    <n v="0"/>
    <s v="No"/>
    <n v="130"/>
    <n v="0"/>
    <n v="0"/>
    <n v="1"/>
    <s v="No"/>
    <s v="On Time"/>
    <n v="0"/>
    <n v="0"/>
    <n v="2024"/>
    <n v="12"/>
  </r>
  <r>
    <s v="SHP-30145"/>
    <d v="2024-09-24T00:00:00"/>
    <x v="0"/>
    <s v="Chennai"/>
    <x v="1"/>
    <x v="1"/>
    <x v="3"/>
    <s v="Low"/>
    <n v="2"/>
    <n v="2"/>
    <n v="0"/>
    <s v="No"/>
    <n v="421"/>
    <n v="0"/>
    <n v="0"/>
    <n v="1"/>
    <s v="No"/>
    <s v="On Time"/>
    <n v="0"/>
    <n v="0"/>
    <n v="2024"/>
    <n v="9"/>
  </r>
  <r>
    <s v="SHP-30146"/>
    <d v="2024-10-03T00:00:00"/>
    <x v="3"/>
    <s v="Pune"/>
    <x v="1"/>
    <x v="1"/>
    <x v="2"/>
    <s v="Medium"/>
    <n v="3"/>
    <n v="7"/>
    <n v="4"/>
    <s v="Yes"/>
    <n v="238"/>
    <n v="7972"/>
    <n v="14152"/>
    <n v="0"/>
    <s v="No"/>
    <s v="Major"/>
    <n v="3538"/>
    <n v="1993"/>
    <n v="2024"/>
    <n v="10"/>
  </r>
  <r>
    <s v="SHP-30147"/>
    <d v="2024-01-15T00:00:00"/>
    <x v="3"/>
    <s v="Mumbai"/>
    <x v="2"/>
    <x v="0"/>
    <x v="4"/>
    <s v="Low"/>
    <n v="2"/>
    <n v="6"/>
    <n v="4"/>
    <s v="Yes"/>
    <n v="407"/>
    <n v="6324"/>
    <n v="17728"/>
    <n v="0"/>
    <s v="No"/>
    <s v="Major"/>
    <n v="4432"/>
    <n v="1581"/>
    <n v="2024"/>
    <n v="1"/>
  </r>
  <r>
    <s v="SHP-30148"/>
    <d v="2024-05-16T00:00:00"/>
    <x v="0"/>
    <s v="Bengaluru"/>
    <x v="1"/>
    <x v="2"/>
    <x v="0"/>
    <s v="Medium"/>
    <n v="2"/>
    <n v="9"/>
    <n v="7"/>
    <s v="Yes"/>
    <n v="377"/>
    <n v="16205"/>
    <n v="13531"/>
    <n v="0"/>
    <s v="No"/>
    <s v="Severe"/>
    <n v="1933"/>
    <n v="2315"/>
    <n v="2024"/>
    <n v="5"/>
  </r>
  <r>
    <s v="SHP-30149"/>
    <d v="2024-01-26T00:00:00"/>
    <x v="1"/>
    <s v="Bhubaneswar"/>
    <x v="0"/>
    <x v="0"/>
    <x v="0"/>
    <s v="Medium"/>
    <n v="1"/>
    <n v="2"/>
    <n v="1"/>
    <s v="Yes"/>
    <n v="299"/>
    <n v="1560"/>
    <n v="3487"/>
    <n v="0"/>
    <s v="No"/>
    <s v="Minor"/>
    <n v="3487"/>
    <n v="1560"/>
    <n v="2024"/>
    <n v="1"/>
  </r>
  <r>
    <s v="SHP-30150"/>
    <d v="2024-11-13T00:00:00"/>
    <x v="2"/>
    <s v="Delhi"/>
    <x v="2"/>
    <x v="1"/>
    <x v="4"/>
    <s v="Low"/>
    <n v="2"/>
    <n v="5"/>
    <n v="3"/>
    <s v="Yes"/>
    <n v="221"/>
    <n v="4506"/>
    <n v="10392"/>
    <n v="0"/>
    <s v="No"/>
    <s v="Major"/>
    <n v="3464"/>
    <n v="1502"/>
    <n v="2024"/>
    <n v="11"/>
  </r>
  <r>
    <s v="SHP-30151"/>
    <d v="2024-09-16T00:00:00"/>
    <x v="1"/>
    <s v="Kolkata"/>
    <x v="1"/>
    <x v="1"/>
    <x v="4"/>
    <s v="High"/>
    <n v="2"/>
    <n v="9"/>
    <n v="7"/>
    <s v="Yes"/>
    <n v="114"/>
    <n v="6762"/>
    <n v="26082"/>
    <n v="0"/>
    <s v="No"/>
    <s v="Severe"/>
    <n v="3726"/>
    <n v="966"/>
    <n v="2024"/>
    <n v="9"/>
  </r>
  <r>
    <s v="SHP-30152"/>
    <d v="2024-09-29T00:00:00"/>
    <x v="3"/>
    <s v="Mumbai"/>
    <x v="1"/>
    <x v="0"/>
    <x v="2"/>
    <s v="Medium"/>
    <n v="3"/>
    <n v="4"/>
    <n v="1"/>
    <s v="Yes"/>
    <n v="283"/>
    <n v="2175"/>
    <n v="3477"/>
    <n v="0"/>
    <s v="No"/>
    <s v="Minor"/>
    <n v="3477"/>
    <n v="2175"/>
    <n v="2024"/>
    <n v="9"/>
  </r>
  <r>
    <s v="SHP-30153"/>
    <d v="2024-07-16T00:00:00"/>
    <x v="1"/>
    <s v="Kolkata"/>
    <x v="2"/>
    <x v="0"/>
    <x v="0"/>
    <s v="Medium"/>
    <n v="3"/>
    <n v="8"/>
    <n v="5"/>
    <s v="Yes"/>
    <n v="292"/>
    <n v="7570"/>
    <n v="20735"/>
    <n v="0"/>
    <s v="No"/>
    <s v="Major"/>
    <n v="4147"/>
    <n v="1514"/>
    <n v="2024"/>
    <n v="7"/>
  </r>
  <r>
    <s v="SHP-30154"/>
    <d v="2024-05-10T00:00:00"/>
    <x v="3"/>
    <s v="Mumbai"/>
    <x v="0"/>
    <x v="1"/>
    <x v="0"/>
    <s v="Medium"/>
    <n v="1"/>
    <n v="1"/>
    <n v="0"/>
    <s v="No"/>
    <n v="371"/>
    <n v="0"/>
    <n v="0"/>
    <n v="1"/>
    <s v="No"/>
    <s v="On Time"/>
    <n v="0"/>
    <n v="0"/>
    <n v="2024"/>
    <n v="5"/>
  </r>
  <r>
    <s v="SHP-30155"/>
    <d v="2024-02-23T00:00:00"/>
    <x v="0"/>
    <s v="Chennai"/>
    <x v="1"/>
    <x v="0"/>
    <x v="1"/>
    <s v="High"/>
    <n v="1"/>
    <n v="4"/>
    <n v="3"/>
    <s v="Yes"/>
    <n v="393"/>
    <n v="6699"/>
    <n v="12633"/>
    <n v="0"/>
    <s v="No"/>
    <s v="Major"/>
    <n v="4211"/>
    <n v="2233"/>
    <n v="2024"/>
    <n v="2"/>
  </r>
  <r>
    <s v="SHP-30156"/>
    <d v="2024-12-17T00:00:00"/>
    <x v="0"/>
    <s v="Bengaluru"/>
    <x v="1"/>
    <x v="0"/>
    <x v="0"/>
    <s v="Low"/>
    <n v="2"/>
    <n v="6"/>
    <n v="4"/>
    <s v="Yes"/>
    <n v="462"/>
    <n v="8856"/>
    <n v="8880"/>
    <n v="0"/>
    <s v="No"/>
    <s v="Major"/>
    <n v="2220"/>
    <n v="2214"/>
    <n v="2024"/>
    <n v="12"/>
  </r>
  <r>
    <s v="SHP-30157"/>
    <d v="2024-12-08T00:00:00"/>
    <x v="0"/>
    <s v="Chennai"/>
    <x v="0"/>
    <x v="1"/>
    <x v="1"/>
    <s v="Low"/>
    <n v="5"/>
    <n v="9"/>
    <n v="4"/>
    <s v="Yes"/>
    <n v="477"/>
    <n v="6520"/>
    <n v="10372"/>
    <n v="0"/>
    <s v="No"/>
    <s v="Major"/>
    <n v="2593"/>
    <n v="1630"/>
    <n v="2024"/>
    <n v="12"/>
  </r>
  <r>
    <s v="SHP-30158"/>
    <d v="2024-09-16T00:00:00"/>
    <x v="1"/>
    <s v="Bhubaneswar"/>
    <x v="2"/>
    <x v="0"/>
    <x v="0"/>
    <s v="Low"/>
    <n v="1"/>
    <n v="6"/>
    <n v="5"/>
    <s v="Yes"/>
    <n v="127"/>
    <n v="6110"/>
    <n v="21880"/>
    <n v="0"/>
    <s v="No"/>
    <s v="Major"/>
    <n v="4376"/>
    <n v="1222"/>
    <n v="2024"/>
    <n v="9"/>
  </r>
  <r>
    <s v="SHP-30159"/>
    <d v="2024-02-04T00:00:00"/>
    <x v="2"/>
    <s v="Noida"/>
    <x v="2"/>
    <x v="1"/>
    <x v="2"/>
    <s v="Low"/>
    <n v="3"/>
    <n v="7"/>
    <n v="4"/>
    <s v="Yes"/>
    <n v="200"/>
    <n v="6428"/>
    <n v="7544"/>
    <n v="0"/>
    <s v="No"/>
    <s v="Major"/>
    <n v="1886"/>
    <n v="1607"/>
    <n v="2024"/>
    <n v="2"/>
  </r>
  <r>
    <s v="SHP-30160"/>
    <d v="2024-03-26T00:00:00"/>
    <x v="0"/>
    <s v="Chennai"/>
    <x v="2"/>
    <x v="0"/>
    <x v="2"/>
    <s v="High"/>
    <n v="2"/>
    <n v="8"/>
    <n v="6"/>
    <s v="Yes"/>
    <n v="455"/>
    <n v="11442"/>
    <n v="24336"/>
    <n v="0"/>
    <s v="No"/>
    <s v="Severe"/>
    <n v="4056"/>
    <n v="1907"/>
    <n v="2024"/>
    <n v="3"/>
  </r>
  <r>
    <s v="SHP-30161"/>
    <d v="2024-05-21T00:00:00"/>
    <x v="0"/>
    <s v="Chennai"/>
    <x v="1"/>
    <x v="0"/>
    <x v="3"/>
    <s v="Medium"/>
    <n v="3"/>
    <n v="5"/>
    <n v="2"/>
    <s v="Yes"/>
    <n v="77"/>
    <n v="3602"/>
    <n v="3188"/>
    <n v="0"/>
    <s v="No"/>
    <s v="Minor"/>
    <n v="1594"/>
    <n v="1801"/>
    <n v="2024"/>
    <n v="5"/>
  </r>
  <r>
    <s v="SHP-30162"/>
    <d v="2024-11-25T00:00:00"/>
    <x v="1"/>
    <s v="Bhubaneswar"/>
    <x v="1"/>
    <x v="0"/>
    <x v="1"/>
    <s v="Medium"/>
    <n v="1"/>
    <n v="3"/>
    <n v="2"/>
    <s v="Yes"/>
    <n v="218"/>
    <n v="4658"/>
    <n v="8612"/>
    <n v="0"/>
    <s v="No"/>
    <s v="Minor"/>
    <n v="4306"/>
    <n v="2329"/>
    <n v="2024"/>
    <n v="11"/>
  </r>
  <r>
    <s v="SHP-30163"/>
    <d v="2024-11-08T00:00:00"/>
    <x v="3"/>
    <s v="Mumbai"/>
    <x v="0"/>
    <x v="1"/>
    <x v="4"/>
    <s v="Medium"/>
    <n v="3"/>
    <n v="4"/>
    <n v="1"/>
    <s v="Yes"/>
    <n v="59"/>
    <n v="1083"/>
    <n v="2235"/>
    <n v="0"/>
    <s v="No"/>
    <s v="Minor"/>
    <n v="2235"/>
    <n v="1083"/>
    <n v="2024"/>
    <n v="11"/>
  </r>
  <r>
    <s v="SHP-30164"/>
    <d v="2024-09-16T00:00:00"/>
    <x v="2"/>
    <s v="Delhi"/>
    <x v="1"/>
    <x v="0"/>
    <x v="0"/>
    <s v="Low"/>
    <n v="2"/>
    <n v="2"/>
    <n v="0"/>
    <s v="No"/>
    <n v="430"/>
    <n v="0"/>
    <n v="0"/>
    <n v="1"/>
    <s v="No"/>
    <s v="On Time"/>
    <n v="0"/>
    <n v="0"/>
    <n v="2024"/>
    <n v="9"/>
  </r>
  <r>
    <s v="SHP-30165"/>
    <d v="2024-06-20T00:00:00"/>
    <x v="2"/>
    <s v="Delhi"/>
    <x v="2"/>
    <x v="0"/>
    <x v="3"/>
    <s v="Low"/>
    <n v="2"/>
    <n v="4"/>
    <n v="2"/>
    <s v="Yes"/>
    <n v="76"/>
    <n v="4116"/>
    <n v="4210"/>
    <n v="0"/>
    <s v="No"/>
    <s v="Minor"/>
    <n v="2105"/>
    <n v="2058"/>
    <n v="2024"/>
    <n v="6"/>
  </r>
  <r>
    <s v="SHP-30166"/>
    <d v="2024-03-08T00:00:00"/>
    <x v="1"/>
    <s v="Kolkata"/>
    <x v="0"/>
    <x v="1"/>
    <x v="3"/>
    <s v="Low"/>
    <n v="1"/>
    <n v="2"/>
    <n v="1"/>
    <s v="Yes"/>
    <n v="253"/>
    <n v="1056"/>
    <n v="4713"/>
    <n v="0"/>
    <s v="No"/>
    <s v="Minor"/>
    <n v="4713"/>
    <n v="1056"/>
    <n v="2024"/>
    <n v="3"/>
  </r>
  <r>
    <s v="SHP-30167"/>
    <d v="2024-08-25T00:00:00"/>
    <x v="3"/>
    <s v="Pune"/>
    <x v="0"/>
    <x v="0"/>
    <x v="0"/>
    <s v="High"/>
    <n v="1"/>
    <n v="7"/>
    <n v="6"/>
    <s v="Yes"/>
    <n v="316"/>
    <n v="8238"/>
    <n v="23670"/>
    <n v="0"/>
    <s v="No"/>
    <s v="Severe"/>
    <n v="3945"/>
    <n v="1373"/>
    <n v="2024"/>
    <n v="8"/>
  </r>
  <r>
    <s v="SHP-30168"/>
    <d v="2024-09-16T00:00:00"/>
    <x v="2"/>
    <s v="Noida"/>
    <x v="1"/>
    <x v="1"/>
    <x v="0"/>
    <s v="High"/>
    <n v="1"/>
    <n v="9"/>
    <n v="8"/>
    <s v="Yes"/>
    <n v="216"/>
    <n v="11920"/>
    <n v="19704"/>
    <n v="0"/>
    <s v="No"/>
    <s v="Severe"/>
    <n v="2463"/>
    <n v="1490"/>
    <n v="2024"/>
    <n v="9"/>
  </r>
  <r>
    <s v="SHP-30169"/>
    <d v="2024-09-21T00:00:00"/>
    <x v="0"/>
    <s v="Chennai"/>
    <x v="2"/>
    <x v="1"/>
    <x v="1"/>
    <s v="Low"/>
    <n v="2"/>
    <n v="4"/>
    <n v="2"/>
    <s v="Yes"/>
    <n v="125"/>
    <n v="1698"/>
    <n v="6644"/>
    <n v="0"/>
    <s v="No"/>
    <s v="Minor"/>
    <n v="3322"/>
    <n v="849"/>
    <n v="2024"/>
    <n v="9"/>
  </r>
  <r>
    <s v="SHP-30170"/>
    <d v="2024-03-23T00:00:00"/>
    <x v="3"/>
    <s v="Pune"/>
    <x v="1"/>
    <x v="2"/>
    <x v="4"/>
    <s v="Medium"/>
    <n v="5"/>
    <n v="11"/>
    <n v="6"/>
    <s v="Yes"/>
    <n v="158"/>
    <n v="6918"/>
    <n v="15510"/>
    <n v="0"/>
    <s v="No"/>
    <s v="Severe"/>
    <n v="2585"/>
    <n v="1153"/>
    <n v="2024"/>
    <n v="3"/>
  </r>
  <r>
    <s v="SHP-30171"/>
    <d v="2024-11-15T00:00:00"/>
    <x v="2"/>
    <s v="Delhi"/>
    <x v="2"/>
    <x v="1"/>
    <x v="2"/>
    <s v="High"/>
    <n v="2"/>
    <n v="8"/>
    <n v="6"/>
    <s v="Yes"/>
    <n v="228"/>
    <n v="9618"/>
    <n v="24834"/>
    <n v="0"/>
    <s v="No"/>
    <s v="Severe"/>
    <n v="4139"/>
    <n v="1603"/>
    <n v="2024"/>
    <n v="11"/>
  </r>
  <r>
    <s v="SHP-30172"/>
    <d v="2024-12-20T00:00:00"/>
    <x v="2"/>
    <s v="Noida"/>
    <x v="0"/>
    <x v="2"/>
    <x v="4"/>
    <s v="Low"/>
    <n v="2"/>
    <n v="5"/>
    <n v="3"/>
    <s v="Yes"/>
    <n v="241"/>
    <n v="2493"/>
    <n v="11193"/>
    <n v="0"/>
    <s v="No"/>
    <s v="Major"/>
    <n v="3731"/>
    <n v="831"/>
    <n v="2024"/>
    <n v="12"/>
  </r>
  <r>
    <s v="SHP-30173"/>
    <d v="2024-11-24T00:00:00"/>
    <x v="0"/>
    <s v="Chennai"/>
    <x v="2"/>
    <x v="1"/>
    <x v="4"/>
    <s v="Medium"/>
    <n v="1"/>
    <n v="5"/>
    <n v="4"/>
    <s v="Yes"/>
    <n v="76"/>
    <n v="4664"/>
    <n v="11600"/>
    <n v="0"/>
    <s v="No"/>
    <s v="Major"/>
    <n v="2900"/>
    <n v="1166"/>
    <n v="2024"/>
    <n v="11"/>
  </r>
  <r>
    <s v="SHP-30174"/>
    <d v="2024-07-05T00:00:00"/>
    <x v="3"/>
    <s v="Mumbai"/>
    <x v="2"/>
    <x v="1"/>
    <x v="4"/>
    <s v="Medium"/>
    <n v="3"/>
    <n v="4"/>
    <n v="1"/>
    <s v="Yes"/>
    <n v="58"/>
    <n v="2146"/>
    <n v="2038"/>
    <n v="0"/>
    <s v="No"/>
    <s v="Minor"/>
    <n v="2038"/>
    <n v="2146"/>
    <n v="2024"/>
    <n v="7"/>
  </r>
  <r>
    <s v="SHP-30175"/>
    <d v="2024-11-06T00:00:00"/>
    <x v="1"/>
    <s v="Kolkata"/>
    <x v="2"/>
    <x v="1"/>
    <x v="0"/>
    <s v="Medium"/>
    <n v="1"/>
    <n v="5"/>
    <n v="4"/>
    <s v="Yes"/>
    <n v="315"/>
    <n v="7176"/>
    <n v="17884"/>
    <n v="0"/>
    <s v="No"/>
    <s v="Major"/>
    <n v="4471"/>
    <n v="1794"/>
    <n v="2024"/>
    <n v="11"/>
  </r>
  <r>
    <s v="SHP-30176"/>
    <d v="2024-04-25T00:00:00"/>
    <x v="0"/>
    <s v="Bengaluru"/>
    <x v="1"/>
    <x v="2"/>
    <x v="3"/>
    <s v="Low"/>
    <n v="3"/>
    <n v="7"/>
    <n v="4"/>
    <s v="Yes"/>
    <n v="360"/>
    <n v="8412"/>
    <n v="7360"/>
    <n v="0"/>
    <s v="No"/>
    <s v="Major"/>
    <n v="1840"/>
    <n v="2103"/>
    <n v="2024"/>
    <n v="4"/>
  </r>
  <r>
    <s v="SHP-30177"/>
    <d v="2024-01-31T00:00:00"/>
    <x v="0"/>
    <s v="Bengaluru"/>
    <x v="1"/>
    <x v="1"/>
    <x v="1"/>
    <s v="Medium"/>
    <n v="1"/>
    <n v="3"/>
    <n v="2"/>
    <s v="Yes"/>
    <n v="276"/>
    <n v="3676"/>
    <n v="8324"/>
    <n v="0"/>
    <s v="No"/>
    <s v="Minor"/>
    <n v="4162"/>
    <n v="1838"/>
    <n v="2024"/>
    <n v="1"/>
  </r>
  <r>
    <s v="SHP-30178"/>
    <d v="2024-08-22T00:00:00"/>
    <x v="0"/>
    <s v="Chennai"/>
    <x v="0"/>
    <x v="0"/>
    <x v="0"/>
    <s v="Medium"/>
    <n v="3"/>
    <n v="4"/>
    <n v="1"/>
    <s v="Yes"/>
    <n v="446"/>
    <n v="1603"/>
    <n v="2452"/>
    <n v="0"/>
    <s v="No"/>
    <s v="Minor"/>
    <n v="2452"/>
    <n v="1603"/>
    <n v="2024"/>
    <n v="8"/>
  </r>
  <r>
    <s v="SHP-30179"/>
    <d v="2024-07-13T00:00:00"/>
    <x v="2"/>
    <s v="Delhi"/>
    <x v="2"/>
    <x v="1"/>
    <x v="2"/>
    <s v="High"/>
    <n v="1"/>
    <n v="8"/>
    <n v="7"/>
    <s v="Yes"/>
    <n v="260"/>
    <n v="16590"/>
    <n v="13398"/>
    <n v="0"/>
    <s v="No"/>
    <s v="Severe"/>
    <n v="1914"/>
    <n v="2370"/>
    <n v="2024"/>
    <n v="7"/>
  </r>
  <r>
    <s v="SHP-30180"/>
    <d v="2024-07-04T00:00:00"/>
    <x v="0"/>
    <s v="Bengaluru"/>
    <x v="0"/>
    <x v="0"/>
    <x v="2"/>
    <s v="Medium"/>
    <n v="3"/>
    <n v="4"/>
    <n v="1"/>
    <s v="Yes"/>
    <n v="155"/>
    <n v="2087"/>
    <n v="2343"/>
    <n v="0"/>
    <s v="No"/>
    <s v="Minor"/>
    <n v="2343"/>
    <n v="2087"/>
    <n v="2024"/>
    <n v="7"/>
  </r>
  <r>
    <s v="SHP-30181"/>
    <d v="2024-08-21T00:00:00"/>
    <x v="3"/>
    <s v="Mumbai"/>
    <x v="2"/>
    <x v="2"/>
    <x v="2"/>
    <s v="Low"/>
    <n v="3"/>
    <n v="6"/>
    <n v="3"/>
    <s v="Yes"/>
    <n v="482"/>
    <n v="2613"/>
    <n v="4641"/>
    <n v="0"/>
    <s v="No"/>
    <s v="Major"/>
    <n v="1547"/>
    <n v="871"/>
    <n v="2024"/>
    <n v="8"/>
  </r>
  <r>
    <s v="SHP-30182"/>
    <d v="2024-04-28T00:00:00"/>
    <x v="0"/>
    <s v="Bengaluru"/>
    <x v="0"/>
    <x v="1"/>
    <x v="4"/>
    <s v="Low"/>
    <n v="3"/>
    <n v="7"/>
    <n v="4"/>
    <s v="Yes"/>
    <n v="331"/>
    <n v="3700"/>
    <n v="15000"/>
    <n v="0"/>
    <s v="No"/>
    <s v="Major"/>
    <n v="3750"/>
    <n v="925"/>
    <n v="2024"/>
    <n v="4"/>
  </r>
  <r>
    <s v="SHP-30183"/>
    <d v="2024-06-17T00:00:00"/>
    <x v="0"/>
    <s v="Bengaluru"/>
    <x v="1"/>
    <x v="0"/>
    <x v="4"/>
    <s v="Low"/>
    <n v="1"/>
    <n v="3"/>
    <n v="2"/>
    <s v="Yes"/>
    <n v="246"/>
    <n v="2290"/>
    <n v="9690"/>
    <n v="0"/>
    <s v="No"/>
    <s v="Minor"/>
    <n v="4845"/>
    <n v="1145"/>
    <n v="2024"/>
    <n v="6"/>
  </r>
  <r>
    <s v="SHP-30184"/>
    <d v="2024-09-28T00:00:00"/>
    <x v="1"/>
    <s v="Kolkata"/>
    <x v="2"/>
    <x v="1"/>
    <x v="2"/>
    <s v="Low"/>
    <n v="3"/>
    <n v="7"/>
    <n v="4"/>
    <s v="Yes"/>
    <n v="390"/>
    <n v="7368"/>
    <n v="9924"/>
    <n v="0"/>
    <s v="No"/>
    <s v="Major"/>
    <n v="2481"/>
    <n v="1842"/>
    <n v="2024"/>
    <n v="9"/>
  </r>
  <r>
    <s v="SHP-30185"/>
    <d v="2024-11-22T00:00:00"/>
    <x v="2"/>
    <s v="Delhi"/>
    <x v="2"/>
    <x v="1"/>
    <x v="1"/>
    <s v="High"/>
    <n v="2"/>
    <n v="7"/>
    <n v="5"/>
    <s v="Yes"/>
    <n v="398"/>
    <n v="6340"/>
    <n v="18625"/>
    <n v="0"/>
    <s v="No"/>
    <s v="Major"/>
    <n v="3725"/>
    <n v="1268"/>
    <n v="2024"/>
    <n v="11"/>
  </r>
  <r>
    <s v="SHP-30186"/>
    <d v="2024-05-05T00:00:00"/>
    <x v="0"/>
    <s v="Bengaluru"/>
    <x v="1"/>
    <x v="1"/>
    <x v="3"/>
    <s v="Low"/>
    <n v="2"/>
    <n v="5"/>
    <n v="3"/>
    <s v="Yes"/>
    <n v="345"/>
    <n v="2511"/>
    <n v="13005"/>
    <n v="0"/>
    <s v="No"/>
    <s v="Major"/>
    <n v="4335"/>
    <n v="837"/>
    <n v="2024"/>
    <n v="5"/>
  </r>
  <r>
    <s v="SHP-30187"/>
    <d v="2024-09-19T00:00:00"/>
    <x v="2"/>
    <s v="Delhi"/>
    <x v="1"/>
    <x v="1"/>
    <x v="2"/>
    <s v="High"/>
    <n v="1"/>
    <n v="7"/>
    <n v="6"/>
    <s v="Yes"/>
    <n v="395"/>
    <n v="12774"/>
    <n v="22896"/>
    <n v="0"/>
    <s v="No"/>
    <s v="Severe"/>
    <n v="3816"/>
    <n v="2129"/>
    <n v="2024"/>
    <n v="9"/>
  </r>
  <r>
    <s v="SHP-30188"/>
    <d v="2024-03-02T00:00:00"/>
    <x v="3"/>
    <s v="Pune"/>
    <x v="2"/>
    <x v="0"/>
    <x v="4"/>
    <s v="Low"/>
    <n v="1"/>
    <n v="5"/>
    <n v="4"/>
    <s v="Yes"/>
    <n v="381"/>
    <n v="9400"/>
    <n v="13180"/>
    <n v="0"/>
    <s v="No"/>
    <s v="Major"/>
    <n v="3295"/>
    <n v="2350"/>
    <n v="2024"/>
    <n v="3"/>
  </r>
  <r>
    <s v="SHP-30189"/>
    <d v="2024-01-03T00:00:00"/>
    <x v="2"/>
    <s v="Delhi"/>
    <x v="0"/>
    <x v="0"/>
    <x v="2"/>
    <s v="Medium"/>
    <n v="3"/>
    <n v="3"/>
    <n v="0"/>
    <s v="No"/>
    <n v="204"/>
    <n v="0"/>
    <n v="0"/>
    <n v="1"/>
    <s v="No"/>
    <s v="On Time"/>
    <n v="0"/>
    <n v="0"/>
    <n v="2024"/>
    <n v="1"/>
  </r>
  <r>
    <s v="SHP-30190"/>
    <d v="2024-07-17T00:00:00"/>
    <x v="1"/>
    <s v="Bhubaneswar"/>
    <x v="1"/>
    <x v="1"/>
    <x v="1"/>
    <s v="Medium"/>
    <n v="1"/>
    <n v="6"/>
    <n v="5"/>
    <s v="Yes"/>
    <n v="456"/>
    <n v="8970"/>
    <n v="24210"/>
    <n v="0"/>
    <s v="No"/>
    <s v="Major"/>
    <n v="4842"/>
    <n v="1794"/>
    <n v="2024"/>
    <n v="7"/>
  </r>
  <r>
    <s v="SHP-30191"/>
    <d v="2024-09-03T00:00:00"/>
    <x v="1"/>
    <s v="Bhubaneswar"/>
    <x v="0"/>
    <x v="2"/>
    <x v="3"/>
    <s v="Medium"/>
    <n v="1"/>
    <n v="4"/>
    <n v="3"/>
    <s v="Yes"/>
    <n v="370"/>
    <n v="3744"/>
    <n v="9759"/>
    <n v="0"/>
    <s v="No"/>
    <s v="Major"/>
    <n v="3253"/>
    <n v="1248"/>
    <n v="2024"/>
    <n v="9"/>
  </r>
  <r>
    <s v="SHP-30192"/>
    <d v="2024-03-14T00:00:00"/>
    <x v="3"/>
    <s v="Pune"/>
    <x v="2"/>
    <x v="1"/>
    <x v="0"/>
    <s v="High"/>
    <n v="3"/>
    <n v="11"/>
    <n v="8"/>
    <s v="Yes"/>
    <n v="350"/>
    <n v="7864"/>
    <n v="24336"/>
    <n v="0"/>
    <s v="No"/>
    <s v="Severe"/>
    <n v="3042"/>
    <n v="983"/>
    <n v="2024"/>
    <n v="3"/>
  </r>
  <r>
    <s v="SHP-30193"/>
    <d v="2024-04-15T00:00:00"/>
    <x v="3"/>
    <s v="Mumbai"/>
    <x v="2"/>
    <x v="1"/>
    <x v="1"/>
    <s v="Low"/>
    <n v="2"/>
    <n v="2"/>
    <n v="0"/>
    <s v="No"/>
    <n v="355"/>
    <n v="0"/>
    <n v="0"/>
    <n v="1"/>
    <s v="No"/>
    <s v="On Time"/>
    <n v="0"/>
    <n v="0"/>
    <n v="2024"/>
    <n v="4"/>
  </r>
  <r>
    <s v="SHP-30194"/>
    <d v="2024-09-24T00:00:00"/>
    <x v="2"/>
    <s v="Noida"/>
    <x v="0"/>
    <x v="1"/>
    <x v="1"/>
    <s v="High"/>
    <n v="2"/>
    <n v="9"/>
    <n v="7"/>
    <s v="Yes"/>
    <n v="181"/>
    <n v="14098"/>
    <n v="32067"/>
    <n v="0"/>
    <s v="No"/>
    <s v="Severe"/>
    <n v="4581"/>
    <n v="2014"/>
    <n v="2024"/>
    <n v="9"/>
  </r>
  <r>
    <s v="SHP-30195"/>
    <d v="2024-06-12T00:00:00"/>
    <x v="0"/>
    <s v="Bengaluru"/>
    <x v="0"/>
    <x v="1"/>
    <x v="4"/>
    <s v="Low"/>
    <n v="2"/>
    <n v="3"/>
    <n v="1"/>
    <s v="Yes"/>
    <n v="131"/>
    <n v="1833"/>
    <n v="3722"/>
    <n v="0"/>
    <s v="No"/>
    <s v="Minor"/>
    <n v="3722"/>
    <n v="1833"/>
    <n v="2024"/>
    <n v="6"/>
  </r>
  <r>
    <s v="SHP-30196"/>
    <d v="2024-03-31T00:00:00"/>
    <x v="2"/>
    <s v="Delhi"/>
    <x v="2"/>
    <x v="0"/>
    <x v="3"/>
    <s v="Medium"/>
    <n v="3"/>
    <n v="4"/>
    <n v="1"/>
    <s v="Yes"/>
    <n v="146"/>
    <n v="2292"/>
    <n v="3428"/>
    <n v="0"/>
    <s v="No"/>
    <s v="Minor"/>
    <n v="3428"/>
    <n v="2292"/>
    <n v="2024"/>
    <n v="3"/>
  </r>
  <r>
    <s v="SHP-30197"/>
    <d v="2024-11-04T00:00:00"/>
    <x v="0"/>
    <s v="Bengaluru"/>
    <x v="2"/>
    <x v="1"/>
    <x v="0"/>
    <s v="Medium"/>
    <n v="5"/>
    <n v="6"/>
    <n v="1"/>
    <s v="Yes"/>
    <n v="144"/>
    <n v="2488"/>
    <n v="4833"/>
    <n v="0"/>
    <s v="No"/>
    <s v="Minor"/>
    <n v="4833"/>
    <n v="2488"/>
    <n v="2024"/>
    <n v="11"/>
  </r>
  <r>
    <s v="SHP-30198"/>
    <d v="2024-01-28T00:00:00"/>
    <x v="2"/>
    <s v="Noida"/>
    <x v="1"/>
    <x v="1"/>
    <x v="3"/>
    <s v="Low"/>
    <n v="2"/>
    <n v="7"/>
    <n v="5"/>
    <s v="Yes"/>
    <n v="385"/>
    <n v="8240"/>
    <n v="15120"/>
    <n v="0"/>
    <s v="No"/>
    <s v="Major"/>
    <n v="3024"/>
    <n v="1648"/>
    <n v="2024"/>
    <n v="1"/>
  </r>
  <r>
    <s v="SHP-30199"/>
    <d v="2024-06-15T00:00:00"/>
    <x v="2"/>
    <s v="Noida"/>
    <x v="1"/>
    <x v="0"/>
    <x v="3"/>
    <s v="Medium"/>
    <n v="3"/>
    <n v="8"/>
    <n v="5"/>
    <s v="Yes"/>
    <n v="264"/>
    <n v="8095"/>
    <n v="24820"/>
    <n v="0"/>
    <s v="No"/>
    <s v="Major"/>
    <n v="4964"/>
    <n v="1619"/>
    <n v="2024"/>
    <n v="6"/>
  </r>
  <r>
    <s v="SHP-30200"/>
    <d v="2024-06-05T00:00:00"/>
    <x v="1"/>
    <s v="Bhubaneswar"/>
    <x v="2"/>
    <x v="1"/>
    <x v="4"/>
    <s v="Low"/>
    <n v="2"/>
    <n v="6"/>
    <n v="4"/>
    <s v="Yes"/>
    <n v="135"/>
    <n v="4480"/>
    <n v="13972"/>
    <n v="0"/>
    <s v="No"/>
    <s v="Major"/>
    <n v="3493"/>
    <n v="1120"/>
    <n v="2024"/>
    <n v="6"/>
  </r>
  <r>
    <s v="SHP-30201"/>
    <d v="2024-11-17T00:00:00"/>
    <x v="2"/>
    <s v="Noida"/>
    <x v="2"/>
    <x v="1"/>
    <x v="4"/>
    <s v="Medium"/>
    <n v="1"/>
    <n v="3"/>
    <n v="2"/>
    <s v="Yes"/>
    <n v="86"/>
    <n v="1802"/>
    <n v="8586"/>
    <n v="0"/>
    <s v="No"/>
    <s v="Minor"/>
    <n v="4293"/>
    <n v="901"/>
    <n v="2024"/>
    <n v="11"/>
  </r>
  <r>
    <s v="SHP-30202"/>
    <d v="2024-12-20T00:00:00"/>
    <x v="0"/>
    <s v="Bengaluru"/>
    <x v="2"/>
    <x v="1"/>
    <x v="3"/>
    <s v="Low"/>
    <n v="2"/>
    <n v="4"/>
    <n v="2"/>
    <s v="Yes"/>
    <n v="55"/>
    <n v="2670"/>
    <n v="5696"/>
    <n v="0"/>
    <s v="No"/>
    <s v="Minor"/>
    <n v="2848"/>
    <n v="1335"/>
    <n v="2024"/>
    <n v="12"/>
  </r>
  <r>
    <s v="SHP-30203"/>
    <d v="2024-07-15T00:00:00"/>
    <x v="0"/>
    <s v="Bengaluru"/>
    <x v="1"/>
    <x v="2"/>
    <x v="1"/>
    <s v="Medium"/>
    <n v="1"/>
    <n v="4"/>
    <n v="3"/>
    <s v="Yes"/>
    <n v="187"/>
    <n v="7173"/>
    <n v="9930"/>
    <n v="0"/>
    <s v="No"/>
    <s v="Major"/>
    <n v="3310"/>
    <n v="2391"/>
    <n v="2024"/>
    <n v="7"/>
  </r>
  <r>
    <s v="SHP-30204"/>
    <d v="2024-04-25T00:00:00"/>
    <x v="1"/>
    <s v="Kolkata"/>
    <x v="0"/>
    <x v="0"/>
    <x v="3"/>
    <s v="Low"/>
    <n v="3"/>
    <n v="5"/>
    <n v="2"/>
    <s v="Yes"/>
    <n v="468"/>
    <n v="4018"/>
    <n v="3596"/>
    <n v="0"/>
    <s v="No"/>
    <s v="Minor"/>
    <n v="1798"/>
    <n v="2009"/>
    <n v="2024"/>
    <n v="4"/>
  </r>
  <r>
    <s v="SHP-30205"/>
    <d v="2024-09-09T00:00:00"/>
    <x v="0"/>
    <s v="Chennai"/>
    <x v="1"/>
    <x v="2"/>
    <x v="2"/>
    <s v="High"/>
    <n v="1"/>
    <n v="5"/>
    <n v="4"/>
    <s v="Yes"/>
    <n v="288"/>
    <n v="7184"/>
    <n v="6584"/>
    <n v="0"/>
    <s v="No"/>
    <s v="Major"/>
    <n v="1646"/>
    <n v="1796"/>
    <n v="2024"/>
    <n v="9"/>
  </r>
  <r>
    <s v="SHP-30206"/>
    <d v="2024-06-07T00:00:00"/>
    <x v="3"/>
    <s v="Pune"/>
    <x v="2"/>
    <x v="1"/>
    <x v="0"/>
    <s v="Low"/>
    <n v="5"/>
    <n v="5"/>
    <n v="0"/>
    <s v="No"/>
    <n v="293"/>
    <n v="0"/>
    <n v="0"/>
    <n v="1"/>
    <s v="No"/>
    <s v="On Time"/>
    <n v="0"/>
    <n v="0"/>
    <n v="2024"/>
    <n v="6"/>
  </r>
  <r>
    <s v="SHP-30207"/>
    <d v="2024-06-19T00:00:00"/>
    <x v="1"/>
    <s v="Kolkata"/>
    <x v="0"/>
    <x v="1"/>
    <x v="0"/>
    <s v="Low"/>
    <n v="2"/>
    <n v="4"/>
    <n v="2"/>
    <s v="Yes"/>
    <n v="375"/>
    <n v="3090"/>
    <n v="3106"/>
    <n v="0"/>
    <s v="No"/>
    <s v="Minor"/>
    <n v="1553"/>
    <n v="1545"/>
    <n v="2024"/>
    <n v="6"/>
  </r>
  <r>
    <s v="SHP-30208"/>
    <d v="2024-08-09T00:00:00"/>
    <x v="0"/>
    <s v="Chennai"/>
    <x v="2"/>
    <x v="0"/>
    <x v="0"/>
    <s v="High"/>
    <n v="3"/>
    <n v="6"/>
    <n v="3"/>
    <s v="Yes"/>
    <n v="329"/>
    <n v="4206"/>
    <n v="7176"/>
    <n v="0"/>
    <s v="No"/>
    <s v="Major"/>
    <n v="2392"/>
    <n v="1402"/>
    <n v="2024"/>
    <n v="8"/>
  </r>
  <r>
    <s v="SHP-30209"/>
    <d v="2024-04-23T00:00:00"/>
    <x v="1"/>
    <s v="Kolkata"/>
    <x v="1"/>
    <x v="1"/>
    <x v="2"/>
    <s v="Low"/>
    <n v="3"/>
    <n v="4"/>
    <n v="1"/>
    <s v="Yes"/>
    <n v="202"/>
    <n v="904"/>
    <n v="4100"/>
    <n v="0"/>
    <s v="No"/>
    <s v="Minor"/>
    <n v="4100"/>
    <n v="904"/>
    <n v="2024"/>
    <n v="4"/>
  </r>
  <r>
    <s v="SHP-30210"/>
    <d v="2024-01-10T00:00:00"/>
    <x v="0"/>
    <s v="Chennai"/>
    <x v="0"/>
    <x v="0"/>
    <x v="4"/>
    <s v="Low"/>
    <n v="2"/>
    <n v="4"/>
    <n v="2"/>
    <s v="Yes"/>
    <n v="263"/>
    <n v="4310"/>
    <n v="7934"/>
    <n v="0"/>
    <s v="No"/>
    <s v="Minor"/>
    <n v="3967"/>
    <n v="2155"/>
    <n v="2024"/>
    <n v="1"/>
  </r>
  <r>
    <s v="SHP-30211"/>
    <d v="2024-03-03T00:00:00"/>
    <x v="0"/>
    <s v="Chennai"/>
    <x v="1"/>
    <x v="0"/>
    <x v="1"/>
    <s v="Medium"/>
    <n v="2"/>
    <n v="5"/>
    <n v="3"/>
    <s v="Yes"/>
    <n v="299"/>
    <n v="4119"/>
    <n v="10797"/>
    <n v="0"/>
    <s v="No"/>
    <s v="Major"/>
    <n v="3599"/>
    <n v="1373"/>
    <n v="2024"/>
    <n v="3"/>
  </r>
  <r>
    <s v="SHP-30212"/>
    <d v="2024-08-04T00:00:00"/>
    <x v="3"/>
    <s v="Pune"/>
    <x v="1"/>
    <x v="0"/>
    <x v="4"/>
    <s v="High"/>
    <n v="1"/>
    <n v="6"/>
    <n v="5"/>
    <s v="Yes"/>
    <n v="476"/>
    <n v="10155"/>
    <n v="16725"/>
    <n v="0"/>
    <s v="No"/>
    <s v="Major"/>
    <n v="3345"/>
    <n v="2031"/>
    <n v="2024"/>
    <n v="8"/>
  </r>
  <r>
    <s v="SHP-30213"/>
    <d v="2024-04-15T00:00:00"/>
    <x v="2"/>
    <s v="Noida"/>
    <x v="1"/>
    <x v="1"/>
    <x v="0"/>
    <s v="High"/>
    <n v="1"/>
    <n v="7"/>
    <n v="6"/>
    <s v="Yes"/>
    <n v="62"/>
    <n v="5970"/>
    <n v="13338"/>
    <n v="0"/>
    <s v="No"/>
    <s v="Severe"/>
    <n v="2223"/>
    <n v="995"/>
    <n v="2024"/>
    <n v="4"/>
  </r>
  <r>
    <s v="SHP-30214"/>
    <d v="2024-07-13T00:00:00"/>
    <x v="1"/>
    <s v="Kolkata"/>
    <x v="0"/>
    <x v="2"/>
    <x v="4"/>
    <s v="Low"/>
    <n v="1"/>
    <n v="6"/>
    <n v="5"/>
    <s v="Yes"/>
    <n v="104"/>
    <n v="6615"/>
    <n v="9910"/>
    <n v="0"/>
    <s v="No"/>
    <s v="Major"/>
    <n v="1982"/>
    <n v="1323"/>
    <n v="2024"/>
    <n v="7"/>
  </r>
  <r>
    <s v="SHP-30215"/>
    <d v="2024-08-15T00:00:00"/>
    <x v="2"/>
    <s v="Delhi"/>
    <x v="2"/>
    <x v="0"/>
    <x v="4"/>
    <s v="Low"/>
    <n v="2"/>
    <n v="2"/>
    <n v="0"/>
    <s v="No"/>
    <n v="142"/>
    <n v="0"/>
    <n v="0"/>
    <n v="1"/>
    <s v="No"/>
    <s v="On Time"/>
    <n v="0"/>
    <n v="0"/>
    <n v="2024"/>
    <n v="8"/>
  </r>
  <r>
    <s v="SHP-30216"/>
    <d v="2024-10-20T00:00:00"/>
    <x v="3"/>
    <s v="Pune"/>
    <x v="1"/>
    <x v="1"/>
    <x v="4"/>
    <s v="Medium"/>
    <n v="1"/>
    <n v="5"/>
    <n v="4"/>
    <s v="Yes"/>
    <n v="435"/>
    <n v="8532"/>
    <n v="9748"/>
    <n v="0"/>
    <s v="No"/>
    <s v="Major"/>
    <n v="2437"/>
    <n v="2133"/>
    <n v="2024"/>
    <n v="10"/>
  </r>
  <r>
    <s v="SHP-30217"/>
    <d v="2024-12-13T00:00:00"/>
    <x v="0"/>
    <s v="Chennai"/>
    <x v="1"/>
    <x v="2"/>
    <x v="1"/>
    <s v="Low"/>
    <n v="3"/>
    <n v="9"/>
    <n v="6"/>
    <s v="Yes"/>
    <n v="248"/>
    <n v="12090"/>
    <n v="25728"/>
    <n v="0"/>
    <s v="No"/>
    <s v="Severe"/>
    <n v="4288"/>
    <n v="2015"/>
    <n v="2024"/>
    <n v="12"/>
  </r>
  <r>
    <s v="SHP-30218"/>
    <d v="2024-04-05T00:00:00"/>
    <x v="3"/>
    <s v="Pune"/>
    <x v="2"/>
    <x v="1"/>
    <x v="0"/>
    <s v="Low"/>
    <n v="1"/>
    <n v="6"/>
    <n v="5"/>
    <s v="Yes"/>
    <n v="482"/>
    <n v="9340"/>
    <n v="19945"/>
    <n v="0"/>
    <s v="No"/>
    <s v="Major"/>
    <n v="3989"/>
    <n v="1868"/>
    <n v="2024"/>
    <n v="4"/>
  </r>
  <r>
    <s v="SHP-30219"/>
    <d v="2024-12-21T00:00:00"/>
    <x v="0"/>
    <s v="Bengaluru"/>
    <x v="2"/>
    <x v="1"/>
    <x v="0"/>
    <s v="High"/>
    <n v="3"/>
    <n v="5"/>
    <n v="2"/>
    <s v="Yes"/>
    <n v="158"/>
    <n v="3068"/>
    <n v="7770"/>
    <n v="0"/>
    <s v="No"/>
    <s v="Minor"/>
    <n v="3885"/>
    <n v="1534"/>
    <n v="2024"/>
    <n v="12"/>
  </r>
  <r>
    <s v="SHP-30220"/>
    <d v="2024-12-10T00:00:00"/>
    <x v="0"/>
    <s v="Chennai"/>
    <x v="2"/>
    <x v="2"/>
    <x v="1"/>
    <s v="Low"/>
    <n v="2"/>
    <n v="5"/>
    <n v="3"/>
    <s v="Yes"/>
    <n v="130"/>
    <n v="3573"/>
    <n v="11082"/>
    <n v="0"/>
    <s v="No"/>
    <s v="Major"/>
    <n v="3694"/>
    <n v="1191"/>
    <n v="2024"/>
    <n v="12"/>
  </r>
  <r>
    <s v="SHP-30221"/>
    <d v="2024-12-09T00:00:00"/>
    <x v="1"/>
    <s v="Kolkata"/>
    <x v="0"/>
    <x v="1"/>
    <x v="2"/>
    <s v="High"/>
    <n v="1"/>
    <n v="6"/>
    <n v="5"/>
    <s v="Yes"/>
    <n v="129"/>
    <n v="8505"/>
    <n v="9750"/>
    <n v="0"/>
    <s v="No"/>
    <s v="Major"/>
    <n v="1950"/>
    <n v="1701"/>
    <n v="2024"/>
    <n v="12"/>
  </r>
  <r>
    <s v="SHP-30222"/>
    <d v="2024-01-06T00:00:00"/>
    <x v="1"/>
    <s v="Bhubaneswar"/>
    <x v="2"/>
    <x v="1"/>
    <x v="3"/>
    <s v="Medium"/>
    <n v="2"/>
    <n v="2"/>
    <n v="0"/>
    <s v="No"/>
    <n v="251"/>
    <n v="0"/>
    <n v="0"/>
    <n v="1"/>
    <s v="No"/>
    <s v="On Time"/>
    <n v="0"/>
    <n v="0"/>
    <n v="2024"/>
    <n v="1"/>
  </r>
  <r>
    <s v="SHP-30223"/>
    <d v="2024-05-18T00:00:00"/>
    <x v="0"/>
    <s v="Chennai"/>
    <x v="1"/>
    <x v="1"/>
    <x v="0"/>
    <s v="Low"/>
    <n v="1"/>
    <n v="2"/>
    <n v="1"/>
    <s v="Yes"/>
    <n v="265"/>
    <n v="1328"/>
    <n v="3354"/>
    <n v="0"/>
    <s v="No"/>
    <s v="Minor"/>
    <n v="3354"/>
    <n v="1328"/>
    <n v="2024"/>
    <n v="5"/>
  </r>
  <r>
    <s v="SHP-30224"/>
    <d v="2024-08-14T00:00:00"/>
    <x v="1"/>
    <s v="Bhubaneswar"/>
    <x v="0"/>
    <x v="1"/>
    <x v="1"/>
    <s v="Low"/>
    <n v="3"/>
    <n v="4"/>
    <n v="1"/>
    <s v="Yes"/>
    <n v="398"/>
    <n v="1077"/>
    <n v="3499"/>
    <n v="0"/>
    <s v="No"/>
    <s v="Minor"/>
    <n v="3499"/>
    <n v="1077"/>
    <n v="2024"/>
    <n v="8"/>
  </r>
  <r>
    <s v="SHP-30225"/>
    <d v="2024-05-13T00:00:00"/>
    <x v="1"/>
    <s v="Kolkata"/>
    <x v="0"/>
    <x v="0"/>
    <x v="3"/>
    <s v="Medium"/>
    <n v="1"/>
    <n v="4"/>
    <n v="3"/>
    <s v="Yes"/>
    <n v="486"/>
    <n v="3789"/>
    <n v="8820"/>
    <n v="0"/>
    <s v="No"/>
    <s v="Major"/>
    <n v="2940"/>
    <n v="1263"/>
    <n v="2024"/>
    <n v="5"/>
  </r>
  <r>
    <s v="SHP-30226"/>
    <d v="2024-11-11T00:00:00"/>
    <x v="1"/>
    <s v="Bhubaneswar"/>
    <x v="0"/>
    <x v="1"/>
    <x v="3"/>
    <s v="High"/>
    <n v="3"/>
    <n v="9"/>
    <n v="6"/>
    <s v="Yes"/>
    <n v="198"/>
    <n v="8928"/>
    <n v="10662"/>
    <n v="0"/>
    <s v="No"/>
    <s v="Severe"/>
    <n v="1777"/>
    <n v="1488"/>
    <n v="2024"/>
    <n v="11"/>
  </r>
  <r>
    <s v="SHP-30227"/>
    <d v="2024-06-29T00:00:00"/>
    <x v="1"/>
    <s v="Kolkata"/>
    <x v="0"/>
    <x v="0"/>
    <x v="1"/>
    <s v="Low"/>
    <n v="1"/>
    <n v="3"/>
    <n v="2"/>
    <s v="Yes"/>
    <n v="197"/>
    <n v="4986"/>
    <n v="6472"/>
    <n v="0"/>
    <s v="No"/>
    <s v="Minor"/>
    <n v="3236"/>
    <n v="2493"/>
    <n v="2024"/>
    <n v="6"/>
  </r>
  <r>
    <s v="SHP-30228"/>
    <d v="2024-02-21T00:00:00"/>
    <x v="3"/>
    <s v="Mumbai"/>
    <x v="1"/>
    <x v="1"/>
    <x v="1"/>
    <s v="Medium"/>
    <n v="1"/>
    <n v="4"/>
    <n v="3"/>
    <s v="Yes"/>
    <n v="486"/>
    <n v="3408"/>
    <n v="8688"/>
    <n v="0"/>
    <s v="No"/>
    <s v="Major"/>
    <n v="2896"/>
    <n v="1136"/>
    <n v="2024"/>
    <n v="2"/>
  </r>
  <r>
    <s v="SHP-30229"/>
    <d v="2024-10-23T00:00:00"/>
    <x v="0"/>
    <s v="Chennai"/>
    <x v="1"/>
    <x v="1"/>
    <x v="0"/>
    <s v="Medium"/>
    <n v="2"/>
    <n v="2"/>
    <n v="0"/>
    <s v="No"/>
    <n v="496"/>
    <n v="0"/>
    <n v="0"/>
    <n v="1"/>
    <s v="No"/>
    <s v="On Time"/>
    <n v="0"/>
    <n v="0"/>
    <n v="2024"/>
    <n v="10"/>
  </r>
  <r>
    <s v="SHP-30230"/>
    <d v="2024-05-25T00:00:00"/>
    <x v="3"/>
    <s v="Pune"/>
    <x v="0"/>
    <x v="1"/>
    <x v="2"/>
    <s v="Low"/>
    <n v="3"/>
    <n v="3"/>
    <n v="0"/>
    <s v="No"/>
    <n v="444"/>
    <n v="0"/>
    <n v="0"/>
    <n v="1"/>
    <s v="No"/>
    <s v="On Time"/>
    <n v="0"/>
    <n v="0"/>
    <n v="2024"/>
    <n v="5"/>
  </r>
  <r>
    <s v="SHP-30231"/>
    <d v="2024-07-27T00:00:00"/>
    <x v="3"/>
    <s v="Mumbai"/>
    <x v="2"/>
    <x v="1"/>
    <x v="4"/>
    <s v="Medium"/>
    <n v="1"/>
    <n v="4"/>
    <n v="3"/>
    <s v="Yes"/>
    <n v="150"/>
    <n v="4332"/>
    <n v="14466"/>
    <n v="0"/>
    <s v="No"/>
    <s v="Major"/>
    <n v="4822"/>
    <n v="1444"/>
    <n v="2024"/>
    <n v="7"/>
  </r>
  <r>
    <s v="SHP-30232"/>
    <d v="2024-11-30T00:00:00"/>
    <x v="1"/>
    <s v="Kolkata"/>
    <x v="0"/>
    <x v="1"/>
    <x v="4"/>
    <s v="Medium"/>
    <n v="3"/>
    <n v="3"/>
    <n v="0"/>
    <s v="No"/>
    <n v="221"/>
    <n v="0"/>
    <n v="0"/>
    <n v="1"/>
    <s v="No"/>
    <s v="On Time"/>
    <n v="0"/>
    <n v="0"/>
    <n v="2024"/>
    <n v="11"/>
  </r>
  <r>
    <s v="SHP-30233"/>
    <d v="2024-05-20T00:00:00"/>
    <x v="3"/>
    <s v="Mumbai"/>
    <x v="2"/>
    <x v="0"/>
    <x v="3"/>
    <s v="Low"/>
    <n v="1"/>
    <n v="4"/>
    <n v="3"/>
    <s v="Yes"/>
    <n v="311"/>
    <n v="4362"/>
    <n v="6333"/>
    <n v="0"/>
    <s v="No"/>
    <s v="Major"/>
    <n v="2111"/>
    <n v="1454"/>
    <n v="2024"/>
    <n v="5"/>
  </r>
  <r>
    <s v="SHP-30234"/>
    <d v="2024-05-05T00:00:00"/>
    <x v="3"/>
    <s v="Mumbai"/>
    <x v="1"/>
    <x v="1"/>
    <x v="3"/>
    <s v="Low"/>
    <n v="1"/>
    <n v="3"/>
    <n v="2"/>
    <s v="Yes"/>
    <n v="124"/>
    <n v="4052"/>
    <n v="5664"/>
    <n v="0"/>
    <s v="No"/>
    <s v="Minor"/>
    <n v="2832"/>
    <n v="2026"/>
    <n v="2024"/>
    <n v="5"/>
  </r>
  <r>
    <s v="SHP-30235"/>
    <d v="2024-07-17T00:00:00"/>
    <x v="2"/>
    <s v="Delhi"/>
    <x v="2"/>
    <x v="1"/>
    <x v="3"/>
    <s v="High"/>
    <n v="2"/>
    <n v="7"/>
    <n v="5"/>
    <s v="Yes"/>
    <n v="140"/>
    <n v="6180"/>
    <n v="8475"/>
    <n v="0"/>
    <s v="No"/>
    <s v="Major"/>
    <n v="1695"/>
    <n v="1236"/>
    <n v="2024"/>
    <n v="7"/>
  </r>
  <r>
    <s v="SHP-30236"/>
    <d v="2024-01-18T00:00:00"/>
    <x v="0"/>
    <s v="Bengaluru"/>
    <x v="0"/>
    <x v="0"/>
    <x v="3"/>
    <s v="Low"/>
    <n v="2"/>
    <n v="2"/>
    <n v="0"/>
    <s v="No"/>
    <n v="266"/>
    <n v="0"/>
    <n v="0"/>
    <n v="1"/>
    <s v="No"/>
    <s v="On Time"/>
    <n v="0"/>
    <n v="0"/>
    <n v="2024"/>
    <n v="1"/>
  </r>
  <r>
    <s v="SHP-30237"/>
    <d v="2024-07-04T00:00:00"/>
    <x v="0"/>
    <s v="Chennai"/>
    <x v="2"/>
    <x v="1"/>
    <x v="2"/>
    <s v="Low"/>
    <n v="2"/>
    <n v="3"/>
    <n v="1"/>
    <s v="Yes"/>
    <n v="320"/>
    <n v="2044"/>
    <n v="2891"/>
    <n v="0"/>
    <s v="No"/>
    <s v="Minor"/>
    <n v="2891"/>
    <n v="2044"/>
    <n v="2024"/>
    <n v="7"/>
  </r>
  <r>
    <s v="SHP-30238"/>
    <d v="2024-05-21T00:00:00"/>
    <x v="3"/>
    <s v="Pune"/>
    <x v="0"/>
    <x v="0"/>
    <x v="1"/>
    <s v="Low"/>
    <n v="1"/>
    <n v="1"/>
    <n v="0"/>
    <s v="No"/>
    <n v="484"/>
    <n v="0"/>
    <n v="0"/>
    <n v="1"/>
    <s v="No"/>
    <s v="On Time"/>
    <n v="0"/>
    <n v="0"/>
    <n v="2024"/>
    <n v="5"/>
  </r>
  <r>
    <s v="SHP-30239"/>
    <d v="2024-01-28T00:00:00"/>
    <x v="1"/>
    <s v="Bhubaneswar"/>
    <x v="2"/>
    <x v="0"/>
    <x v="4"/>
    <s v="Medium"/>
    <n v="5"/>
    <n v="5"/>
    <n v="0"/>
    <s v="No"/>
    <n v="88"/>
    <n v="0"/>
    <n v="0"/>
    <n v="1"/>
    <s v="No"/>
    <s v="On Time"/>
    <n v="0"/>
    <n v="0"/>
    <n v="2024"/>
    <n v="1"/>
  </r>
  <r>
    <s v="SHP-30240"/>
    <d v="2024-04-13T00:00:00"/>
    <x v="3"/>
    <s v="Pune"/>
    <x v="0"/>
    <x v="1"/>
    <x v="0"/>
    <s v="Medium"/>
    <n v="2"/>
    <n v="5"/>
    <n v="3"/>
    <s v="Yes"/>
    <n v="101"/>
    <n v="6609"/>
    <n v="13509"/>
    <n v="0"/>
    <s v="No"/>
    <s v="Major"/>
    <n v="4503"/>
    <n v="2203"/>
    <n v="2024"/>
    <n v="4"/>
  </r>
  <r>
    <s v="SHP-30241"/>
    <d v="2024-01-26T00:00:00"/>
    <x v="3"/>
    <s v="Mumbai"/>
    <x v="2"/>
    <x v="1"/>
    <x v="4"/>
    <s v="Low"/>
    <n v="2"/>
    <n v="4"/>
    <n v="2"/>
    <s v="Yes"/>
    <n v="104"/>
    <n v="3896"/>
    <n v="8904"/>
    <n v="0"/>
    <s v="No"/>
    <s v="Minor"/>
    <n v="4452"/>
    <n v="1948"/>
    <n v="2024"/>
    <n v="1"/>
  </r>
  <r>
    <s v="SHP-30242"/>
    <d v="2024-05-16T00:00:00"/>
    <x v="2"/>
    <s v="Delhi"/>
    <x v="0"/>
    <x v="2"/>
    <x v="0"/>
    <s v="Medium"/>
    <n v="2"/>
    <n v="4"/>
    <n v="2"/>
    <s v="Yes"/>
    <n v="211"/>
    <n v="3340"/>
    <n v="6766"/>
    <n v="0"/>
    <s v="No"/>
    <s v="Minor"/>
    <n v="3383"/>
    <n v="1670"/>
    <n v="2024"/>
    <n v="5"/>
  </r>
  <r>
    <s v="SHP-30243"/>
    <d v="2024-12-02T00:00:00"/>
    <x v="0"/>
    <s v="Chennai"/>
    <x v="0"/>
    <x v="1"/>
    <x v="0"/>
    <s v="Medium"/>
    <n v="5"/>
    <n v="9"/>
    <n v="4"/>
    <s v="Yes"/>
    <n v="127"/>
    <n v="7952"/>
    <n v="10104"/>
    <n v="0"/>
    <s v="No"/>
    <s v="Major"/>
    <n v="2526"/>
    <n v="1988"/>
    <n v="2024"/>
    <n v="12"/>
  </r>
  <r>
    <s v="SHP-30244"/>
    <d v="2024-03-30T00:00:00"/>
    <x v="3"/>
    <s v="Pune"/>
    <x v="0"/>
    <x v="0"/>
    <x v="4"/>
    <s v="Medium"/>
    <n v="2"/>
    <n v="6"/>
    <n v="4"/>
    <s v="Yes"/>
    <n v="173"/>
    <n v="7888"/>
    <n v="8804"/>
    <n v="0"/>
    <s v="No"/>
    <s v="Major"/>
    <n v="2201"/>
    <n v="1972"/>
    <n v="2024"/>
    <n v="3"/>
  </r>
  <r>
    <s v="SHP-30245"/>
    <d v="2024-04-20T00:00:00"/>
    <x v="1"/>
    <s v="Kolkata"/>
    <x v="1"/>
    <x v="1"/>
    <x v="4"/>
    <s v="High"/>
    <n v="1"/>
    <n v="4"/>
    <n v="3"/>
    <s v="Yes"/>
    <n v="285"/>
    <n v="3471"/>
    <n v="12921"/>
    <n v="0"/>
    <s v="No"/>
    <s v="Major"/>
    <n v="4307"/>
    <n v="1157"/>
    <n v="2024"/>
    <n v="4"/>
  </r>
  <r>
    <s v="SHP-30246"/>
    <d v="2024-07-01T00:00:00"/>
    <x v="2"/>
    <s v="Delhi"/>
    <x v="0"/>
    <x v="1"/>
    <x v="2"/>
    <s v="Medium"/>
    <n v="2"/>
    <n v="3"/>
    <n v="1"/>
    <s v="Yes"/>
    <n v="383"/>
    <n v="2024"/>
    <n v="4882"/>
    <n v="0"/>
    <s v="No"/>
    <s v="Minor"/>
    <n v="4882"/>
    <n v="2024"/>
    <n v="2024"/>
    <n v="7"/>
  </r>
  <r>
    <s v="SHP-30247"/>
    <d v="2024-07-01T00:00:00"/>
    <x v="2"/>
    <s v="Noida"/>
    <x v="1"/>
    <x v="1"/>
    <x v="1"/>
    <s v="Low"/>
    <n v="2"/>
    <n v="4"/>
    <n v="2"/>
    <s v="Yes"/>
    <n v="97"/>
    <n v="2720"/>
    <n v="3920"/>
    <n v="0"/>
    <s v="No"/>
    <s v="Minor"/>
    <n v="1960"/>
    <n v="1360"/>
    <n v="2024"/>
    <n v="7"/>
  </r>
  <r>
    <s v="SHP-30248"/>
    <d v="2024-01-18T00:00:00"/>
    <x v="0"/>
    <s v="Bengaluru"/>
    <x v="0"/>
    <x v="2"/>
    <x v="1"/>
    <s v="Medium"/>
    <n v="1"/>
    <n v="3"/>
    <n v="2"/>
    <s v="Yes"/>
    <n v="219"/>
    <n v="2730"/>
    <n v="8828"/>
    <n v="0"/>
    <s v="No"/>
    <s v="Minor"/>
    <n v="4414"/>
    <n v="1365"/>
    <n v="2024"/>
    <n v="1"/>
  </r>
  <r>
    <s v="SHP-30249"/>
    <d v="2024-05-16T00:00:00"/>
    <x v="1"/>
    <s v="Kolkata"/>
    <x v="2"/>
    <x v="1"/>
    <x v="0"/>
    <s v="High"/>
    <n v="2"/>
    <n v="10"/>
    <n v="8"/>
    <s v="Yes"/>
    <n v="399"/>
    <n v="7608"/>
    <n v="31496"/>
    <n v="0"/>
    <s v="No"/>
    <s v="Severe"/>
    <n v="3937"/>
    <n v="951"/>
    <n v="2024"/>
    <n v="5"/>
  </r>
  <r>
    <s v="SHP-30250"/>
    <d v="2024-06-05T00:00:00"/>
    <x v="2"/>
    <s v="Noida"/>
    <x v="1"/>
    <x v="1"/>
    <x v="3"/>
    <s v="High"/>
    <n v="2"/>
    <n v="6"/>
    <n v="4"/>
    <s v="Yes"/>
    <n v="276"/>
    <n v="8760"/>
    <n v="19352"/>
    <n v="0"/>
    <s v="No"/>
    <s v="Major"/>
    <n v="4838"/>
    <n v="2190"/>
    <n v="2024"/>
    <n v="6"/>
  </r>
  <r>
    <s v="SHP-30251"/>
    <d v="2024-02-24T00:00:00"/>
    <x v="3"/>
    <s v="Mumbai"/>
    <x v="0"/>
    <x v="1"/>
    <x v="4"/>
    <s v="Low"/>
    <n v="2"/>
    <n v="2"/>
    <n v="0"/>
    <s v="No"/>
    <n v="128"/>
    <n v="0"/>
    <n v="0"/>
    <n v="1"/>
    <s v="No"/>
    <s v="On Time"/>
    <n v="0"/>
    <n v="0"/>
    <n v="2024"/>
    <n v="2"/>
  </r>
  <r>
    <s v="SHP-30252"/>
    <d v="2024-10-10T00:00:00"/>
    <x v="1"/>
    <s v="Kolkata"/>
    <x v="2"/>
    <x v="1"/>
    <x v="1"/>
    <s v="Low"/>
    <n v="2"/>
    <n v="3"/>
    <n v="1"/>
    <s v="Yes"/>
    <n v="470"/>
    <n v="1405"/>
    <n v="3773"/>
    <n v="0"/>
    <s v="No"/>
    <s v="Minor"/>
    <n v="3773"/>
    <n v="1405"/>
    <n v="2024"/>
    <n v="10"/>
  </r>
  <r>
    <s v="SHP-30253"/>
    <d v="2024-06-11T00:00:00"/>
    <x v="3"/>
    <s v="Mumbai"/>
    <x v="1"/>
    <x v="2"/>
    <x v="2"/>
    <s v="Low"/>
    <n v="2"/>
    <n v="5"/>
    <n v="3"/>
    <s v="Yes"/>
    <n v="154"/>
    <n v="7200"/>
    <n v="6096"/>
    <n v="0"/>
    <s v="No"/>
    <s v="Major"/>
    <n v="2032"/>
    <n v="2400"/>
    <n v="2024"/>
    <n v="6"/>
  </r>
  <r>
    <s v="SHP-30254"/>
    <d v="2024-10-16T00:00:00"/>
    <x v="0"/>
    <s v="Chennai"/>
    <x v="2"/>
    <x v="0"/>
    <x v="2"/>
    <s v="Medium"/>
    <n v="2"/>
    <n v="5"/>
    <n v="3"/>
    <s v="Yes"/>
    <n v="451"/>
    <n v="3084"/>
    <n v="12849"/>
    <n v="0"/>
    <s v="No"/>
    <s v="Major"/>
    <n v="4283"/>
    <n v="1028"/>
    <n v="2024"/>
    <n v="10"/>
  </r>
  <r>
    <s v="SHP-30255"/>
    <d v="2024-01-17T00:00:00"/>
    <x v="1"/>
    <s v="Kolkata"/>
    <x v="1"/>
    <x v="0"/>
    <x v="0"/>
    <s v="Low"/>
    <n v="2"/>
    <n v="5"/>
    <n v="3"/>
    <s v="Yes"/>
    <n v="420"/>
    <n v="5850"/>
    <n v="7833"/>
    <n v="0"/>
    <s v="No"/>
    <s v="Major"/>
    <n v="2611"/>
    <n v="1950"/>
    <n v="2024"/>
    <n v="1"/>
  </r>
  <r>
    <s v="SHP-30256"/>
    <d v="2024-03-26T00:00:00"/>
    <x v="1"/>
    <s v="Bhubaneswar"/>
    <x v="1"/>
    <x v="1"/>
    <x v="1"/>
    <s v="Low"/>
    <n v="1"/>
    <n v="5"/>
    <n v="4"/>
    <s v="Yes"/>
    <n v="325"/>
    <n v="7012"/>
    <n v="11404"/>
    <n v="0"/>
    <s v="No"/>
    <s v="Major"/>
    <n v="2851"/>
    <n v="1753"/>
    <n v="2024"/>
    <n v="3"/>
  </r>
  <r>
    <s v="SHP-30257"/>
    <d v="2024-08-25T00:00:00"/>
    <x v="1"/>
    <s v="Kolkata"/>
    <x v="0"/>
    <x v="1"/>
    <x v="3"/>
    <s v="Low"/>
    <n v="1"/>
    <n v="5"/>
    <n v="4"/>
    <s v="Yes"/>
    <n v="245"/>
    <n v="9604"/>
    <n v="13900"/>
    <n v="0"/>
    <s v="No"/>
    <s v="Major"/>
    <n v="3475"/>
    <n v="2401"/>
    <n v="2024"/>
    <n v="8"/>
  </r>
  <r>
    <s v="SHP-30258"/>
    <d v="2024-10-21T00:00:00"/>
    <x v="2"/>
    <s v="Delhi"/>
    <x v="2"/>
    <x v="1"/>
    <x v="4"/>
    <s v="Low"/>
    <n v="3"/>
    <n v="6"/>
    <n v="3"/>
    <s v="Yes"/>
    <n v="247"/>
    <n v="5952"/>
    <n v="14976"/>
    <n v="0"/>
    <s v="No"/>
    <s v="Major"/>
    <n v="4992"/>
    <n v="1984"/>
    <n v="2024"/>
    <n v="10"/>
  </r>
  <r>
    <s v="SHP-30259"/>
    <d v="2024-12-09T00:00:00"/>
    <x v="1"/>
    <s v="Kolkata"/>
    <x v="0"/>
    <x v="1"/>
    <x v="3"/>
    <s v="Low"/>
    <n v="1"/>
    <n v="2"/>
    <n v="1"/>
    <s v="Yes"/>
    <n v="433"/>
    <n v="954"/>
    <n v="3107"/>
    <n v="0"/>
    <s v="No"/>
    <s v="Minor"/>
    <n v="3107"/>
    <n v="954"/>
    <n v="2024"/>
    <n v="12"/>
  </r>
  <r>
    <s v="SHP-30260"/>
    <d v="2024-06-23T00:00:00"/>
    <x v="0"/>
    <s v="Bengaluru"/>
    <x v="2"/>
    <x v="1"/>
    <x v="2"/>
    <s v="Low"/>
    <n v="5"/>
    <n v="8"/>
    <n v="3"/>
    <s v="Yes"/>
    <n v="336"/>
    <n v="3474"/>
    <n v="13569"/>
    <n v="0"/>
    <s v="No"/>
    <s v="Major"/>
    <n v="4523"/>
    <n v="1158"/>
    <n v="2024"/>
    <n v="6"/>
  </r>
  <r>
    <s v="SHP-30261"/>
    <d v="2024-12-15T00:00:00"/>
    <x v="0"/>
    <s v="Chennai"/>
    <x v="2"/>
    <x v="1"/>
    <x v="2"/>
    <s v="Medium"/>
    <n v="1"/>
    <n v="6"/>
    <n v="5"/>
    <s v="Yes"/>
    <n v="370"/>
    <n v="11475"/>
    <n v="18185"/>
    <n v="0"/>
    <s v="No"/>
    <s v="Major"/>
    <n v="3637"/>
    <n v="2295"/>
    <n v="2024"/>
    <n v="12"/>
  </r>
  <r>
    <s v="SHP-30262"/>
    <d v="2024-09-08T00:00:00"/>
    <x v="2"/>
    <s v="Delhi"/>
    <x v="2"/>
    <x v="2"/>
    <x v="4"/>
    <s v="Low"/>
    <n v="2"/>
    <n v="5"/>
    <n v="3"/>
    <s v="Yes"/>
    <n v="321"/>
    <n v="5724"/>
    <n v="14559"/>
    <n v="0"/>
    <s v="No"/>
    <s v="Major"/>
    <n v="4853"/>
    <n v="1908"/>
    <n v="2024"/>
    <n v="9"/>
  </r>
  <r>
    <s v="SHP-30263"/>
    <d v="2024-02-23T00:00:00"/>
    <x v="1"/>
    <s v="Bhubaneswar"/>
    <x v="2"/>
    <x v="1"/>
    <x v="3"/>
    <s v="Medium"/>
    <n v="2"/>
    <n v="2"/>
    <n v="0"/>
    <s v="No"/>
    <n v="419"/>
    <n v="0"/>
    <n v="0"/>
    <n v="1"/>
    <s v="No"/>
    <s v="On Time"/>
    <n v="0"/>
    <n v="0"/>
    <n v="2024"/>
    <n v="2"/>
  </r>
  <r>
    <s v="SHP-30264"/>
    <d v="2024-03-23T00:00:00"/>
    <x v="2"/>
    <s v="Noida"/>
    <x v="0"/>
    <x v="1"/>
    <x v="2"/>
    <s v="Medium"/>
    <n v="2"/>
    <n v="3"/>
    <n v="1"/>
    <s v="Yes"/>
    <n v="375"/>
    <n v="1998"/>
    <n v="4787"/>
    <n v="0"/>
    <s v="No"/>
    <s v="Minor"/>
    <n v="4787"/>
    <n v="1998"/>
    <n v="2024"/>
    <n v="3"/>
  </r>
  <r>
    <s v="SHP-30265"/>
    <d v="2024-09-16T00:00:00"/>
    <x v="1"/>
    <s v="Kolkata"/>
    <x v="0"/>
    <x v="1"/>
    <x v="2"/>
    <s v="High"/>
    <n v="2"/>
    <n v="4"/>
    <n v="2"/>
    <s v="Yes"/>
    <n v="444"/>
    <n v="4000"/>
    <n v="7832"/>
    <n v="0"/>
    <s v="No"/>
    <s v="Minor"/>
    <n v="3916"/>
    <n v="2000"/>
    <n v="2024"/>
    <n v="9"/>
  </r>
  <r>
    <s v="SHP-30266"/>
    <d v="2024-08-05T00:00:00"/>
    <x v="0"/>
    <s v="Bengaluru"/>
    <x v="1"/>
    <x v="0"/>
    <x v="4"/>
    <s v="Medium"/>
    <n v="1"/>
    <n v="4"/>
    <n v="3"/>
    <s v="Yes"/>
    <n v="319"/>
    <n v="5673"/>
    <n v="14187"/>
    <n v="0"/>
    <s v="No"/>
    <s v="Major"/>
    <n v="4729"/>
    <n v="1891"/>
    <n v="2024"/>
    <n v="8"/>
  </r>
  <r>
    <s v="SHP-30267"/>
    <d v="2024-08-25T00:00:00"/>
    <x v="0"/>
    <s v="Bengaluru"/>
    <x v="1"/>
    <x v="2"/>
    <x v="0"/>
    <s v="Low"/>
    <n v="5"/>
    <n v="10"/>
    <n v="5"/>
    <s v="Yes"/>
    <n v="234"/>
    <n v="4865"/>
    <n v="23700"/>
    <n v="0"/>
    <s v="No"/>
    <s v="Major"/>
    <n v="4740"/>
    <n v="973"/>
    <n v="2024"/>
    <n v="8"/>
  </r>
  <r>
    <s v="SHP-30268"/>
    <d v="2024-03-17T00:00:00"/>
    <x v="0"/>
    <s v="Bengaluru"/>
    <x v="1"/>
    <x v="1"/>
    <x v="2"/>
    <s v="Low"/>
    <n v="2"/>
    <n v="4"/>
    <n v="2"/>
    <s v="Yes"/>
    <n v="491"/>
    <n v="3202"/>
    <n v="8922"/>
    <n v="0"/>
    <s v="No"/>
    <s v="Minor"/>
    <n v="4461"/>
    <n v="1601"/>
    <n v="2024"/>
    <n v="3"/>
  </r>
  <r>
    <s v="SHP-30269"/>
    <d v="2024-10-22T00:00:00"/>
    <x v="2"/>
    <s v="Delhi"/>
    <x v="1"/>
    <x v="1"/>
    <x v="3"/>
    <s v="Medium"/>
    <n v="2"/>
    <n v="6"/>
    <n v="4"/>
    <s v="Yes"/>
    <n v="430"/>
    <n v="6780"/>
    <n v="17720"/>
    <n v="0"/>
    <s v="No"/>
    <s v="Major"/>
    <n v="4430"/>
    <n v="1695"/>
    <n v="2024"/>
    <n v="10"/>
  </r>
  <r>
    <s v="SHP-30270"/>
    <d v="2024-02-05T00:00:00"/>
    <x v="0"/>
    <s v="Bengaluru"/>
    <x v="1"/>
    <x v="0"/>
    <x v="3"/>
    <s v="Medium"/>
    <n v="5"/>
    <n v="10"/>
    <n v="5"/>
    <s v="Yes"/>
    <n v="306"/>
    <n v="11765"/>
    <n v="17740"/>
    <n v="0"/>
    <s v="No"/>
    <s v="Major"/>
    <n v="3548"/>
    <n v="2353"/>
    <n v="2024"/>
    <n v="2"/>
  </r>
  <r>
    <s v="SHP-30271"/>
    <d v="2024-08-09T00:00:00"/>
    <x v="3"/>
    <s v="Pune"/>
    <x v="2"/>
    <x v="0"/>
    <x v="3"/>
    <s v="Low"/>
    <n v="1"/>
    <n v="5"/>
    <n v="4"/>
    <s v="Yes"/>
    <n v="490"/>
    <n v="6280"/>
    <n v="17452"/>
    <n v="0"/>
    <s v="No"/>
    <s v="Major"/>
    <n v="4363"/>
    <n v="1570"/>
    <n v="2024"/>
    <n v="8"/>
  </r>
  <r>
    <s v="SHP-30272"/>
    <d v="2024-05-31T00:00:00"/>
    <x v="2"/>
    <s v="Delhi"/>
    <x v="1"/>
    <x v="0"/>
    <x v="0"/>
    <s v="Low"/>
    <n v="3"/>
    <n v="6"/>
    <n v="3"/>
    <s v="Yes"/>
    <n v="300"/>
    <n v="4926"/>
    <n v="10020"/>
    <n v="0"/>
    <s v="No"/>
    <s v="Major"/>
    <n v="3340"/>
    <n v="1642"/>
    <n v="2024"/>
    <n v="5"/>
  </r>
  <r>
    <s v="SHP-30273"/>
    <d v="2024-05-05T00:00:00"/>
    <x v="3"/>
    <s v="Mumbai"/>
    <x v="0"/>
    <x v="0"/>
    <x v="0"/>
    <s v="High"/>
    <n v="1"/>
    <n v="5"/>
    <n v="4"/>
    <s v="Yes"/>
    <n v="66"/>
    <n v="7512"/>
    <n v="10048"/>
    <n v="0"/>
    <s v="No"/>
    <s v="Major"/>
    <n v="2512"/>
    <n v="1878"/>
    <n v="2024"/>
    <n v="5"/>
  </r>
  <r>
    <s v="SHP-30274"/>
    <d v="2024-08-04T00:00:00"/>
    <x v="2"/>
    <s v="Delhi"/>
    <x v="2"/>
    <x v="1"/>
    <x v="1"/>
    <s v="Medium"/>
    <n v="5"/>
    <n v="8"/>
    <n v="3"/>
    <s v="Yes"/>
    <n v="422"/>
    <n v="4833"/>
    <n v="11862"/>
    <n v="0"/>
    <s v="No"/>
    <s v="Major"/>
    <n v="3954"/>
    <n v="1611"/>
    <n v="2024"/>
    <n v="8"/>
  </r>
  <r>
    <s v="SHP-30275"/>
    <d v="2024-05-21T00:00:00"/>
    <x v="1"/>
    <s v="Bhubaneswar"/>
    <x v="1"/>
    <x v="2"/>
    <x v="4"/>
    <s v="High"/>
    <n v="2"/>
    <n v="11"/>
    <n v="9"/>
    <s v="Yes"/>
    <n v="118"/>
    <n v="15597"/>
    <n v="31185"/>
    <n v="0"/>
    <s v="No"/>
    <s v="Severe"/>
    <n v="3465"/>
    <n v="1733"/>
    <n v="2024"/>
    <n v="5"/>
  </r>
  <r>
    <s v="SHP-30276"/>
    <d v="2024-04-20T00:00:00"/>
    <x v="1"/>
    <s v="Bhubaneswar"/>
    <x v="1"/>
    <x v="0"/>
    <x v="4"/>
    <s v="Low"/>
    <n v="3"/>
    <n v="6"/>
    <n v="3"/>
    <s v="Yes"/>
    <n v="160"/>
    <n v="6270"/>
    <n v="13677"/>
    <n v="0"/>
    <s v="No"/>
    <s v="Major"/>
    <n v="4559"/>
    <n v="2090"/>
    <n v="2024"/>
    <n v="4"/>
  </r>
  <r>
    <s v="SHP-30277"/>
    <d v="2024-08-13T00:00:00"/>
    <x v="0"/>
    <s v="Bengaluru"/>
    <x v="2"/>
    <x v="1"/>
    <x v="4"/>
    <s v="Medium"/>
    <n v="2"/>
    <n v="6"/>
    <n v="4"/>
    <s v="Yes"/>
    <n v="389"/>
    <n v="7776"/>
    <n v="16256"/>
    <n v="0"/>
    <s v="No"/>
    <s v="Major"/>
    <n v="4064"/>
    <n v="1944"/>
    <n v="2024"/>
    <n v="8"/>
  </r>
  <r>
    <s v="SHP-30278"/>
    <d v="2024-01-04T00:00:00"/>
    <x v="3"/>
    <s v="Mumbai"/>
    <x v="0"/>
    <x v="1"/>
    <x v="0"/>
    <s v="Low"/>
    <n v="2"/>
    <n v="7"/>
    <n v="5"/>
    <s v="Yes"/>
    <n v="130"/>
    <n v="6670"/>
    <n v="14580"/>
    <n v="0"/>
    <s v="No"/>
    <s v="Major"/>
    <n v="2916"/>
    <n v="1334"/>
    <n v="2024"/>
    <n v="1"/>
  </r>
  <r>
    <s v="SHP-30279"/>
    <d v="2024-11-06T00:00:00"/>
    <x v="2"/>
    <s v="Delhi"/>
    <x v="0"/>
    <x v="1"/>
    <x v="3"/>
    <s v="Low"/>
    <n v="1"/>
    <n v="3"/>
    <n v="2"/>
    <s v="Yes"/>
    <n v="254"/>
    <n v="4850"/>
    <n v="8492"/>
    <n v="0"/>
    <s v="No"/>
    <s v="Minor"/>
    <n v="4246"/>
    <n v="2425"/>
    <n v="2024"/>
    <n v="11"/>
  </r>
  <r>
    <s v="SHP-30280"/>
    <d v="2024-06-27T00:00:00"/>
    <x v="0"/>
    <s v="Bengaluru"/>
    <x v="0"/>
    <x v="1"/>
    <x v="4"/>
    <s v="Low"/>
    <n v="2"/>
    <n v="6"/>
    <n v="4"/>
    <s v="Yes"/>
    <n v="384"/>
    <n v="5128"/>
    <n v="19632"/>
    <n v="0"/>
    <s v="No"/>
    <s v="Major"/>
    <n v="4908"/>
    <n v="1282"/>
    <n v="2024"/>
    <n v="6"/>
  </r>
  <r>
    <s v="SHP-30281"/>
    <d v="2024-09-26T00:00:00"/>
    <x v="0"/>
    <s v="Bengaluru"/>
    <x v="1"/>
    <x v="1"/>
    <x v="3"/>
    <s v="Medium"/>
    <n v="5"/>
    <n v="6"/>
    <n v="1"/>
    <s v="Yes"/>
    <n v="79"/>
    <n v="924"/>
    <n v="3725"/>
    <n v="0"/>
    <s v="No"/>
    <s v="Minor"/>
    <n v="3725"/>
    <n v="924"/>
    <n v="2024"/>
    <n v="9"/>
  </r>
  <r>
    <s v="SHP-30282"/>
    <d v="2024-01-21T00:00:00"/>
    <x v="1"/>
    <s v="Bhubaneswar"/>
    <x v="1"/>
    <x v="1"/>
    <x v="4"/>
    <s v="Low"/>
    <n v="1"/>
    <n v="5"/>
    <n v="4"/>
    <s v="Yes"/>
    <n v="441"/>
    <n v="4208"/>
    <n v="7248"/>
    <n v="0"/>
    <s v="No"/>
    <s v="Major"/>
    <n v="1812"/>
    <n v="1052"/>
    <n v="2024"/>
    <n v="1"/>
  </r>
  <r>
    <s v="SHP-30283"/>
    <d v="2024-02-21T00:00:00"/>
    <x v="2"/>
    <s v="Noida"/>
    <x v="2"/>
    <x v="1"/>
    <x v="2"/>
    <s v="Medium"/>
    <n v="3"/>
    <n v="8"/>
    <n v="5"/>
    <s v="Yes"/>
    <n v="218"/>
    <n v="6590"/>
    <n v="10940"/>
    <n v="0"/>
    <s v="No"/>
    <s v="Major"/>
    <n v="2188"/>
    <n v="1318"/>
    <n v="2024"/>
    <n v="2"/>
  </r>
  <r>
    <s v="SHP-30284"/>
    <d v="2024-09-16T00:00:00"/>
    <x v="2"/>
    <s v="Noida"/>
    <x v="1"/>
    <x v="0"/>
    <x v="0"/>
    <s v="Medium"/>
    <n v="3"/>
    <n v="7"/>
    <n v="4"/>
    <s v="Yes"/>
    <n v="59"/>
    <n v="5096"/>
    <n v="11300"/>
    <n v="0"/>
    <s v="No"/>
    <s v="Major"/>
    <n v="2825"/>
    <n v="1274"/>
    <n v="2024"/>
    <n v="9"/>
  </r>
  <r>
    <s v="SHP-30285"/>
    <d v="2024-06-08T00:00:00"/>
    <x v="2"/>
    <s v="Delhi"/>
    <x v="1"/>
    <x v="1"/>
    <x v="2"/>
    <s v="Medium"/>
    <n v="3"/>
    <n v="3"/>
    <n v="0"/>
    <s v="No"/>
    <n v="265"/>
    <n v="0"/>
    <n v="0"/>
    <n v="1"/>
    <s v="No"/>
    <s v="On Time"/>
    <n v="0"/>
    <n v="0"/>
    <n v="2024"/>
    <n v="6"/>
  </r>
  <r>
    <s v="SHP-30286"/>
    <d v="2024-03-08T00:00:00"/>
    <x v="0"/>
    <s v="Bengaluru"/>
    <x v="0"/>
    <x v="1"/>
    <x v="2"/>
    <s v="Medium"/>
    <n v="1"/>
    <n v="2"/>
    <n v="1"/>
    <s v="Yes"/>
    <n v="288"/>
    <n v="1132"/>
    <n v="3904"/>
    <n v="0"/>
    <s v="No"/>
    <s v="Minor"/>
    <n v="3904"/>
    <n v="1132"/>
    <n v="2024"/>
    <n v="3"/>
  </r>
  <r>
    <s v="SHP-30287"/>
    <d v="2024-08-15T00:00:00"/>
    <x v="0"/>
    <s v="Chennai"/>
    <x v="0"/>
    <x v="1"/>
    <x v="2"/>
    <s v="Medium"/>
    <n v="1"/>
    <n v="6"/>
    <n v="5"/>
    <s v="Yes"/>
    <n v="387"/>
    <n v="4165"/>
    <n v="11745"/>
    <n v="0"/>
    <s v="No"/>
    <s v="Major"/>
    <n v="2349"/>
    <n v="833"/>
    <n v="2024"/>
    <n v="8"/>
  </r>
  <r>
    <s v="SHP-30288"/>
    <d v="2024-12-06T00:00:00"/>
    <x v="3"/>
    <s v="Mumbai"/>
    <x v="2"/>
    <x v="0"/>
    <x v="3"/>
    <s v="Medium"/>
    <n v="3"/>
    <n v="8"/>
    <n v="5"/>
    <s v="Yes"/>
    <n v="257"/>
    <n v="12125"/>
    <n v="18180"/>
    <n v="0"/>
    <s v="No"/>
    <s v="Major"/>
    <n v="3636"/>
    <n v="2425"/>
    <n v="2024"/>
    <n v="12"/>
  </r>
  <r>
    <s v="SHP-30289"/>
    <d v="2024-08-31T00:00:00"/>
    <x v="2"/>
    <s v="Delhi"/>
    <x v="2"/>
    <x v="0"/>
    <x v="3"/>
    <s v="Low"/>
    <n v="3"/>
    <n v="4"/>
    <n v="1"/>
    <s v="Yes"/>
    <n v="439"/>
    <n v="2282"/>
    <n v="2329"/>
    <n v="0"/>
    <s v="No"/>
    <s v="Minor"/>
    <n v="2329"/>
    <n v="2282"/>
    <n v="2024"/>
    <n v="8"/>
  </r>
  <r>
    <s v="SHP-30290"/>
    <d v="2024-10-12T00:00:00"/>
    <x v="1"/>
    <s v="Bhubaneswar"/>
    <x v="2"/>
    <x v="1"/>
    <x v="2"/>
    <s v="Low"/>
    <n v="2"/>
    <n v="7"/>
    <n v="5"/>
    <s v="Yes"/>
    <n v="375"/>
    <n v="5770"/>
    <n v="8660"/>
    <n v="0"/>
    <s v="No"/>
    <s v="Major"/>
    <n v="1732"/>
    <n v="1154"/>
    <n v="2024"/>
    <n v="10"/>
  </r>
  <r>
    <s v="SHP-30291"/>
    <d v="2024-10-14T00:00:00"/>
    <x v="3"/>
    <s v="Pune"/>
    <x v="0"/>
    <x v="1"/>
    <x v="0"/>
    <s v="Medium"/>
    <n v="5"/>
    <n v="9"/>
    <n v="4"/>
    <s v="Yes"/>
    <n v="299"/>
    <n v="9260"/>
    <n v="19016"/>
    <n v="0"/>
    <s v="No"/>
    <s v="Major"/>
    <n v="4754"/>
    <n v="2315"/>
    <n v="2024"/>
    <n v="10"/>
  </r>
  <r>
    <s v="SHP-30292"/>
    <d v="2024-09-26T00:00:00"/>
    <x v="1"/>
    <s v="Bhubaneswar"/>
    <x v="2"/>
    <x v="2"/>
    <x v="4"/>
    <s v="Low"/>
    <n v="1"/>
    <n v="2"/>
    <n v="1"/>
    <s v="Yes"/>
    <n v="186"/>
    <n v="1399"/>
    <n v="3271"/>
    <n v="0"/>
    <s v="No"/>
    <s v="Minor"/>
    <n v="3271"/>
    <n v="1399"/>
    <n v="2024"/>
    <n v="9"/>
  </r>
  <r>
    <s v="SHP-30293"/>
    <d v="2024-06-13T00:00:00"/>
    <x v="2"/>
    <s v="Delhi"/>
    <x v="0"/>
    <x v="1"/>
    <x v="4"/>
    <s v="High"/>
    <n v="1"/>
    <n v="4"/>
    <n v="3"/>
    <s v="Yes"/>
    <n v="415"/>
    <n v="7212"/>
    <n v="7095"/>
    <n v="0"/>
    <s v="No"/>
    <s v="Major"/>
    <n v="2365"/>
    <n v="2404"/>
    <n v="2024"/>
    <n v="6"/>
  </r>
  <r>
    <s v="SHP-30294"/>
    <d v="2024-06-14T00:00:00"/>
    <x v="3"/>
    <s v="Pune"/>
    <x v="2"/>
    <x v="0"/>
    <x v="0"/>
    <s v="Medium"/>
    <n v="3"/>
    <n v="5"/>
    <n v="2"/>
    <s v="Yes"/>
    <n v="119"/>
    <n v="3348"/>
    <n v="3582"/>
    <n v="0"/>
    <s v="No"/>
    <s v="Minor"/>
    <n v="1791"/>
    <n v="1674"/>
    <n v="2024"/>
    <n v="6"/>
  </r>
  <r>
    <s v="SHP-30295"/>
    <d v="2024-11-10T00:00:00"/>
    <x v="3"/>
    <s v="Mumbai"/>
    <x v="2"/>
    <x v="2"/>
    <x v="0"/>
    <s v="High"/>
    <n v="2"/>
    <n v="7"/>
    <n v="5"/>
    <s v="Yes"/>
    <n v="304"/>
    <n v="7540"/>
    <n v="22180"/>
    <n v="0"/>
    <s v="No"/>
    <s v="Major"/>
    <n v="4436"/>
    <n v="1508"/>
    <n v="2024"/>
    <n v="11"/>
  </r>
  <r>
    <s v="SHP-30296"/>
    <d v="2024-05-29T00:00:00"/>
    <x v="3"/>
    <s v="Mumbai"/>
    <x v="2"/>
    <x v="1"/>
    <x v="2"/>
    <s v="High"/>
    <n v="1"/>
    <n v="6"/>
    <n v="5"/>
    <s v="Yes"/>
    <n v="168"/>
    <n v="10945"/>
    <n v="10695"/>
    <n v="0"/>
    <s v="No"/>
    <s v="Major"/>
    <n v="2139"/>
    <n v="2189"/>
    <n v="2024"/>
    <n v="5"/>
  </r>
  <r>
    <s v="SHP-30297"/>
    <d v="2024-08-07T00:00:00"/>
    <x v="0"/>
    <s v="Bengaluru"/>
    <x v="2"/>
    <x v="0"/>
    <x v="1"/>
    <s v="Medium"/>
    <n v="3"/>
    <n v="8"/>
    <n v="5"/>
    <s v="Yes"/>
    <n v="113"/>
    <n v="4030"/>
    <n v="22605"/>
    <n v="0"/>
    <s v="No"/>
    <s v="Major"/>
    <n v="4521"/>
    <n v="806"/>
    <n v="2024"/>
    <n v="8"/>
  </r>
  <r>
    <s v="SHP-30298"/>
    <d v="2024-12-18T00:00:00"/>
    <x v="0"/>
    <s v="Chennai"/>
    <x v="1"/>
    <x v="1"/>
    <x v="1"/>
    <s v="Low"/>
    <n v="3"/>
    <n v="3"/>
    <n v="0"/>
    <s v="No"/>
    <n v="301"/>
    <n v="0"/>
    <n v="0"/>
    <n v="1"/>
    <s v="No"/>
    <s v="On Time"/>
    <n v="0"/>
    <n v="0"/>
    <n v="2024"/>
    <n v="12"/>
  </r>
  <r>
    <s v="SHP-30299"/>
    <d v="2024-08-14T00:00:00"/>
    <x v="1"/>
    <s v="Bhubaneswar"/>
    <x v="2"/>
    <x v="1"/>
    <x v="3"/>
    <s v="Low"/>
    <n v="1"/>
    <n v="1"/>
    <n v="0"/>
    <s v="No"/>
    <n v="116"/>
    <n v="0"/>
    <n v="0"/>
    <n v="1"/>
    <s v="No"/>
    <s v="On Time"/>
    <n v="0"/>
    <n v="0"/>
    <n v="2024"/>
    <n v="8"/>
  </r>
  <r>
    <s v="SHP-30300"/>
    <d v="2024-04-03T00:00:00"/>
    <x v="0"/>
    <s v="Bengaluru"/>
    <x v="0"/>
    <x v="1"/>
    <x v="2"/>
    <s v="Low"/>
    <n v="2"/>
    <n v="4"/>
    <n v="2"/>
    <s v="Yes"/>
    <n v="178"/>
    <n v="2992"/>
    <n v="8758"/>
    <n v="0"/>
    <s v="No"/>
    <s v="Minor"/>
    <n v="4379"/>
    <n v="1496"/>
    <n v="2024"/>
    <n v="4"/>
  </r>
  <r>
    <s v="SHP-30301"/>
    <d v="2024-08-30T00:00:00"/>
    <x v="0"/>
    <s v="Bengaluru"/>
    <x v="1"/>
    <x v="1"/>
    <x v="3"/>
    <s v="High"/>
    <n v="2"/>
    <n v="10"/>
    <n v="8"/>
    <s v="Yes"/>
    <n v="175"/>
    <n v="11720"/>
    <n v="21648"/>
    <n v="0"/>
    <s v="No"/>
    <s v="Severe"/>
    <n v="2706"/>
    <n v="1465"/>
    <n v="2024"/>
    <n v="8"/>
  </r>
  <r>
    <s v="SHP-30302"/>
    <d v="2024-09-07T00:00:00"/>
    <x v="0"/>
    <s v="Chennai"/>
    <x v="2"/>
    <x v="1"/>
    <x v="3"/>
    <s v="Medium"/>
    <n v="3"/>
    <n v="3"/>
    <n v="0"/>
    <s v="No"/>
    <n v="161"/>
    <n v="0"/>
    <n v="0"/>
    <n v="1"/>
    <s v="No"/>
    <s v="On Time"/>
    <n v="0"/>
    <n v="0"/>
    <n v="2024"/>
    <n v="9"/>
  </r>
  <r>
    <s v="SHP-30303"/>
    <d v="2024-05-26T00:00:00"/>
    <x v="2"/>
    <s v="Delhi"/>
    <x v="1"/>
    <x v="1"/>
    <x v="4"/>
    <s v="Low"/>
    <n v="3"/>
    <n v="7"/>
    <n v="4"/>
    <s v="Yes"/>
    <n v="464"/>
    <n v="6740"/>
    <n v="17620"/>
    <n v="0"/>
    <s v="No"/>
    <s v="Major"/>
    <n v="4405"/>
    <n v="1685"/>
    <n v="2024"/>
    <n v="5"/>
  </r>
  <r>
    <s v="SHP-30304"/>
    <d v="2024-02-18T00:00:00"/>
    <x v="1"/>
    <s v="Bhubaneswar"/>
    <x v="0"/>
    <x v="1"/>
    <x v="2"/>
    <s v="High"/>
    <n v="3"/>
    <n v="6"/>
    <n v="3"/>
    <s v="Yes"/>
    <n v="130"/>
    <n v="3069"/>
    <n v="13587"/>
    <n v="0"/>
    <s v="No"/>
    <s v="Major"/>
    <n v="4529"/>
    <n v="1023"/>
    <n v="2024"/>
    <n v="2"/>
  </r>
  <r>
    <s v="SHP-30305"/>
    <d v="2024-08-16T00:00:00"/>
    <x v="2"/>
    <s v="Delhi"/>
    <x v="0"/>
    <x v="1"/>
    <x v="3"/>
    <s v="Low"/>
    <n v="1"/>
    <n v="5"/>
    <n v="4"/>
    <s v="Yes"/>
    <n v="471"/>
    <n v="5840"/>
    <n v="7120"/>
    <n v="0"/>
    <s v="No"/>
    <s v="Major"/>
    <n v="1780"/>
    <n v="1460"/>
    <n v="2024"/>
    <n v="8"/>
  </r>
  <r>
    <s v="SHP-30306"/>
    <d v="2024-09-20T00:00:00"/>
    <x v="0"/>
    <s v="Chennai"/>
    <x v="2"/>
    <x v="1"/>
    <x v="0"/>
    <s v="High"/>
    <n v="2"/>
    <n v="10"/>
    <n v="8"/>
    <s v="Yes"/>
    <n v="287"/>
    <n v="7216"/>
    <n v="23760"/>
    <n v="0"/>
    <s v="No"/>
    <s v="Severe"/>
    <n v="2970"/>
    <n v="902"/>
    <n v="2024"/>
    <n v="9"/>
  </r>
  <r>
    <s v="SHP-30307"/>
    <d v="2024-07-21T00:00:00"/>
    <x v="0"/>
    <s v="Bengaluru"/>
    <x v="2"/>
    <x v="0"/>
    <x v="1"/>
    <s v="Low"/>
    <n v="3"/>
    <n v="4"/>
    <n v="1"/>
    <s v="Yes"/>
    <n v="468"/>
    <n v="871"/>
    <n v="1853"/>
    <n v="0"/>
    <s v="No"/>
    <s v="Minor"/>
    <n v="1853"/>
    <n v="871"/>
    <n v="2024"/>
    <n v="7"/>
  </r>
  <r>
    <s v="SHP-30308"/>
    <d v="2024-11-17T00:00:00"/>
    <x v="3"/>
    <s v="Mumbai"/>
    <x v="0"/>
    <x v="1"/>
    <x v="0"/>
    <s v="Low"/>
    <n v="3"/>
    <n v="6"/>
    <n v="3"/>
    <s v="Yes"/>
    <n v="226"/>
    <n v="7239"/>
    <n v="7374"/>
    <n v="0"/>
    <s v="No"/>
    <s v="Major"/>
    <n v="2458"/>
    <n v="2413"/>
    <n v="2024"/>
    <n v="11"/>
  </r>
  <r>
    <s v="SHP-30309"/>
    <d v="2024-12-05T00:00:00"/>
    <x v="3"/>
    <s v="Pune"/>
    <x v="2"/>
    <x v="0"/>
    <x v="3"/>
    <s v="Low"/>
    <n v="3"/>
    <n v="5"/>
    <n v="2"/>
    <s v="Yes"/>
    <n v="414"/>
    <n v="1776"/>
    <n v="9512"/>
    <n v="0"/>
    <s v="No"/>
    <s v="Minor"/>
    <n v="4756"/>
    <n v="888"/>
    <n v="2024"/>
    <n v="12"/>
  </r>
  <r>
    <s v="SHP-30310"/>
    <d v="2024-01-10T00:00:00"/>
    <x v="1"/>
    <s v="Kolkata"/>
    <x v="1"/>
    <x v="0"/>
    <x v="2"/>
    <s v="Low"/>
    <n v="2"/>
    <n v="7"/>
    <n v="5"/>
    <s v="Yes"/>
    <n v="489"/>
    <n v="7560"/>
    <n v="15390"/>
    <n v="0"/>
    <s v="No"/>
    <s v="Major"/>
    <n v="3078"/>
    <n v="1512"/>
    <n v="2024"/>
    <n v="1"/>
  </r>
  <r>
    <s v="SHP-30311"/>
    <d v="2024-08-12T00:00:00"/>
    <x v="1"/>
    <s v="Kolkata"/>
    <x v="0"/>
    <x v="2"/>
    <x v="0"/>
    <s v="Medium"/>
    <n v="1"/>
    <n v="5"/>
    <n v="4"/>
    <s v="Yes"/>
    <n v="376"/>
    <n v="5260"/>
    <n v="18880"/>
    <n v="0"/>
    <s v="No"/>
    <s v="Major"/>
    <n v="4720"/>
    <n v="1315"/>
    <n v="2024"/>
    <n v="8"/>
  </r>
  <r>
    <s v="SHP-30312"/>
    <d v="2024-11-26T00:00:00"/>
    <x v="0"/>
    <s v="Bengaluru"/>
    <x v="1"/>
    <x v="2"/>
    <x v="3"/>
    <s v="Low"/>
    <n v="3"/>
    <n v="4"/>
    <n v="1"/>
    <s v="Yes"/>
    <n v="374"/>
    <n v="1365"/>
    <n v="4016"/>
    <n v="0"/>
    <s v="No"/>
    <s v="Minor"/>
    <n v="4016"/>
    <n v="1365"/>
    <n v="2024"/>
    <n v="11"/>
  </r>
  <r>
    <s v="SHP-30313"/>
    <d v="2024-02-04T00:00:00"/>
    <x v="1"/>
    <s v="Bhubaneswar"/>
    <x v="1"/>
    <x v="2"/>
    <x v="1"/>
    <s v="Medium"/>
    <n v="3"/>
    <n v="5"/>
    <n v="2"/>
    <s v="Yes"/>
    <n v="282"/>
    <n v="2798"/>
    <n v="4722"/>
    <n v="0"/>
    <s v="No"/>
    <s v="Minor"/>
    <n v="2361"/>
    <n v="1399"/>
    <n v="2024"/>
    <n v="2"/>
  </r>
  <r>
    <s v="SHP-30314"/>
    <d v="2024-09-20T00:00:00"/>
    <x v="3"/>
    <s v="Pune"/>
    <x v="0"/>
    <x v="1"/>
    <x v="4"/>
    <s v="Medium"/>
    <n v="2"/>
    <n v="7"/>
    <n v="5"/>
    <s v="Yes"/>
    <n v="109"/>
    <n v="8845"/>
    <n v="18525"/>
    <n v="0"/>
    <s v="No"/>
    <s v="Major"/>
    <n v="3705"/>
    <n v="1769"/>
    <n v="2024"/>
    <n v="9"/>
  </r>
  <r>
    <s v="SHP-30315"/>
    <d v="2024-08-26T00:00:00"/>
    <x v="2"/>
    <s v="Delhi"/>
    <x v="2"/>
    <x v="0"/>
    <x v="0"/>
    <s v="Medium"/>
    <n v="2"/>
    <n v="2"/>
    <n v="0"/>
    <s v="No"/>
    <n v="296"/>
    <n v="0"/>
    <n v="0"/>
    <n v="1"/>
    <s v="No"/>
    <s v="On Time"/>
    <n v="0"/>
    <n v="0"/>
    <n v="2024"/>
    <n v="8"/>
  </r>
  <r>
    <s v="SHP-30316"/>
    <d v="2024-12-22T00:00:00"/>
    <x v="1"/>
    <s v="Kolkata"/>
    <x v="0"/>
    <x v="0"/>
    <x v="1"/>
    <s v="Medium"/>
    <n v="1"/>
    <n v="4"/>
    <n v="3"/>
    <s v="Yes"/>
    <n v="396"/>
    <n v="2805"/>
    <n v="6600"/>
    <n v="0"/>
    <s v="No"/>
    <s v="Major"/>
    <n v="2200"/>
    <n v="935"/>
    <n v="2024"/>
    <n v="12"/>
  </r>
  <r>
    <s v="SHP-30317"/>
    <d v="2024-12-03T00:00:00"/>
    <x v="0"/>
    <s v="Bengaluru"/>
    <x v="2"/>
    <x v="0"/>
    <x v="1"/>
    <s v="Medium"/>
    <n v="2"/>
    <n v="5"/>
    <n v="3"/>
    <s v="Yes"/>
    <n v="346"/>
    <n v="7056"/>
    <n v="10899"/>
    <n v="0"/>
    <s v="No"/>
    <s v="Major"/>
    <n v="3633"/>
    <n v="2352"/>
    <n v="2024"/>
    <n v="12"/>
  </r>
  <r>
    <s v="SHP-30318"/>
    <d v="2024-06-02T00:00:00"/>
    <x v="0"/>
    <s v="Chennai"/>
    <x v="1"/>
    <x v="1"/>
    <x v="2"/>
    <s v="High"/>
    <n v="2"/>
    <n v="5"/>
    <n v="3"/>
    <s v="Yes"/>
    <n v="150"/>
    <n v="7476"/>
    <n v="10917"/>
    <n v="0"/>
    <s v="No"/>
    <s v="Major"/>
    <n v="3639"/>
    <n v="2492"/>
    <n v="2024"/>
    <n v="6"/>
  </r>
  <r>
    <s v="SHP-30319"/>
    <d v="2024-04-01T00:00:00"/>
    <x v="0"/>
    <s v="Chennai"/>
    <x v="2"/>
    <x v="0"/>
    <x v="1"/>
    <s v="Medium"/>
    <n v="1"/>
    <n v="5"/>
    <n v="4"/>
    <s v="Yes"/>
    <n v="417"/>
    <n v="3872"/>
    <n v="15156"/>
    <n v="0"/>
    <s v="No"/>
    <s v="Major"/>
    <n v="3789"/>
    <n v="968"/>
    <n v="2024"/>
    <n v="4"/>
  </r>
  <r>
    <s v="SHP-30320"/>
    <d v="2024-03-11T00:00:00"/>
    <x v="1"/>
    <s v="Bhubaneswar"/>
    <x v="1"/>
    <x v="0"/>
    <x v="3"/>
    <s v="Low"/>
    <n v="1"/>
    <n v="5"/>
    <n v="4"/>
    <s v="Yes"/>
    <n v="471"/>
    <n v="3828"/>
    <n v="11844"/>
    <n v="0"/>
    <s v="No"/>
    <s v="Major"/>
    <n v="2961"/>
    <n v="957"/>
    <n v="2024"/>
    <n v="3"/>
  </r>
  <r>
    <s v="SHP-30321"/>
    <d v="2024-04-04T00:00:00"/>
    <x v="0"/>
    <s v="Bengaluru"/>
    <x v="1"/>
    <x v="1"/>
    <x v="2"/>
    <s v="Low"/>
    <n v="1"/>
    <n v="3"/>
    <n v="2"/>
    <s v="Yes"/>
    <n v="382"/>
    <n v="2184"/>
    <n v="3530"/>
    <n v="0"/>
    <s v="No"/>
    <s v="Minor"/>
    <n v="1765"/>
    <n v="1092"/>
    <n v="2024"/>
    <n v="4"/>
  </r>
  <r>
    <s v="SHP-30322"/>
    <d v="2024-12-22T00:00:00"/>
    <x v="2"/>
    <s v="Delhi"/>
    <x v="1"/>
    <x v="0"/>
    <x v="1"/>
    <s v="High"/>
    <n v="1"/>
    <n v="5"/>
    <n v="4"/>
    <s v="Yes"/>
    <n v="368"/>
    <n v="6756"/>
    <n v="12036"/>
    <n v="0"/>
    <s v="No"/>
    <s v="Major"/>
    <n v="3009"/>
    <n v="1689"/>
    <n v="2024"/>
    <n v="12"/>
  </r>
  <r>
    <s v="SHP-30323"/>
    <d v="2024-09-18T00:00:00"/>
    <x v="2"/>
    <s v="Noida"/>
    <x v="1"/>
    <x v="1"/>
    <x v="0"/>
    <s v="Low"/>
    <n v="1"/>
    <n v="5"/>
    <n v="4"/>
    <s v="Yes"/>
    <n v="397"/>
    <n v="6580"/>
    <n v="10976"/>
    <n v="0"/>
    <s v="No"/>
    <s v="Major"/>
    <n v="2744"/>
    <n v="1645"/>
    <n v="2024"/>
    <n v="9"/>
  </r>
  <r>
    <s v="SHP-30324"/>
    <d v="2024-06-15T00:00:00"/>
    <x v="2"/>
    <s v="Noida"/>
    <x v="0"/>
    <x v="1"/>
    <x v="4"/>
    <s v="Low"/>
    <n v="1"/>
    <n v="1"/>
    <n v="0"/>
    <s v="No"/>
    <n v="401"/>
    <n v="0"/>
    <n v="0"/>
    <n v="1"/>
    <s v="No"/>
    <s v="On Time"/>
    <n v="0"/>
    <n v="0"/>
    <n v="2024"/>
    <n v="6"/>
  </r>
  <r>
    <s v="SHP-30325"/>
    <d v="2024-08-23T00:00:00"/>
    <x v="2"/>
    <s v="Noida"/>
    <x v="0"/>
    <x v="0"/>
    <x v="0"/>
    <s v="Low"/>
    <n v="2"/>
    <n v="6"/>
    <n v="4"/>
    <s v="Yes"/>
    <n v="258"/>
    <n v="4576"/>
    <n v="10292"/>
    <n v="0"/>
    <s v="No"/>
    <s v="Major"/>
    <n v="2573"/>
    <n v="1144"/>
    <n v="2024"/>
    <n v="8"/>
  </r>
  <r>
    <s v="SHP-30326"/>
    <d v="2024-06-03T00:00:00"/>
    <x v="0"/>
    <s v="Chennai"/>
    <x v="0"/>
    <x v="1"/>
    <x v="3"/>
    <s v="High"/>
    <n v="1"/>
    <n v="6"/>
    <n v="5"/>
    <s v="Yes"/>
    <n v="487"/>
    <n v="7790"/>
    <n v="23505"/>
    <n v="0"/>
    <s v="No"/>
    <s v="Major"/>
    <n v="4701"/>
    <n v="1558"/>
    <n v="2024"/>
    <n v="6"/>
  </r>
  <r>
    <s v="SHP-30327"/>
    <d v="2024-10-24T00:00:00"/>
    <x v="3"/>
    <s v="Mumbai"/>
    <x v="2"/>
    <x v="1"/>
    <x v="3"/>
    <s v="Medium"/>
    <n v="2"/>
    <n v="4"/>
    <n v="2"/>
    <s v="Yes"/>
    <n v="271"/>
    <n v="2072"/>
    <n v="4070"/>
    <n v="0"/>
    <s v="No"/>
    <s v="Minor"/>
    <n v="2035"/>
    <n v="1036"/>
    <n v="2024"/>
    <n v="10"/>
  </r>
  <r>
    <s v="SHP-30328"/>
    <d v="2024-12-23T00:00:00"/>
    <x v="0"/>
    <s v="Bengaluru"/>
    <x v="2"/>
    <x v="1"/>
    <x v="1"/>
    <s v="Low"/>
    <n v="1"/>
    <n v="2"/>
    <n v="1"/>
    <s v="Yes"/>
    <n v="217"/>
    <n v="1314"/>
    <n v="2515"/>
    <n v="0"/>
    <s v="No"/>
    <s v="Minor"/>
    <n v="2515"/>
    <n v="1314"/>
    <n v="2024"/>
    <n v="12"/>
  </r>
  <r>
    <s v="SHP-30329"/>
    <d v="2024-03-14T00:00:00"/>
    <x v="2"/>
    <s v="Noida"/>
    <x v="0"/>
    <x v="0"/>
    <x v="1"/>
    <s v="Medium"/>
    <n v="2"/>
    <n v="5"/>
    <n v="3"/>
    <s v="Yes"/>
    <n v="421"/>
    <n v="5490"/>
    <n v="12792"/>
    <n v="0"/>
    <s v="No"/>
    <s v="Major"/>
    <n v="4264"/>
    <n v="1830"/>
    <n v="2024"/>
    <n v="3"/>
  </r>
  <r>
    <s v="SHP-30330"/>
    <d v="2024-11-10T00:00:00"/>
    <x v="1"/>
    <s v="Kolkata"/>
    <x v="0"/>
    <x v="1"/>
    <x v="4"/>
    <s v="High"/>
    <n v="3"/>
    <n v="8"/>
    <n v="5"/>
    <s v="Yes"/>
    <n v="353"/>
    <n v="12130"/>
    <n v="8290"/>
    <n v="0"/>
    <s v="No"/>
    <s v="Major"/>
    <n v="1658"/>
    <n v="2426"/>
    <n v="2024"/>
    <n v="11"/>
  </r>
  <r>
    <s v="SHP-30331"/>
    <d v="2024-05-30T00:00:00"/>
    <x v="2"/>
    <s v="Delhi"/>
    <x v="0"/>
    <x v="0"/>
    <x v="0"/>
    <s v="Low"/>
    <n v="3"/>
    <n v="7"/>
    <n v="4"/>
    <s v="Yes"/>
    <n v="477"/>
    <n v="7044"/>
    <n v="6320"/>
    <n v="0"/>
    <s v="No"/>
    <s v="Major"/>
    <n v="1580"/>
    <n v="1761"/>
    <n v="2024"/>
    <n v="5"/>
  </r>
  <r>
    <s v="SHP-30332"/>
    <d v="2024-06-14T00:00:00"/>
    <x v="2"/>
    <s v="Noida"/>
    <x v="2"/>
    <x v="2"/>
    <x v="3"/>
    <s v="Medium"/>
    <n v="1"/>
    <n v="4"/>
    <n v="3"/>
    <s v="Yes"/>
    <n v="167"/>
    <n v="4791"/>
    <n v="5874"/>
    <n v="0"/>
    <s v="No"/>
    <s v="Major"/>
    <n v="1958"/>
    <n v="1597"/>
    <n v="2024"/>
    <n v="6"/>
  </r>
  <r>
    <s v="SHP-30333"/>
    <d v="2024-06-02T00:00:00"/>
    <x v="0"/>
    <s v="Chennai"/>
    <x v="2"/>
    <x v="2"/>
    <x v="1"/>
    <s v="Medium"/>
    <n v="5"/>
    <n v="12"/>
    <n v="7"/>
    <s v="Yes"/>
    <n v="338"/>
    <n v="9471"/>
    <n v="33033"/>
    <n v="0"/>
    <s v="No"/>
    <s v="Severe"/>
    <n v="4719"/>
    <n v="1353"/>
    <n v="2024"/>
    <n v="6"/>
  </r>
  <r>
    <s v="SHP-30334"/>
    <d v="2024-09-22T00:00:00"/>
    <x v="3"/>
    <s v="Mumbai"/>
    <x v="0"/>
    <x v="2"/>
    <x v="1"/>
    <s v="High"/>
    <n v="1"/>
    <n v="4"/>
    <n v="3"/>
    <s v="Yes"/>
    <n v="230"/>
    <n v="2808"/>
    <n v="13572"/>
    <n v="0"/>
    <s v="No"/>
    <s v="Major"/>
    <n v="4524"/>
    <n v="936"/>
    <n v="2024"/>
    <n v="9"/>
  </r>
  <r>
    <s v="SHP-30335"/>
    <d v="2024-11-13T00:00:00"/>
    <x v="1"/>
    <s v="Kolkata"/>
    <x v="0"/>
    <x v="2"/>
    <x v="4"/>
    <s v="High"/>
    <n v="3"/>
    <n v="11"/>
    <n v="8"/>
    <s v="Yes"/>
    <n v="342"/>
    <n v="13168"/>
    <n v="29048"/>
    <n v="0"/>
    <s v="No"/>
    <s v="Severe"/>
    <n v="3631"/>
    <n v="1646"/>
    <n v="2024"/>
    <n v="11"/>
  </r>
  <r>
    <s v="SHP-30336"/>
    <d v="2024-10-18T00:00:00"/>
    <x v="0"/>
    <s v="Chennai"/>
    <x v="1"/>
    <x v="0"/>
    <x v="4"/>
    <s v="Low"/>
    <n v="1"/>
    <n v="3"/>
    <n v="2"/>
    <s v="Yes"/>
    <n v="298"/>
    <n v="4338"/>
    <n v="6224"/>
    <n v="0"/>
    <s v="No"/>
    <s v="Minor"/>
    <n v="3112"/>
    <n v="2169"/>
    <n v="2024"/>
    <n v="10"/>
  </r>
  <r>
    <s v="SHP-30337"/>
    <d v="2024-01-11T00:00:00"/>
    <x v="3"/>
    <s v="Mumbai"/>
    <x v="1"/>
    <x v="0"/>
    <x v="0"/>
    <s v="Medium"/>
    <n v="1"/>
    <n v="2"/>
    <n v="1"/>
    <s v="Yes"/>
    <n v="416"/>
    <n v="1331"/>
    <n v="2536"/>
    <n v="0"/>
    <s v="No"/>
    <s v="Minor"/>
    <n v="2536"/>
    <n v="1331"/>
    <n v="2024"/>
    <n v="1"/>
  </r>
  <r>
    <s v="SHP-30338"/>
    <d v="2024-03-25T00:00:00"/>
    <x v="3"/>
    <s v="Pune"/>
    <x v="1"/>
    <x v="0"/>
    <x v="4"/>
    <s v="Medium"/>
    <n v="2"/>
    <n v="3"/>
    <n v="1"/>
    <s v="Yes"/>
    <n v="248"/>
    <n v="2001"/>
    <n v="3468"/>
    <n v="0"/>
    <s v="No"/>
    <s v="Minor"/>
    <n v="3468"/>
    <n v="2001"/>
    <n v="2024"/>
    <n v="3"/>
  </r>
  <r>
    <s v="SHP-30339"/>
    <d v="2024-06-24T00:00:00"/>
    <x v="0"/>
    <s v="Bengaluru"/>
    <x v="2"/>
    <x v="2"/>
    <x v="3"/>
    <s v="Low"/>
    <n v="2"/>
    <n v="8"/>
    <n v="6"/>
    <s v="Yes"/>
    <n v="79"/>
    <n v="13986"/>
    <n v="16080"/>
    <n v="0"/>
    <s v="No"/>
    <s v="Severe"/>
    <n v="2680"/>
    <n v="2331"/>
    <n v="2024"/>
    <n v="6"/>
  </r>
  <r>
    <s v="SHP-30340"/>
    <d v="2024-12-09T00:00:00"/>
    <x v="0"/>
    <s v="Bengaluru"/>
    <x v="2"/>
    <x v="1"/>
    <x v="2"/>
    <s v="Low"/>
    <n v="1"/>
    <n v="4"/>
    <n v="3"/>
    <s v="Yes"/>
    <n v="455"/>
    <n v="6996"/>
    <n v="14619"/>
    <n v="0"/>
    <s v="No"/>
    <s v="Major"/>
    <n v="4873"/>
    <n v="2332"/>
    <n v="2024"/>
    <n v="12"/>
  </r>
  <r>
    <s v="SHP-30341"/>
    <d v="2024-04-23T00:00:00"/>
    <x v="2"/>
    <s v="Noida"/>
    <x v="2"/>
    <x v="2"/>
    <x v="2"/>
    <s v="Medium"/>
    <n v="2"/>
    <n v="8"/>
    <n v="6"/>
    <s v="Yes"/>
    <n v="367"/>
    <n v="10356"/>
    <n v="19512"/>
    <n v="0"/>
    <s v="No"/>
    <s v="Severe"/>
    <n v="3252"/>
    <n v="1726"/>
    <n v="2024"/>
    <n v="4"/>
  </r>
  <r>
    <s v="SHP-30342"/>
    <d v="2024-09-07T00:00:00"/>
    <x v="0"/>
    <s v="Bengaluru"/>
    <x v="2"/>
    <x v="2"/>
    <x v="2"/>
    <s v="Low"/>
    <n v="2"/>
    <n v="8"/>
    <n v="6"/>
    <s v="Yes"/>
    <n v="157"/>
    <n v="7398"/>
    <n v="20790"/>
    <n v="0"/>
    <s v="No"/>
    <s v="Severe"/>
    <n v="3465"/>
    <n v="1233"/>
    <n v="2024"/>
    <n v="9"/>
  </r>
  <r>
    <s v="SHP-30343"/>
    <d v="2024-11-21T00:00:00"/>
    <x v="1"/>
    <s v="Kolkata"/>
    <x v="1"/>
    <x v="0"/>
    <x v="1"/>
    <s v="Medium"/>
    <n v="5"/>
    <n v="10"/>
    <n v="5"/>
    <s v="Yes"/>
    <n v="138"/>
    <n v="7285"/>
    <n v="9600"/>
    <n v="0"/>
    <s v="No"/>
    <s v="Major"/>
    <n v="1920"/>
    <n v="1457"/>
    <n v="2024"/>
    <n v="11"/>
  </r>
  <r>
    <s v="SHP-30344"/>
    <d v="2024-11-30T00:00:00"/>
    <x v="2"/>
    <s v="Noida"/>
    <x v="1"/>
    <x v="1"/>
    <x v="0"/>
    <s v="Low"/>
    <n v="1"/>
    <n v="6"/>
    <n v="5"/>
    <s v="Yes"/>
    <n v="63"/>
    <n v="9400"/>
    <n v="21685"/>
    <n v="0"/>
    <s v="No"/>
    <s v="Major"/>
    <n v="4337"/>
    <n v="1880"/>
    <n v="2024"/>
    <n v="11"/>
  </r>
  <r>
    <s v="SHP-30345"/>
    <d v="2024-01-23T00:00:00"/>
    <x v="1"/>
    <s v="Kolkata"/>
    <x v="0"/>
    <x v="1"/>
    <x v="2"/>
    <s v="Medium"/>
    <n v="2"/>
    <n v="7"/>
    <n v="5"/>
    <s v="Yes"/>
    <n v="203"/>
    <n v="4750"/>
    <n v="23300"/>
    <n v="0"/>
    <s v="No"/>
    <s v="Major"/>
    <n v="4660"/>
    <n v="950"/>
    <n v="2024"/>
    <n v="1"/>
  </r>
  <r>
    <s v="SHP-30346"/>
    <d v="2024-04-30T00:00:00"/>
    <x v="1"/>
    <s v="Kolkata"/>
    <x v="2"/>
    <x v="2"/>
    <x v="4"/>
    <s v="Low"/>
    <n v="1"/>
    <n v="7"/>
    <n v="6"/>
    <s v="Yes"/>
    <n v="122"/>
    <n v="14250"/>
    <n v="11916"/>
    <n v="0"/>
    <s v="No"/>
    <s v="Severe"/>
    <n v="1986"/>
    <n v="2375"/>
    <n v="2024"/>
    <n v="4"/>
  </r>
  <r>
    <s v="SHP-30347"/>
    <d v="2024-07-22T00:00:00"/>
    <x v="0"/>
    <s v="Bengaluru"/>
    <x v="1"/>
    <x v="1"/>
    <x v="3"/>
    <s v="Medium"/>
    <n v="2"/>
    <n v="6"/>
    <n v="4"/>
    <s v="Yes"/>
    <n v="67"/>
    <n v="7012"/>
    <n v="10724"/>
    <n v="0"/>
    <s v="No"/>
    <s v="Major"/>
    <n v="2681"/>
    <n v="1753"/>
    <n v="2024"/>
    <n v="7"/>
  </r>
  <r>
    <s v="SHP-30348"/>
    <d v="2024-11-12T00:00:00"/>
    <x v="2"/>
    <s v="Noida"/>
    <x v="2"/>
    <x v="0"/>
    <x v="0"/>
    <s v="Low"/>
    <n v="2"/>
    <n v="6"/>
    <n v="4"/>
    <s v="Yes"/>
    <n v="72"/>
    <n v="9136"/>
    <n v="12036"/>
    <n v="0"/>
    <s v="No"/>
    <s v="Major"/>
    <n v="3009"/>
    <n v="2284"/>
    <n v="2024"/>
    <n v="11"/>
  </r>
  <r>
    <s v="SHP-30349"/>
    <d v="2024-08-07T00:00:00"/>
    <x v="0"/>
    <s v="Bengaluru"/>
    <x v="2"/>
    <x v="0"/>
    <x v="1"/>
    <s v="Medium"/>
    <n v="3"/>
    <n v="8"/>
    <n v="5"/>
    <s v="Yes"/>
    <n v="170"/>
    <n v="12105"/>
    <n v="22470"/>
    <n v="0"/>
    <s v="No"/>
    <s v="Major"/>
    <n v="4494"/>
    <n v="2421"/>
    <n v="2024"/>
    <n v="8"/>
  </r>
  <r>
    <s v="SHP-30350"/>
    <d v="2024-02-25T00:00:00"/>
    <x v="1"/>
    <s v="Bhubaneswar"/>
    <x v="1"/>
    <x v="0"/>
    <x v="0"/>
    <s v="Low"/>
    <n v="1"/>
    <n v="5"/>
    <n v="4"/>
    <s v="Yes"/>
    <n v="467"/>
    <n v="4008"/>
    <n v="11964"/>
    <n v="0"/>
    <s v="No"/>
    <s v="Major"/>
    <n v="2991"/>
    <n v="1002"/>
    <n v="2024"/>
    <n v="2"/>
  </r>
  <r>
    <s v="SHP-30351"/>
    <d v="2024-12-29T00:00:00"/>
    <x v="3"/>
    <s v="Mumbai"/>
    <x v="1"/>
    <x v="1"/>
    <x v="3"/>
    <s v="Medium"/>
    <n v="1"/>
    <n v="5"/>
    <n v="4"/>
    <s v="Yes"/>
    <n v="67"/>
    <n v="6932"/>
    <n v="10052"/>
    <n v="0"/>
    <s v="No"/>
    <s v="Major"/>
    <n v="2513"/>
    <n v="1733"/>
    <n v="2024"/>
    <n v="12"/>
  </r>
  <r>
    <s v="SHP-30352"/>
    <d v="2024-09-14T00:00:00"/>
    <x v="0"/>
    <s v="Bengaluru"/>
    <x v="2"/>
    <x v="0"/>
    <x v="2"/>
    <s v="Low"/>
    <n v="2"/>
    <n v="5"/>
    <n v="3"/>
    <s v="Yes"/>
    <n v="184"/>
    <n v="5277"/>
    <n v="11145"/>
    <n v="0"/>
    <s v="No"/>
    <s v="Major"/>
    <n v="3715"/>
    <n v="1759"/>
    <n v="2024"/>
    <n v="9"/>
  </r>
  <r>
    <s v="SHP-30353"/>
    <d v="2024-05-13T00:00:00"/>
    <x v="2"/>
    <s v="Noida"/>
    <x v="2"/>
    <x v="1"/>
    <x v="0"/>
    <s v="High"/>
    <n v="3"/>
    <n v="11"/>
    <n v="8"/>
    <s v="Yes"/>
    <n v="218"/>
    <n v="10384"/>
    <n v="29032"/>
    <n v="0"/>
    <s v="No"/>
    <s v="Severe"/>
    <n v="3629"/>
    <n v="1298"/>
    <n v="2024"/>
    <n v="5"/>
  </r>
  <r>
    <s v="SHP-30354"/>
    <d v="2024-09-21T00:00:00"/>
    <x v="3"/>
    <s v="Pune"/>
    <x v="2"/>
    <x v="1"/>
    <x v="1"/>
    <s v="Low"/>
    <n v="1"/>
    <n v="1"/>
    <n v="0"/>
    <s v="No"/>
    <n v="145"/>
    <n v="0"/>
    <n v="0"/>
    <n v="1"/>
    <s v="No"/>
    <s v="On Time"/>
    <n v="0"/>
    <n v="0"/>
    <n v="2024"/>
    <n v="9"/>
  </r>
  <r>
    <s v="SHP-30355"/>
    <d v="2024-05-12T00:00:00"/>
    <x v="2"/>
    <s v="Delhi"/>
    <x v="2"/>
    <x v="1"/>
    <x v="4"/>
    <s v="Low"/>
    <n v="2"/>
    <n v="3"/>
    <n v="1"/>
    <s v="Yes"/>
    <n v="268"/>
    <n v="2461"/>
    <n v="2835"/>
    <n v="0"/>
    <s v="No"/>
    <s v="Minor"/>
    <n v="2835"/>
    <n v="2461"/>
    <n v="2024"/>
    <n v="5"/>
  </r>
  <r>
    <s v="SHP-30356"/>
    <d v="2024-03-27T00:00:00"/>
    <x v="1"/>
    <s v="Kolkata"/>
    <x v="2"/>
    <x v="0"/>
    <x v="0"/>
    <s v="Low"/>
    <n v="2"/>
    <n v="7"/>
    <n v="5"/>
    <s v="Yes"/>
    <n v="208"/>
    <n v="9590"/>
    <n v="11170"/>
    <n v="0"/>
    <s v="No"/>
    <s v="Major"/>
    <n v="2234"/>
    <n v="1918"/>
    <n v="2024"/>
    <n v="3"/>
  </r>
  <r>
    <s v="SHP-30357"/>
    <d v="2024-03-21T00:00:00"/>
    <x v="0"/>
    <s v="Bengaluru"/>
    <x v="1"/>
    <x v="0"/>
    <x v="3"/>
    <s v="Low"/>
    <n v="1"/>
    <n v="1"/>
    <n v="0"/>
    <s v="No"/>
    <n v="360"/>
    <n v="0"/>
    <n v="0"/>
    <n v="1"/>
    <s v="No"/>
    <s v="On Time"/>
    <n v="0"/>
    <n v="0"/>
    <n v="2024"/>
    <n v="3"/>
  </r>
  <r>
    <s v="SHP-30358"/>
    <d v="2024-12-26T00:00:00"/>
    <x v="3"/>
    <s v="Pune"/>
    <x v="0"/>
    <x v="1"/>
    <x v="2"/>
    <s v="Low"/>
    <n v="2"/>
    <n v="5"/>
    <n v="3"/>
    <s v="Yes"/>
    <n v="254"/>
    <n v="6855"/>
    <n v="6699"/>
    <n v="0"/>
    <s v="No"/>
    <s v="Major"/>
    <n v="2233"/>
    <n v="2285"/>
    <n v="2024"/>
    <n v="12"/>
  </r>
  <r>
    <s v="SHP-30359"/>
    <d v="2024-01-15T00:00:00"/>
    <x v="3"/>
    <s v="Mumbai"/>
    <x v="2"/>
    <x v="1"/>
    <x v="0"/>
    <s v="Low"/>
    <n v="2"/>
    <n v="3"/>
    <n v="1"/>
    <s v="Yes"/>
    <n v="84"/>
    <n v="1809"/>
    <n v="4380"/>
    <n v="0"/>
    <s v="No"/>
    <s v="Minor"/>
    <n v="4380"/>
    <n v="1809"/>
    <n v="2024"/>
    <n v="1"/>
  </r>
  <r>
    <s v="SHP-30360"/>
    <d v="2024-09-12T00:00:00"/>
    <x v="3"/>
    <s v="Mumbai"/>
    <x v="2"/>
    <x v="0"/>
    <x v="3"/>
    <s v="Medium"/>
    <n v="2"/>
    <n v="5"/>
    <n v="3"/>
    <s v="Yes"/>
    <n v="291"/>
    <n v="4887"/>
    <n v="13608"/>
    <n v="0"/>
    <s v="No"/>
    <s v="Major"/>
    <n v="4536"/>
    <n v="1629"/>
    <n v="2024"/>
    <n v="9"/>
  </r>
  <r>
    <s v="SHP-30361"/>
    <d v="2024-08-22T00:00:00"/>
    <x v="0"/>
    <s v="Chennai"/>
    <x v="0"/>
    <x v="2"/>
    <x v="4"/>
    <s v="Low"/>
    <n v="2"/>
    <n v="9"/>
    <n v="7"/>
    <s v="Yes"/>
    <n v="110"/>
    <n v="10486"/>
    <n v="11172"/>
    <n v="0"/>
    <s v="No"/>
    <s v="Severe"/>
    <n v="1596"/>
    <n v="1498"/>
    <n v="2024"/>
    <n v="8"/>
  </r>
  <r>
    <s v="SHP-30362"/>
    <d v="2024-03-17T00:00:00"/>
    <x v="1"/>
    <s v="Kolkata"/>
    <x v="1"/>
    <x v="0"/>
    <x v="1"/>
    <s v="Medium"/>
    <n v="1"/>
    <n v="1"/>
    <n v="0"/>
    <s v="No"/>
    <n v="220"/>
    <n v="0"/>
    <n v="0"/>
    <n v="1"/>
    <s v="No"/>
    <s v="On Time"/>
    <n v="0"/>
    <n v="0"/>
    <n v="2024"/>
    <n v="3"/>
  </r>
  <r>
    <s v="SHP-30363"/>
    <d v="2024-02-16T00:00:00"/>
    <x v="2"/>
    <s v="Noida"/>
    <x v="2"/>
    <x v="0"/>
    <x v="4"/>
    <s v="Low"/>
    <n v="3"/>
    <n v="8"/>
    <n v="5"/>
    <s v="Yes"/>
    <n v="107"/>
    <n v="9190"/>
    <n v="14765"/>
    <n v="0"/>
    <s v="No"/>
    <s v="Major"/>
    <n v="2953"/>
    <n v="1838"/>
    <n v="2024"/>
    <n v="2"/>
  </r>
  <r>
    <s v="SHP-30364"/>
    <d v="2024-08-07T00:00:00"/>
    <x v="3"/>
    <s v="Mumbai"/>
    <x v="0"/>
    <x v="2"/>
    <x v="1"/>
    <s v="High"/>
    <n v="3"/>
    <n v="12"/>
    <n v="9"/>
    <s v="Yes"/>
    <n v="351"/>
    <n v="9729"/>
    <n v="27360"/>
    <n v="0"/>
    <s v="No"/>
    <s v="Severe"/>
    <n v="3040"/>
    <n v="1081"/>
    <n v="2024"/>
    <n v="8"/>
  </r>
  <r>
    <s v="SHP-30365"/>
    <d v="2024-06-12T00:00:00"/>
    <x v="3"/>
    <s v="Pune"/>
    <x v="2"/>
    <x v="1"/>
    <x v="0"/>
    <s v="High"/>
    <n v="3"/>
    <n v="7"/>
    <n v="4"/>
    <s v="Yes"/>
    <n v="171"/>
    <n v="5476"/>
    <n v="6892"/>
    <n v="0"/>
    <s v="No"/>
    <s v="Major"/>
    <n v="1723"/>
    <n v="1369"/>
    <n v="2024"/>
    <n v="6"/>
  </r>
  <r>
    <s v="SHP-30366"/>
    <d v="2024-07-20T00:00:00"/>
    <x v="1"/>
    <s v="Bhubaneswar"/>
    <x v="1"/>
    <x v="0"/>
    <x v="2"/>
    <s v="Low"/>
    <n v="2"/>
    <n v="4"/>
    <n v="2"/>
    <s v="Yes"/>
    <n v="74"/>
    <n v="2418"/>
    <n v="6418"/>
    <n v="0"/>
    <s v="No"/>
    <s v="Minor"/>
    <n v="3209"/>
    <n v="1209"/>
    <n v="2024"/>
    <n v="7"/>
  </r>
  <r>
    <s v="SHP-30367"/>
    <d v="2024-09-02T00:00:00"/>
    <x v="3"/>
    <s v="Pune"/>
    <x v="2"/>
    <x v="1"/>
    <x v="2"/>
    <s v="Low"/>
    <n v="5"/>
    <n v="9"/>
    <n v="4"/>
    <s v="Yes"/>
    <n v="363"/>
    <n v="8760"/>
    <n v="6312"/>
    <n v="0"/>
    <s v="No"/>
    <s v="Major"/>
    <n v="1578"/>
    <n v="2190"/>
    <n v="2024"/>
    <n v="9"/>
  </r>
  <r>
    <s v="SHP-30368"/>
    <d v="2024-06-17T00:00:00"/>
    <x v="3"/>
    <s v="Mumbai"/>
    <x v="2"/>
    <x v="1"/>
    <x v="0"/>
    <s v="Medium"/>
    <n v="1"/>
    <n v="6"/>
    <n v="5"/>
    <s v="Yes"/>
    <n v="64"/>
    <n v="8780"/>
    <n v="19625"/>
    <n v="0"/>
    <s v="No"/>
    <s v="Major"/>
    <n v="3925"/>
    <n v="1756"/>
    <n v="2024"/>
    <n v="6"/>
  </r>
  <r>
    <s v="SHP-30369"/>
    <d v="2024-06-03T00:00:00"/>
    <x v="1"/>
    <s v="Kolkata"/>
    <x v="1"/>
    <x v="0"/>
    <x v="2"/>
    <s v="Medium"/>
    <n v="2"/>
    <n v="7"/>
    <n v="5"/>
    <s v="Yes"/>
    <n v="72"/>
    <n v="10610"/>
    <n v="7550"/>
    <n v="0"/>
    <s v="No"/>
    <s v="Major"/>
    <n v="1510"/>
    <n v="2122"/>
    <n v="2024"/>
    <n v="6"/>
  </r>
  <r>
    <s v="SHP-30370"/>
    <d v="2024-12-26T00:00:00"/>
    <x v="0"/>
    <s v="Chennai"/>
    <x v="1"/>
    <x v="0"/>
    <x v="0"/>
    <s v="High"/>
    <n v="3"/>
    <n v="6"/>
    <n v="3"/>
    <s v="Yes"/>
    <n v="184"/>
    <n v="5118"/>
    <n v="14571"/>
    <n v="0"/>
    <s v="No"/>
    <s v="Major"/>
    <n v="4857"/>
    <n v="1706"/>
    <n v="2024"/>
    <n v="12"/>
  </r>
  <r>
    <s v="SHP-30371"/>
    <d v="2024-03-09T00:00:00"/>
    <x v="2"/>
    <s v="Delhi"/>
    <x v="0"/>
    <x v="1"/>
    <x v="3"/>
    <s v="Medium"/>
    <n v="2"/>
    <n v="4"/>
    <n v="2"/>
    <s v="Yes"/>
    <n v="459"/>
    <n v="3216"/>
    <n v="5504"/>
    <n v="0"/>
    <s v="No"/>
    <s v="Minor"/>
    <n v="2752"/>
    <n v="1608"/>
    <n v="2024"/>
    <n v="3"/>
  </r>
  <r>
    <s v="SHP-30372"/>
    <d v="2024-02-25T00:00:00"/>
    <x v="3"/>
    <s v="Pune"/>
    <x v="0"/>
    <x v="1"/>
    <x v="0"/>
    <s v="Medium"/>
    <n v="2"/>
    <n v="4"/>
    <n v="2"/>
    <s v="Yes"/>
    <n v="377"/>
    <n v="2000"/>
    <n v="4470"/>
    <n v="0"/>
    <s v="No"/>
    <s v="Minor"/>
    <n v="2235"/>
    <n v="1000"/>
    <n v="2024"/>
    <n v="2"/>
  </r>
  <r>
    <s v="SHP-30373"/>
    <d v="2024-09-28T00:00:00"/>
    <x v="2"/>
    <s v="Noida"/>
    <x v="0"/>
    <x v="0"/>
    <x v="2"/>
    <s v="Medium"/>
    <n v="2"/>
    <n v="4"/>
    <n v="2"/>
    <s v="Yes"/>
    <n v="329"/>
    <n v="2610"/>
    <n v="6942"/>
    <n v="0"/>
    <s v="No"/>
    <s v="Minor"/>
    <n v="3471"/>
    <n v="1305"/>
    <n v="2024"/>
    <n v="9"/>
  </r>
  <r>
    <s v="SHP-30374"/>
    <d v="2024-06-01T00:00:00"/>
    <x v="3"/>
    <s v="Mumbai"/>
    <x v="1"/>
    <x v="1"/>
    <x v="0"/>
    <s v="Low"/>
    <n v="1"/>
    <n v="5"/>
    <n v="4"/>
    <s v="Yes"/>
    <n v="121"/>
    <n v="6744"/>
    <n v="6460"/>
    <n v="0"/>
    <s v="No"/>
    <s v="Major"/>
    <n v="1615"/>
    <n v="1686"/>
    <n v="2024"/>
    <n v="6"/>
  </r>
  <r>
    <s v="SHP-30375"/>
    <d v="2024-06-13T00:00:00"/>
    <x v="1"/>
    <s v="Bhubaneswar"/>
    <x v="1"/>
    <x v="1"/>
    <x v="3"/>
    <s v="Medium"/>
    <n v="2"/>
    <n v="6"/>
    <n v="4"/>
    <s v="Yes"/>
    <n v="443"/>
    <n v="3632"/>
    <n v="12964"/>
    <n v="0"/>
    <s v="No"/>
    <s v="Major"/>
    <n v="3241"/>
    <n v="908"/>
    <n v="2024"/>
    <n v="6"/>
  </r>
  <r>
    <s v="SHP-30376"/>
    <d v="2024-11-26T00:00:00"/>
    <x v="3"/>
    <s v="Mumbai"/>
    <x v="0"/>
    <x v="2"/>
    <x v="4"/>
    <s v="Low"/>
    <n v="2"/>
    <n v="5"/>
    <n v="3"/>
    <s v="Yes"/>
    <n v="330"/>
    <n v="4638"/>
    <n v="8496"/>
    <n v="0"/>
    <s v="No"/>
    <s v="Major"/>
    <n v="2832"/>
    <n v="1546"/>
    <n v="2024"/>
    <n v="11"/>
  </r>
  <r>
    <s v="SHP-30377"/>
    <d v="2024-07-16T00:00:00"/>
    <x v="1"/>
    <s v="Bhubaneswar"/>
    <x v="1"/>
    <x v="2"/>
    <x v="4"/>
    <s v="Low"/>
    <n v="3"/>
    <n v="9"/>
    <n v="6"/>
    <s v="Yes"/>
    <n v="90"/>
    <n v="11418"/>
    <n v="16644"/>
    <n v="0"/>
    <s v="No"/>
    <s v="Severe"/>
    <n v="2774"/>
    <n v="1903"/>
    <n v="2024"/>
    <n v="7"/>
  </r>
  <r>
    <s v="SHP-30378"/>
    <d v="2024-08-26T00:00:00"/>
    <x v="2"/>
    <s v="Delhi"/>
    <x v="0"/>
    <x v="1"/>
    <x v="1"/>
    <s v="Low"/>
    <n v="5"/>
    <n v="7"/>
    <n v="2"/>
    <s v="Yes"/>
    <n v="305"/>
    <n v="1752"/>
    <n v="3356"/>
    <n v="0"/>
    <s v="No"/>
    <s v="Minor"/>
    <n v="1678"/>
    <n v="876"/>
    <n v="2024"/>
    <n v="8"/>
  </r>
  <r>
    <s v="SHP-30379"/>
    <d v="2024-06-22T00:00:00"/>
    <x v="3"/>
    <s v="Mumbai"/>
    <x v="2"/>
    <x v="0"/>
    <x v="4"/>
    <s v="Low"/>
    <n v="5"/>
    <n v="7"/>
    <n v="2"/>
    <s v="Yes"/>
    <n v="475"/>
    <n v="2424"/>
    <n v="8794"/>
    <n v="0"/>
    <s v="No"/>
    <s v="Minor"/>
    <n v="4397"/>
    <n v="1212"/>
    <n v="2024"/>
    <n v="6"/>
  </r>
  <r>
    <s v="SHP-30380"/>
    <d v="2024-09-12T00:00:00"/>
    <x v="0"/>
    <s v="Chennai"/>
    <x v="0"/>
    <x v="0"/>
    <x v="1"/>
    <s v="Low"/>
    <n v="2"/>
    <n v="4"/>
    <n v="2"/>
    <s v="Yes"/>
    <n v="444"/>
    <n v="4138"/>
    <n v="5376"/>
    <n v="0"/>
    <s v="No"/>
    <s v="Minor"/>
    <n v="2688"/>
    <n v="2069"/>
    <n v="2024"/>
    <n v="9"/>
  </r>
  <r>
    <s v="SHP-30381"/>
    <d v="2024-04-20T00:00:00"/>
    <x v="0"/>
    <s v="Bengaluru"/>
    <x v="1"/>
    <x v="0"/>
    <x v="4"/>
    <s v="High"/>
    <n v="1"/>
    <n v="9"/>
    <n v="8"/>
    <s v="Yes"/>
    <n v="137"/>
    <n v="8512"/>
    <n v="27448"/>
    <n v="0"/>
    <s v="No"/>
    <s v="Severe"/>
    <n v="3431"/>
    <n v="1064"/>
    <n v="2024"/>
    <n v="4"/>
  </r>
  <r>
    <s v="SHP-30382"/>
    <d v="2024-08-20T00:00:00"/>
    <x v="3"/>
    <s v="Mumbai"/>
    <x v="0"/>
    <x v="1"/>
    <x v="2"/>
    <s v="Low"/>
    <n v="2"/>
    <n v="3"/>
    <n v="1"/>
    <s v="Yes"/>
    <n v="420"/>
    <n v="2410"/>
    <n v="3285"/>
    <n v="0"/>
    <s v="No"/>
    <s v="Minor"/>
    <n v="3285"/>
    <n v="2410"/>
    <n v="2024"/>
    <n v="8"/>
  </r>
  <r>
    <s v="SHP-30383"/>
    <d v="2024-05-18T00:00:00"/>
    <x v="2"/>
    <s v="Noida"/>
    <x v="1"/>
    <x v="2"/>
    <x v="2"/>
    <s v="Medium"/>
    <n v="3"/>
    <n v="6"/>
    <n v="3"/>
    <s v="Yes"/>
    <n v="364"/>
    <n v="6843"/>
    <n v="7227"/>
    <n v="0"/>
    <s v="No"/>
    <s v="Major"/>
    <n v="2409"/>
    <n v="2281"/>
    <n v="2024"/>
    <n v="5"/>
  </r>
  <r>
    <s v="SHP-30384"/>
    <d v="2024-10-23T00:00:00"/>
    <x v="1"/>
    <s v="Kolkata"/>
    <x v="1"/>
    <x v="1"/>
    <x v="4"/>
    <s v="High"/>
    <n v="2"/>
    <n v="9"/>
    <n v="7"/>
    <s v="Yes"/>
    <n v="137"/>
    <n v="6223"/>
    <n v="14420"/>
    <n v="0"/>
    <s v="No"/>
    <s v="Severe"/>
    <n v="2060"/>
    <n v="889"/>
    <n v="2024"/>
    <n v="10"/>
  </r>
  <r>
    <s v="SHP-30385"/>
    <d v="2024-01-31T00:00:00"/>
    <x v="1"/>
    <s v="Bhubaneswar"/>
    <x v="1"/>
    <x v="0"/>
    <x v="0"/>
    <s v="Low"/>
    <n v="2"/>
    <n v="2"/>
    <n v="0"/>
    <s v="No"/>
    <n v="269"/>
    <n v="0"/>
    <n v="0"/>
    <n v="1"/>
    <s v="No"/>
    <s v="On Time"/>
    <n v="0"/>
    <n v="0"/>
    <n v="2024"/>
    <n v="1"/>
  </r>
  <r>
    <s v="SHP-30386"/>
    <d v="2024-12-14T00:00:00"/>
    <x v="2"/>
    <s v="Noida"/>
    <x v="0"/>
    <x v="1"/>
    <x v="1"/>
    <s v="High"/>
    <n v="1"/>
    <n v="3"/>
    <n v="2"/>
    <s v="Yes"/>
    <n v="53"/>
    <n v="3354"/>
    <n v="6746"/>
    <n v="0"/>
    <s v="No"/>
    <s v="Minor"/>
    <n v="3373"/>
    <n v="1677"/>
    <n v="2024"/>
    <n v="12"/>
  </r>
  <r>
    <s v="SHP-30387"/>
    <d v="2024-11-07T00:00:00"/>
    <x v="0"/>
    <s v="Bengaluru"/>
    <x v="2"/>
    <x v="1"/>
    <x v="0"/>
    <s v="Low"/>
    <n v="5"/>
    <n v="5"/>
    <n v="0"/>
    <s v="No"/>
    <n v="439"/>
    <n v="0"/>
    <n v="0"/>
    <n v="1"/>
    <s v="No"/>
    <s v="On Time"/>
    <n v="0"/>
    <n v="0"/>
    <n v="2024"/>
    <n v="11"/>
  </r>
  <r>
    <s v="SHP-30388"/>
    <d v="2024-06-13T00:00:00"/>
    <x v="2"/>
    <s v="Noida"/>
    <x v="2"/>
    <x v="1"/>
    <x v="4"/>
    <s v="Low"/>
    <n v="5"/>
    <n v="9"/>
    <n v="4"/>
    <s v="Yes"/>
    <n v="189"/>
    <n v="5912"/>
    <n v="18328"/>
    <n v="0"/>
    <s v="No"/>
    <s v="Major"/>
    <n v="4582"/>
    <n v="1478"/>
    <n v="2024"/>
    <n v="6"/>
  </r>
  <r>
    <s v="SHP-30389"/>
    <d v="2024-07-27T00:00:00"/>
    <x v="1"/>
    <s v="Kolkata"/>
    <x v="1"/>
    <x v="0"/>
    <x v="1"/>
    <s v="Low"/>
    <n v="3"/>
    <n v="4"/>
    <n v="1"/>
    <s v="Yes"/>
    <n v="293"/>
    <n v="1466"/>
    <n v="2293"/>
    <n v="0"/>
    <s v="No"/>
    <s v="Minor"/>
    <n v="2293"/>
    <n v="1466"/>
    <n v="2024"/>
    <n v="7"/>
  </r>
  <r>
    <s v="SHP-30390"/>
    <d v="2024-12-07T00:00:00"/>
    <x v="2"/>
    <s v="Noida"/>
    <x v="1"/>
    <x v="1"/>
    <x v="4"/>
    <s v="Low"/>
    <n v="1"/>
    <n v="6"/>
    <n v="5"/>
    <s v="Yes"/>
    <n v="360"/>
    <n v="8590"/>
    <n v="11150"/>
    <n v="0"/>
    <s v="No"/>
    <s v="Major"/>
    <n v="2230"/>
    <n v="1718"/>
    <n v="2024"/>
    <n v="12"/>
  </r>
  <r>
    <s v="SHP-30391"/>
    <d v="2024-12-20T00:00:00"/>
    <x v="2"/>
    <s v="Delhi"/>
    <x v="0"/>
    <x v="1"/>
    <x v="4"/>
    <s v="Low"/>
    <n v="2"/>
    <n v="7"/>
    <n v="5"/>
    <s v="Yes"/>
    <n v="264"/>
    <n v="8675"/>
    <n v="13500"/>
    <n v="0"/>
    <s v="No"/>
    <s v="Major"/>
    <n v="2700"/>
    <n v="1735"/>
    <n v="2024"/>
    <n v="12"/>
  </r>
  <r>
    <s v="SHP-30392"/>
    <d v="2024-10-06T00:00:00"/>
    <x v="3"/>
    <s v="Pune"/>
    <x v="2"/>
    <x v="0"/>
    <x v="0"/>
    <s v="High"/>
    <n v="1"/>
    <n v="6"/>
    <n v="5"/>
    <s v="Yes"/>
    <n v="223"/>
    <n v="7090"/>
    <n v="14005"/>
    <n v="0"/>
    <s v="No"/>
    <s v="Major"/>
    <n v="2801"/>
    <n v="1418"/>
    <n v="2024"/>
    <n v="10"/>
  </r>
  <r>
    <s v="SHP-30393"/>
    <d v="2024-04-16T00:00:00"/>
    <x v="2"/>
    <s v="Noida"/>
    <x v="0"/>
    <x v="2"/>
    <x v="2"/>
    <s v="Medium"/>
    <n v="3"/>
    <n v="5"/>
    <n v="2"/>
    <s v="Yes"/>
    <n v="119"/>
    <n v="3600"/>
    <n v="3408"/>
    <n v="0"/>
    <s v="No"/>
    <s v="Minor"/>
    <n v="1704"/>
    <n v="1800"/>
    <n v="2024"/>
    <n v="4"/>
  </r>
  <r>
    <s v="SHP-30394"/>
    <d v="2024-01-30T00:00:00"/>
    <x v="2"/>
    <s v="Noida"/>
    <x v="2"/>
    <x v="2"/>
    <x v="2"/>
    <s v="High"/>
    <n v="3"/>
    <n v="10"/>
    <n v="7"/>
    <s v="Yes"/>
    <n v="280"/>
    <n v="15407"/>
    <n v="32053"/>
    <n v="0"/>
    <s v="No"/>
    <s v="Severe"/>
    <n v="4579"/>
    <n v="2201"/>
    <n v="2024"/>
    <n v="1"/>
  </r>
  <r>
    <s v="SHP-30395"/>
    <d v="2024-07-05T00:00:00"/>
    <x v="1"/>
    <s v="Bhubaneswar"/>
    <x v="2"/>
    <x v="2"/>
    <x v="4"/>
    <s v="Medium"/>
    <n v="5"/>
    <n v="10"/>
    <n v="5"/>
    <s v="Yes"/>
    <n v="86"/>
    <n v="5575"/>
    <n v="23090"/>
    <n v="0"/>
    <s v="No"/>
    <s v="Major"/>
    <n v="4618"/>
    <n v="1115"/>
    <n v="2024"/>
    <n v="7"/>
  </r>
  <r>
    <s v="SHP-30396"/>
    <d v="2024-09-24T00:00:00"/>
    <x v="0"/>
    <s v="Chennai"/>
    <x v="0"/>
    <x v="1"/>
    <x v="1"/>
    <s v="Low"/>
    <n v="2"/>
    <n v="7"/>
    <n v="5"/>
    <s v="Yes"/>
    <n v="328"/>
    <n v="10790"/>
    <n v="13300"/>
    <n v="0"/>
    <s v="No"/>
    <s v="Major"/>
    <n v="2660"/>
    <n v="2158"/>
    <n v="2024"/>
    <n v="9"/>
  </r>
  <r>
    <s v="SHP-30397"/>
    <d v="2024-07-04T00:00:00"/>
    <x v="3"/>
    <s v="Mumbai"/>
    <x v="1"/>
    <x v="1"/>
    <x v="1"/>
    <s v="Low"/>
    <n v="1"/>
    <n v="2"/>
    <n v="1"/>
    <s v="Yes"/>
    <n v="161"/>
    <n v="2314"/>
    <n v="4661"/>
    <n v="0"/>
    <s v="No"/>
    <s v="Minor"/>
    <n v="4661"/>
    <n v="2314"/>
    <n v="2024"/>
    <n v="7"/>
  </r>
  <r>
    <s v="SHP-30398"/>
    <d v="2024-03-13T00:00:00"/>
    <x v="0"/>
    <s v="Chennai"/>
    <x v="0"/>
    <x v="2"/>
    <x v="3"/>
    <s v="Low"/>
    <n v="2"/>
    <n v="4"/>
    <n v="2"/>
    <s v="Yes"/>
    <n v="79"/>
    <n v="2564"/>
    <n v="7798"/>
    <n v="0"/>
    <s v="No"/>
    <s v="Minor"/>
    <n v="3899"/>
    <n v="1282"/>
    <n v="2024"/>
    <n v="3"/>
  </r>
  <r>
    <s v="SHP-30399"/>
    <d v="2024-05-19T00:00:00"/>
    <x v="3"/>
    <s v="Mumbai"/>
    <x v="2"/>
    <x v="0"/>
    <x v="4"/>
    <s v="Medium"/>
    <n v="1"/>
    <n v="1"/>
    <n v="0"/>
    <s v="No"/>
    <n v="407"/>
    <n v="0"/>
    <n v="0"/>
    <n v="1"/>
    <s v="No"/>
    <s v="On Time"/>
    <n v="0"/>
    <n v="0"/>
    <n v="2024"/>
    <n v="5"/>
  </r>
  <r>
    <s v="SHP-30400"/>
    <d v="2024-05-06T00:00:00"/>
    <x v="2"/>
    <s v="Noida"/>
    <x v="1"/>
    <x v="1"/>
    <x v="1"/>
    <s v="Medium"/>
    <n v="2"/>
    <n v="5"/>
    <n v="3"/>
    <s v="Yes"/>
    <n v="292"/>
    <n v="2712"/>
    <n v="10698"/>
    <n v="0"/>
    <s v="No"/>
    <s v="Major"/>
    <n v="3566"/>
    <n v="904"/>
    <n v="2024"/>
    <n v="5"/>
  </r>
  <r>
    <s v="SHP-30401"/>
    <d v="2024-05-10T00:00:00"/>
    <x v="1"/>
    <s v="Bhubaneswar"/>
    <x v="1"/>
    <x v="0"/>
    <x v="2"/>
    <s v="Low"/>
    <n v="1"/>
    <n v="2"/>
    <n v="1"/>
    <s v="Yes"/>
    <n v="399"/>
    <n v="1686"/>
    <n v="4011"/>
    <n v="0"/>
    <s v="No"/>
    <s v="Minor"/>
    <n v="4011"/>
    <n v="1686"/>
    <n v="2024"/>
    <n v="5"/>
  </r>
  <r>
    <s v="SHP-30402"/>
    <d v="2024-11-26T00:00:00"/>
    <x v="0"/>
    <s v="Chennai"/>
    <x v="2"/>
    <x v="0"/>
    <x v="3"/>
    <s v="High"/>
    <n v="2"/>
    <n v="9"/>
    <n v="7"/>
    <s v="Yes"/>
    <n v="112"/>
    <n v="6293"/>
    <n v="34146"/>
    <n v="0"/>
    <s v="No"/>
    <s v="Severe"/>
    <n v="4878"/>
    <n v="899"/>
    <n v="2024"/>
    <n v="11"/>
  </r>
  <r>
    <s v="SHP-30403"/>
    <d v="2024-02-08T00:00:00"/>
    <x v="1"/>
    <s v="Kolkata"/>
    <x v="2"/>
    <x v="0"/>
    <x v="2"/>
    <s v="Low"/>
    <n v="2"/>
    <n v="4"/>
    <n v="2"/>
    <s v="Yes"/>
    <n v="345"/>
    <n v="2696"/>
    <n v="8456"/>
    <n v="0"/>
    <s v="No"/>
    <s v="Minor"/>
    <n v="4228"/>
    <n v="1348"/>
    <n v="2024"/>
    <n v="2"/>
  </r>
  <r>
    <s v="SHP-30404"/>
    <d v="2024-03-09T00:00:00"/>
    <x v="2"/>
    <s v="Delhi"/>
    <x v="2"/>
    <x v="1"/>
    <x v="4"/>
    <s v="Medium"/>
    <n v="1"/>
    <n v="3"/>
    <n v="2"/>
    <s v="Yes"/>
    <n v="307"/>
    <n v="2326"/>
    <n v="6504"/>
    <n v="0"/>
    <s v="No"/>
    <s v="Minor"/>
    <n v="3252"/>
    <n v="1163"/>
    <n v="2024"/>
    <n v="3"/>
  </r>
  <r>
    <s v="SHP-30405"/>
    <d v="2024-02-01T00:00:00"/>
    <x v="1"/>
    <s v="Kolkata"/>
    <x v="0"/>
    <x v="1"/>
    <x v="0"/>
    <s v="Medium"/>
    <n v="1"/>
    <n v="5"/>
    <n v="4"/>
    <s v="Yes"/>
    <n v="450"/>
    <n v="7676"/>
    <n v="11024"/>
    <n v="0"/>
    <s v="No"/>
    <s v="Major"/>
    <n v="2756"/>
    <n v="1919"/>
    <n v="2024"/>
    <n v="2"/>
  </r>
  <r>
    <s v="SHP-30406"/>
    <d v="2024-09-10T00:00:00"/>
    <x v="1"/>
    <s v="Kolkata"/>
    <x v="0"/>
    <x v="1"/>
    <x v="2"/>
    <s v="High"/>
    <n v="2"/>
    <n v="7"/>
    <n v="5"/>
    <s v="Yes"/>
    <n v="471"/>
    <n v="6025"/>
    <n v="10335"/>
    <n v="0"/>
    <s v="No"/>
    <s v="Major"/>
    <n v="2067"/>
    <n v="1205"/>
    <n v="2024"/>
    <n v="9"/>
  </r>
  <r>
    <s v="SHP-30407"/>
    <d v="2024-07-07T00:00:00"/>
    <x v="0"/>
    <s v="Bengaluru"/>
    <x v="0"/>
    <x v="1"/>
    <x v="4"/>
    <s v="High"/>
    <n v="1"/>
    <n v="7"/>
    <n v="6"/>
    <s v="Yes"/>
    <n v="289"/>
    <n v="5862"/>
    <n v="21450"/>
    <n v="0"/>
    <s v="No"/>
    <s v="Severe"/>
    <n v="3575"/>
    <n v="977"/>
    <n v="2024"/>
    <n v="7"/>
  </r>
  <r>
    <s v="SHP-30408"/>
    <d v="2024-02-19T00:00:00"/>
    <x v="0"/>
    <s v="Chennai"/>
    <x v="0"/>
    <x v="1"/>
    <x v="0"/>
    <s v="High"/>
    <n v="1"/>
    <n v="5"/>
    <n v="4"/>
    <s v="Yes"/>
    <n v="60"/>
    <n v="8416"/>
    <n v="9212"/>
    <n v="0"/>
    <s v="No"/>
    <s v="Major"/>
    <n v="2303"/>
    <n v="2104"/>
    <n v="2024"/>
    <n v="2"/>
  </r>
  <r>
    <s v="SHP-30409"/>
    <d v="2024-12-26T00:00:00"/>
    <x v="1"/>
    <s v="Bhubaneswar"/>
    <x v="2"/>
    <x v="1"/>
    <x v="0"/>
    <s v="Low"/>
    <n v="2"/>
    <n v="3"/>
    <n v="1"/>
    <s v="Yes"/>
    <n v="348"/>
    <n v="2413"/>
    <n v="2306"/>
    <n v="0"/>
    <s v="No"/>
    <s v="Minor"/>
    <n v="2306"/>
    <n v="2413"/>
    <n v="2024"/>
    <n v="12"/>
  </r>
  <r>
    <s v="SHP-30410"/>
    <d v="2024-03-01T00:00:00"/>
    <x v="2"/>
    <s v="Noida"/>
    <x v="0"/>
    <x v="0"/>
    <x v="2"/>
    <s v="High"/>
    <n v="2"/>
    <n v="7"/>
    <n v="5"/>
    <s v="Yes"/>
    <n v="62"/>
    <n v="11725"/>
    <n v="24260"/>
    <n v="0"/>
    <s v="No"/>
    <s v="Major"/>
    <n v="4852"/>
    <n v="2345"/>
    <n v="2024"/>
    <n v="3"/>
  </r>
  <r>
    <s v="SHP-30411"/>
    <d v="2024-11-17T00:00:00"/>
    <x v="2"/>
    <s v="Noida"/>
    <x v="1"/>
    <x v="1"/>
    <x v="0"/>
    <s v="Medium"/>
    <n v="3"/>
    <n v="4"/>
    <n v="1"/>
    <s v="Yes"/>
    <n v="446"/>
    <n v="2313"/>
    <n v="4076"/>
    <n v="0"/>
    <s v="No"/>
    <s v="Minor"/>
    <n v="4076"/>
    <n v="2313"/>
    <n v="2024"/>
    <n v="11"/>
  </r>
  <r>
    <s v="SHP-30412"/>
    <d v="2024-06-20T00:00:00"/>
    <x v="1"/>
    <s v="Kolkata"/>
    <x v="0"/>
    <x v="1"/>
    <x v="4"/>
    <s v="High"/>
    <n v="2"/>
    <n v="9"/>
    <n v="7"/>
    <s v="Yes"/>
    <n v="82"/>
    <n v="17199"/>
    <n v="20853"/>
    <n v="0"/>
    <s v="No"/>
    <s v="Severe"/>
    <n v="2979"/>
    <n v="2457"/>
    <n v="2024"/>
    <n v="6"/>
  </r>
  <r>
    <s v="SHP-30413"/>
    <d v="2024-04-16T00:00:00"/>
    <x v="1"/>
    <s v="Kolkata"/>
    <x v="0"/>
    <x v="2"/>
    <x v="0"/>
    <s v="Low"/>
    <n v="1"/>
    <n v="6"/>
    <n v="5"/>
    <s v="Yes"/>
    <n v="434"/>
    <n v="11290"/>
    <n v="24065"/>
    <n v="0"/>
    <s v="No"/>
    <s v="Major"/>
    <n v="4813"/>
    <n v="2258"/>
    <n v="2024"/>
    <n v="4"/>
  </r>
  <r>
    <s v="SHP-30414"/>
    <d v="2024-07-30T00:00:00"/>
    <x v="2"/>
    <s v="Delhi"/>
    <x v="2"/>
    <x v="2"/>
    <x v="1"/>
    <s v="Low"/>
    <n v="3"/>
    <n v="7"/>
    <n v="4"/>
    <s v="Yes"/>
    <n v="182"/>
    <n v="5924"/>
    <n v="7512"/>
    <n v="0"/>
    <s v="No"/>
    <s v="Major"/>
    <n v="1878"/>
    <n v="1481"/>
    <n v="2024"/>
    <n v="7"/>
  </r>
  <r>
    <s v="SHP-30415"/>
    <d v="2024-03-07T00:00:00"/>
    <x v="3"/>
    <s v="Pune"/>
    <x v="1"/>
    <x v="2"/>
    <x v="0"/>
    <s v="Medium"/>
    <n v="2"/>
    <n v="7"/>
    <n v="5"/>
    <s v="Yes"/>
    <n v="169"/>
    <n v="11065"/>
    <n v="12670"/>
    <n v="0"/>
    <s v="No"/>
    <s v="Major"/>
    <n v="2534"/>
    <n v="2213"/>
    <n v="2024"/>
    <n v="3"/>
  </r>
  <r>
    <s v="SHP-30416"/>
    <d v="2024-02-09T00:00:00"/>
    <x v="1"/>
    <s v="Bhubaneswar"/>
    <x v="2"/>
    <x v="2"/>
    <x v="2"/>
    <s v="Low"/>
    <n v="5"/>
    <n v="11"/>
    <n v="6"/>
    <s v="Yes"/>
    <n v="302"/>
    <n v="9360"/>
    <n v="28266"/>
    <n v="0"/>
    <s v="No"/>
    <s v="Severe"/>
    <n v="4711"/>
    <n v="1560"/>
    <n v="2024"/>
    <n v="2"/>
  </r>
  <r>
    <s v="SHP-30417"/>
    <d v="2024-09-17T00:00:00"/>
    <x v="3"/>
    <s v="Mumbai"/>
    <x v="2"/>
    <x v="1"/>
    <x v="1"/>
    <s v="Low"/>
    <n v="3"/>
    <n v="6"/>
    <n v="3"/>
    <s v="Yes"/>
    <n v="97"/>
    <n v="4713"/>
    <n v="8016"/>
    <n v="0"/>
    <s v="No"/>
    <s v="Major"/>
    <n v="2672"/>
    <n v="1571"/>
    <n v="2024"/>
    <n v="9"/>
  </r>
  <r>
    <s v="SHP-30418"/>
    <d v="2024-09-27T00:00:00"/>
    <x v="0"/>
    <s v="Chennai"/>
    <x v="1"/>
    <x v="1"/>
    <x v="4"/>
    <s v="Medium"/>
    <n v="3"/>
    <n v="3"/>
    <n v="0"/>
    <s v="No"/>
    <n v="488"/>
    <n v="0"/>
    <n v="0"/>
    <n v="1"/>
    <s v="No"/>
    <s v="On Time"/>
    <n v="0"/>
    <n v="0"/>
    <n v="2024"/>
    <n v="9"/>
  </r>
  <r>
    <s v="SHP-30419"/>
    <d v="2024-02-22T00:00:00"/>
    <x v="3"/>
    <s v="Pune"/>
    <x v="2"/>
    <x v="1"/>
    <x v="2"/>
    <s v="Low"/>
    <n v="2"/>
    <n v="6"/>
    <n v="4"/>
    <s v="Yes"/>
    <n v="171"/>
    <n v="5084"/>
    <n v="14852"/>
    <n v="0"/>
    <s v="No"/>
    <s v="Major"/>
    <n v="3713"/>
    <n v="1271"/>
    <n v="2024"/>
    <n v="2"/>
  </r>
  <r>
    <s v="SHP-30420"/>
    <d v="2024-06-06T00:00:00"/>
    <x v="0"/>
    <s v="Bengaluru"/>
    <x v="2"/>
    <x v="2"/>
    <x v="4"/>
    <s v="Medium"/>
    <n v="1"/>
    <n v="7"/>
    <n v="6"/>
    <s v="Yes"/>
    <n v="192"/>
    <n v="12084"/>
    <n v="10098"/>
    <n v="0"/>
    <s v="No"/>
    <s v="Severe"/>
    <n v="1683"/>
    <n v="2014"/>
    <n v="2024"/>
    <n v="6"/>
  </r>
  <r>
    <s v="SHP-30421"/>
    <d v="2024-02-21T00:00:00"/>
    <x v="2"/>
    <s v="Noida"/>
    <x v="2"/>
    <x v="0"/>
    <x v="0"/>
    <s v="High"/>
    <n v="1"/>
    <n v="6"/>
    <n v="5"/>
    <s v="Yes"/>
    <n v="287"/>
    <n v="8820"/>
    <n v="18835"/>
    <n v="0"/>
    <s v="No"/>
    <s v="Major"/>
    <n v="3767"/>
    <n v="1764"/>
    <n v="2024"/>
    <n v="2"/>
  </r>
  <r>
    <s v="SHP-30422"/>
    <d v="2024-05-24T00:00:00"/>
    <x v="2"/>
    <s v="Noida"/>
    <x v="2"/>
    <x v="0"/>
    <x v="3"/>
    <s v="High"/>
    <n v="2"/>
    <n v="5"/>
    <n v="3"/>
    <s v="Yes"/>
    <n v="346"/>
    <n v="5778"/>
    <n v="9765"/>
    <n v="0"/>
    <s v="No"/>
    <s v="Major"/>
    <n v="3255"/>
    <n v="1926"/>
    <n v="2024"/>
    <n v="5"/>
  </r>
  <r>
    <s v="SHP-30423"/>
    <d v="2024-12-26T00:00:00"/>
    <x v="1"/>
    <s v="Kolkata"/>
    <x v="1"/>
    <x v="1"/>
    <x v="0"/>
    <s v="Low"/>
    <n v="2"/>
    <n v="4"/>
    <n v="2"/>
    <s v="Yes"/>
    <n v="79"/>
    <n v="2444"/>
    <n v="6952"/>
    <n v="0"/>
    <s v="No"/>
    <s v="Minor"/>
    <n v="3476"/>
    <n v="1222"/>
    <n v="2024"/>
    <n v="12"/>
  </r>
  <r>
    <s v="SHP-30424"/>
    <d v="2024-04-25T00:00:00"/>
    <x v="0"/>
    <s v="Bengaluru"/>
    <x v="1"/>
    <x v="0"/>
    <x v="3"/>
    <s v="High"/>
    <n v="2"/>
    <n v="10"/>
    <n v="8"/>
    <s v="Yes"/>
    <n v="311"/>
    <n v="11752"/>
    <n v="33040"/>
    <n v="0"/>
    <s v="No"/>
    <s v="Severe"/>
    <n v="4130"/>
    <n v="1469"/>
    <n v="2024"/>
    <n v="4"/>
  </r>
  <r>
    <s v="SHP-30425"/>
    <d v="2024-10-26T00:00:00"/>
    <x v="2"/>
    <s v="Delhi"/>
    <x v="2"/>
    <x v="0"/>
    <x v="0"/>
    <s v="High"/>
    <n v="2"/>
    <n v="8"/>
    <n v="6"/>
    <s v="Yes"/>
    <n v="475"/>
    <n v="6846"/>
    <n v="14190"/>
    <n v="0"/>
    <s v="No"/>
    <s v="Severe"/>
    <n v="2365"/>
    <n v="1141"/>
    <n v="2024"/>
    <n v="10"/>
  </r>
  <r>
    <s v="SHP-30426"/>
    <d v="2024-08-08T00:00:00"/>
    <x v="0"/>
    <s v="Bengaluru"/>
    <x v="1"/>
    <x v="2"/>
    <x v="3"/>
    <s v="High"/>
    <n v="1"/>
    <n v="5"/>
    <n v="4"/>
    <s v="Yes"/>
    <n v="367"/>
    <n v="7612"/>
    <n v="10384"/>
    <n v="0"/>
    <s v="No"/>
    <s v="Major"/>
    <n v="2596"/>
    <n v="1903"/>
    <n v="2024"/>
    <n v="8"/>
  </r>
  <r>
    <s v="SHP-30427"/>
    <d v="2024-01-03T00:00:00"/>
    <x v="2"/>
    <s v="Delhi"/>
    <x v="0"/>
    <x v="0"/>
    <x v="1"/>
    <s v="Medium"/>
    <n v="2"/>
    <n v="7"/>
    <n v="5"/>
    <s v="Yes"/>
    <n v="128"/>
    <n v="10455"/>
    <n v="24590"/>
    <n v="0"/>
    <s v="No"/>
    <s v="Major"/>
    <n v="4918"/>
    <n v="2091"/>
    <n v="2024"/>
    <n v="1"/>
  </r>
  <r>
    <s v="SHP-30428"/>
    <d v="2024-06-03T00:00:00"/>
    <x v="2"/>
    <s v="Noida"/>
    <x v="0"/>
    <x v="0"/>
    <x v="0"/>
    <s v="Low"/>
    <n v="3"/>
    <n v="4"/>
    <n v="1"/>
    <s v="Yes"/>
    <n v="326"/>
    <n v="1891"/>
    <n v="1570"/>
    <n v="0"/>
    <s v="No"/>
    <s v="Minor"/>
    <n v="1570"/>
    <n v="1891"/>
    <n v="2024"/>
    <n v="6"/>
  </r>
  <r>
    <s v="SHP-30429"/>
    <d v="2024-12-25T00:00:00"/>
    <x v="1"/>
    <s v="Bhubaneswar"/>
    <x v="2"/>
    <x v="1"/>
    <x v="3"/>
    <s v="Low"/>
    <n v="1"/>
    <n v="6"/>
    <n v="5"/>
    <s v="Yes"/>
    <n v="449"/>
    <n v="9260"/>
    <n v="17805"/>
    <n v="0"/>
    <s v="No"/>
    <s v="Major"/>
    <n v="3561"/>
    <n v="1852"/>
    <n v="2024"/>
    <n v="12"/>
  </r>
  <r>
    <s v="SHP-30430"/>
    <d v="2024-01-09T00:00:00"/>
    <x v="2"/>
    <s v="Noida"/>
    <x v="0"/>
    <x v="1"/>
    <x v="1"/>
    <s v="Low"/>
    <n v="3"/>
    <n v="4"/>
    <n v="1"/>
    <s v="Yes"/>
    <n v="215"/>
    <n v="1257"/>
    <n v="3230"/>
    <n v="0"/>
    <s v="No"/>
    <s v="Minor"/>
    <n v="3230"/>
    <n v="1257"/>
    <n v="2024"/>
    <n v="1"/>
  </r>
  <r>
    <s v="SHP-30431"/>
    <d v="2024-02-20T00:00:00"/>
    <x v="1"/>
    <s v="Kolkata"/>
    <x v="2"/>
    <x v="1"/>
    <x v="4"/>
    <s v="Low"/>
    <n v="3"/>
    <n v="6"/>
    <n v="3"/>
    <s v="Yes"/>
    <n v="332"/>
    <n v="7317"/>
    <n v="5832"/>
    <n v="0"/>
    <s v="No"/>
    <s v="Major"/>
    <n v="1944"/>
    <n v="2439"/>
    <n v="2024"/>
    <n v="2"/>
  </r>
  <r>
    <s v="SHP-30432"/>
    <d v="2024-09-10T00:00:00"/>
    <x v="3"/>
    <s v="Mumbai"/>
    <x v="0"/>
    <x v="2"/>
    <x v="2"/>
    <s v="Medium"/>
    <n v="2"/>
    <n v="8"/>
    <n v="6"/>
    <s v="Yes"/>
    <n v="228"/>
    <n v="6354"/>
    <n v="16392"/>
    <n v="0"/>
    <s v="No"/>
    <s v="Severe"/>
    <n v="2732"/>
    <n v="1059"/>
    <n v="2024"/>
    <n v="9"/>
  </r>
  <r>
    <s v="SHP-30433"/>
    <d v="2024-12-30T00:00:00"/>
    <x v="2"/>
    <s v="Noida"/>
    <x v="2"/>
    <x v="1"/>
    <x v="4"/>
    <s v="Low"/>
    <n v="2"/>
    <n v="7"/>
    <n v="5"/>
    <s v="Yes"/>
    <n v="60"/>
    <n v="10225"/>
    <n v="14090"/>
    <n v="0"/>
    <s v="No"/>
    <s v="Major"/>
    <n v="2818"/>
    <n v="2045"/>
    <n v="2024"/>
    <n v="12"/>
  </r>
  <r>
    <s v="SHP-30434"/>
    <d v="2024-11-12T00:00:00"/>
    <x v="1"/>
    <s v="Bhubaneswar"/>
    <x v="1"/>
    <x v="0"/>
    <x v="3"/>
    <s v="Low"/>
    <n v="2"/>
    <n v="6"/>
    <n v="4"/>
    <s v="Yes"/>
    <n v="92"/>
    <n v="8316"/>
    <n v="12568"/>
    <n v="0"/>
    <s v="No"/>
    <s v="Major"/>
    <n v="3142"/>
    <n v="2079"/>
    <n v="2024"/>
    <n v="11"/>
  </r>
  <r>
    <s v="SHP-30435"/>
    <d v="2024-02-03T00:00:00"/>
    <x v="2"/>
    <s v="Noida"/>
    <x v="2"/>
    <x v="1"/>
    <x v="4"/>
    <s v="High"/>
    <n v="2"/>
    <n v="4"/>
    <n v="2"/>
    <s v="Yes"/>
    <n v="79"/>
    <n v="4714"/>
    <n v="3890"/>
    <n v="0"/>
    <s v="No"/>
    <s v="Minor"/>
    <n v="1945"/>
    <n v="2357"/>
    <n v="2024"/>
    <n v="2"/>
  </r>
  <r>
    <s v="SHP-30436"/>
    <d v="2024-11-05T00:00:00"/>
    <x v="2"/>
    <s v="Noida"/>
    <x v="0"/>
    <x v="2"/>
    <x v="0"/>
    <s v="Low"/>
    <n v="3"/>
    <n v="8"/>
    <n v="5"/>
    <s v="Yes"/>
    <n v="218"/>
    <n v="10240"/>
    <n v="9875"/>
    <n v="0"/>
    <s v="No"/>
    <s v="Major"/>
    <n v="1975"/>
    <n v="2048"/>
    <n v="2024"/>
    <n v="11"/>
  </r>
  <r>
    <s v="SHP-30437"/>
    <d v="2024-10-24T00:00:00"/>
    <x v="2"/>
    <s v="Delhi"/>
    <x v="0"/>
    <x v="1"/>
    <x v="4"/>
    <s v="Medium"/>
    <n v="1"/>
    <n v="5"/>
    <n v="4"/>
    <s v="Yes"/>
    <n v="341"/>
    <n v="5700"/>
    <n v="12968"/>
    <n v="0"/>
    <s v="No"/>
    <s v="Major"/>
    <n v="3242"/>
    <n v="1425"/>
    <n v="2024"/>
    <n v="10"/>
  </r>
  <r>
    <s v="SHP-30438"/>
    <d v="2024-04-29T00:00:00"/>
    <x v="1"/>
    <s v="Kolkata"/>
    <x v="2"/>
    <x v="0"/>
    <x v="3"/>
    <s v="Medium"/>
    <n v="2"/>
    <n v="5"/>
    <n v="3"/>
    <s v="Yes"/>
    <n v="176"/>
    <n v="6669"/>
    <n v="5832"/>
    <n v="0"/>
    <s v="No"/>
    <s v="Major"/>
    <n v="1944"/>
    <n v="2223"/>
    <n v="2024"/>
    <n v="4"/>
  </r>
  <r>
    <s v="SHP-30439"/>
    <d v="2024-01-27T00:00:00"/>
    <x v="3"/>
    <s v="Pune"/>
    <x v="2"/>
    <x v="1"/>
    <x v="0"/>
    <s v="Medium"/>
    <n v="2"/>
    <n v="6"/>
    <n v="4"/>
    <s v="Yes"/>
    <n v="99"/>
    <n v="5480"/>
    <n v="12796"/>
    <n v="0"/>
    <s v="No"/>
    <s v="Major"/>
    <n v="3199"/>
    <n v="1370"/>
    <n v="2024"/>
    <n v="1"/>
  </r>
  <r>
    <s v="SHP-30440"/>
    <d v="2024-02-06T00:00:00"/>
    <x v="1"/>
    <s v="Bhubaneswar"/>
    <x v="0"/>
    <x v="2"/>
    <x v="3"/>
    <s v="High"/>
    <n v="2"/>
    <n v="8"/>
    <n v="6"/>
    <s v="Yes"/>
    <n v="320"/>
    <n v="11982"/>
    <n v="10038"/>
    <n v="0"/>
    <s v="No"/>
    <s v="Severe"/>
    <n v="1673"/>
    <n v="1997"/>
    <n v="2024"/>
    <n v="2"/>
  </r>
  <r>
    <s v="SHP-30441"/>
    <d v="2024-03-13T00:00:00"/>
    <x v="2"/>
    <s v="Noida"/>
    <x v="1"/>
    <x v="1"/>
    <x v="2"/>
    <s v="Medium"/>
    <n v="5"/>
    <n v="9"/>
    <n v="4"/>
    <s v="Yes"/>
    <n v="217"/>
    <n v="6280"/>
    <n v="11108"/>
    <n v="0"/>
    <s v="No"/>
    <s v="Major"/>
    <n v="2777"/>
    <n v="1570"/>
    <n v="2024"/>
    <n v="3"/>
  </r>
  <r>
    <s v="SHP-30442"/>
    <d v="2024-01-08T00:00:00"/>
    <x v="2"/>
    <s v="Noida"/>
    <x v="2"/>
    <x v="0"/>
    <x v="4"/>
    <s v="High"/>
    <n v="3"/>
    <n v="9"/>
    <n v="6"/>
    <s v="Yes"/>
    <n v="210"/>
    <n v="13260"/>
    <n v="25392"/>
    <n v="0"/>
    <s v="No"/>
    <s v="Severe"/>
    <n v="4232"/>
    <n v="2210"/>
    <n v="2024"/>
    <n v="1"/>
  </r>
  <r>
    <s v="SHP-30443"/>
    <d v="2024-03-15T00:00:00"/>
    <x v="0"/>
    <s v="Bengaluru"/>
    <x v="2"/>
    <x v="1"/>
    <x v="3"/>
    <s v="High"/>
    <n v="3"/>
    <n v="7"/>
    <n v="4"/>
    <s v="Yes"/>
    <n v="221"/>
    <n v="3980"/>
    <n v="17820"/>
    <n v="0"/>
    <s v="No"/>
    <s v="Major"/>
    <n v="4455"/>
    <n v="995"/>
    <n v="2024"/>
    <n v="3"/>
  </r>
  <r>
    <s v="SHP-30444"/>
    <d v="2024-01-15T00:00:00"/>
    <x v="2"/>
    <s v="Delhi"/>
    <x v="1"/>
    <x v="2"/>
    <x v="4"/>
    <s v="Medium"/>
    <n v="2"/>
    <n v="3"/>
    <n v="1"/>
    <s v="Yes"/>
    <n v="82"/>
    <n v="1011"/>
    <n v="3264"/>
    <n v="0"/>
    <s v="No"/>
    <s v="Minor"/>
    <n v="3264"/>
    <n v="1011"/>
    <n v="2024"/>
    <n v="1"/>
  </r>
  <r>
    <s v="SHP-30445"/>
    <d v="2024-03-04T00:00:00"/>
    <x v="0"/>
    <s v="Chennai"/>
    <x v="0"/>
    <x v="1"/>
    <x v="0"/>
    <s v="Low"/>
    <n v="1"/>
    <n v="2"/>
    <n v="1"/>
    <s v="Yes"/>
    <n v="273"/>
    <n v="1117"/>
    <n v="3733"/>
    <n v="0"/>
    <s v="No"/>
    <s v="Minor"/>
    <n v="3733"/>
    <n v="1117"/>
    <n v="2024"/>
    <n v="3"/>
  </r>
  <r>
    <s v="SHP-30446"/>
    <d v="2024-05-15T00:00:00"/>
    <x v="2"/>
    <s v="Noida"/>
    <x v="1"/>
    <x v="0"/>
    <x v="3"/>
    <s v="Low"/>
    <n v="3"/>
    <n v="6"/>
    <n v="3"/>
    <s v="Yes"/>
    <n v="434"/>
    <n v="7227"/>
    <n v="5895"/>
    <n v="0"/>
    <s v="No"/>
    <s v="Major"/>
    <n v="1965"/>
    <n v="2409"/>
    <n v="2024"/>
    <n v="5"/>
  </r>
  <r>
    <s v="SHP-30447"/>
    <d v="2024-11-05T00:00:00"/>
    <x v="3"/>
    <s v="Mumbai"/>
    <x v="1"/>
    <x v="0"/>
    <x v="2"/>
    <s v="Low"/>
    <n v="1"/>
    <n v="6"/>
    <n v="5"/>
    <s v="Yes"/>
    <n v="155"/>
    <n v="10395"/>
    <n v="23305"/>
    <n v="0"/>
    <s v="No"/>
    <s v="Major"/>
    <n v="4661"/>
    <n v="2079"/>
    <n v="2024"/>
    <n v="11"/>
  </r>
  <r>
    <s v="SHP-30448"/>
    <d v="2024-10-17T00:00:00"/>
    <x v="2"/>
    <s v="Noida"/>
    <x v="2"/>
    <x v="1"/>
    <x v="3"/>
    <s v="High"/>
    <n v="1"/>
    <n v="4"/>
    <n v="3"/>
    <s v="Yes"/>
    <n v="139"/>
    <n v="7353"/>
    <n v="13560"/>
    <n v="0"/>
    <s v="No"/>
    <s v="Major"/>
    <n v="4520"/>
    <n v="2451"/>
    <n v="2024"/>
    <n v="10"/>
  </r>
  <r>
    <s v="SHP-30449"/>
    <d v="2024-04-08T00:00:00"/>
    <x v="3"/>
    <s v="Pune"/>
    <x v="0"/>
    <x v="1"/>
    <x v="3"/>
    <s v="Medium"/>
    <n v="1"/>
    <n v="6"/>
    <n v="5"/>
    <s v="Yes"/>
    <n v="432"/>
    <n v="11230"/>
    <n v="22430"/>
    <n v="0"/>
    <s v="No"/>
    <s v="Major"/>
    <n v="4486"/>
    <n v="2246"/>
    <n v="2024"/>
    <n v="4"/>
  </r>
  <r>
    <s v="SHP-30450"/>
    <d v="2024-07-20T00:00:00"/>
    <x v="3"/>
    <s v="Mumbai"/>
    <x v="1"/>
    <x v="1"/>
    <x v="2"/>
    <s v="Medium"/>
    <n v="2"/>
    <n v="3"/>
    <n v="1"/>
    <s v="Yes"/>
    <n v="213"/>
    <n v="2213"/>
    <n v="4347"/>
    <n v="0"/>
    <s v="No"/>
    <s v="Minor"/>
    <n v="4347"/>
    <n v="2213"/>
    <n v="2024"/>
    <n v="7"/>
  </r>
  <r>
    <s v="SHP-30451"/>
    <d v="2024-06-12T00:00:00"/>
    <x v="1"/>
    <s v="Kolkata"/>
    <x v="1"/>
    <x v="1"/>
    <x v="4"/>
    <s v="Low"/>
    <n v="5"/>
    <n v="6"/>
    <n v="1"/>
    <s v="Yes"/>
    <n v="485"/>
    <n v="1381"/>
    <n v="4605"/>
    <n v="0"/>
    <s v="No"/>
    <s v="Minor"/>
    <n v="4605"/>
    <n v="1381"/>
    <n v="2024"/>
    <n v="6"/>
  </r>
  <r>
    <s v="SHP-30452"/>
    <d v="2024-06-15T00:00:00"/>
    <x v="3"/>
    <s v="Mumbai"/>
    <x v="0"/>
    <x v="0"/>
    <x v="0"/>
    <s v="Low"/>
    <n v="3"/>
    <n v="7"/>
    <n v="4"/>
    <s v="Yes"/>
    <n v="441"/>
    <n v="5312"/>
    <n v="16812"/>
    <n v="0"/>
    <s v="No"/>
    <s v="Major"/>
    <n v="4203"/>
    <n v="1328"/>
    <n v="2024"/>
    <n v="6"/>
  </r>
  <r>
    <s v="SHP-30453"/>
    <d v="2024-01-07T00:00:00"/>
    <x v="3"/>
    <s v="Mumbai"/>
    <x v="1"/>
    <x v="1"/>
    <x v="0"/>
    <s v="Low"/>
    <n v="5"/>
    <n v="7"/>
    <n v="2"/>
    <s v="Yes"/>
    <n v="319"/>
    <n v="2066"/>
    <n v="7512"/>
    <n v="0"/>
    <s v="No"/>
    <s v="Minor"/>
    <n v="3756"/>
    <n v="1033"/>
    <n v="2024"/>
    <n v="1"/>
  </r>
  <r>
    <s v="SHP-30454"/>
    <d v="2024-05-26T00:00:00"/>
    <x v="2"/>
    <s v="Noida"/>
    <x v="2"/>
    <x v="1"/>
    <x v="2"/>
    <s v="Low"/>
    <n v="2"/>
    <n v="4"/>
    <n v="2"/>
    <s v="Yes"/>
    <n v="455"/>
    <n v="4406"/>
    <n v="7694"/>
    <n v="0"/>
    <s v="No"/>
    <s v="Minor"/>
    <n v="3847"/>
    <n v="2203"/>
    <n v="2024"/>
    <n v="5"/>
  </r>
  <r>
    <s v="SHP-30455"/>
    <d v="2024-09-19T00:00:00"/>
    <x v="2"/>
    <s v="Delhi"/>
    <x v="1"/>
    <x v="0"/>
    <x v="1"/>
    <s v="Low"/>
    <n v="1"/>
    <n v="3"/>
    <n v="2"/>
    <s v="Yes"/>
    <n v="303"/>
    <n v="4696"/>
    <n v="9170"/>
    <n v="0"/>
    <s v="No"/>
    <s v="Minor"/>
    <n v="4585"/>
    <n v="2348"/>
    <n v="2024"/>
    <n v="9"/>
  </r>
  <r>
    <s v="SHP-30456"/>
    <d v="2024-06-04T00:00:00"/>
    <x v="1"/>
    <s v="Kolkata"/>
    <x v="1"/>
    <x v="2"/>
    <x v="0"/>
    <s v="Low"/>
    <n v="2"/>
    <n v="4"/>
    <n v="2"/>
    <s v="Yes"/>
    <n v="274"/>
    <n v="3946"/>
    <n v="8216"/>
    <n v="0"/>
    <s v="No"/>
    <s v="Minor"/>
    <n v="4108"/>
    <n v="1973"/>
    <n v="2024"/>
    <n v="6"/>
  </r>
  <r>
    <s v="SHP-30457"/>
    <d v="2024-08-14T00:00:00"/>
    <x v="1"/>
    <s v="Kolkata"/>
    <x v="1"/>
    <x v="1"/>
    <x v="4"/>
    <s v="Medium"/>
    <n v="1"/>
    <n v="6"/>
    <n v="5"/>
    <s v="Yes"/>
    <n v="491"/>
    <n v="9485"/>
    <n v="10310"/>
    <n v="0"/>
    <s v="No"/>
    <s v="Major"/>
    <n v="2062"/>
    <n v="1897"/>
    <n v="2024"/>
    <n v="8"/>
  </r>
  <r>
    <s v="SHP-30458"/>
    <d v="2024-06-17T00:00:00"/>
    <x v="0"/>
    <s v="Chennai"/>
    <x v="2"/>
    <x v="2"/>
    <x v="4"/>
    <s v="Low"/>
    <n v="2"/>
    <n v="6"/>
    <n v="4"/>
    <s v="Yes"/>
    <n v="428"/>
    <n v="4416"/>
    <n v="10464"/>
    <n v="0"/>
    <s v="No"/>
    <s v="Major"/>
    <n v="2616"/>
    <n v="1104"/>
    <n v="2024"/>
    <n v="6"/>
  </r>
  <r>
    <s v="SHP-30459"/>
    <d v="2024-09-04T00:00:00"/>
    <x v="1"/>
    <s v="Bhubaneswar"/>
    <x v="2"/>
    <x v="1"/>
    <x v="0"/>
    <s v="Low"/>
    <n v="1"/>
    <n v="2"/>
    <n v="1"/>
    <s v="Yes"/>
    <n v="417"/>
    <n v="1881"/>
    <n v="4922"/>
    <n v="0"/>
    <s v="No"/>
    <s v="Minor"/>
    <n v="4922"/>
    <n v="1881"/>
    <n v="2024"/>
    <n v="9"/>
  </r>
  <r>
    <s v="SHP-30460"/>
    <d v="2024-04-05T00:00:00"/>
    <x v="1"/>
    <s v="Kolkata"/>
    <x v="1"/>
    <x v="1"/>
    <x v="0"/>
    <s v="Medium"/>
    <n v="3"/>
    <n v="3"/>
    <n v="0"/>
    <s v="No"/>
    <n v="351"/>
    <n v="0"/>
    <n v="0"/>
    <n v="1"/>
    <s v="No"/>
    <s v="On Time"/>
    <n v="0"/>
    <n v="0"/>
    <n v="2024"/>
    <n v="4"/>
  </r>
  <r>
    <s v="SHP-30461"/>
    <d v="2024-11-19T00:00:00"/>
    <x v="3"/>
    <s v="Pune"/>
    <x v="2"/>
    <x v="1"/>
    <x v="3"/>
    <s v="Low"/>
    <n v="2"/>
    <n v="3"/>
    <n v="1"/>
    <s v="Yes"/>
    <n v="492"/>
    <n v="1749"/>
    <n v="4937"/>
    <n v="0"/>
    <s v="No"/>
    <s v="Minor"/>
    <n v="4937"/>
    <n v="1749"/>
    <n v="2024"/>
    <n v="11"/>
  </r>
  <r>
    <s v="SHP-30462"/>
    <d v="2024-07-11T00:00:00"/>
    <x v="3"/>
    <s v="Mumbai"/>
    <x v="0"/>
    <x v="2"/>
    <x v="2"/>
    <s v="High"/>
    <n v="3"/>
    <n v="12"/>
    <n v="9"/>
    <s v="Yes"/>
    <n v="430"/>
    <n v="19557"/>
    <n v="41085"/>
    <n v="0"/>
    <s v="No"/>
    <s v="Severe"/>
    <n v="4565"/>
    <n v="2173"/>
    <n v="2024"/>
    <n v="7"/>
  </r>
  <r>
    <s v="SHP-30463"/>
    <d v="2024-07-22T00:00:00"/>
    <x v="3"/>
    <s v="Pune"/>
    <x v="0"/>
    <x v="2"/>
    <x v="4"/>
    <s v="Medium"/>
    <n v="3"/>
    <n v="7"/>
    <n v="4"/>
    <s v="Yes"/>
    <n v="185"/>
    <n v="8704"/>
    <n v="16348"/>
    <n v="0"/>
    <s v="No"/>
    <s v="Major"/>
    <n v="4087"/>
    <n v="2176"/>
    <n v="2024"/>
    <n v="7"/>
  </r>
  <r>
    <s v="SHP-30464"/>
    <d v="2024-08-01T00:00:00"/>
    <x v="0"/>
    <s v="Bengaluru"/>
    <x v="0"/>
    <x v="0"/>
    <x v="0"/>
    <s v="Low"/>
    <n v="1"/>
    <n v="5"/>
    <n v="4"/>
    <s v="Yes"/>
    <n v="413"/>
    <n v="6172"/>
    <n v="17768"/>
    <n v="0"/>
    <s v="No"/>
    <s v="Major"/>
    <n v="4442"/>
    <n v="1543"/>
    <n v="2024"/>
    <n v="8"/>
  </r>
  <r>
    <s v="SHP-30465"/>
    <d v="2024-04-02T00:00:00"/>
    <x v="0"/>
    <s v="Chennai"/>
    <x v="0"/>
    <x v="2"/>
    <x v="1"/>
    <s v="Low"/>
    <n v="1"/>
    <n v="5"/>
    <n v="4"/>
    <s v="Yes"/>
    <n v="423"/>
    <n v="4512"/>
    <n v="7364"/>
    <n v="0"/>
    <s v="No"/>
    <s v="Major"/>
    <n v="1841"/>
    <n v="1128"/>
    <n v="2024"/>
    <n v="4"/>
  </r>
  <r>
    <s v="SHP-30466"/>
    <d v="2024-04-22T00:00:00"/>
    <x v="2"/>
    <s v="Noida"/>
    <x v="1"/>
    <x v="1"/>
    <x v="2"/>
    <s v="High"/>
    <n v="2"/>
    <n v="6"/>
    <n v="4"/>
    <s v="Yes"/>
    <n v="494"/>
    <n v="7672"/>
    <n v="17528"/>
    <n v="0"/>
    <s v="No"/>
    <s v="Major"/>
    <n v="4382"/>
    <n v="1918"/>
    <n v="2024"/>
    <n v="4"/>
  </r>
  <r>
    <s v="SHP-30467"/>
    <d v="2024-06-16T00:00:00"/>
    <x v="1"/>
    <s v="Bhubaneswar"/>
    <x v="2"/>
    <x v="0"/>
    <x v="4"/>
    <s v="High"/>
    <n v="1"/>
    <n v="5"/>
    <n v="4"/>
    <s v="Yes"/>
    <n v="309"/>
    <n v="7260"/>
    <n v="17608"/>
    <n v="0"/>
    <s v="No"/>
    <s v="Major"/>
    <n v="4402"/>
    <n v="1815"/>
    <n v="2024"/>
    <n v="6"/>
  </r>
  <r>
    <s v="SHP-30468"/>
    <d v="2024-04-22T00:00:00"/>
    <x v="0"/>
    <s v="Chennai"/>
    <x v="2"/>
    <x v="1"/>
    <x v="3"/>
    <s v="Low"/>
    <n v="1"/>
    <n v="1"/>
    <n v="0"/>
    <s v="No"/>
    <n v="125"/>
    <n v="0"/>
    <n v="0"/>
    <n v="1"/>
    <s v="No"/>
    <s v="On Time"/>
    <n v="0"/>
    <n v="0"/>
    <n v="2024"/>
    <n v="4"/>
  </r>
  <r>
    <s v="SHP-30469"/>
    <d v="2024-10-11T00:00:00"/>
    <x v="0"/>
    <s v="Chennai"/>
    <x v="0"/>
    <x v="0"/>
    <x v="0"/>
    <s v="Medium"/>
    <n v="2"/>
    <n v="7"/>
    <n v="5"/>
    <s v="Yes"/>
    <n v="268"/>
    <n v="11830"/>
    <n v="24545"/>
    <n v="0"/>
    <s v="No"/>
    <s v="Major"/>
    <n v="4909"/>
    <n v="2366"/>
    <n v="2024"/>
    <n v="10"/>
  </r>
  <r>
    <s v="SHP-30470"/>
    <d v="2024-02-04T00:00:00"/>
    <x v="2"/>
    <s v="Noida"/>
    <x v="1"/>
    <x v="0"/>
    <x v="4"/>
    <s v="Medium"/>
    <n v="2"/>
    <n v="4"/>
    <n v="2"/>
    <s v="Yes"/>
    <n v="147"/>
    <n v="2552"/>
    <n v="6882"/>
    <n v="0"/>
    <s v="No"/>
    <s v="Minor"/>
    <n v="3441"/>
    <n v="1276"/>
    <n v="2024"/>
    <n v="2"/>
  </r>
  <r>
    <s v="SHP-30471"/>
    <d v="2024-07-17T00:00:00"/>
    <x v="2"/>
    <s v="Delhi"/>
    <x v="2"/>
    <x v="1"/>
    <x v="2"/>
    <s v="High"/>
    <n v="1"/>
    <n v="8"/>
    <n v="7"/>
    <s v="Yes"/>
    <n v="171"/>
    <n v="13349"/>
    <n v="11039"/>
    <n v="0"/>
    <s v="No"/>
    <s v="Severe"/>
    <n v="1577"/>
    <n v="1907"/>
    <n v="2024"/>
    <n v="7"/>
  </r>
  <r>
    <s v="SHP-30472"/>
    <d v="2024-04-07T00:00:00"/>
    <x v="2"/>
    <s v="Delhi"/>
    <x v="2"/>
    <x v="1"/>
    <x v="2"/>
    <s v="Medium"/>
    <n v="2"/>
    <n v="4"/>
    <n v="2"/>
    <s v="Yes"/>
    <n v="466"/>
    <n v="3898"/>
    <n v="7980"/>
    <n v="0"/>
    <s v="No"/>
    <s v="Minor"/>
    <n v="3990"/>
    <n v="1949"/>
    <n v="2024"/>
    <n v="4"/>
  </r>
  <r>
    <s v="SHP-30473"/>
    <d v="2024-01-14T00:00:00"/>
    <x v="1"/>
    <s v="Kolkata"/>
    <x v="2"/>
    <x v="1"/>
    <x v="3"/>
    <s v="Low"/>
    <n v="3"/>
    <n v="3"/>
    <n v="0"/>
    <s v="No"/>
    <n v="175"/>
    <n v="0"/>
    <n v="0"/>
    <n v="1"/>
    <s v="No"/>
    <s v="On Time"/>
    <n v="0"/>
    <n v="0"/>
    <n v="2024"/>
    <n v="1"/>
  </r>
  <r>
    <s v="SHP-30474"/>
    <d v="2024-06-21T00:00:00"/>
    <x v="0"/>
    <s v="Bengaluru"/>
    <x v="1"/>
    <x v="2"/>
    <x v="4"/>
    <s v="Low"/>
    <n v="5"/>
    <n v="8"/>
    <n v="3"/>
    <s v="Yes"/>
    <n v="258"/>
    <n v="6435"/>
    <n v="10137"/>
    <n v="0"/>
    <s v="No"/>
    <s v="Major"/>
    <n v="3379"/>
    <n v="2145"/>
    <n v="2024"/>
    <n v="6"/>
  </r>
  <r>
    <s v="SHP-30475"/>
    <d v="2024-11-05T00:00:00"/>
    <x v="3"/>
    <s v="Mumbai"/>
    <x v="1"/>
    <x v="0"/>
    <x v="4"/>
    <s v="Medium"/>
    <n v="2"/>
    <n v="4"/>
    <n v="2"/>
    <s v="Yes"/>
    <n v="302"/>
    <n v="3252"/>
    <n v="6052"/>
    <n v="0"/>
    <s v="No"/>
    <s v="Minor"/>
    <n v="3026"/>
    <n v="1626"/>
    <n v="2024"/>
    <n v="11"/>
  </r>
  <r>
    <s v="SHP-30476"/>
    <d v="2024-09-16T00:00:00"/>
    <x v="0"/>
    <s v="Chennai"/>
    <x v="1"/>
    <x v="2"/>
    <x v="0"/>
    <s v="Medium"/>
    <n v="3"/>
    <n v="9"/>
    <n v="6"/>
    <s v="Yes"/>
    <n v="304"/>
    <n v="10170"/>
    <n v="25794"/>
    <n v="0"/>
    <s v="No"/>
    <s v="Severe"/>
    <n v="4299"/>
    <n v="1695"/>
    <n v="2024"/>
    <n v="9"/>
  </r>
  <r>
    <s v="SHP-30477"/>
    <d v="2024-04-05T00:00:00"/>
    <x v="3"/>
    <s v="Mumbai"/>
    <x v="1"/>
    <x v="1"/>
    <x v="4"/>
    <s v="Medium"/>
    <n v="3"/>
    <n v="6"/>
    <n v="3"/>
    <s v="Yes"/>
    <n v="468"/>
    <n v="3444"/>
    <n v="14559"/>
    <n v="0"/>
    <s v="No"/>
    <s v="Major"/>
    <n v="4853"/>
    <n v="1148"/>
    <n v="2024"/>
    <n v="4"/>
  </r>
  <r>
    <s v="SHP-30478"/>
    <d v="2024-09-12T00:00:00"/>
    <x v="1"/>
    <s v="Bhubaneswar"/>
    <x v="0"/>
    <x v="2"/>
    <x v="0"/>
    <s v="High"/>
    <n v="3"/>
    <n v="9"/>
    <n v="6"/>
    <s v="Yes"/>
    <n v="157"/>
    <n v="8772"/>
    <n v="18330"/>
    <n v="0"/>
    <s v="No"/>
    <s v="Severe"/>
    <n v="3055"/>
    <n v="1462"/>
    <n v="2024"/>
    <n v="9"/>
  </r>
  <r>
    <s v="SHP-30479"/>
    <d v="2024-07-10T00:00:00"/>
    <x v="2"/>
    <s v="Noida"/>
    <x v="0"/>
    <x v="0"/>
    <x v="4"/>
    <s v="Low"/>
    <n v="1"/>
    <n v="1"/>
    <n v="0"/>
    <s v="No"/>
    <n v="181"/>
    <n v="0"/>
    <n v="0"/>
    <n v="1"/>
    <s v="No"/>
    <s v="On Time"/>
    <n v="0"/>
    <n v="0"/>
    <n v="2024"/>
    <n v="7"/>
  </r>
  <r>
    <s v="SHP-30480"/>
    <d v="2024-05-06T00:00:00"/>
    <x v="0"/>
    <s v="Bengaluru"/>
    <x v="1"/>
    <x v="2"/>
    <x v="0"/>
    <s v="High"/>
    <n v="2"/>
    <n v="9"/>
    <n v="7"/>
    <s v="Yes"/>
    <n v="388"/>
    <n v="14259"/>
    <n v="11109"/>
    <n v="0"/>
    <s v="No"/>
    <s v="Severe"/>
    <n v="1587"/>
    <n v="2037"/>
    <n v="2024"/>
    <n v="5"/>
  </r>
  <r>
    <s v="SHP-30481"/>
    <d v="2024-11-20T00:00:00"/>
    <x v="3"/>
    <s v="Mumbai"/>
    <x v="1"/>
    <x v="0"/>
    <x v="4"/>
    <s v="High"/>
    <n v="2"/>
    <n v="10"/>
    <n v="8"/>
    <s v="Yes"/>
    <n v="447"/>
    <n v="11856"/>
    <n v="28152"/>
    <n v="0"/>
    <s v="No"/>
    <s v="Severe"/>
    <n v="3519"/>
    <n v="1482"/>
    <n v="2024"/>
    <n v="11"/>
  </r>
  <r>
    <s v="SHP-30482"/>
    <d v="2024-01-02T00:00:00"/>
    <x v="2"/>
    <s v="Delhi"/>
    <x v="0"/>
    <x v="0"/>
    <x v="2"/>
    <s v="Medium"/>
    <n v="2"/>
    <n v="6"/>
    <n v="4"/>
    <s v="Yes"/>
    <n v="242"/>
    <n v="4952"/>
    <n v="19256"/>
    <n v="0"/>
    <s v="No"/>
    <s v="Major"/>
    <n v="4814"/>
    <n v="1238"/>
    <n v="2024"/>
    <n v="1"/>
  </r>
  <r>
    <s v="SHP-30483"/>
    <d v="2024-08-07T00:00:00"/>
    <x v="0"/>
    <s v="Chennai"/>
    <x v="2"/>
    <x v="1"/>
    <x v="2"/>
    <s v="Medium"/>
    <n v="2"/>
    <n v="7"/>
    <n v="5"/>
    <s v="Yes"/>
    <n v="167"/>
    <n v="9600"/>
    <n v="20725"/>
    <n v="0"/>
    <s v="No"/>
    <s v="Major"/>
    <n v="4145"/>
    <n v="1920"/>
    <n v="2024"/>
    <n v="8"/>
  </r>
  <r>
    <s v="SHP-30484"/>
    <d v="2024-06-27T00:00:00"/>
    <x v="0"/>
    <s v="Bengaluru"/>
    <x v="1"/>
    <x v="0"/>
    <x v="2"/>
    <s v="Medium"/>
    <n v="2"/>
    <n v="3"/>
    <n v="1"/>
    <s v="Yes"/>
    <n v="210"/>
    <n v="2108"/>
    <n v="2415"/>
    <n v="0"/>
    <s v="No"/>
    <s v="Minor"/>
    <n v="2415"/>
    <n v="2108"/>
    <n v="2024"/>
    <n v="6"/>
  </r>
  <r>
    <s v="SHP-30485"/>
    <d v="2024-03-17T00:00:00"/>
    <x v="0"/>
    <s v="Chennai"/>
    <x v="2"/>
    <x v="1"/>
    <x v="4"/>
    <s v="Medium"/>
    <n v="3"/>
    <n v="4"/>
    <n v="1"/>
    <s v="Yes"/>
    <n v="333"/>
    <n v="1963"/>
    <n v="2613"/>
    <n v="0"/>
    <s v="No"/>
    <s v="Minor"/>
    <n v="2613"/>
    <n v="1963"/>
    <n v="2024"/>
    <n v="3"/>
  </r>
  <r>
    <s v="SHP-30486"/>
    <d v="2024-10-27T00:00:00"/>
    <x v="0"/>
    <s v="Bengaluru"/>
    <x v="2"/>
    <x v="1"/>
    <x v="3"/>
    <s v="Medium"/>
    <n v="2"/>
    <n v="7"/>
    <n v="5"/>
    <s v="Yes"/>
    <n v="484"/>
    <n v="7585"/>
    <n v="9340"/>
    <n v="0"/>
    <s v="No"/>
    <s v="Major"/>
    <n v="1868"/>
    <n v="1517"/>
    <n v="2024"/>
    <n v="10"/>
  </r>
  <r>
    <s v="SHP-30487"/>
    <d v="2024-05-29T00:00:00"/>
    <x v="0"/>
    <s v="Chennai"/>
    <x v="0"/>
    <x v="1"/>
    <x v="2"/>
    <s v="Low"/>
    <n v="3"/>
    <n v="8"/>
    <n v="5"/>
    <s v="Yes"/>
    <n v="349"/>
    <n v="6090"/>
    <n v="24970"/>
    <n v="0"/>
    <s v="No"/>
    <s v="Major"/>
    <n v="4994"/>
    <n v="1218"/>
    <n v="2024"/>
    <n v="5"/>
  </r>
  <r>
    <s v="SHP-30488"/>
    <d v="2024-04-27T00:00:00"/>
    <x v="2"/>
    <s v="Noida"/>
    <x v="0"/>
    <x v="0"/>
    <x v="4"/>
    <s v="Low"/>
    <n v="2"/>
    <n v="6"/>
    <n v="4"/>
    <s v="Yes"/>
    <n v="478"/>
    <n v="7468"/>
    <n v="14072"/>
    <n v="0"/>
    <s v="No"/>
    <s v="Major"/>
    <n v="3518"/>
    <n v="1867"/>
    <n v="2024"/>
    <n v="4"/>
  </r>
  <r>
    <s v="SHP-30489"/>
    <d v="2024-03-13T00:00:00"/>
    <x v="2"/>
    <s v="Noida"/>
    <x v="1"/>
    <x v="0"/>
    <x v="0"/>
    <s v="Low"/>
    <n v="3"/>
    <n v="5"/>
    <n v="2"/>
    <s v="Yes"/>
    <n v="425"/>
    <n v="2526"/>
    <n v="5282"/>
    <n v="0"/>
    <s v="No"/>
    <s v="Minor"/>
    <n v="2641"/>
    <n v="1263"/>
    <n v="2024"/>
    <n v="3"/>
  </r>
  <r>
    <s v="SHP-30490"/>
    <d v="2024-04-23T00:00:00"/>
    <x v="3"/>
    <s v="Pune"/>
    <x v="1"/>
    <x v="1"/>
    <x v="4"/>
    <s v="Medium"/>
    <n v="2"/>
    <n v="3"/>
    <n v="1"/>
    <s v="Yes"/>
    <n v="336"/>
    <n v="1442"/>
    <n v="1717"/>
    <n v="0"/>
    <s v="No"/>
    <s v="Minor"/>
    <n v="1717"/>
    <n v="1442"/>
    <n v="2024"/>
    <n v="4"/>
  </r>
  <r>
    <s v="SHP-30491"/>
    <d v="2024-03-07T00:00:00"/>
    <x v="1"/>
    <s v="Bhubaneswar"/>
    <x v="1"/>
    <x v="2"/>
    <x v="2"/>
    <s v="Medium"/>
    <n v="3"/>
    <n v="10"/>
    <n v="7"/>
    <s v="Yes"/>
    <n v="66"/>
    <n v="13755"/>
    <n v="18333"/>
    <n v="0"/>
    <s v="No"/>
    <s v="Severe"/>
    <n v="2619"/>
    <n v="1965"/>
    <n v="2024"/>
    <n v="3"/>
  </r>
  <r>
    <s v="SHP-30492"/>
    <d v="2024-12-20T00:00:00"/>
    <x v="1"/>
    <s v="Bhubaneswar"/>
    <x v="0"/>
    <x v="0"/>
    <x v="4"/>
    <s v="Medium"/>
    <n v="2"/>
    <n v="2"/>
    <n v="0"/>
    <s v="No"/>
    <n v="113"/>
    <n v="0"/>
    <n v="0"/>
    <n v="1"/>
    <s v="No"/>
    <s v="On Time"/>
    <n v="0"/>
    <n v="0"/>
    <n v="2024"/>
    <n v="12"/>
  </r>
  <r>
    <s v="SHP-30493"/>
    <d v="2024-03-06T00:00:00"/>
    <x v="0"/>
    <s v="Bengaluru"/>
    <x v="0"/>
    <x v="1"/>
    <x v="3"/>
    <s v="Medium"/>
    <n v="5"/>
    <n v="6"/>
    <n v="1"/>
    <s v="Yes"/>
    <n v="316"/>
    <n v="2316"/>
    <n v="2840"/>
    <n v="0"/>
    <s v="No"/>
    <s v="Minor"/>
    <n v="2840"/>
    <n v="2316"/>
    <n v="2024"/>
    <n v="3"/>
  </r>
  <r>
    <s v="SHP-30494"/>
    <d v="2024-11-29T00:00:00"/>
    <x v="3"/>
    <s v="Pune"/>
    <x v="2"/>
    <x v="2"/>
    <x v="4"/>
    <s v="High"/>
    <n v="2"/>
    <n v="11"/>
    <n v="9"/>
    <s v="Yes"/>
    <n v="281"/>
    <n v="15462"/>
    <n v="31167"/>
    <n v="0"/>
    <s v="No"/>
    <s v="Severe"/>
    <n v="3463"/>
    <n v="1718"/>
    <n v="2024"/>
    <n v="11"/>
  </r>
  <r>
    <s v="SHP-30495"/>
    <d v="2024-12-02T00:00:00"/>
    <x v="0"/>
    <s v="Bengaluru"/>
    <x v="2"/>
    <x v="1"/>
    <x v="0"/>
    <s v="Medium"/>
    <n v="5"/>
    <n v="6"/>
    <n v="1"/>
    <s v="Yes"/>
    <n v="239"/>
    <n v="1531"/>
    <n v="4095"/>
    <n v="0"/>
    <s v="No"/>
    <s v="Minor"/>
    <n v="4095"/>
    <n v="1531"/>
    <n v="2024"/>
    <n v="12"/>
  </r>
  <r>
    <s v="SHP-30496"/>
    <d v="2024-12-10T00:00:00"/>
    <x v="0"/>
    <s v="Chennai"/>
    <x v="2"/>
    <x v="0"/>
    <x v="3"/>
    <s v="Medium"/>
    <n v="1"/>
    <n v="2"/>
    <n v="1"/>
    <s v="Yes"/>
    <n v="185"/>
    <n v="1017"/>
    <n v="2377"/>
    <n v="0"/>
    <s v="No"/>
    <s v="Minor"/>
    <n v="2377"/>
    <n v="1017"/>
    <n v="2024"/>
    <n v="12"/>
  </r>
  <r>
    <s v="SHP-30497"/>
    <d v="2024-02-04T00:00:00"/>
    <x v="2"/>
    <s v="Delhi"/>
    <x v="2"/>
    <x v="2"/>
    <x v="0"/>
    <s v="Medium"/>
    <n v="1"/>
    <n v="4"/>
    <n v="3"/>
    <s v="Yes"/>
    <n v="88"/>
    <n v="6885"/>
    <n v="6027"/>
    <n v="0"/>
    <s v="No"/>
    <s v="Major"/>
    <n v="2009"/>
    <n v="2295"/>
    <n v="2024"/>
    <n v="2"/>
  </r>
  <r>
    <s v="SHP-30498"/>
    <d v="2024-10-30T00:00:00"/>
    <x v="1"/>
    <s v="Kolkata"/>
    <x v="2"/>
    <x v="1"/>
    <x v="2"/>
    <s v="High"/>
    <n v="1"/>
    <n v="4"/>
    <n v="3"/>
    <s v="Yes"/>
    <n v="364"/>
    <n v="7431"/>
    <n v="10560"/>
    <n v="0"/>
    <s v="No"/>
    <s v="Major"/>
    <n v="3520"/>
    <n v="2477"/>
    <n v="2024"/>
    <n v="10"/>
  </r>
  <r>
    <s v="SHP-30499"/>
    <d v="2024-11-09T00:00:00"/>
    <x v="2"/>
    <s v="Noida"/>
    <x v="2"/>
    <x v="1"/>
    <x v="3"/>
    <s v="Low"/>
    <n v="2"/>
    <n v="7"/>
    <n v="5"/>
    <s v="Yes"/>
    <n v="357"/>
    <n v="5860"/>
    <n v="24910"/>
    <n v="0"/>
    <s v="No"/>
    <s v="Major"/>
    <n v="4982"/>
    <n v="1172"/>
    <n v="2024"/>
    <n v="11"/>
  </r>
  <r>
    <s v="SHP-30500"/>
    <d v="2024-03-25T00:00:00"/>
    <x v="2"/>
    <s v="Delhi"/>
    <x v="1"/>
    <x v="2"/>
    <x v="2"/>
    <s v="Low"/>
    <n v="1"/>
    <n v="7"/>
    <n v="6"/>
    <s v="Yes"/>
    <n v="479"/>
    <n v="7584"/>
    <n v="15120"/>
    <n v="0"/>
    <s v="No"/>
    <s v="Severe"/>
    <n v="2520"/>
    <n v="1264"/>
    <n v="2024"/>
    <n v="3"/>
  </r>
  <r>
    <s v="SHP-30501"/>
    <d v="2024-06-20T00:00:00"/>
    <x v="1"/>
    <s v="Bhubaneswar"/>
    <x v="1"/>
    <x v="1"/>
    <x v="4"/>
    <s v="Low"/>
    <n v="5"/>
    <n v="6"/>
    <n v="1"/>
    <s v="Yes"/>
    <n v="330"/>
    <n v="883"/>
    <n v="4462"/>
    <n v="0"/>
    <s v="No"/>
    <s v="Minor"/>
    <n v="4462"/>
    <n v="883"/>
    <n v="2024"/>
    <n v="6"/>
  </r>
  <r>
    <s v="SHP-30502"/>
    <d v="2024-12-17T00:00:00"/>
    <x v="1"/>
    <s v="Bhubaneswar"/>
    <x v="0"/>
    <x v="1"/>
    <x v="2"/>
    <s v="Low"/>
    <n v="1"/>
    <n v="6"/>
    <n v="5"/>
    <s v="Yes"/>
    <n v="160"/>
    <n v="4450"/>
    <n v="15520"/>
    <n v="0"/>
    <s v="No"/>
    <s v="Major"/>
    <n v="3104"/>
    <n v="890"/>
    <n v="2024"/>
    <n v="12"/>
  </r>
  <r>
    <s v="SHP-30503"/>
    <d v="2024-06-24T00:00:00"/>
    <x v="1"/>
    <s v="Kolkata"/>
    <x v="2"/>
    <x v="0"/>
    <x v="2"/>
    <s v="Medium"/>
    <n v="5"/>
    <n v="9"/>
    <n v="4"/>
    <s v="Yes"/>
    <n v="413"/>
    <n v="3248"/>
    <n v="13036"/>
    <n v="0"/>
    <s v="No"/>
    <s v="Major"/>
    <n v="3259"/>
    <n v="812"/>
    <n v="2024"/>
    <n v="6"/>
  </r>
  <r>
    <s v="SHP-30504"/>
    <d v="2024-03-06T00:00:00"/>
    <x v="2"/>
    <s v="Delhi"/>
    <x v="0"/>
    <x v="2"/>
    <x v="0"/>
    <s v="Low"/>
    <n v="1"/>
    <n v="4"/>
    <n v="3"/>
    <s v="Yes"/>
    <n v="494"/>
    <n v="4434"/>
    <n v="7563"/>
    <n v="0"/>
    <s v="No"/>
    <s v="Major"/>
    <n v="2521"/>
    <n v="1478"/>
    <n v="2024"/>
    <n v="3"/>
  </r>
  <r>
    <s v="SHP-30505"/>
    <d v="2024-05-14T00:00:00"/>
    <x v="1"/>
    <s v="Kolkata"/>
    <x v="0"/>
    <x v="2"/>
    <x v="0"/>
    <s v="Medium"/>
    <n v="1"/>
    <n v="3"/>
    <n v="2"/>
    <s v="Yes"/>
    <n v="342"/>
    <n v="2184"/>
    <n v="6610"/>
    <n v="0"/>
    <s v="No"/>
    <s v="Minor"/>
    <n v="3305"/>
    <n v="1092"/>
    <n v="2024"/>
    <n v="5"/>
  </r>
  <r>
    <s v="SHP-30506"/>
    <d v="2024-09-10T00:00:00"/>
    <x v="1"/>
    <s v="Bhubaneswar"/>
    <x v="0"/>
    <x v="0"/>
    <x v="4"/>
    <s v="High"/>
    <n v="3"/>
    <n v="8"/>
    <n v="5"/>
    <s v="Yes"/>
    <n v="264"/>
    <n v="8450"/>
    <n v="17730"/>
    <n v="0"/>
    <s v="No"/>
    <s v="Major"/>
    <n v="3546"/>
    <n v="1690"/>
    <n v="2024"/>
    <n v="9"/>
  </r>
  <r>
    <s v="SHP-30507"/>
    <d v="2024-12-03T00:00:00"/>
    <x v="2"/>
    <s v="Delhi"/>
    <x v="2"/>
    <x v="1"/>
    <x v="4"/>
    <s v="Medium"/>
    <n v="1"/>
    <n v="6"/>
    <n v="5"/>
    <s v="Yes"/>
    <n v="78"/>
    <n v="12345"/>
    <n v="23455"/>
    <n v="0"/>
    <s v="No"/>
    <s v="Major"/>
    <n v="4691"/>
    <n v="2469"/>
    <n v="2024"/>
    <n v="12"/>
  </r>
  <r>
    <s v="SHP-30508"/>
    <d v="2024-01-25T00:00:00"/>
    <x v="0"/>
    <s v="Bengaluru"/>
    <x v="2"/>
    <x v="0"/>
    <x v="0"/>
    <s v="Low"/>
    <n v="1"/>
    <n v="4"/>
    <n v="3"/>
    <s v="Yes"/>
    <n v="479"/>
    <n v="5976"/>
    <n v="6282"/>
    <n v="0"/>
    <s v="No"/>
    <s v="Major"/>
    <n v="2094"/>
    <n v="1992"/>
    <n v="2024"/>
    <n v="1"/>
  </r>
  <r>
    <s v="SHP-30509"/>
    <d v="2024-05-03T00:00:00"/>
    <x v="1"/>
    <s v="Kolkata"/>
    <x v="2"/>
    <x v="1"/>
    <x v="0"/>
    <s v="Low"/>
    <n v="1"/>
    <n v="2"/>
    <n v="1"/>
    <s v="Yes"/>
    <n v="188"/>
    <n v="1086"/>
    <n v="3643"/>
    <n v="0"/>
    <s v="No"/>
    <s v="Minor"/>
    <n v="3643"/>
    <n v="1086"/>
    <n v="2024"/>
    <n v="5"/>
  </r>
  <r>
    <s v="SHP-30510"/>
    <d v="2024-11-28T00:00:00"/>
    <x v="1"/>
    <s v="Kolkata"/>
    <x v="0"/>
    <x v="1"/>
    <x v="3"/>
    <s v="Medium"/>
    <n v="1"/>
    <n v="2"/>
    <n v="1"/>
    <s v="Yes"/>
    <n v="294"/>
    <n v="2281"/>
    <n v="1845"/>
    <n v="0"/>
    <s v="No"/>
    <s v="Minor"/>
    <n v="1845"/>
    <n v="2281"/>
    <n v="2024"/>
    <n v="11"/>
  </r>
  <r>
    <s v="SHP-30511"/>
    <d v="2024-05-03T00:00:00"/>
    <x v="2"/>
    <s v="Delhi"/>
    <x v="1"/>
    <x v="1"/>
    <x v="0"/>
    <s v="Low"/>
    <n v="3"/>
    <n v="8"/>
    <n v="5"/>
    <s v="Yes"/>
    <n v="119"/>
    <n v="8030"/>
    <n v="24710"/>
    <n v="0"/>
    <s v="No"/>
    <s v="Major"/>
    <n v="4942"/>
    <n v="1606"/>
    <n v="2024"/>
    <n v="5"/>
  </r>
  <r>
    <s v="SHP-30512"/>
    <d v="2024-12-23T00:00:00"/>
    <x v="2"/>
    <s v="Delhi"/>
    <x v="0"/>
    <x v="1"/>
    <x v="1"/>
    <s v="Low"/>
    <n v="5"/>
    <n v="9"/>
    <n v="4"/>
    <s v="Yes"/>
    <n v="476"/>
    <n v="5480"/>
    <n v="15260"/>
    <n v="0"/>
    <s v="No"/>
    <s v="Major"/>
    <n v="3815"/>
    <n v="1370"/>
    <n v="2024"/>
    <n v="12"/>
  </r>
  <r>
    <s v="SHP-30513"/>
    <d v="2024-10-26T00:00:00"/>
    <x v="1"/>
    <s v="Bhubaneswar"/>
    <x v="0"/>
    <x v="1"/>
    <x v="3"/>
    <s v="Medium"/>
    <n v="2"/>
    <n v="2"/>
    <n v="0"/>
    <s v="No"/>
    <n v="112"/>
    <n v="0"/>
    <n v="0"/>
    <n v="1"/>
    <s v="No"/>
    <s v="On Time"/>
    <n v="0"/>
    <n v="0"/>
    <n v="2024"/>
    <n v="10"/>
  </r>
  <r>
    <s v="SHP-30514"/>
    <d v="2024-02-17T00:00:00"/>
    <x v="1"/>
    <s v="Kolkata"/>
    <x v="0"/>
    <x v="0"/>
    <x v="0"/>
    <s v="Low"/>
    <n v="3"/>
    <n v="3"/>
    <n v="0"/>
    <s v="No"/>
    <n v="491"/>
    <n v="0"/>
    <n v="0"/>
    <n v="1"/>
    <s v="No"/>
    <s v="On Time"/>
    <n v="0"/>
    <n v="0"/>
    <n v="2024"/>
    <n v="2"/>
  </r>
  <r>
    <s v="SHP-30515"/>
    <d v="2024-04-02T00:00:00"/>
    <x v="1"/>
    <s v="Kolkata"/>
    <x v="2"/>
    <x v="1"/>
    <x v="1"/>
    <s v="Low"/>
    <n v="3"/>
    <n v="8"/>
    <n v="5"/>
    <s v="Yes"/>
    <n v="456"/>
    <n v="4285"/>
    <n v="20525"/>
    <n v="0"/>
    <s v="No"/>
    <s v="Major"/>
    <n v="4105"/>
    <n v="857"/>
    <n v="2024"/>
    <n v="4"/>
  </r>
  <r>
    <s v="SHP-30516"/>
    <d v="2024-12-04T00:00:00"/>
    <x v="3"/>
    <s v="Mumbai"/>
    <x v="1"/>
    <x v="0"/>
    <x v="2"/>
    <s v="Medium"/>
    <n v="5"/>
    <n v="5"/>
    <n v="0"/>
    <s v="No"/>
    <n v="498"/>
    <n v="0"/>
    <n v="0"/>
    <n v="1"/>
    <s v="No"/>
    <s v="On Time"/>
    <n v="0"/>
    <n v="0"/>
    <n v="2024"/>
    <n v="12"/>
  </r>
  <r>
    <s v="SHP-30517"/>
    <d v="2024-11-22T00:00:00"/>
    <x v="1"/>
    <s v="Kolkata"/>
    <x v="2"/>
    <x v="1"/>
    <x v="4"/>
    <s v="Low"/>
    <n v="2"/>
    <n v="7"/>
    <n v="5"/>
    <s v="Yes"/>
    <n v="332"/>
    <n v="6880"/>
    <n v="19005"/>
    <n v="0"/>
    <s v="No"/>
    <s v="Major"/>
    <n v="3801"/>
    <n v="1376"/>
    <n v="2024"/>
    <n v="11"/>
  </r>
  <r>
    <s v="SHP-30518"/>
    <d v="2024-03-18T00:00:00"/>
    <x v="0"/>
    <s v="Chennai"/>
    <x v="2"/>
    <x v="0"/>
    <x v="4"/>
    <s v="Medium"/>
    <n v="3"/>
    <n v="6"/>
    <n v="3"/>
    <s v="Yes"/>
    <n v="305"/>
    <n v="5862"/>
    <n v="9135"/>
    <n v="0"/>
    <s v="No"/>
    <s v="Major"/>
    <n v="3045"/>
    <n v="1954"/>
    <n v="2024"/>
    <n v="3"/>
  </r>
  <r>
    <s v="SHP-30519"/>
    <d v="2024-01-23T00:00:00"/>
    <x v="0"/>
    <s v="Bengaluru"/>
    <x v="2"/>
    <x v="1"/>
    <x v="0"/>
    <s v="High"/>
    <n v="2"/>
    <n v="4"/>
    <n v="2"/>
    <s v="Yes"/>
    <n v="447"/>
    <n v="2344"/>
    <n v="4672"/>
    <n v="0"/>
    <s v="No"/>
    <s v="Minor"/>
    <n v="2336"/>
    <n v="1172"/>
    <n v="2024"/>
    <n v="1"/>
  </r>
  <r>
    <s v="SHP-30520"/>
    <d v="2024-12-25T00:00:00"/>
    <x v="3"/>
    <s v="Pune"/>
    <x v="2"/>
    <x v="0"/>
    <x v="0"/>
    <s v="Low"/>
    <n v="2"/>
    <n v="7"/>
    <n v="5"/>
    <s v="Yes"/>
    <n v="387"/>
    <n v="6530"/>
    <n v="10550"/>
    <n v="0"/>
    <s v="No"/>
    <s v="Major"/>
    <n v="2110"/>
    <n v="1306"/>
    <n v="2024"/>
    <n v="12"/>
  </r>
  <r>
    <s v="SHP-30521"/>
    <d v="2024-08-04T00:00:00"/>
    <x v="1"/>
    <s v="Kolkata"/>
    <x v="2"/>
    <x v="0"/>
    <x v="0"/>
    <s v="Low"/>
    <n v="2"/>
    <n v="6"/>
    <n v="4"/>
    <s v="Yes"/>
    <n v="119"/>
    <n v="3524"/>
    <n v="9920"/>
    <n v="0"/>
    <s v="No"/>
    <s v="Major"/>
    <n v="2480"/>
    <n v="881"/>
    <n v="2024"/>
    <n v="8"/>
  </r>
  <r>
    <s v="SHP-30522"/>
    <d v="2024-05-15T00:00:00"/>
    <x v="0"/>
    <s v="Chennai"/>
    <x v="2"/>
    <x v="1"/>
    <x v="1"/>
    <s v="Low"/>
    <n v="2"/>
    <n v="7"/>
    <n v="5"/>
    <s v="Yes"/>
    <n v="378"/>
    <n v="11410"/>
    <n v="22880"/>
    <n v="0"/>
    <s v="No"/>
    <s v="Major"/>
    <n v="4576"/>
    <n v="2282"/>
    <n v="2024"/>
    <n v="5"/>
  </r>
  <r>
    <s v="SHP-30523"/>
    <d v="2024-07-31T00:00:00"/>
    <x v="2"/>
    <s v="Delhi"/>
    <x v="2"/>
    <x v="1"/>
    <x v="2"/>
    <s v="Low"/>
    <n v="3"/>
    <n v="4"/>
    <n v="1"/>
    <s v="Yes"/>
    <n v="438"/>
    <n v="1886"/>
    <n v="2068"/>
    <n v="0"/>
    <s v="No"/>
    <s v="Minor"/>
    <n v="2068"/>
    <n v="1886"/>
    <n v="2024"/>
    <n v="7"/>
  </r>
  <r>
    <s v="SHP-30524"/>
    <d v="2024-10-23T00:00:00"/>
    <x v="0"/>
    <s v="Bengaluru"/>
    <x v="0"/>
    <x v="2"/>
    <x v="4"/>
    <s v="Low"/>
    <n v="2"/>
    <n v="6"/>
    <n v="4"/>
    <s v="Yes"/>
    <n v="295"/>
    <n v="4440"/>
    <n v="11888"/>
    <n v="0"/>
    <s v="No"/>
    <s v="Major"/>
    <n v="2972"/>
    <n v="1110"/>
    <n v="2024"/>
    <n v="10"/>
  </r>
  <r>
    <s v="SHP-30525"/>
    <d v="2024-06-21T00:00:00"/>
    <x v="2"/>
    <s v="Delhi"/>
    <x v="0"/>
    <x v="0"/>
    <x v="4"/>
    <s v="Low"/>
    <n v="5"/>
    <n v="7"/>
    <n v="2"/>
    <s v="Yes"/>
    <n v="257"/>
    <n v="3696"/>
    <n v="9970"/>
    <n v="0"/>
    <s v="No"/>
    <s v="Minor"/>
    <n v="4985"/>
    <n v="1848"/>
    <n v="2024"/>
    <n v="6"/>
  </r>
  <r>
    <s v="SHP-30526"/>
    <d v="2024-07-22T00:00:00"/>
    <x v="1"/>
    <s v="Kolkata"/>
    <x v="2"/>
    <x v="0"/>
    <x v="2"/>
    <s v="Low"/>
    <n v="1"/>
    <n v="5"/>
    <n v="4"/>
    <s v="Yes"/>
    <n v="332"/>
    <n v="9776"/>
    <n v="14916"/>
    <n v="0"/>
    <s v="No"/>
    <s v="Major"/>
    <n v="3729"/>
    <n v="2444"/>
    <n v="2024"/>
    <n v="7"/>
  </r>
  <r>
    <s v="SHP-30527"/>
    <d v="2024-03-05T00:00:00"/>
    <x v="3"/>
    <s v="Pune"/>
    <x v="0"/>
    <x v="0"/>
    <x v="0"/>
    <s v="Low"/>
    <n v="1"/>
    <n v="5"/>
    <n v="4"/>
    <s v="Yes"/>
    <n v="231"/>
    <n v="6220"/>
    <n v="11904"/>
    <n v="0"/>
    <s v="No"/>
    <s v="Major"/>
    <n v="2976"/>
    <n v="1555"/>
    <n v="2024"/>
    <n v="3"/>
  </r>
  <r>
    <s v="SHP-30528"/>
    <d v="2024-07-16T00:00:00"/>
    <x v="1"/>
    <s v="Kolkata"/>
    <x v="1"/>
    <x v="0"/>
    <x v="4"/>
    <s v="Low"/>
    <n v="1"/>
    <n v="3"/>
    <n v="2"/>
    <s v="Yes"/>
    <n v="286"/>
    <n v="2504"/>
    <n v="4976"/>
    <n v="0"/>
    <s v="No"/>
    <s v="Minor"/>
    <n v="2488"/>
    <n v="1252"/>
    <n v="2024"/>
    <n v="7"/>
  </r>
  <r>
    <s v="SHP-30529"/>
    <d v="2024-12-30T00:00:00"/>
    <x v="0"/>
    <s v="Bengaluru"/>
    <x v="1"/>
    <x v="2"/>
    <x v="2"/>
    <s v="Medium"/>
    <n v="3"/>
    <n v="10"/>
    <n v="7"/>
    <s v="Yes"/>
    <n v="277"/>
    <n v="10850"/>
    <n v="27545"/>
    <n v="0"/>
    <s v="No"/>
    <s v="Severe"/>
    <n v="3935"/>
    <n v="1550"/>
    <n v="2024"/>
    <n v="12"/>
  </r>
  <r>
    <s v="SHP-30530"/>
    <d v="2024-07-11T00:00:00"/>
    <x v="3"/>
    <s v="Mumbai"/>
    <x v="0"/>
    <x v="1"/>
    <x v="4"/>
    <s v="Medium"/>
    <n v="5"/>
    <n v="6"/>
    <n v="1"/>
    <s v="Yes"/>
    <n v="418"/>
    <n v="2086"/>
    <n v="2644"/>
    <n v="0"/>
    <s v="No"/>
    <s v="Minor"/>
    <n v="2644"/>
    <n v="2086"/>
    <n v="2024"/>
    <n v="7"/>
  </r>
  <r>
    <s v="SHP-30531"/>
    <d v="2024-11-06T00:00:00"/>
    <x v="2"/>
    <s v="Delhi"/>
    <x v="1"/>
    <x v="1"/>
    <x v="0"/>
    <s v="Low"/>
    <n v="1"/>
    <n v="2"/>
    <n v="1"/>
    <s v="Yes"/>
    <n v="127"/>
    <n v="1143"/>
    <n v="3058"/>
    <n v="0"/>
    <s v="No"/>
    <s v="Minor"/>
    <n v="3058"/>
    <n v="1143"/>
    <n v="2024"/>
    <n v="11"/>
  </r>
  <r>
    <s v="SHP-30532"/>
    <d v="2024-04-30T00:00:00"/>
    <x v="1"/>
    <s v="Bhubaneswar"/>
    <x v="1"/>
    <x v="0"/>
    <x v="4"/>
    <s v="Medium"/>
    <n v="2"/>
    <n v="7"/>
    <n v="5"/>
    <s v="Yes"/>
    <n v="177"/>
    <n v="8875"/>
    <n v="16805"/>
    <n v="0"/>
    <s v="No"/>
    <s v="Major"/>
    <n v="3361"/>
    <n v="1775"/>
    <n v="2024"/>
    <n v="4"/>
  </r>
  <r>
    <s v="SHP-30533"/>
    <d v="2024-09-20T00:00:00"/>
    <x v="3"/>
    <s v="Pune"/>
    <x v="0"/>
    <x v="1"/>
    <x v="4"/>
    <s v="Medium"/>
    <n v="1"/>
    <n v="4"/>
    <n v="3"/>
    <s v="Yes"/>
    <n v="86"/>
    <n v="3699"/>
    <n v="9606"/>
    <n v="0"/>
    <s v="No"/>
    <s v="Major"/>
    <n v="3202"/>
    <n v="1233"/>
    <n v="2024"/>
    <n v="9"/>
  </r>
  <r>
    <s v="SHP-30534"/>
    <d v="2024-02-17T00:00:00"/>
    <x v="0"/>
    <s v="Chennai"/>
    <x v="2"/>
    <x v="1"/>
    <x v="1"/>
    <s v="High"/>
    <n v="2"/>
    <n v="5"/>
    <n v="3"/>
    <s v="Yes"/>
    <n v="146"/>
    <n v="2643"/>
    <n v="8922"/>
    <n v="0"/>
    <s v="No"/>
    <s v="Major"/>
    <n v="2974"/>
    <n v="881"/>
    <n v="2024"/>
    <n v="2"/>
  </r>
  <r>
    <s v="SHP-30535"/>
    <d v="2024-01-29T00:00:00"/>
    <x v="2"/>
    <s v="Delhi"/>
    <x v="2"/>
    <x v="2"/>
    <x v="4"/>
    <s v="Medium"/>
    <n v="2"/>
    <n v="4"/>
    <n v="2"/>
    <s v="Yes"/>
    <n v="389"/>
    <n v="3206"/>
    <n v="5622"/>
    <n v="0"/>
    <s v="No"/>
    <s v="Minor"/>
    <n v="2811"/>
    <n v="1603"/>
    <n v="2024"/>
    <n v="1"/>
  </r>
  <r>
    <s v="SHP-30536"/>
    <d v="2024-12-07T00:00:00"/>
    <x v="0"/>
    <s v="Chennai"/>
    <x v="2"/>
    <x v="2"/>
    <x v="4"/>
    <s v="High"/>
    <n v="2"/>
    <n v="8"/>
    <n v="6"/>
    <s v="Yes"/>
    <n v="360"/>
    <n v="6564"/>
    <n v="13680"/>
    <n v="0"/>
    <s v="No"/>
    <s v="Severe"/>
    <n v="2280"/>
    <n v="1094"/>
    <n v="2024"/>
    <n v="12"/>
  </r>
  <r>
    <s v="SHP-30537"/>
    <d v="2024-12-29T00:00:00"/>
    <x v="2"/>
    <s v="Delhi"/>
    <x v="1"/>
    <x v="1"/>
    <x v="3"/>
    <s v="Low"/>
    <n v="3"/>
    <n v="8"/>
    <n v="5"/>
    <s v="Yes"/>
    <n v="298"/>
    <n v="4775"/>
    <n v="21825"/>
    <n v="0"/>
    <s v="No"/>
    <s v="Major"/>
    <n v="4365"/>
    <n v="955"/>
    <n v="2024"/>
    <n v="12"/>
  </r>
  <r>
    <s v="SHP-30538"/>
    <d v="2024-05-21T00:00:00"/>
    <x v="0"/>
    <s v="Bengaluru"/>
    <x v="2"/>
    <x v="1"/>
    <x v="4"/>
    <s v="Medium"/>
    <n v="2"/>
    <n v="7"/>
    <n v="5"/>
    <s v="Yes"/>
    <n v="485"/>
    <n v="10640"/>
    <n v="24345"/>
    <n v="0"/>
    <s v="No"/>
    <s v="Major"/>
    <n v="4869"/>
    <n v="2128"/>
    <n v="2024"/>
    <n v="5"/>
  </r>
  <r>
    <s v="SHP-30539"/>
    <d v="2024-10-27T00:00:00"/>
    <x v="3"/>
    <s v="Pune"/>
    <x v="1"/>
    <x v="1"/>
    <x v="3"/>
    <s v="High"/>
    <n v="2"/>
    <n v="5"/>
    <n v="3"/>
    <s v="Yes"/>
    <n v="278"/>
    <n v="6828"/>
    <n v="7323"/>
    <n v="0"/>
    <s v="No"/>
    <s v="Major"/>
    <n v="2441"/>
    <n v="2276"/>
    <n v="2024"/>
    <n v="10"/>
  </r>
  <r>
    <s v="SHP-30540"/>
    <d v="2024-07-14T00:00:00"/>
    <x v="1"/>
    <s v="Bhubaneswar"/>
    <x v="1"/>
    <x v="0"/>
    <x v="0"/>
    <s v="Low"/>
    <n v="3"/>
    <n v="3"/>
    <n v="0"/>
    <s v="No"/>
    <n v="245"/>
    <n v="0"/>
    <n v="0"/>
    <n v="1"/>
    <s v="No"/>
    <s v="On Time"/>
    <n v="0"/>
    <n v="0"/>
    <n v="2024"/>
    <n v="7"/>
  </r>
  <r>
    <s v="SHP-30541"/>
    <d v="2024-05-08T00:00:00"/>
    <x v="2"/>
    <s v="Delhi"/>
    <x v="0"/>
    <x v="0"/>
    <x v="3"/>
    <s v="Low"/>
    <n v="3"/>
    <n v="7"/>
    <n v="4"/>
    <s v="Yes"/>
    <n v="184"/>
    <n v="5780"/>
    <n v="10412"/>
    <n v="0"/>
    <s v="No"/>
    <s v="Major"/>
    <n v="2603"/>
    <n v="1445"/>
    <n v="2024"/>
    <n v="5"/>
  </r>
  <r>
    <s v="SHP-30542"/>
    <d v="2024-09-15T00:00:00"/>
    <x v="3"/>
    <s v="Pune"/>
    <x v="2"/>
    <x v="1"/>
    <x v="2"/>
    <s v="Low"/>
    <n v="3"/>
    <n v="5"/>
    <n v="2"/>
    <s v="Yes"/>
    <n v="409"/>
    <n v="3730"/>
    <n v="8392"/>
    <n v="0"/>
    <s v="No"/>
    <s v="Minor"/>
    <n v="4196"/>
    <n v="1865"/>
    <n v="2024"/>
    <n v="9"/>
  </r>
  <r>
    <s v="SHP-30543"/>
    <d v="2024-02-29T00:00:00"/>
    <x v="0"/>
    <s v="Bengaluru"/>
    <x v="0"/>
    <x v="1"/>
    <x v="3"/>
    <s v="Low"/>
    <n v="1"/>
    <n v="5"/>
    <n v="4"/>
    <s v="Yes"/>
    <n v="149"/>
    <n v="7672"/>
    <n v="18840"/>
    <n v="0"/>
    <s v="No"/>
    <s v="Major"/>
    <n v="4710"/>
    <n v="1918"/>
    <n v="2024"/>
    <n v="2"/>
  </r>
  <r>
    <s v="SHP-30544"/>
    <d v="2024-09-21T00:00:00"/>
    <x v="0"/>
    <s v="Bengaluru"/>
    <x v="0"/>
    <x v="2"/>
    <x v="4"/>
    <s v="High"/>
    <n v="1"/>
    <n v="7"/>
    <n v="6"/>
    <s v="Yes"/>
    <n v="285"/>
    <n v="8526"/>
    <n v="9054"/>
    <n v="0"/>
    <s v="No"/>
    <s v="Severe"/>
    <n v="1509"/>
    <n v="1421"/>
    <n v="2024"/>
    <n v="9"/>
  </r>
  <r>
    <s v="SHP-30545"/>
    <d v="2024-07-15T00:00:00"/>
    <x v="2"/>
    <s v="Noida"/>
    <x v="0"/>
    <x v="0"/>
    <x v="3"/>
    <s v="Medium"/>
    <n v="2"/>
    <n v="6"/>
    <n v="4"/>
    <s v="Yes"/>
    <n v="497"/>
    <n v="5320"/>
    <n v="11248"/>
    <n v="0"/>
    <s v="No"/>
    <s v="Major"/>
    <n v="2812"/>
    <n v="1330"/>
    <n v="2024"/>
    <n v="7"/>
  </r>
  <r>
    <s v="SHP-30546"/>
    <d v="2024-07-29T00:00:00"/>
    <x v="0"/>
    <s v="Chennai"/>
    <x v="2"/>
    <x v="1"/>
    <x v="0"/>
    <s v="Low"/>
    <n v="1"/>
    <n v="1"/>
    <n v="0"/>
    <s v="No"/>
    <n v="224"/>
    <n v="0"/>
    <n v="0"/>
    <n v="1"/>
    <s v="No"/>
    <s v="On Time"/>
    <n v="0"/>
    <n v="0"/>
    <n v="2024"/>
    <n v="7"/>
  </r>
  <r>
    <s v="SHP-30547"/>
    <d v="2024-06-27T00:00:00"/>
    <x v="0"/>
    <s v="Chennai"/>
    <x v="2"/>
    <x v="1"/>
    <x v="2"/>
    <s v="Low"/>
    <n v="2"/>
    <n v="7"/>
    <n v="5"/>
    <s v="Yes"/>
    <n v="494"/>
    <n v="9285"/>
    <n v="18705"/>
    <n v="0"/>
    <s v="No"/>
    <s v="Major"/>
    <n v="3741"/>
    <n v="1857"/>
    <n v="2024"/>
    <n v="6"/>
  </r>
  <r>
    <s v="SHP-30548"/>
    <d v="2024-03-18T00:00:00"/>
    <x v="0"/>
    <s v="Bengaluru"/>
    <x v="1"/>
    <x v="0"/>
    <x v="3"/>
    <s v="Low"/>
    <n v="2"/>
    <n v="7"/>
    <n v="5"/>
    <s v="Yes"/>
    <n v="354"/>
    <n v="9995"/>
    <n v="9325"/>
    <n v="0"/>
    <s v="No"/>
    <s v="Major"/>
    <n v="1865"/>
    <n v="1999"/>
    <n v="2024"/>
    <n v="3"/>
  </r>
  <r>
    <s v="SHP-30549"/>
    <d v="2024-11-20T00:00:00"/>
    <x v="1"/>
    <s v="Kolkata"/>
    <x v="0"/>
    <x v="1"/>
    <x v="4"/>
    <s v="Low"/>
    <n v="2"/>
    <n v="7"/>
    <n v="5"/>
    <s v="Yes"/>
    <n v="173"/>
    <n v="4660"/>
    <n v="10560"/>
    <n v="0"/>
    <s v="No"/>
    <s v="Major"/>
    <n v="2112"/>
    <n v="932"/>
    <n v="2024"/>
    <n v="11"/>
  </r>
  <r>
    <s v="SHP-30550"/>
    <d v="2024-04-06T00:00:00"/>
    <x v="2"/>
    <s v="Noida"/>
    <x v="2"/>
    <x v="2"/>
    <x v="4"/>
    <s v="High"/>
    <n v="5"/>
    <n v="13"/>
    <n v="8"/>
    <s v="Yes"/>
    <n v="128"/>
    <n v="16168"/>
    <n v="34056"/>
    <n v="0"/>
    <s v="No"/>
    <s v="Severe"/>
    <n v="4257"/>
    <n v="2021"/>
    <n v="2024"/>
    <n v="4"/>
  </r>
  <r>
    <s v="SHP-30551"/>
    <d v="2024-06-27T00:00:00"/>
    <x v="2"/>
    <s v="Noida"/>
    <x v="2"/>
    <x v="1"/>
    <x v="2"/>
    <s v="Medium"/>
    <n v="2"/>
    <n v="5"/>
    <n v="3"/>
    <s v="Yes"/>
    <n v="438"/>
    <n v="3210"/>
    <n v="10473"/>
    <n v="0"/>
    <s v="No"/>
    <s v="Major"/>
    <n v="3491"/>
    <n v="1070"/>
    <n v="2024"/>
    <n v="6"/>
  </r>
  <r>
    <s v="SHP-30552"/>
    <d v="2024-11-06T00:00:00"/>
    <x v="1"/>
    <s v="Bhubaneswar"/>
    <x v="1"/>
    <x v="1"/>
    <x v="3"/>
    <s v="Low"/>
    <n v="5"/>
    <n v="5"/>
    <n v="0"/>
    <s v="No"/>
    <n v="163"/>
    <n v="0"/>
    <n v="0"/>
    <n v="1"/>
    <s v="No"/>
    <s v="On Time"/>
    <n v="0"/>
    <n v="0"/>
    <n v="2024"/>
    <n v="11"/>
  </r>
  <r>
    <s v="SHP-30553"/>
    <d v="2024-09-30T00:00:00"/>
    <x v="2"/>
    <s v="Delhi"/>
    <x v="2"/>
    <x v="1"/>
    <x v="2"/>
    <s v="Low"/>
    <n v="2"/>
    <n v="3"/>
    <n v="1"/>
    <s v="Yes"/>
    <n v="336"/>
    <n v="1515"/>
    <n v="2651"/>
    <n v="0"/>
    <s v="No"/>
    <s v="Minor"/>
    <n v="2651"/>
    <n v="1515"/>
    <n v="2024"/>
    <n v="9"/>
  </r>
  <r>
    <s v="SHP-30554"/>
    <d v="2024-05-03T00:00:00"/>
    <x v="3"/>
    <s v="Pune"/>
    <x v="1"/>
    <x v="2"/>
    <x v="1"/>
    <s v="Medium"/>
    <n v="3"/>
    <n v="5"/>
    <n v="2"/>
    <s v="Yes"/>
    <n v="131"/>
    <n v="3266"/>
    <n v="3496"/>
    <n v="0"/>
    <s v="No"/>
    <s v="Minor"/>
    <n v="1748"/>
    <n v="1633"/>
    <n v="2024"/>
    <n v="5"/>
  </r>
  <r>
    <s v="SHP-30555"/>
    <d v="2024-06-23T00:00:00"/>
    <x v="2"/>
    <s v="Noida"/>
    <x v="2"/>
    <x v="0"/>
    <x v="0"/>
    <s v="Low"/>
    <n v="1"/>
    <n v="2"/>
    <n v="1"/>
    <s v="Yes"/>
    <n v="115"/>
    <n v="1764"/>
    <n v="3686"/>
    <n v="0"/>
    <s v="No"/>
    <s v="Minor"/>
    <n v="3686"/>
    <n v="1764"/>
    <n v="2024"/>
    <n v="6"/>
  </r>
  <r>
    <s v="SHP-30556"/>
    <d v="2024-01-09T00:00:00"/>
    <x v="0"/>
    <s v="Bengaluru"/>
    <x v="1"/>
    <x v="2"/>
    <x v="2"/>
    <s v="Low"/>
    <n v="2"/>
    <n v="5"/>
    <n v="3"/>
    <s v="Yes"/>
    <n v="381"/>
    <n v="3696"/>
    <n v="13638"/>
    <n v="0"/>
    <s v="No"/>
    <s v="Major"/>
    <n v="4546"/>
    <n v="1232"/>
    <n v="2024"/>
    <n v="1"/>
  </r>
  <r>
    <s v="SHP-30557"/>
    <d v="2024-07-16T00:00:00"/>
    <x v="3"/>
    <s v="Pune"/>
    <x v="1"/>
    <x v="1"/>
    <x v="0"/>
    <s v="Medium"/>
    <n v="5"/>
    <n v="6"/>
    <n v="1"/>
    <s v="Yes"/>
    <n v="264"/>
    <n v="1021"/>
    <n v="2905"/>
    <n v="0"/>
    <s v="No"/>
    <s v="Minor"/>
    <n v="2905"/>
    <n v="1021"/>
    <n v="2024"/>
    <n v="7"/>
  </r>
  <r>
    <s v="SHP-30558"/>
    <d v="2024-04-27T00:00:00"/>
    <x v="1"/>
    <s v="Bhubaneswar"/>
    <x v="1"/>
    <x v="1"/>
    <x v="4"/>
    <s v="Medium"/>
    <n v="2"/>
    <n v="7"/>
    <n v="5"/>
    <s v="Yes"/>
    <n v="89"/>
    <n v="4120"/>
    <n v="20640"/>
    <n v="0"/>
    <s v="No"/>
    <s v="Major"/>
    <n v="4128"/>
    <n v="824"/>
    <n v="2024"/>
    <n v="4"/>
  </r>
  <r>
    <s v="SHP-30559"/>
    <d v="2024-08-30T00:00:00"/>
    <x v="1"/>
    <s v="Bhubaneswar"/>
    <x v="2"/>
    <x v="1"/>
    <x v="2"/>
    <s v="Low"/>
    <n v="3"/>
    <n v="7"/>
    <n v="4"/>
    <s v="Yes"/>
    <n v="497"/>
    <n v="8852"/>
    <n v="16348"/>
    <n v="0"/>
    <s v="No"/>
    <s v="Major"/>
    <n v="4087"/>
    <n v="2213"/>
    <n v="2024"/>
    <n v="8"/>
  </r>
  <r>
    <s v="SHP-30560"/>
    <d v="2024-09-06T00:00:00"/>
    <x v="2"/>
    <s v="Delhi"/>
    <x v="0"/>
    <x v="0"/>
    <x v="1"/>
    <s v="Medium"/>
    <n v="2"/>
    <n v="3"/>
    <n v="1"/>
    <s v="Yes"/>
    <n v="206"/>
    <n v="1778"/>
    <n v="3114"/>
    <n v="0"/>
    <s v="No"/>
    <s v="Minor"/>
    <n v="3114"/>
    <n v="1778"/>
    <n v="2024"/>
    <n v="9"/>
  </r>
  <r>
    <s v="SHP-30561"/>
    <d v="2024-08-16T00:00:00"/>
    <x v="3"/>
    <s v="Pune"/>
    <x v="2"/>
    <x v="1"/>
    <x v="0"/>
    <s v="Low"/>
    <n v="3"/>
    <n v="7"/>
    <n v="4"/>
    <s v="Yes"/>
    <n v="152"/>
    <n v="7488"/>
    <n v="11100"/>
    <n v="0"/>
    <s v="No"/>
    <s v="Major"/>
    <n v="2775"/>
    <n v="1872"/>
    <n v="2024"/>
    <n v="8"/>
  </r>
  <r>
    <s v="SHP-30562"/>
    <d v="2024-12-05T00:00:00"/>
    <x v="3"/>
    <s v="Pune"/>
    <x v="2"/>
    <x v="1"/>
    <x v="3"/>
    <s v="High"/>
    <n v="1"/>
    <n v="7"/>
    <n v="6"/>
    <s v="Yes"/>
    <n v="347"/>
    <n v="12036"/>
    <n v="20694"/>
    <n v="0"/>
    <s v="No"/>
    <s v="Severe"/>
    <n v="3449"/>
    <n v="2006"/>
    <n v="2024"/>
    <n v="12"/>
  </r>
  <r>
    <s v="SHP-30563"/>
    <d v="2024-03-06T00:00:00"/>
    <x v="3"/>
    <s v="Pune"/>
    <x v="0"/>
    <x v="1"/>
    <x v="1"/>
    <s v="High"/>
    <n v="2"/>
    <n v="10"/>
    <n v="8"/>
    <s v="Yes"/>
    <n v="293"/>
    <n v="15160"/>
    <n v="26096"/>
    <n v="0"/>
    <s v="No"/>
    <s v="Severe"/>
    <n v="3262"/>
    <n v="1895"/>
    <n v="2024"/>
    <n v="3"/>
  </r>
  <r>
    <s v="SHP-30564"/>
    <d v="2024-09-22T00:00:00"/>
    <x v="3"/>
    <s v="Pune"/>
    <x v="0"/>
    <x v="2"/>
    <x v="3"/>
    <s v="Low"/>
    <n v="3"/>
    <n v="8"/>
    <n v="5"/>
    <s v="Yes"/>
    <n v="220"/>
    <n v="5790"/>
    <n v="16490"/>
    <n v="0"/>
    <s v="No"/>
    <s v="Major"/>
    <n v="3298"/>
    <n v="1158"/>
    <n v="2024"/>
    <n v="9"/>
  </r>
  <r>
    <s v="SHP-30565"/>
    <d v="2024-10-16T00:00:00"/>
    <x v="0"/>
    <s v="Chennai"/>
    <x v="2"/>
    <x v="2"/>
    <x v="2"/>
    <s v="High"/>
    <n v="1"/>
    <n v="9"/>
    <n v="8"/>
    <s v="Yes"/>
    <n v="489"/>
    <n v="18984"/>
    <n v="27824"/>
    <n v="0"/>
    <s v="No"/>
    <s v="Severe"/>
    <n v="3478"/>
    <n v="2373"/>
    <n v="2024"/>
    <n v="10"/>
  </r>
  <r>
    <s v="SHP-30566"/>
    <d v="2024-06-21T00:00:00"/>
    <x v="1"/>
    <s v="Kolkata"/>
    <x v="0"/>
    <x v="1"/>
    <x v="1"/>
    <s v="Medium"/>
    <n v="5"/>
    <n v="8"/>
    <n v="3"/>
    <s v="Yes"/>
    <n v="216"/>
    <n v="4413"/>
    <n v="12462"/>
    <n v="0"/>
    <s v="No"/>
    <s v="Major"/>
    <n v="4154"/>
    <n v="1471"/>
    <n v="2024"/>
    <n v="6"/>
  </r>
  <r>
    <s v="SHP-30567"/>
    <d v="2024-01-10T00:00:00"/>
    <x v="1"/>
    <s v="Bhubaneswar"/>
    <x v="1"/>
    <x v="0"/>
    <x v="0"/>
    <s v="Low"/>
    <n v="1"/>
    <n v="4"/>
    <n v="3"/>
    <s v="Yes"/>
    <n v="288"/>
    <n v="5226"/>
    <n v="8016"/>
    <n v="0"/>
    <s v="No"/>
    <s v="Major"/>
    <n v="2672"/>
    <n v="1742"/>
    <n v="2024"/>
    <n v="1"/>
  </r>
  <r>
    <s v="SHP-30568"/>
    <d v="2024-02-03T00:00:00"/>
    <x v="0"/>
    <s v="Bengaluru"/>
    <x v="1"/>
    <x v="1"/>
    <x v="2"/>
    <s v="High"/>
    <n v="5"/>
    <n v="9"/>
    <n v="4"/>
    <s v="Yes"/>
    <n v="366"/>
    <n v="8752"/>
    <n v="9600"/>
    <n v="0"/>
    <s v="No"/>
    <s v="Major"/>
    <n v="2400"/>
    <n v="2188"/>
    <n v="2024"/>
    <n v="2"/>
  </r>
  <r>
    <s v="SHP-30569"/>
    <d v="2024-09-28T00:00:00"/>
    <x v="0"/>
    <s v="Bengaluru"/>
    <x v="0"/>
    <x v="1"/>
    <x v="2"/>
    <s v="High"/>
    <n v="2"/>
    <n v="8"/>
    <n v="6"/>
    <s v="Yes"/>
    <n v="80"/>
    <n v="8622"/>
    <n v="20376"/>
    <n v="0"/>
    <s v="No"/>
    <s v="Severe"/>
    <n v="3396"/>
    <n v="1437"/>
    <n v="2024"/>
    <n v="9"/>
  </r>
  <r>
    <s v="SHP-30570"/>
    <d v="2024-09-01T00:00:00"/>
    <x v="3"/>
    <s v="Mumbai"/>
    <x v="1"/>
    <x v="1"/>
    <x v="3"/>
    <s v="Medium"/>
    <n v="1"/>
    <n v="2"/>
    <n v="1"/>
    <s v="Yes"/>
    <n v="94"/>
    <n v="1388"/>
    <n v="3850"/>
    <n v="0"/>
    <s v="No"/>
    <s v="Minor"/>
    <n v="3850"/>
    <n v="1388"/>
    <n v="2024"/>
    <n v="9"/>
  </r>
  <r>
    <s v="SHP-30571"/>
    <d v="2024-06-17T00:00:00"/>
    <x v="2"/>
    <s v="Delhi"/>
    <x v="0"/>
    <x v="1"/>
    <x v="3"/>
    <s v="Medium"/>
    <n v="2"/>
    <n v="7"/>
    <n v="5"/>
    <s v="Yes"/>
    <n v="426"/>
    <n v="7135"/>
    <n v="9710"/>
    <n v="0"/>
    <s v="No"/>
    <s v="Major"/>
    <n v="1942"/>
    <n v="1427"/>
    <n v="2024"/>
    <n v="6"/>
  </r>
  <r>
    <s v="SHP-30572"/>
    <d v="2024-04-02T00:00:00"/>
    <x v="0"/>
    <s v="Bengaluru"/>
    <x v="2"/>
    <x v="2"/>
    <x v="0"/>
    <s v="High"/>
    <n v="3"/>
    <n v="8"/>
    <n v="5"/>
    <s v="Yes"/>
    <n v="135"/>
    <n v="9285"/>
    <n v="9120"/>
    <n v="0"/>
    <s v="No"/>
    <s v="Major"/>
    <n v="1824"/>
    <n v="1857"/>
    <n v="2024"/>
    <n v="4"/>
  </r>
  <r>
    <s v="SHP-30573"/>
    <d v="2024-07-22T00:00:00"/>
    <x v="1"/>
    <s v="Kolkata"/>
    <x v="0"/>
    <x v="1"/>
    <x v="1"/>
    <s v="Low"/>
    <n v="1"/>
    <n v="1"/>
    <n v="0"/>
    <s v="No"/>
    <n v="316"/>
    <n v="0"/>
    <n v="0"/>
    <n v="1"/>
    <s v="No"/>
    <s v="On Time"/>
    <n v="0"/>
    <n v="0"/>
    <n v="2024"/>
    <n v="7"/>
  </r>
  <r>
    <s v="SHP-30574"/>
    <d v="2024-09-18T00:00:00"/>
    <x v="2"/>
    <s v="Delhi"/>
    <x v="2"/>
    <x v="1"/>
    <x v="3"/>
    <s v="Medium"/>
    <n v="2"/>
    <n v="3"/>
    <n v="1"/>
    <s v="Yes"/>
    <n v="192"/>
    <n v="1127"/>
    <n v="2188"/>
    <n v="0"/>
    <s v="No"/>
    <s v="Minor"/>
    <n v="2188"/>
    <n v="1127"/>
    <n v="2024"/>
    <n v="9"/>
  </r>
  <r>
    <s v="SHP-30575"/>
    <d v="2024-09-30T00:00:00"/>
    <x v="2"/>
    <s v="Delhi"/>
    <x v="2"/>
    <x v="1"/>
    <x v="2"/>
    <s v="Medium"/>
    <n v="1"/>
    <n v="3"/>
    <n v="2"/>
    <s v="Yes"/>
    <n v="78"/>
    <n v="2036"/>
    <n v="8452"/>
    <n v="0"/>
    <s v="No"/>
    <s v="Minor"/>
    <n v="4226"/>
    <n v="1018"/>
    <n v="2024"/>
    <n v="9"/>
  </r>
  <r>
    <s v="SHP-30576"/>
    <d v="2024-07-09T00:00:00"/>
    <x v="0"/>
    <s v="Chennai"/>
    <x v="1"/>
    <x v="1"/>
    <x v="2"/>
    <s v="Low"/>
    <n v="2"/>
    <n v="6"/>
    <n v="4"/>
    <s v="Yes"/>
    <n v="402"/>
    <n v="5424"/>
    <n v="15252"/>
    <n v="0"/>
    <s v="No"/>
    <s v="Major"/>
    <n v="3813"/>
    <n v="1356"/>
    <n v="2024"/>
    <n v="7"/>
  </r>
  <r>
    <s v="SHP-30577"/>
    <d v="2024-09-25T00:00:00"/>
    <x v="1"/>
    <s v="Bhubaneswar"/>
    <x v="1"/>
    <x v="1"/>
    <x v="2"/>
    <s v="Medium"/>
    <n v="5"/>
    <n v="6"/>
    <n v="1"/>
    <s v="Yes"/>
    <n v="445"/>
    <n v="1857"/>
    <n v="1679"/>
    <n v="0"/>
    <s v="No"/>
    <s v="Minor"/>
    <n v="1679"/>
    <n v="1857"/>
    <n v="2024"/>
    <n v="9"/>
  </r>
  <r>
    <s v="SHP-30578"/>
    <d v="2024-03-26T00:00:00"/>
    <x v="3"/>
    <s v="Pune"/>
    <x v="1"/>
    <x v="0"/>
    <x v="3"/>
    <s v="High"/>
    <n v="3"/>
    <n v="10"/>
    <n v="7"/>
    <s v="Yes"/>
    <n v="155"/>
    <n v="10703"/>
    <n v="11578"/>
    <n v="0"/>
    <s v="No"/>
    <s v="Severe"/>
    <n v="1654"/>
    <n v="1529"/>
    <n v="2024"/>
    <n v="3"/>
  </r>
  <r>
    <s v="SHP-30579"/>
    <d v="2024-06-02T00:00:00"/>
    <x v="1"/>
    <s v="Bhubaneswar"/>
    <x v="1"/>
    <x v="0"/>
    <x v="4"/>
    <s v="Low"/>
    <n v="2"/>
    <n v="2"/>
    <n v="0"/>
    <s v="No"/>
    <n v="467"/>
    <n v="0"/>
    <n v="0"/>
    <n v="1"/>
    <s v="No"/>
    <s v="On Time"/>
    <n v="0"/>
    <n v="0"/>
    <n v="2024"/>
    <n v="6"/>
  </r>
  <r>
    <s v="SHP-30580"/>
    <d v="2024-08-09T00:00:00"/>
    <x v="2"/>
    <s v="Delhi"/>
    <x v="2"/>
    <x v="0"/>
    <x v="3"/>
    <s v="High"/>
    <n v="1"/>
    <n v="6"/>
    <n v="5"/>
    <s v="Yes"/>
    <n v="485"/>
    <n v="7890"/>
    <n v="10295"/>
    <n v="0"/>
    <s v="No"/>
    <s v="Major"/>
    <n v="2059"/>
    <n v="1578"/>
    <n v="2024"/>
    <n v="8"/>
  </r>
  <r>
    <s v="SHP-30581"/>
    <d v="2024-04-24T00:00:00"/>
    <x v="1"/>
    <s v="Kolkata"/>
    <x v="0"/>
    <x v="1"/>
    <x v="3"/>
    <s v="High"/>
    <n v="3"/>
    <n v="6"/>
    <n v="3"/>
    <s v="Yes"/>
    <n v="112"/>
    <n v="7296"/>
    <n v="11637"/>
    <n v="0"/>
    <s v="No"/>
    <s v="Major"/>
    <n v="3879"/>
    <n v="2432"/>
    <n v="2024"/>
    <n v="4"/>
  </r>
  <r>
    <s v="SHP-30582"/>
    <d v="2024-03-03T00:00:00"/>
    <x v="2"/>
    <s v="Noida"/>
    <x v="2"/>
    <x v="0"/>
    <x v="3"/>
    <s v="Low"/>
    <n v="5"/>
    <n v="9"/>
    <n v="4"/>
    <s v="Yes"/>
    <n v="191"/>
    <n v="6520"/>
    <n v="10016"/>
    <n v="0"/>
    <s v="No"/>
    <s v="Major"/>
    <n v="2504"/>
    <n v="1630"/>
    <n v="2024"/>
    <n v="3"/>
  </r>
  <r>
    <s v="SHP-30583"/>
    <d v="2024-07-22T00:00:00"/>
    <x v="0"/>
    <s v="Bengaluru"/>
    <x v="0"/>
    <x v="1"/>
    <x v="0"/>
    <s v="Low"/>
    <n v="3"/>
    <n v="7"/>
    <n v="4"/>
    <s v="Yes"/>
    <n v="335"/>
    <n v="3796"/>
    <n v="14684"/>
    <n v="0"/>
    <s v="No"/>
    <s v="Major"/>
    <n v="3671"/>
    <n v="949"/>
    <n v="2024"/>
    <n v="7"/>
  </r>
  <r>
    <s v="SHP-30584"/>
    <d v="2024-05-25T00:00:00"/>
    <x v="2"/>
    <s v="Delhi"/>
    <x v="0"/>
    <x v="1"/>
    <x v="3"/>
    <s v="Medium"/>
    <n v="3"/>
    <n v="8"/>
    <n v="5"/>
    <s v="Yes"/>
    <n v="445"/>
    <n v="6095"/>
    <n v="11010"/>
    <n v="0"/>
    <s v="No"/>
    <s v="Major"/>
    <n v="2202"/>
    <n v="1219"/>
    <n v="2024"/>
    <n v="5"/>
  </r>
  <r>
    <s v="SHP-30585"/>
    <d v="2024-06-07T00:00:00"/>
    <x v="0"/>
    <s v="Bengaluru"/>
    <x v="1"/>
    <x v="0"/>
    <x v="2"/>
    <s v="High"/>
    <n v="5"/>
    <n v="8"/>
    <n v="3"/>
    <s v="Yes"/>
    <n v="54"/>
    <n v="2886"/>
    <n v="13233"/>
    <n v="0"/>
    <s v="No"/>
    <s v="Major"/>
    <n v="4411"/>
    <n v="962"/>
    <n v="2024"/>
    <n v="6"/>
  </r>
  <r>
    <s v="SHP-30586"/>
    <d v="2024-01-23T00:00:00"/>
    <x v="2"/>
    <s v="Delhi"/>
    <x v="2"/>
    <x v="1"/>
    <x v="3"/>
    <s v="Low"/>
    <n v="2"/>
    <n v="4"/>
    <n v="2"/>
    <s v="Yes"/>
    <n v="60"/>
    <n v="2902"/>
    <n v="7180"/>
    <n v="0"/>
    <s v="No"/>
    <s v="Minor"/>
    <n v="3590"/>
    <n v="1451"/>
    <n v="2024"/>
    <n v="1"/>
  </r>
  <r>
    <s v="SHP-30587"/>
    <d v="2024-03-11T00:00:00"/>
    <x v="0"/>
    <s v="Bengaluru"/>
    <x v="0"/>
    <x v="0"/>
    <x v="4"/>
    <s v="Medium"/>
    <n v="3"/>
    <n v="4"/>
    <n v="1"/>
    <s v="Yes"/>
    <n v="363"/>
    <n v="1187"/>
    <n v="4973"/>
    <n v="0"/>
    <s v="No"/>
    <s v="Minor"/>
    <n v="4973"/>
    <n v="1187"/>
    <n v="2024"/>
    <n v="3"/>
  </r>
  <r>
    <s v="SHP-30588"/>
    <d v="2024-12-07T00:00:00"/>
    <x v="1"/>
    <s v="Bhubaneswar"/>
    <x v="2"/>
    <x v="0"/>
    <x v="3"/>
    <s v="Low"/>
    <n v="3"/>
    <n v="5"/>
    <n v="2"/>
    <s v="Yes"/>
    <n v="135"/>
    <n v="4882"/>
    <n v="6586"/>
    <n v="0"/>
    <s v="No"/>
    <s v="Minor"/>
    <n v="3293"/>
    <n v="2441"/>
    <n v="2024"/>
    <n v="12"/>
  </r>
  <r>
    <s v="SHP-30589"/>
    <d v="2024-01-17T00:00:00"/>
    <x v="0"/>
    <s v="Chennai"/>
    <x v="0"/>
    <x v="1"/>
    <x v="0"/>
    <s v="Medium"/>
    <n v="2"/>
    <n v="4"/>
    <n v="2"/>
    <s v="Yes"/>
    <n v="404"/>
    <n v="3242"/>
    <n v="6466"/>
    <n v="0"/>
    <s v="No"/>
    <s v="Minor"/>
    <n v="3233"/>
    <n v="1621"/>
    <n v="2024"/>
    <n v="1"/>
  </r>
  <r>
    <s v="SHP-30590"/>
    <d v="2024-09-10T00:00:00"/>
    <x v="1"/>
    <s v="Kolkata"/>
    <x v="2"/>
    <x v="1"/>
    <x v="4"/>
    <s v="Low"/>
    <n v="2"/>
    <n v="7"/>
    <n v="5"/>
    <s v="Yes"/>
    <n v="97"/>
    <n v="11920"/>
    <n v="14630"/>
    <n v="0"/>
    <s v="No"/>
    <s v="Major"/>
    <n v="2926"/>
    <n v="2384"/>
    <n v="2024"/>
    <n v="9"/>
  </r>
  <r>
    <s v="SHP-30591"/>
    <d v="2024-03-29T00:00:00"/>
    <x v="3"/>
    <s v="Pune"/>
    <x v="0"/>
    <x v="1"/>
    <x v="1"/>
    <s v="Low"/>
    <n v="3"/>
    <n v="8"/>
    <n v="5"/>
    <s v="Yes"/>
    <n v="436"/>
    <n v="11160"/>
    <n v="21775"/>
    <n v="0"/>
    <s v="No"/>
    <s v="Major"/>
    <n v="4355"/>
    <n v="2232"/>
    <n v="2024"/>
    <n v="3"/>
  </r>
  <r>
    <s v="SHP-30592"/>
    <d v="2024-06-22T00:00:00"/>
    <x v="2"/>
    <s v="Noida"/>
    <x v="2"/>
    <x v="0"/>
    <x v="1"/>
    <s v="Medium"/>
    <n v="2"/>
    <n v="5"/>
    <n v="3"/>
    <s v="Yes"/>
    <n v="226"/>
    <n v="5907"/>
    <n v="8343"/>
    <n v="0"/>
    <s v="No"/>
    <s v="Major"/>
    <n v="2781"/>
    <n v="1969"/>
    <n v="2024"/>
    <n v="6"/>
  </r>
  <r>
    <s v="SHP-30593"/>
    <d v="2024-07-14T00:00:00"/>
    <x v="0"/>
    <s v="Chennai"/>
    <x v="2"/>
    <x v="2"/>
    <x v="4"/>
    <s v="Low"/>
    <n v="1"/>
    <n v="8"/>
    <n v="7"/>
    <s v="Yes"/>
    <n v="97"/>
    <n v="11928"/>
    <n v="14763"/>
    <n v="0"/>
    <s v="No"/>
    <s v="Severe"/>
    <n v="2109"/>
    <n v="1704"/>
    <n v="2024"/>
    <n v="7"/>
  </r>
  <r>
    <s v="SHP-30594"/>
    <d v="2024-07-15T00:00:00"/>
    <x v="2"/>
    <s v="Delhi"/>
    <x v="2"/>
    <x v="1"/>
    <x v="4"/>
    <s v="Low"/>
    <n v="2"/>
    <n v="6"/>
    <n v="4"/>
    <s v="Yes"/>
    <n v="374"/>
    <n v="9188"/>
    <n v="17224"/>
    <n v="0"/>
    <s v="No"/>
    <s v="Major"/>
    <n v="4306"/>
    <n v="2297"/>
    <n v="2024"/>
    <n v="7"/>
  </r>
  <r>
    <s v="SHP-30595"/>
    <d v="2024-05-22T00:00:00"/>
    <x v="3"/>
    <s v="Pune"/>
    <x v="2"/>
    <x v="0"/>
    <x v="4"/>
    <s v="Low"/>
    <n v="2"/>
    <n v="7"/>
    <n v="5"/>
    <s v="Yes"/>
    <n v="395"/>
    <n v="10720"/>
    <n v="15355"/>
    <n v="0"/>
    <s v="No"/>
    <s v="Major"/>
    <n v="3071"/>
    <n v="2144"/>
    <n v="2024"/>
    <n v="5"/>
  </r>
  <r>
    <s v="SHP-30596"/>
    <d v="2024-05-17T00:00:00"/>
    <x v="3"/>
    <s v="Pune"/>
    <x v="0"/>
    <x v="0"/>
    <x v="0"/>
    <s v="Medium"/>
    <n v="1"/>
    <n v="3"/>
    <n v="2"/>
    <s v="Yes"/>
    <n v="485"/>
    <n v="1848"/>
    <n v="7890"/>
    <n v="0"/>
    <s v="No"/>
    <s v="Minor"/>
    <n v="3945"/>
    <n v="924"/>
    <n v="2024"/>
    <n v="5"/>
  </r>
  <r>
    <s v="SHP-30597"/>
    <d v="2024-05-01T00:00:00"/>
    <x v="0"/>
    <s v="Bengaluru"/>
    <x v="1"/>
    <x v="1"/>
    <x v="0"/>
    <s v="Medium"/>
    <n v="5"/>
    <n v="7"/>
    <n v="2"/>
    <s v="Yes"/>
    <n v="140"/>
    <n v="2654"/>
    <n v="9258"/>
    <n v="0"/>
    <s v="No"/>
    <s v="Minor"/>
    <n v="4629"/>
    <n v="1327"/>
    <n v="2024"/>
    <n v="5"/>
  </r>
  <r>
    <s v="SHP-30598"/>
    <d v="2024-07-13T00:00:00"/>
    <x v="1"/>
    <s v="Bhubaneswar"/>
    <x v="0"/>
    <x v="2"/>
    <x v="2"/>
    <s v="Low"/>
    <n v="2"/>
    <n v="7"/>
    <n v="5"/>
    <s v="Yes"/>
    <n v="97"/>
    <n v="9350"/>
    <n v="22015"/>
    <n v="0"/>
    <s v="No"/>
    <s v="Major"/>
    <n v="4403"/>
    <n v="1870"/>
    <n v="2024"/>
    <n v="7"/>
  </r>
  <r>
    <s v="SHP-30599"/>
    <d v="2024-07-14T00:00:00"/>
    <x v="1"/>
    <s v="Bhubaneswar"/>
    <x v="0"/>
    <x v="2"/>
    <x v="4"/>
    <s v="High"/>
    <n v="5"/>
    <n v="10"/>
    <n v="5"/>
    <s v="Yes"/>
    <n v="280"/>
    <n v="11995"/>
    <n v="22350"/>
    <n v="0"/>
    <s v="No"/>
    <s v="Major"/>
    <n v="4470"/>
    <n v="2399"/>
    <n v="2024"/>
    <n v="7"/>
  </r>
  <r>
    <s v="SHP-30600"/>
    <d v="2024-08-21T00:00:00"/>
    <x v="2"/>
    <s v="Noida"/>
    <x v="0"/>
    <x v="1"/>
    <x v="0"/>
    <s v="Low"/>
    <n v="2"/>
    <n v="7"/>
    <n v="5"/>
    <s v="Yes"/>
    <n v="272"/>
    <n v="9425"/>
    <n v="13560"/>
    <n v="0"/>
    <s v="No"/>
    <s v="Major"/>
    <n v="2712"/>
    <n v="1885"/>
    <n v="2024"/>
    <n v="8"/>
  </r>
  <r>
    <s v="SHP-30601"/>
    <d v="2024-03-02T00:00:00"/>
    <x v="3"/>
    <s v="Pune"/>
    <x v="2"/>
    <x v="1"/>
    <x v="1"/>
    <s v="Low"/>
    <n v="3"/>
    <n v="6"/>
    <n v="3"/>
    <s v="Yes"/>
    <n v="420"/>
    <n v="4980"/>
    <n v="7332"/>
    <n v="0"/>
    <s v="No"/>
    <s v="Major"/>
    <n v="2444"/>
    <n v="1660"/>
    <n v="2024"/>
    <n v="3"/>
  </r>
  <r>
    <s v="SHP-30602"/>
    <d v="2024-09-08T00:00:00"/>
    <x v="0"/>
    <s v="Bengaluru"/>
    <x v="0"/>
    <x v="2"/>
    <x v="2"/>
    <s v="Low"/>
    <n v="3"/>
    <n v="7"/>
    <n v="4"/>
    <s v="Yes"/>
    <n v="398"/>
    <n v="9896"/>
    <n v="9448"/>
    <n v="0"/>
    <s v="No"/>
    <s v="Major"/>
    <n v="2362"/>
    <n v="2474"/>
    <n v="2024"/>
    <n v="9"/>
  </r>
  <r>
    <s v="SHP-30603"/>
    <d v="2024-03-18T00:00:00"/>
    <x v="3"/>
    <s v="Mumbai"/>
    <x v="0"/>
    <x v="2"/>
    <x v="4"/>
    <s v="Low"/>
    <n v="2"/>
    <n v="6"/>
    <n v="4"/>
    <s v="Yes"/>
    <n v="81"/>
    <n v="7984"/>
    <n v="7476"/>
    <n v="0"/>
    <s v="No"/>
    <s v="Major"/>
    <n v="1869"/>
    <n v="1996"/>
    <n v="2024"/>
    <n v="3"/>
  </r>
  <r>
    <s v="SHP-30604"/>
    <d v="2024-03-27T00:00:00"/>
    <x v="1"/>
    <s v="Kolkata"/>
    <x v="0"/>
    <x v="1"/>
    <x v="1"/>
    <s v="Low"/>
    <n v="3"/>
    <n v="4"/>
    <n v="1"/>
    <s v="Yes"/>
    <n v="460"/>
    <n v="1219"/>
    <n v="4331"/>
    <n v="0"/>
    <s v="No"/>
    <s v="Minor"/>
    <n v="4331"/>
    <n v="1219"/>
    <n v="2024"/>
    <n v="3"/>
  </r>
  <r>
    <s v="SHP-30605"/>
    <d v="2024-07-19T00:00:00"/>
    <x v="1"/>
    <s v="Bhubaneswar"/>
    <x v="0"/>
    <x v="1"/>
    <x v="3"/>
    <s v="Medium"/>
    <n v="5"/>
    <n v="9"/>
    <n v="4"/>
    <s v="Yes"/>
    <n v="91"/>
    <n v="4960"/>
    <n v="18220"/>
    <n v="0"/>
    <s v="No"/>
    <s v="Major"/>
    <n v="4555"/>
    <n v="1240"/>
    <n v="2024"/>
    <n v="7"/>
  </r>
  <r>
    <s v="SHP-30606"/>
    <d v="2024-11-17T00:00:00"/>
    <x v="1"/>
    <s v="Kolkata"/>
    <x v="2"/>
    <x v="1"/>
    <x v="0"/>
    <s v="High"/>
    <n v="3"/>
    <n v="6"/>
    <n v="3"/>
    <s v="Yes"/>
    <n v="250"/>
    <n v="4731"/>
    <n v="14178"/>
    <n v="0"/>
    <s v="No"/>
    <s v="Major"/>
    <n v="4726"/>
    <n v="1577"/>
    <n v="2024"/>
    <n v="11"/>
  </r>
  <r>
    <s v="SHP-30607"/>
    <d v="2024-02-25T00:00:00"/>
    <x v="3"/>
    <s v="Mumbai"/>
    <x v="1"/>
    <x v="0"/>
    <x v="0"/>
    <s v="Medium"/>
    <n v="2"/>
    <n v="7"/>
    <n v="5"/>
    <s v="Yes"/>
    <n v="356"/>
    <n v="7855"/>
    <n v="17290"/>
    <n v="0"/>
    <s v="No"/>
    <s v="Major"/>
    <n v="3458"/>
    <n v="1571"/>
    <n v="2024"/>
    <n v="2"/>
  </r>
  <r>
    <s v="SHP-30608"/>
    <d v="2024-10-19T00:00:00"/>
    <x v="2"/>
    <s v="Delhi"/>
    <x v="0"/>
    <x v="0"/>
    <x v="1"/>
    <s v="Medium"/>
    <n v="1"/>
    <n v="5"/>
    <n v="4"/>
    <s v="Yes"/>
    <n v="144"/>
    <n v="6552"/>
    <n v="18388"/>
    <n v="0"/>
    <s v="No"/>
    <s v="Major"/>
    <n v="4597"/>
    <n v="1638"/>
    <n v="2024"/>
    <n v="10"/>
  </r>
  <r>
    <s v="SHP-30609"/>
    <d v="2024-08-23T00:00:00"/>
    <x v="0"/>
    <s v="Bengaluru"/>
    <x v="2"/>
    <x v="0"/>
    <x v="0"/>
    <s v="High"/>
    <n v="1"/>
    <n v="9"/>
    <n v="8"/>
    <s v="Yes"/>
    <n v="479"/>
    <n v="11832"/>
    <n v="32840"/>
    <n v="0"/>
    <s v="No"/>
    <s v="Severe"/>
    <n v="4105"/>
    <n v="1479"/>
    <n v="2024"/>
    <n v="8"/>
  </r>
  <r>
    <s v="SHP-30610"/>
    <d v="2024-04-30T00:00:00"/>
    <x v="1"/>
    <s v="Bhubaneswar"/>
    <x v="0"/>
    <x v="0"/>
    <x v="0"/>
    <s v="Low"/>
    <n v="2"/>
    <n v="7"/>
    <n v="5"/>
    <s v="Yes"/>
    <n v="317"/>
    <n v="10700"/>
    <n v="11355"/>
    <n v="0"/>
    <s v="No"/>
    <s v="Major"/>
    <n v="2271"/>
    <n v="2140"/>
    <n v="2024"/>
    <n v="4"/>
  </r>
  <r>
    <s v="SHP-30611"/>
    <d v="2024-03-10T00:00:00"/>
    <x v="2"/>
    <s v="Noida"/>
    <x v="1"/>
    <x v="0"/>
    <x v="4"/>
    <s v="Medium"/>
    <n v="3"/>
    <n v="7"/>
    <n v="4"/>
    <s v="Yes"/>
    <n v="463"/>
    <n v="8404"/>
    <n v="9532"/>
    <n v="0"/>
    <s v="No"/>
    <s v="Major"/>
    <n v="2383"/>
    <n v="2101"/>
    <n v="2024"/>
    <n v="3"/>
  </r>
  <r>
    <s v="SHP-30612"/>
    <d v="2024-12-13T00:00:00"/>
    <x v="3"/>
    <s v="Mumbai"/>
    <x v="2"/>
    <x v="0"/>
    <x v="4"/>
    <s v="High"/>
    <n v="2"/>
    <n v="6"/>
    <n v="4"/>
    <s v="Yes"/>
    <n v="69"/>
    <n v="6532"/>
    <n v="19452"/>
    <n v="0"/>
    <s v="No"/>
    <s v="Major"/>
    <n v="4863"/>
    <n v="1633"/>
    <n v="2024"/>
    <n v="12"/>
  </r>
  <r>
    <s v="SHP-30613"/>
    <d v="2024-07-11T00:00:00"/>
    <x v="1"/>
    <s v="Bhubaneswar"/>
    <x v="2"/>
    <x v="0"/>
    <x v="0"/>
    <s v="Low"/>
    <n v="2"/>
    <n v="2"/>
    <n v="0"/>
    <s v="No"/>
    <n v="90"/>
    <n v="0"/>
    <n v="0"/>
    <n v="1"/>
    <s v="No"/>
    <s v="On Time"/>
    <n v="0"/>
    <n v="0"/>
    <n v="2024"/>
    <n v="7"/>
  </r>
  <r>
    <s v="SHP-30614"/>
    <d v="2024-11-24T00:00:00"/>
    <x v="0"/>
    <s v="Chennai"/>
    <x v="1"/>
    <x v="1"/>
    <x v="2"/>
    <s v="Medium"/>
    <n v="2"/>
    <n v="7"/>
    <n v="5"/>
    <s v="Yes"/>
    <n v="471"/>
    <n v="9075"/>
    <n v="11990"/>
    <n v="0"/>
    <s v="No"/>
    <s v="Major"/>
    <n v="2398"/>
    <n v="1815"/>
    <n v="2024"/>
    <n v="11"/>
  </r>
  <r>
    <s v="SHP-30615"/>
    <d v="2024-03-07T00:00:00"/>
    <x v="1"/>
    <s v="Kolkata"/>
    <x v="1"/>
    <x v="1"/>
    <x v="4"/>
    <s v="High"/>
    <n v="2"/>
    <n v="9"/>
    <n v="7"/>
    <s v="Yes"/>
    <n v="170"/>
    <n v="11235"/>
    <n v="16667"/>
    <n v="0"/>
    <s v="No"/>
    <s v="Severe"/>
    <n v="2381"/>
    <n v="1605"/>
    <n v="2024"/>
    <n v="3"/>
  </r>
  <r>
    <s v="SHP-30616"/>
    <d v="2024-02-08T00:00:00"/>
    <x v="0"/>
    <s v="Chennai"/>
    <x v="1"/>
    <x v="2"/>
    <x v="0"/>
    <s v="High"/>
    <n v="2"/>
    <n v="5"/>
    <n v="3"/>
    <s v="Yes"/>
    <n v="270"/>
    <n v="4839"/>
    <n v="12360"/>
    <n v="0"/>
    <s v="No"/>
    <s v="Major"/>
    <n v="4120"/>
    <n v="1613"/>
    <n v="2024"/>
    <n v="2"/>
  </r>
  <r>
    <s v="SHP-30617"/>
    <d v="2024-11-18T00:00:00"/>
    <x v="3"/>
    <s v="Pune"/>
    <x v="2"/>
    <x v="0"/>
    <x v="2"/>
    <s v="Medium"/>
    <n v="2"/>
    <n v="4"/>
    <n v="2"/>
    <s v="Yes"/>
    <n v="255"/>
    <n v="3030"/>
    <n v="3010"/>
    <n v="0"/>
    <s v="No"/>
    <s v="Minor"/>
    <n v="1505"/>
    <n v="1515"/>
    <n v="2024"/>
    <n v="11"/>
  </r>
  <r>
    <s v="SHP-30618"/>
    <d v="2024-03-05T00:00:00"/>
    <x v="3"/>
    <s v="Mumbai"/>
    <x v="2"/>
    <x v="0"/>
    <x v="4"/>
    <s v="Low"/>
    <n v="2"/>
    <n v="2"/>
    <n v="0"/>
    <s v="No"/>
    <n v="427"/>
    <n v="0"/>
    <n v="0"/>
    <n v="1"/>
    <s v="No"/>
    <s v="On Time"/>
    <n v="0"/>
    <n v="0"/>
    <n v="2024"/>
    <n v="3"/>
  </r>
  <r>
    <s v="SHP-30619"/>
    <d v="2024-04-20T00:00:00"/>
    <x v="2"/>
    <s v="Noida"/>
    <x v="2"/>
    <x v="0"/>
    <x v="4"/>
    <s v="Medium"/>
    <n v="3"/>
    <n v="8"/>
    <n v="5"/>
    <s v="Yes"/>
    <n v="412"/>
    <n v="4340"/>
    <n v="22785"/>
    <n v="0"/>
    <s v="No"/>
    <s v="Major"/>
    <n v="4557"/>
    <n v="868"/>
    <n v="2024"/>
    <n v="4"/>
  </r>
  <r>
    <s v="SHP-30620"/>
    <d v="2024-02-22T00:00:00"/>
    <x v="2"/>
    <s v="Noida"/>
    <x v="0"/>
    <x v="0"/>
    <x v="4"/>
    <s v="Low"/>
    <n v="1"/>
    <n v="3"/>
    <n v="2"/>
    <s v="Yes"/>
    <n v="329"/>
    <n v="3182"/>
    <n v="4224"/>
    <n v="0"/>
    <s v="No"/>
    <s v="Minor"/>
    <n v="2112"/>
    <n v="1591"/>
    <n v="2024"/>
    <n v="2"/>
  </r>
  <r>
    <s v="SHP-30621"/>
    <d v="2024-02-07T00:00:00"/>
    <x v="3"/>
    <s v="Pune"/>
    <x v="2"/>
    <x v="0"/>
    <x v="4"/>
    <s v="Low"/>
    <n v="3"/>
    <n v="3"/>
    <n v="0"/>
    <s v="No"/>
    <n v="316"/>
    <n v="0"/>
    <n v="0"/>
    <n v="1"/>
    <s v="No"/>
    <s v="On Time"/>
    <n v="0"/>
    <n v="0"/>
    <n v="2024"/>
    <n v="2"/>
  </r>
  <r>
    <s v="SHP-30622"/>
    <d v="2024-08-18T00:00:00"/>
    <x v="1"/>
    <s v="Bhubaneswar"/>
    <x v="1"/>
    <x v="0"/>
    <x v="2"/>
    <s v="Medium"/>
    <n v="2"/>
    <n v="2"/>
    <n v="0"/>
    <s v="No"/>
    <n v="479"/>
    <n v="0"/>
    <n v="0"/>
    <n v="1"/>
    <s v="No"/>
    <s v="On Time"/>
    <n v="0"/>
    <n v="0"/>
    <n v="2024"/>
    <n v="8"/>
  </r>
  <r>
    <s v="SHP-30623"/>
    <d v="2024-07-11T00:00:00"/>
    <x v="1"/>
    <s v="Kolkata"/>
    <x v="2"/>
    <x v="1"/>
    <x v="1"/>
    <s v="Medium"/>
    <n v="1"/>
    <n v="5"/>
    <n v="4"/>
    <s v="Yes"/>
    <n v="67"/>
    <n v="7972"/>
    <n v="12072"/>
    <n v="0"/>
    <s v="No"/>
    <s v="Major"/>
    <n v="3018"/>
    <n v="1993"/>
    <n v="2024"/>
    <n v="7"/>
  </r>
  <r>
    <s v="SHP-30624"/>
    <d v="2024-09-25T00:00:00"/>
    <x v="2"/>
    <s v="Noida"/>
    <x v="2"/>
    <x v="0"/>
    <x v="3"/>
    <s v="Medium"/>
    <n v="5"/>
    <n v="7"/>
    <n v="2"/>
    <s v="Yes"/>
    <n v="223"/>
    <n v="3714"/>
    <n v="9146"/>
    <n v="0"/>
    <s v="No"/>
    <s v="Minor"/>
    <n v="4573"/>
    <n v="1857"/>
    <n v="2024"/>
    <n v="9"/>
  </r>
  <r>
    <s v="SHP-30625"/>
    <d v="2024-06-10T00:00:00"/>
    <x v="3"/>
    <s v="Mumbai"/>
    <x v="2"/>
    <x v="2"/>
    <x v="1"/>
    <s v="Medium"/>
    <n v="2"/>
    <n v="8"/>
    <n v="6"/>
    <s v="Yes"/>
    <n v="203"/>
    <n v="4836"/>
    <n v="22920"/>
    <n v="0"/>
    <s v="No"/>
    <s v="Severe"/>
    <n v="3820"/>
    <n v="806"/>
    <n v="2024"/>
    <n v="6"/>
  </r>
  <r>
    <s v="SHP-30626"/>
    <d v="2024-10-08T00:00:00"/>
    <x v="1"/>
    <s v="Bhubaneswar"/>
    <x v="1"/>
    <x v="0"/>
    <x v="2"/>
    <s v="High"/>
    <n v="2"/>
    <n v="6"/>
    <n v="4"/>
    <s v="Yes"/>
    <n v="154"/>
    <n v="9660"/>
    <n v="12316"/>
    <n v="0"/>
    <s v="No"/>
    <s v="Major"/>
    <n v="3079"/>
    <n v="2415"/>
    <n v="2024"/>
    <n v="10"/>
  </r>
  <r>
    <s v="SHP-30627"/>
    <d v="2024-08-17T00:00:00"/>
    <x v="1"/>
    <s v="Kolkata"/>
    <x v="2"/>
    <x v="2"/>
    <x v="3"/>
    <s v="Low"/>
    <n v="2"/>
    <n v="4"/>
    <n v="2"/>
    <s v="Yes"/>
    <n v="188"/>
    <n v="1610"/>
    <n v="6886"/>
    <n v="0"/>
    <s v="No"/>
    <s v="Minor"/>
    <n v="3443"/>
    <n v="805"/>
    <n v="2024"/>
    <n v="8"/>
  </r>
  <r>
    <s v="SHP-30628"/>
    <d v="2024-04-04T00:00:00"/>
    <x v="2"/>
    <s v="Delhi"/>
    <x v="2"/>
    <x v="1"/>
    <x v="1"/>
    <s v="Low"/>
    <n v="1"/>
    <n v="2"/>
    <n v="1"/>
    <s v="Yes"/>
    <n v="141"/>
    <n v="1325"/>
    <n v="2151"/>
    <n v="0"/>
    <s v="No"/>
    <s v="Minor"/>
    <n v="2151"/>
    <n v="1325"/>
    <n v="2024"/>
    <n v="4"/>
  </r>
  <r>
    <s v="SHP-30629"/>
    <d v="2024-08-26T00:00:00"/>
    <x v="1"/>
    <s v="Kolkata"/>
    <x v="2"/>
    <x v="2"/>
    <x v="0"/>
    <s v="Medium"/>
    <n v="1"/>
    <n v="8"/>
    <n v="7"/>
    <s v="Yes"/>
    <n v="106"/>
    <n v="15232"/>
    <n v="20237"/>
    <n v="0"/>
    <s v="No"/>
    <s v="Severe"/>
    <n v="2891"/>
    <n v="2176"/>
    <n v="2024"/>
    <n v="8"/>
  </r>
  <r>
    <s v="SHP-30630"/>
    <d v="2024-06-15T00:00:00"/>
    <x v="2"/>
    <s v="Noida"/>
    <x v="1"/>
    <x v="0"/>
    <x v="0"/>
    <s v="Medium"/>
    <n v="3"/>
    <n v="6"/>
    <n v="3"/>
    <s v="Yes"/>
    <n v="240"/>
    <n v="5580"/>
    <n v="14205"/>
    <n v="0"/>
    <s v="No"/>
    <s v="Major"/>
    <n v="4735"/>
    <n v="1860"/>
    <n v="2024"/>
    <n v="6"/>
  </r>
  <r>
    <s v="SHP-30631"/>
    <d v="2024-07-14T00:00:00"/>
    <x v="2"/>
    <s v="Delhi"/>
    <x v="1"/>
    <x v="2"/>
    <x v="0"/>
    <s v="Medium"/>
    <n v="3"/>
    <n v="5"/>
    <n v="2"/>
    <s v="Yes"/>
    <n v="157"/>
    <n v="1904"/>
    <n v="7172"/>
    <n v="0"/>
    <s v="No"/>
    <s v="Minor"/>
    <n v="3586"/>
    <n v="952"/>
    <n v="2024"/>
    <n v="7"/>
  </r>
  <r>
    <s v="SHP-30632"/>
    <d v="2024-02-07T00:00:00"/>
    <x v="3"/>
    <s v="Pune"/>
    <x v="0"/>
    <x v="1"/>
    <x v="4"/>
    <s v="Low"/>
    <n v="2"/>
    <n v="7"/>
    <n v="5"/>
    <s v="Yes"/>
    <n v="189"/>
    <n v="8975"/>
    <n v="18885"/>
    <n v="0"/>
    <s v="No"/>
    <s v="Major"/>
    <n v="3777"/>
    <n v="1795"/>
    <n v="2024"/>
    <n v="2"/>
  </r>
  <r>
    <s v="SHP-30633"/>
    <d v="2024-06-25T00:00:00"/>
    <x v="1"/>
    <s v="Kolkata"/>
    <x v="0"/>
    <x v="1"/>
    <x v="1"/>
    <s v="High"/>
    <n v="2"/>
    <n v="5"/>
    <n v="3"/>
    <s v="Yes"/>
    <n v="86"/>
    <n v="5844"/>
    <n v="6042"/>
    <n v="0"/>
    <s v="No"/>
    <s v="Major"/>
    <n v="2014"/>
    <n v="1948"/>
    <n v="2024"/>
    <n v="6"/>
  </r>
  <r>
    <s v="SHP-30634"/>
    <d v="2024-06-19T00:00:00"/>
    <x v="2"/>
    <s v="Delhi"/>
    <x v="0"/>
    <x v="1"/>
    <x v="0"/>
    <s v="Medium"/>
    <n v="2"/>
    <n v="6"/>
    <n v="4"/>
    <s v="Yes"/>
    <n v="304"/>
    <n v="7024"/>
    <n v="6660"/>
    <n v="0"/>
    <s v="No"/>
    <s v="Major"/>
    <n v="1665"/>
    <n v="1756"/>
    <n v="2024"/>
    <n v="6"/>
  </r>
  <r>
    <s v="SHP-30635"/>
    <d v="2024-12-12T00:00:00"/>
    <x v="0"/>
    <s v="Chennai"/>
    <x v="2"/>
    <x v="2"/>
    <x v="1"/>
    <s v="High"/>
    <n v="3"/>
    <n v="12"/>
    <n v="9"/>
    <s v="Yes"/>
    <n v="269"/>
    <n v="10980"/>
    <n v="19269"/>
    <n v="0"/>
    <s v="No"/>
    <s v="Severe"/>
    <n v="2141"/>
    <n v="1220"/>
    <n v="2024"/>
    <n v="12"/>
  </r>
  <r>
    <s v="SHP-30636"/>
    <d v="2024-11-09T00:00:00"/>
    <x v="0"/>
    <s v="Chennai"/>
    <x v="0"/>
    <x v="0"/>
    <x v="4"/>
    <s v="Low"/>
    <n v="1"/>
    <n v="2"/>
    <n v="1"/>
    <s v="Yes"/>
    <n v="225"/>
    <n v="2473"/>
    <n v="2981"/>
    <n v="0"/>
    <s v="No"/>
    <s v="Minor"/>
    <n v="2981"/>
    <n v="2473"/>
    <n v="2024"/>
    <n v="11"/>
  </r>
  <r>
    <s v="SHP-30637"/>
    <d v="2024-04-18T00:00:00"/>
    <x v="0"/>
    <s v="Chennai"/>
    <x v="0"/>
    <x v="0"/>
    <x v="3"/>
    <s v="Low"/>
    <n v="3"/>
    <n v="5"/>
    <n v="2"/>
    <s v="Yes"/>
    <n v="323"/>
    <n v="4362"/>
    <n v="4638"/>
    <n v="0"/>
    <s v="No"/>
    <s v="Minor"/>
    <n v="2319"/>
    <n v="2181"/>
    <n v="2024"/>
    <n v="4"/>
  </r>
  <r>
    <s v="SHP-30638"/>
    <d v="2024-10-15T00:00:00"/>
    <x v="3"/>
    <s v="Mumbai"/>
    <x v="0"/>
    <x v="1"/>
    <x v="4"/>
    <s v="Low"/>
    <n v="2"/>
    <n v="4"/>
    <n v="2"/>
    <s v="Yes"/>
    <n v="258"/>
    <n v="3070"/>
    <n v="6724"/>
    <n v="0"/>
    <s v="No"/>
    <s v="Minor"/>
    <n v="3362"/>
    <n v="1535"/>
    <n v="2024"/>
    <n v="10"/>
  </r>
  <r>
    <s v="SHP-30639"/>
    <d v="2024-11-16T00:00:00"/>
    <x v="0"/>
    <s v="Chennai"/>
    <x v="1"/>
    <x v="1"/>
    <x v="1"/>
    <s v="Low"/>
    <n v="3"/>
    <n v="5"/>
    <n v="2"/>
    <s v="Yes"/>
    <n v="357"/>
    <n v="3232"/>
    <n v="3662"/>
    <n v="0"/>
    <s v="No"/>
    <s v="Minor"/>
    <n v="1831"/>
    <n v="1616"/>
    <n v="2024"/>
    <n v="11"/>
  </r>
  <r>
    <s v="SHP-30640"/>
    <d v="2024-12-26T00:00:00"/>
    <x v="0"/>
    <s v="Bengaluru"/>
    <x v="1"/>
    <x v="1"/>
    <x v="4"/>
    <s v="Low"/>
    <n v="2"/>
    <n v="5"/>
    <n v="3"/>
    <s v="Yes"/>
    <n v="103"/>
    <n v="5868"/>
    <n v="14868"/>
    <n v="0"/>
    <s v="No"/>
    <s v="Major"/>
    <n v="4956"/>
    <n v="1956"/>
    <n v="2024"/>
    <n v="12"/>
  </r>
  <r>
    <s v="SHP-30641"/>
    <d v="2024-06-13T00:00:00"/>
    <x v="2"/>
    <s v="Delhi"/>
    <x v="1"/>
    <x v="0"/>
    <x v="1"/>
    <s v="High"/>
    <n v="1"/>
    <n v="8"/>
    <n v="7"/>
    <s v="Yes"/>
    <n v="130"/>
    <n v="7070"/>
    <n v="12901"/>
    <n v="0"/>
    <s v="No"/>
    <s v="Severe"/>
    <n v="1843"/>
    <n v="1010"/>
    <n v="2024"/>
    <n v="6"/>
  </r>
  <r>
    <s v="SHP-30642"/>
    <d v="2024-07-04T00:00:00"/>
    <x v="2"/>
    <s v="Delhi"/>
    <x v="1"/>
    <x v="0"/>
    <x v="2"/>
    <s v="Medium"/>
    <n v="2"/>
    <n v="2"/>
    <n v="0"/>
    <s v="No"/>
    <n v="470"/>
    <n v="0"/>
    <n v="0"/>
    <n v="1"/>
    <s v="No"/>
    <s v="On Time"/>
    <n v="0"/>
    <n v="0"/>
    <n v="2024"/>
    <n v="7"/>
  </r>
  <r>
    <s v="SHP-30643"/>
    <d v="2024-01-22T00:00:00"/>
    <x v="3"/>
    <s v="Pune"/>
    <x v="1"/>
    <x v="0"/>
    <x v="0"/>
    <s v="Medium"/>
    <n v="2"/>
    <n v="4"/>
    <n v="2"/>
    <s v="Yes"/>
    <n v="184"/>
    <n v="1940"/>
    <n v="8006"/>
    <n v="0"/>
    <s v="No"/>
    <s v="Minor"/>
    <n v="4003"/>
    <n v="970"/>
    <n v="2024"/>
    <n v="1"/>
  </r>
  <r>
    <s v="SHP-30644"/>
    <d v="2024-10-17T00:00:00"/>
    <x v="0"/>
    <s v="Chennai"/>
    <x v="2"/>
    <x v="1"/>
    <x v="2"/>
    <s v="Medium"/>
    <n v="1"/>
    <n v="5"/>
    <n v="4"/>
    <s v="Yes"/>
    <n v="366"/>
    <n v="7056"/>
    <n v="12144"/>
    <n v="0"/>
    <s v="No"/>
    <s v="Major"/>
    <n v="3036"/>
    <n v="1764"/>
    <n v="2024"/>
    <n v="10"/>
  </r>
  <r>
    <s v="SHP-30645"/>
    <d v="2024-11-05T00:00:00"/>
    <x v="0"/>
    <s v="Bengaluru"/>
    <x v="0"/>
    <x v="1"/>
    <x v="0"/>
    <s v="Low"/>
    <n v="2"/>
    <n v="3"/>
    <n v="1"/>
    <s v="Yes"/>
    <n v="241"/>
    <n v="2346"/>
    <n v="3941"/>
    <n v="0"/>
    <s v="No"/>
    <s v="Minor"/>
    <n v="3941"/>
    <n v="2346"/>
    <n v="2024"/>
    <n v="11"/>
  </r>
  <r>
    <s v="SHP-30646"/>
    <d v="2024-02-08T00:00:00"/>
    <x v="0"/>
    <s v="Bengaluru"/>
    <x v="2"/>
    <x v="1"/>
    <x v="2"/>
    <s v="Medium"/>
    <n v="1"/>
    <n v="4"/>
    <n v="3"/>
    <s v="Yes"/>
    <n v="270"/>
    <n v="7353"/>
    <n v="5379"/>
    <n v="0"/>
    <s v="No"/>
    <s v="Major"/>
    <n v="1793"/>
    <n v="2451"/>
    <n v="2024"/>
    <n v="2"/>
  </r>
  <r>
    <s v="SHP-30647"/>
    <d v="2024-12-28T00:00:00"/>
    <x v="1"/>
    <s v="Kolkata"/>
    <x v="2"/>
    <x v="2"/>
    <x v="0"/>
    <s v="Low"/>
    <n v="1"/>
    <n v="4"/>
    <n v="3"/>
    <s v="Yes"/>
    <n v="216"/>
    <n v="5679"/>
    <n v="8184"/>
    <n v="0"/>
    <s v="No"/>
    <s v="Major"/>
    <n v="2728"/>
    <n v="1893"/>
    <n v="2024"/>
    <n v="12"/>
  </r>
  <r>
    <s v="SHP-30648"/>
    <d v="2024-01-02T00:00:00"/>
    <x v="1"/>
    <s v="Bhubaneswar"/>
    <x v="2"/>
    <x v="1"/>
    <x v="2"/>
    <s v="High"/>
    <n v="2"/>
    <n v="6"/>
    <n v="4"/>
    <s v="Yes"/>
    <n v="315"/>
    <n v="5572"/>
    <n v="17716"/>
    <n v="0"/>
    <s v="No"/>
    <s v="Major"/>
    <n v="4429"/>
    <n v="1393"/>
    <n v="2024"/>
    <n v="1"/>
  </r>
  <r>
    <s v="SHP-30649"/>
    <d v="2024-01-17T00:00:00"/>
    <x v="0"/>
    <s v="Chennai"/>
    <x v="2"/>
    <x v="1"/>
    <x v="4"/>
    <s v="Medium"/>
    <n v="1"/>
    <n v="3"/>
    <n v="2"/>
    <s v="Yes"/>
    <n v="231"/>
    <n v="4352"/>
    <n v="7144"/>
    <n v="0"/>
    <s v="No"/>
    <s v="Minor"/>
    <n v="3572"/>
    <n v="2176"/>
    <n v="2024"/>
    <n v="1"/>
  </r>
  <r>
    <s v="SHP-30650"/>
    <d v="2024-09-18T00:00:00"/>
    <x v="2"/>
    <s v="Delhi"/>
    <x v="2"/>
    <x v="2"/>
    <x v="4"/>
    <s v="Medium"/>
    <n v="1"/>
    <n v="4"/>
    <n v="3"/>
    <s v="Yes"/>
    <n v="331"/>
    <n v="4623"/>
    <n v="8292"/>
    <n v="0"/>
    <s v="No"/>
    <s v="Major"/>
    <n v="2764"/>
    <n v="1541"/>
    <n v="2024"/>
    <n v="9"/>
  </r>
  <r>
    <s v="SHP-30651"/>
    <d v="2024-02-21T00:00:00"/>
    <x v="0"/>
    <s v="Chennai"/>
    <x v="1"/>
    <x v="2"/>
    <x v="0"/>
    <s v="Medium"/>
    <n v="3"/>
    <n v="4"/>
    <n v="1"/>
    <s v="Yes"/>
    <n v="90"/>
    <n v="2134"/>
    <n v="2650"/>
    <n v="0"/>
    <s v="No"/>
    <s v="Minor"/>
    <n v="2650"/>
    <n v="2134"/>
    <n v="2024"/>
    <n v="2"/>
  </r>
  <r>
    <s v="SHP-30652"/>
    <d v="2024-08-07T00:00:00"/>
    <x v="3"/>
    <s v="Pune"/>
    <x v="2"/>
    <x v="2"/>
    <x v="0"/>
    <s v="Low"/>
    <n v="1"/>
    <n v="4"/>
    <n v="3"/>
    <s v="Yes"/>
    <n v="272"/>
    <n v="4386"/>
    <n v="13059"/>
    <n v="0"/>
    <s v="No"/>
    <s v="Major"/>
    <n v="4353"/>
    <n v="1462"/>
    <n v="2024"/>
    <n v="8"/>
  </r>
  <r>
    <s v="SHP-30653"/>
    <d v="2024-02-11T00:00:00"/>
    <x v="0"/>
    <s v="Bengaluru"/>
    <x v="2"/>
    <x v="1"/>
    <x v="1"/>
    <s v="Low"/>
    <n v="2"/>
    <n v="5"/>
    <n v="3"/>
    <s v="Yes"/>
    <n v="456"/>
    <n v="2919"/>
    <n v="6255"/>
    <n v="0"/>
    <s v="No"/>
    <s v="Major"/>
    <n v="2085"/>
    <n v="973"/>
    <n v="2024"/>
    <n v="2"/>
  </r>
  <r>
    <s v="SHP-30654"/>
    <d v="2024-03-05T00:00:00"/>
    <x v="3"/>
    <s v="Pune"/>
    <x v="1"/>
    <x v="1"/>
    <x v="0"/>
    <s v="High"/>
    <n v="1"/>
    <n v="5"/>
    <n v="4"/>
    <s v="Yes"/>
    <n v="416"/>
    <n v="8744"/>
    <n v="17252"/>
    <n v="0"/>
    <s v="No"/>
    <s v="Major"/>
    <n v="4313"/>
    <n v="2186"/>
    <n v="2024"/>
    <n v="3"/>
  </r>
  <r>
    <s v="SHP-30655"/>
    <d v="2024-03-30T00:00:00"/>
    <x v="3"/>
    <s v="Pune"/>
    <x v="0"/>
    <x v="0"/>
    <x v="0"/>
    <s v="Medium"/>
    <n v="3"/>
    <n v="4"/>
    <n v="1"/>
    <s v="Yes"/>
    <n v="476"/>
    <n v="1755"/>
    <n v="3446"/>
    <n v="0"/>
    <s v="No"/>
    <s v="Minor"/>
    <n v="3446"/>
    <n v="1755"/>
    <n v="2024"/>
    <n v="3"/>
  </r>
  <r>
    <s v="SHP-30656"/>
    <d v="2024-11-02T00:00:00"/>
    <x v="0"/>
    <s v="Chennai"/>
    <x v="0"/>
    <x v="1"/>
    <x v="0"/>
    <s v="Low"/>
    <n v="1"/>
    <n v="1"/>
    <n v="0"/>
    <s v="No"/>
    <n v="81"/>
    <n v="0"/>
    <n v="0"/>
    <n v="1"/>
    <s v="No"/>
    <s v="On Time"/>
    <n v="0"/>
    <n v="0"/>
    <n v="2024"/>
    <n v="11"/>
  </r>
  <r>
    <s v="SHP-30657"/>
    <d v="2024-06-08T00:00:00"/>
    <x v="0"/>
    <s v="Bengaluru"/>
    <x v="0"/>
    <x v="1"/>
    <x v="0"/>
    <s v="Medium"/>
    <n v="5"/>
    <n v="7"/>
    <n v="2"/>
    <s v="Yes"/>
    <n v="59"/>
    <n v="4290"/>
    <n v="6266"/>
    <n v="0"/>
    <s v="No"/>
    <s v="Minor"/>
    <n v="3133"/>
    <n v="2145"/>
    <n v="2024"/>
    <n v="6"/>
  </r>
  <r>
    <s v="SHP-30658"/>
    <d v="2024-08-05T00:00:00"/>
    <x v="1"/>
    <s v="Bhubaneswar"/>
    <x v="2"/>
    <x v="1"/>
    <x v="1"/>
    <s v="Medium"/>
    <n v="2"/>
    <n v="7"/>
    <n v="5"/>
    <s v="Yes"/>
    <n v="495"/>
    <n v="6660"/>
    <n v="16815"/>
    <n v="0"/>
    <s v="No"/>
    <s v="Major"/>
    <n v="3363"/>
    <n v="1332"/>
    <n v="2024"/>
    <n v="8"/>
  </r>
  <r>
    <s v="SHP-30659"/>
    <d v="2024-05-31T00:00:00"/>
    <x v="1"/>
    <s v="Kolkata"/>
    <x v="2"/>
    <x v="2"/>
    <x v="3"/>
    <s v="Low"/>
    <n v="1"/>
    <n v="5"/>
    <n v="4"/>
    <s v="Yes"/>
    <n v="340"/>
    <n v="7724"/>
    <n v="6908"/>
    <n v="0"/>
    <s v="No"/>
    <s v="Major"/>
    <n v="1727"/>
    <n v="1931"/>
    <n v="2024"/>
    <n v="5"/>
  </r>
  <r>
    <s v="SHP-30660"/>
    <d v="2024-03-09T00:00:00"/>
    <x v="2"/>
    <s v="Noida"/>
    <x v="1"/>
    <x v="1"/>
    <x v="4"/>
    <s v="Medium"/>
    <n v="1"/>
    <n v="3"/>
    <n v="2"/>
    <s v="Yes"/>
    <n v="158"/>
    <n v="3658"/>
    <n v="5228"/>
    <n v="0"/>
    <s v="No"/>
    <s v="Minor"/>
    <n v="2614"/>
    <n v="1829"/>
    <n v="2024"/>
    <n v="3"/>
  </r>
  <r>
    <s v="SHP-30661"/>
    <d v="2024-06-01T00:00:00"/>
    <x v="3"/>
    <s v="Pune"/>
    <x v="0"/>
    <x v="0"/>
    <x v="2"/>
    <s v="Low"/>
    <n v="2"/>
    <n v="6"/>
    <n v="4"/>
    <s v="Yes"/>
    <n v="85"/>
    <n v="9352"/>
    <n v="7920"/>
    <n v="0"/>
    <s v="No"/>
    <s v="Major"/>
    <n v="1980"/>
    <n v="2338"/>
    <n v="2024"/>
    <n v="6"/>
  </r>
  <r>
    <s v="SHP-30662"/>
    <d v="2024-07-24T00:00:00"/>
    <x v="1"/>
    <s v="Kolkata"/>
    <x v="0"/>
    <x v="1"/>
    <x v="0"/>
    <s v="Low"/>
    <n v="2"/>
    <n v="2"/>
    <n v="0"/>
    <s v="No"/>
    <n v="324"/>
    <n v="0"/>
    <n v="0"/>
    <n v="1"/>
    <s v="No"/>
    <s v="On Time"/>
    <n v="0"/>
    <n v="0"/>
    <n v="2024"/>
    <n v="7"/>
  </r>
  <r>
    <s v="SHP-30663"/>
    <d v="2024-06-16T00:00:00"/>
    <x v="0"/>
    <s v="Chennai"/>
    <x v="1"/>
    <x v="1"/>
    <x v="2"/>
    <s v="Medium"/>
    <n v="1"/>
    <n v="2"/>
    <n v="1"/>
    <s v="Yes"/>
    <n v="262"/>
    <n v="1491"/>
    <n v="3728"/>
    <n v="0"/>
    <s v="No"/>
    <s v="Minor"/>
    <n v="3728"/>
    <n v="1491"/>
    <n v="2024"/>
    <n v="6"/>
  </r>
  <r>
    <s v="SHP-30664"/>
    <d v="2024-11-22T00:00:00"/>
    <x v="2"/>
    <s v="Noida"/>
    <x v="2"/>
    <x v="1"/>
    <x v="3"/>
    <s v="Medium"/>
    <n v="3"/>
    <n v="6"/>
    <n v="3"/>
    <s v="Yes"/>
    <n v="330"/>
    <n v="3717"/>
    <n v="8136"/>
    <n v="0"/>
    <s v="No"/>
    <s v="Major"/>
    <n v="2712"/>
    <n v="1239"/>
    <n v="2024"/>
    <n v="11"/>
  </r>
  <r>
    <s v="SHP-30665"/>
    <d v="2024-10-06T00:00:00"/>
    <x v="3"/>
    <s v="Mumbai"/>
    <x v="2"/>
    <x v="0"/>
    <x v="4"/>
    <s v="Low"/>
    <n v="1"/>
    <n v="3"/>
    <n v="2"/>
    <s v="Yes"/>
    <n v="432"/>
    <n v="4892"/>
    <n v="6732"/>
    <n v="0"/>
    <s v="No"/>
    <s v="Minor"/>
    <n v="3366"/>
    <n v="2446"/>
    <n v="2024"/>
    <n v="10"/>
  </r>
  <r>
    <s v="SHP-30666"/>
    <d v="2024-11-13T00:00:00"/>
    <x v="1"/>
    <s v="Bhubaneswar"/>
    <x v="2"/>
    <x v="1"/>
    <x v="2"/>
    <s v="High"/>
    <n v="2"/>
    <n v="7"/>
    <n v="5"/>
    <s v="Yes"/>
    <n v="117"/>
    <n v="4410"/>
    <n v="18630"/>
    <n v="0"/>
    <s v="No"/>
    <s v="Major"/>
    <n v="3726"/>
    <n v="882"/>
    <n v="2024"/>
    <n v="11"/>
  </r>
  <r>
    <s v="SHP-30667"/>
    <d v="2024-11-02T00:00:00"/>
    <x v="2"/>
    <s v="Delhi"/>
    <x v="1"/>
    <x v="1"/>
    <x v="3"/>
    <s v="Low"/>
    <n v="2"/>
    <n v="6"/>
    <n v="4"/>
    <s v="Yes"/>
    <n v="458"/>
    <n v="8840"/>
    <n v="16844"/>
    <n v="0"/>
    <s v="No"/>
    <s v="Major"/>
    <n v="4211"/>
    <n v="2210"/>
    <n v="2024"/>
    <n v="11"/>
  </r>
  <r>
    <s v="SHP-30668"/>
    <d v="2024-10-02T00:00:00"/>
    <x v="3"/>
    <s v="Pune"/>
    <x v="2"/>
    <x v="0"/>
    <x v="1"/>
    <s v="Low"/>
    <n v="1"/>
    <n v="5"/>
    <n v="4"/>
    <s v="Yes"/>
    <n v="280"/>
    <n v="8836"/>
    <n v="17848"/>
    <n v="0"/>
    <s v="No"/>
    <s v="Major"/>
    <n v="4462"/>
    <n v="2209"/>
    <n v="2024"/>
    <n v="10"/>
  </r>
  <r>
    <s v="SHP-30669"/>
    <d v="2024-04-11T00:00:00"/>
    <x v="2"/>
    <s v="Delhi"/>
    <x v="2"/>
    <x v="0"/>
    <x v="0"/>
    <s v="High"/>
    <n v="3"/>
    <n v="11"/>
    <n v="8"/>
    <s v="Yes"/>
    <n v="63"/>
    <n v="7368"/>
    <n v="26208"/>
    <n v="0"/>
    <s v="No"/>
    <s v="Severe"/>
    <n v="3276"/>
    <n v="921"/>
    <n v="2024"/>
    <n v="4"/>
  </r>
  <r>
    <s v="SHP-30670"/>
    <d v="2024-08-30T00:00:00"/>
    <x v="3"/>
    <s v="Mumbai"/>
    <x v="1"/>
    <x v="0"/>
    <x v="4"/>
    <s v="Low"/>
    <n v="2"/>
    <n v="7"/>
    <n v="5"/>
    <s v="Yes"/>
    <n v="116"/>
    <n v="7720"/>
    <n v="22065"/>
    <n v="0"/>
    <s v="No"/>
    <s v="Major"/>
    <n v="4413"/>
    <n v="1544"/>
    <n v="2024"/>
    <n v="8"/>
  </r>
  <r>
    <s v="SHP-30671"/>
    <d v="2024-02-20T00:00:00"/>
    <x v="3"/>
    <s v="Mumbai"/>
    <x v="1"/>
    <x v="0"/>
    <x v="4"/>
    <s v="Low"/>
    <n v="5"/>
    <n v="7"/>
    <n v="2"/>
    <s v="Yes"/>
    <n v="103"/>
    <n v="4834"/>
    <n v="7998"/>
    <n v="0"/>
    <s v="No"/>
    <s v="Minor"/>
    <n v="3999"/>
    <n v="2417"/>
    <n v="2024"/>
    <n v="2"/>
  </r>
  <r>
    <s v="SHP-30672"/>
    <d v="2024-05-10T00:00:00"/>
    <x v="0"/>
    <s v="Bengaluru"/>
    <x v="2"/>
    <x v="1"/>
    <x v="1"/>
    <s v="High"/>
    <n v="1"/>
    <n v="8"/>
    <n v="7"/>
    <s v="Yes"/>
    <n v="236"/>
    <n v="8141"/>
    <n v="10843"/>
    <n v="0"/>
    <s v="No"/>
    <s v="Severe"/>
    <n v="1549"/>
    <n v="1163"/>
    <n v="2024"/>
    <n v="5"/>
  </r>
  <r>
    <s v="SHP-30673"/>
    <d v="2024-09-14T00:00:00"/>
    <x v="2"/>
    <s v="Noida"/>
    <x v="1"/>
    <x v="1"/>
    <x v="2"/>
    <s v="Medium"/>
    <n v="5"/>
    <n v="8"/>
    <n v="3"/>
    <s v="Yes"/>
    <n v="319"/>
    <n v="6978"/>
    <n v="6615"/>
    <n v="0"/>
    <s v="No"/>
    <s v="Major"/>
    <n v="2205"/>
    <n v="2326"/>
    <n v="2024"/>
    <n v="9"/>
  </r>
  <r>
    <s v="SHP-30674"/>
    <d v="2024-07-07T00:00:00"/>
    <x v="0"/>
    <s v="Bengaluru"/>
    <x v="2"/>
    <x v="1"/>
    <x v="1"/>
    <s v="Low"/>
    <n v="2"/>
    <n v="5"/>
    <n v="3"/>
    <s v="Yes"/>
    <n v="119"/>
    <n v="7065"/>
    <n v="6945"/>
    <n v="0"/>
    <s v="No"/>
    <s v="Major"/>
    <n v="2315"/>
    <n v="2355"/>
    <n v="2024"/>
    <n v="7"/>
  </r>
  <r>
    <s v="SHP-30675"/>
    <d v="2024-06-08T00:00:00"/>
    <x v="3"/>
    <s v="Mumbai"/>
    <x v="0"/>
    <x v="1"/>
    <x v="1"/>
    <s v="Medium"/>
    <n v="2"/>
    <n v="2"/>
    <n v="0"/>
    <s v="No"/>
    <n v="342"/>
    <n v="0"/>
    <n v="0"/>
    <n v="1"/>
    <s v="No"/>
    <s v="On Time"/>
    <n v="0"/>
    <n v="0"/>
    <n v="2024"/>
    <n v="6"/>
  </r>
  <r>
    <s v="SHP-30676"/>
    <d v="2024-11-23T00:00:00"/>
    <x v="0"/>
    <s v="Chennai"/>
    <x v="2"/>
    <x v="1"/>
    <x v="0"/>
    <s v="Medium"/>
    <n v="3"/>
    <n v="7"/>
    <n v="4"/>
    <s v="Yes"/>
    <n v="280"/>
    <n v="3656"/>
    <n v="19444"/>
    <n v="0"/>
    <s v="No"/>
    <s v="Major"/>
    <n v="4861"/>
    <n v="914"/>
    <n v="2024"/>
    <n v="11"/>
  </r>
  <r>
    <s v="SHP-30677"/>
    <d v="2024-06-06T00:00:00"/>
    <x v="1"/>
    <s v="Bhubaneswar"/>
    <x v="2"/>
    <x v="1"/>
    <x v="0"/>
    <s v="Low"/>
    <n v="2"/>
    <n v="7"/>
    <n v="5"/>
    <s v="Yes"/>
    <n v="115"/>
    <n v="5235"/>
    <n v="15705"/>
    <n v="0"/>
    <s v="No"/>
    <s v="Major"/>
    <n v="3141"/>
    <n v="1047"/>
    <n v="2024"/>
    <n v="6"/>
  </r>
  <r>
    <s v="SHP-30678"/>
    <d v="2024-09-17T00:00:00"/>
    <x v="0"/>
    <s v="Chennai"/>
    <x v="2"/>
    <x v="1"/>
    <x v="4"/>
    <s v="High"/>
    <n v="2"/>
    <n v="10"/>
    <n v="8"/>
    <s v="Yes"/>
    <n v="286"/>
    <n v="9712"/>
    <n v="16040"/>
    <n v="0"/>
    <s v="No"/>
    <s v="Severe"/>
    <n v="2005"/>
    <n v="1214"/>
    <n v="2024"/>
    <n v="9"/>
  </r>
  <r>
    <s v="SHP-30679"/>
    <d v="2024-03-13T00:00:00"/>
    <x v="0"/>
    <s v="Bengaluru"/>
    <x v="0"/>
    <x v="2"/>
    <x v="3"/>
    <s v="Medium"/>
    <n v="3"/>
    <n v="5"/>
    <n v="2"/>
    <s v="Yes"/>
    <n v="104"/>
    <n v="1676"/>
    <n v="6486"/>
    <n v="0"/>
    <s v="No"/>
    <s v="Minor"/>
    <n v="3243"/>
    <n v="838"/>
    <n v="2024"/>
    <n v="3"/>
  </r>
  <r>
    <s v="SHP-30680"/>
    <d v="2024-08-10T00:00:00"/>
    <x v="2"/>
    <s v="Delhi"/>
    <x v="2"/>
    <x v="2"/>
    <x v="1"/>
    <s v="Low"/>
    <n v="2"/>
    <n v="4"/>
    <n v="2"/>
    <s v="Yes"/>
    <n v="265"/>
    <n v="4428"/>
    <n v="4516"/>
    <n v="0"/>
    <s v="No"/>
    <s v="Minor"/>
    <n v="2258"/>
    <n v="2214"/>
    <n v="2024"/>
    <n v="8"/>
  </r>
  <r>
    <s v="SHP-30681"/>
    <d v="2024-03-16T00:00:00"/>
    <x v="0"/>
    <s v="Chennai"/>
    <x v="1"/>
    <x v="1"/>
    <x v="2"/>
    <s v="Low"/>
    <n v="1"/>
    <n v="5"/>
    <n v="4"/>
    <s v="Yes"/>
    <n v="316"/>
    <n v="3916"/>
    <n v="18272"/>
    <n v="0"/>
    <s v="No"/>
    <s v="Major"/>
    <n v="4568"/>
    <n v="979"/>
    <n v="2024"/>
    <n v="3"/>
  </r>
  <r>
    <s v="SHP-30682"/>
    <d v="2024-10-02T00:00:00"/>
    <x v="3"/>
    <s v="Pune"/>
    <x v="0"/>
    <x v="0"/>
    <x v="4"/>
    <s v="Low"/>
    <n v="2"/>
    <n v="2"/>
    <n v="0"/>
    <s v="No"/>
    <n v="55"/>
    <n v="0"/>
    <n v="0"/>
    <n v="1"/>
    <s v="No"/>
    <s v="On Time"/>
    <n v="0"/>
    <n v="0"/>
    <n v="2024"/>
    <n v="10"/>
  </r>
  <r>
    <s v="SHP-30683"/>
    <d v="2024-10-08T00:00:00"/>
    <x v="1"/>
    <s v="Bhubaneswar"/>
    <x v="0"/>
    <x v="1"/>
    <x v="0"/>
    <s v="Medium"/>
    <n v="2"/>
    <n v="3"/>
    <n v="1"/>
    <s v="Yes"/>
    <n v="360"/>
    <n v="1993"/>
    <n v="1651"/>
    <n v="0"/>
    <s v="No"/>
    <s v="Minor"/>
    <n v="1651"/>
    <n v="1993"/>
    <n v="2024"/>
    <n v="10"/>
  </r>
  <r>
    <s v="SHP-30684"/>
    <d v="2024-03-02T00:00:00"/>
    <x v="3"/>
    <s v="Mumbai"/>
    <x v="2"/>
    <x v="1"/>
    <x v="2"/>
    <s v="Low"/>
    <n v="3"/>
    <n v="8"/>
    <n v="5"/>
    <s v="Yes"/>
    <n v="361"/>
    <n v="11305"/>
    <n v="16890"/>
    <n v="0"/>
    <s v="No"/>
    <s v="Major"/>
    <n v="3378"/>
    <n v="2261"/>
    <n v="2024"/>
    <n v="3"/>
  </r>
  <r>
    <s v="SHP-30685"/>
    <d v="2024-07-04T00:00:00"/>
    <x v="2"/>
    <s v="Delhi"/>
    <x v="2"/>
    <x v="0"/>
    <x v="4"/>
    <s v="Medium"/>
    <n v="2"/>
    <n v="3"/>
    <n v="1"/>
    <s v="Yes"/>
    <n v="287"/>
    <n v="2423"/>
    <n v="3436"/>
    <n v="0"/>
    <s v="No"/>
    <s v="Minor"/>
    <n v="3436"/>
    <n v="2423"/>
    <n v="2024"/>
    <n v="7"/>
  </r>
  <r>
    <s v="SHP-30686"/>
    <d v="2024-12-08T00:00:00"/>
    <x v="3"/>
    <s v="Pune"/>
    <x v="0"/>
    <x v="0"/>
    <x v="0"/>
    <s v="Medium"/>
    <n v="2"/>
    <n v="5"/>
    <n v="3"/>
    <s v="Yes"/>
    <n v="115"/>
    <n v="2784"/>
    <n v="14133"/>
    <n v="0"/>
    <s v="No"/>
    <s v="Major"/>
    <n v="4711"/>
    <n v="928"/>
    <n v="2024"/>
    <n v="12"/>
  </r>
  <r>
    <s v="SHP-30687"/>
    <d v="2024-04-14T00:00:00"/>
    <x v="0"/>
    <s v="Chennai"/>
    <x v="1"/>
    <x v="0"/>
    <x v="0"/>
    <s v="Medium"/>
    <n v="2"/>
    <n v="2"/>
    <n v="0"/>
    <s v="No"/>
    <n v="242"/>
    <n v="0"/>
    <n v="0"/>
    <n v="1"/>
    <s v="No"/>
    <s v="On Time"/>
    <n v="0"/>
    <n v="0"/>
    <n v="2024"/>
    <n v="4"/>
  </r>
  <r>
    <s v="SHP-30688"/>
    <d v="2024-05-13T00:00:00"/>
    <x v="0"/>
    <s v="Bengaluru"/>
    <x v="2"/>
    <x v="1"/>
    <x v="4"/>
    <s v="Low"/>
    <n v="1"/>
    <n v="2"/>
    <n v="1"/>
    <s v="Yes"/>
    <n v="167"/>
    <n v="1419"/>
    <n v="4551"/>
    <n v="0"/>
    <s v="No"/>
    <s v="Minor"/>
    <n v="4551"/>
    <n v="1419"/>
    <n v="2024"/>
    <n v="5"/>
  </r>
  <r>
    <s v="SHP-30689"/>
    <d v="2024-10-27T00:00:00"/>
    <x v="3"/>
    <s v="Mumbai"/>
    <x v="0"/>
    <x v="0"/>
    <x v="4"/>
    <s v="Low"/>
    <n v="1"/>
    <n v="2"/>
    <n v="1"/>
    <s v="Yes"/>
    <n v="278"/>
    <n v="1144"/>
    <n v="3154"/>
    <n v="0"/>
    <s v="No"/>
    <s v="Minor"/>
    <n v="3154"/>
    <n v="1144"/>
    <n v="2024"/>
    <n v="10"/>
  </r>
  <r>
    <s v="SHP-30690"/>
    <d v="2024-02-15T00:00:00"/>
    <x v="1"/>
    <s v="Bhubaneswar"/>
    <x v="0"/>
    <x v="1"/>
    <x v="0"/>
    <s v="Medium"/>
    <n v="3"/>
    <n v="5"/>
    <n v="2"/>
    <s v="Yes"/>
    <n v="245"/>
    <n v="4702"/>
    <n v="8466"/>
    <n v="0"/>
    <s v="No"/>
    <s v="Minor"/>
    <n v="4233"/>
    <n v="2351"/>
    <n v="2024"/>
    <n v="2"/>
  </r>
  <r>
    <s v="SHP-30691"/>
    <d v="2024-06-03T00:00:00"/>
    <x v="3"/>
    <s v="Mumbai"/>
    <x v="1"/>
    <x v="0"/>
    <x v="4"/>
    <s v="Medium"/>
    <n v="2"/>
    <n v="5"/>
    <n v="3"/>
    <s v="Yes"/>
    <n v="60"/>
    <n v="3357"/>
    <n v="4920"/>
    <n v="0"/>
    <s v="No"/>
    <s v="Major"/>
    <n v="1640"/>
    <n v="1119"/>
    <n v="2024"/>
    <n v="6"/>
  </r>
  <r>
    <s v="SHP-30692"/>
    <d v="2024-08-06T00:00:00"/>
    <x v="0"/>
    <s v="Chennai"/>
    <x v="1"/>
    <x v="2"/>
    <x v="4"/>
    <s v="Medium"/>
    <n v="1"/>
    <n v="8"/>
    <n v="7"/>
    <s v="Yes"/>
    <n v="302"/>
    <n v="10822"/>
    <n v="12642"/>
    <n v="0"/>
    <s v="No"/>
    <s v="Severe"/>
    <n v="1806"/>
    <n v="1546"/>
    <n v="2024"/>
    <n v="8"/>
  </r>
  <r>
    <s v="SHP-30693"/>
    <d v="2024-06-09T00:00:00"/>
    <x v="0"/>
    <s v="Chennai"/>
    <x v="0"/>
    <x v="1"/>
    <x v="0"/>
    <s v="High"/>
    <n v="5"/>
    <n v="9"/>
    <n v="4"/>
    <s v="Yes"/>
    <n v="369"/>
    <n v="3324"/>
    <n v="13796"/>
    <n v="0"/>
    <s v="No"/>
    <s v="Major"/>
    <n v="3449"/>
    <n v="831"/>
    <n v="2024"/>
    <n v="6"/>
  </r>
  <r>
    <s v="SHP-30694"/>
    <d v="2024-05-18T00:00:00"/>
    <x v="3"/>
    <s v="Pune"/>
    <x v="0"/>
    <x v="1"/>
    <x v="4"/>
    <s v="High"/>
    <n v="2"/>
    <n v="10"/>
    <n v="8"/>
    <s v="Yes"/>
    <n v="364"/>
    <n v="16432"/>
    <n v="32568"/>
    <n v="0"/>
    <s v="No"/>
    <s v="Severe"/>
    <n v="4071"/>
    <n v="2054"/>
    <n v="2024"/>
    <n v="5"/>
  </r>
  <r>
    <s v="SHP-30695"/>
    <d v="2024-05-01T00:00:00"/>
    <x v="0"/>
    <s v="Chennai"/>
    <x v="2"/>
    <x v="0"/>
    <x v="3"/>
    <s v="Medium"/>
    <n v="2"/>
    <n v="6"/>
    <n v="4"/>
    <s v="Yes"/>
    <n v="351"/>
    <n v="5100"/>
    <n v="13128"/>
    <n v="0"/>
    <s v="No"/>
    <s v="Major"/>
    <n v="3282"/>
    <n v="1275"/>
    <n v="2024"/>
    <n v="5"/>
  </r>
  <r>
    <s v="SHP-30696"/>
    <d v="2024-08-26T00:00:00"/>
    <x v="3"/>
    <s v="Pune"/>
    <x v="2"/>
    <x v="1"/>
    <x v="3"/>
    <s v="High"/>
    <n v="5"/>
    <n v="11"/>
    <n v="6"/>
    <s v="Yes"/>
    <n v="185"/>
    <n v="13386"/>
    <n v="24156"/>
    <n v="0"/>
    <s v="No"/>
    <s v="Severe"/>
    <n v="4026"/>
    <n v="2231"/>
    <n v="2024"/>
    <n v="8"/>
  </r>
  <r>
    <s v="SHP-30697"/>
    <d v="2024-12-14T00:00:00"/>
    <x v="0"/>
    <s v="Bengaluru"/>
    <x v="2"/>
    <x v="1"/>
    <x v="4"/>
    <s v="Medium"/>
    <n v="2"/>
    <n v="3"/>
    <n v="1"/>
    <s v="Yes"/>
    <n v="226"/>
    <n v="1359"/>
    <n v="3437"/>
    <n v="0"/>
    <s v="No"/>
    <s v="Minor"/>
    <n v="3437"/>
    <n v="1359"/>
    <n v="2024"/>
    <n v="12"/>
  </r>
  <r>
    <s v="SHP-30698"/>
    <d v="2024-03-03T00:00:00"/>
    <x v="1"/>
    <s v="Kolkata"/>
    <x v="2"/>
    <x v="2"/>
    <x v="4"/>
    <s v="High"/>
    <n v="3"/>
    <n v="12"/>
    <n v="9"/>
    <s v="Yes"/>
    <n v="165"/>
    <n v="7677"/>
    <n v="44802"/>
    <n v="0"/>
    <s v="No"/>
    <s v="Severe"/>
    <n v="4978"/>
    <n v="853"/>
    <n v="2024"/>
    <n v="3"/>
  </r>
  <r>
    <s v="SHP-30699"/>
    <d v="2024-12-15T00:00:00"/>
    <x v="3"/>
    <s v="Mumbai"/>
    <x v="2"/>
    <x v="2"/>
    <x v="0"/>
    <s v="Low"/>
    <n v="5"/>
    <n v="10"/>
    <n v="5"/>
    <s v="Yes"/>
    <n v="378"/>
    <n v="7950"/>
    <n v="16515"/>
    <n v="0"/>
    <s v="No"/>
    <s v="Major"/>
    <n v="3303"/>
    <n v="1590"/>
    <n v="2024"/>
    <n v="12"/>
  </r>
  <r>
    <s v="SHP-30700"/>
    <d v="2024-11-20T00:00:00"/>
    <x v="2"/>
    <s v="Delhi"/>
    <x v="1"/>
    <x v="0"/>
    <x v="1"/>
    <s v="Medium"/>
    <n v="2"/>
    <n v="7"/>
    <n v="5"/>
    <s v="Yes"/>
    <n v="189"/>
    <n v="11270"/>
    <n v="11180"/>
    <n v="0"/>
    <s v="No"/>
    <s v="Major"/>
    <n v="2236"/>
    <n v="2254"/>
    <n v="2024"/>
    <n v="11"/>
  </r>
  <r>
    <s v="SHP-30701"/>
    <d v="2024-01-08T00:00:00"/>
    <x v="2"/>
    <s v="Delhi"/>
    <x v="2"/>
    <x v="2"/>
    <x v="0"/>
    <s v="Medium"/>
    <n v="1"/>
    <n v="3"/>
    <n v="2"/>
    <s v="Yes"/>
    <n v="231"/>
    <n v="3210"/>
    <n v="5930"/>
    <n v="0"/>
    <s v="No"/>
    <s v="Minor"/>
    <n v="2965"/>
    <n v="1605"/>
    <n v="2024"/>
    <n v="1"/>
  </r>
  <r>
    <s v="SHP-30702"/>
    <d v="2024-01-01T00:00:00"/>
    <x v="2"/>
    <s v="Delhi"/>
    <x v="0"/>
    <x v="1"/>
    <x v="1"/>
    <s v="Low"/>
    <n v="2"/>
    <n v="6"/>
    <n v="4"/>
    <s v="Yes"/>
    <n v="196"/>
    <n v="9280"/>
    <n v="14696"/>
    <n v="0"/>
    <s v="No"/>
    <s v="Major"/>
    <n v="3674"/>
    <n v="2320"/>
    <n v="2024"/>
    <n v="1"/>
  </r>
  <r>
    <s v="SHP-30703"/>
    <d v="2024-05-18T00:00:00"/>
    <x v="3"/>
    <s v="Pune"/>
    <x v="2"/>
    <x v="2"/>
    <x v="2"/>
    <s v="Low"/>
    <n v="2"/>
    <n v="5"/>
    <n v="3"/>
    <s v="Yes"/>
    <n v="421"/>
    <n v="2691"/>
    <n v="11805"/>
    <n v="0"/>
    <s v="No"/>
    <s v="Major"/>
    <n v="3935"/>
    <n v="897"/>
    <n v="2024"/>
    <n v="5"/>
  </r>
  <r>
    <s v="SHP-30704"/>
    <d v="2024-07-22T00:00:00"/>
    <x v="3"/>
    <s v="Pune"/>
    <x v="1"/>
    <x v="0"/>
    <x v="1"/>
    <s v="Low"/>
    <n v="3"/>
    <n v="3"/>
    <n v="0"/>
    <s v="No"/>
    <n v="157"/>
    <n v="0"/>
    <n v="0"/>
    <n v="1"/>
    <s v="No"/>
    <s v="On Time"/>
    <n v="0"/>
    <n v="0"/>
    <n v="2024"/>
    <n v="7"/>
  </r>
  <r>
    <s v="SHP-30705"/>
    <d v="2024-10-02T00:00:00"/>
    <x v="3"/>
    <s v="Pune"/>
    <x v="0"/>
    <x v="2"/>
    <x v="4"/>
    <s v="Medium"/>
    <n v="2"/>
    <n v="6"/>
    <n v="4"/>
    <s v="Yes"/>
    <n v="50"/>
    <n v="3568"/>
    <n v="9732"/>
    <n v="0"/>
    <s v="No"/>
    <s v="Major"/>
    <n v="2433"/>
    <n v="892"/>
    <n v="2024"/>
    <n v="10"/>
  </r>
  <r>
    <s v="SHP-30706"/>
    <d v="2024-07-26T00:00:00"/>
    <x v="0"/>
    <s v="Bengaluru"/>
    <x v="2"/>
    <x v="0"/>
    <x v="2"/>
    <s v="Medium"/>
    <n v="1"/>
    <n v="6"/>
    <n v="5"/>
    <s v="Yes"/>
    <n v="445"/>
    <n v="5475"/>
    <n v="15925"/>
    <n v="0"/>
    <s v="No"/>
    <s v="Major"/>
    <n v="3185"/>
    <n v="1095"/>
    <n v="2024"/>
    <n v="7"/>
  </r>
  <r>
    <s v="SHP-30707"/>
    <d v="2024-09-12T00:00:00"/>
    <x v="0"/>
    <s v="Chennai"/>
    <x v="2"/>
    <x v="1"/>
    <x v="0"/>
    <s v="Medium"/>
    <n v="1"/>
    <n v="1"/>
    <n v="0"/>
    <s v="No"/>
    <n v="372"/>
    <n v="0"/>
    <n v="0"/>
    <n v="1"/>
    <s v="No"/>
    <s v="On Time"/>
    <n v="0"/>
    <n v="0"/>
    <n v="2024"/>
    <n v="9"/>
  </r>
  <r>
    <s v="SHP-30708"/>
    <d v="2024-10-16T00:00:00"/>
    <x v="2"/>
    <s v="Noida"/>
    <x v="2"/>
    <x v="0"/>
    <x v="4"/>
    <s v="Low"/>
    <n v="5"/>
    <n v="8"/>
    <n v="3"/>
    <s v="Yes"/>
    <n v="361"/>
    <n v="5157"/>
    <n v="12408"/>
    <n v="0"/>
    <s v="No"/>
    <s v="Major"/>
    <n v="4136"/>
    <n v="1719"/>
    <n v="2024"/>
    <n v="10"/>
  </r>
  <r>
    <s v="SHP-30709"/>
    <d v="2024-01-01T00:00:00"/>
    <x v="0"/>
    <s v="Bengaluru"/>
    <x v="1"/>
    <x v="1"/>
    <x v="2"/>
    <s v="Low"/>
    <n v="1"/>
    <n v="3"/>
    <n v="2"/>
    <s v="Yes"/>
    <n v="200"/>
    <n v="2956"/>
    <n v="5712"/>
    <n v="0"/>
    <s v="No"/>
    <s v="Minor"/>
    <n v="2856"/>
    <n v="1478"/>
    <n v="2024"/>
    <n v="1"/>
  </r>
  <r>
    <s v="SHP-30710"/>
    <d v="2024-02-24T00:00:00"/>
    <x v="1"/>
    <s v="Bhubaneswar"/>
    <x v="1"/>
    <x v="2"/>
    <x v="0"/>
    <s v="Low"/>
    <n v="1"/>
    <n v="5"/>
    <n v="4"/>
    <s v="Yes"/>
    <n v="194"/>
    <n v="8176"/>
    <n v="6032"/>
    <n v="0"/>
    <s v="No"/>
    <s v="Major"/>
    <n v="1508"/>
    <n v="2044"/>
    <n v="2024"/>
    <n v="2"/>
  </r>
  <r>
    <s v="SHP-30711"/>
    <d v="2024-03-20T00:00:00"/>
    <x v="2"/>
    <s v="Delhi"/>
    <x v="2"/>
    <x v="0"/>
    <x v="0"/>
    <s v="Medium"/>
    <n v="2"/>
    <n v="2"/>
    <n v="0"/>
    <s v="No"/>
    <n v="288"/>
    <n v="0"/>
    <n v="0"/>
    <n v="1"/>
    <s v="No"/>
    <s v="On Time"/>
    <n v="0"/>
    <n v="0"/>
    <n v="2024"/>
    <n v="3"/>
  </r>
  <r>
    <s v="SHP-30712"/>
    <d v="2024-01-13T00:00:00"/>
    <x v="1"/>
    <s v="Bhubaneswar"/>
    <x v="2"/>
    <x v="1"/>
    <x v="0"/>
    <s v="High"/>
    <n v="5"/>
    <n v="12"/>
    <n v="7"/>
    <s v="Yes"/>
    <n v="75"/>
    <n v="11529"/>
    <n v="19915"/>
    <n v="0"/>
    <s v="No"/>
    <s v="Severe"/>
    <n v="2845"/>
    <n v="1647"/>
    <n v="2024"/>
    <n v="1"/>
  </r>
  <r>
    <s v="SHP-30713"/>
    <d v="2024-07-20T00:00:00"/>
    <x v="2"/>
    <s v="Delhi"/>
    <x v="1"/>
    <x v="0"/>
    <x v="0"/>
    <s v="Medium"/>
    <n v="1"/>
    <n v="5"/>
    <n v="4"/>
    <s v="Yes"/>
    <n v="333"/>
    <n v="6452"/>
    <n v="11676"/>
    <n v="0"/>
    <s v="No"/>
    <s v="Major"/>
    <n v="2919"/>
    <n v="1613"/>
    <n v="2024"/>
    <n v="7"/>
  </r>
  <r>
    <s v="SHP-30714"/>
    <d v="2024-08-04T00:00:00"/>
    <x v="0"/>
    <s v="Chennai"/>
    <x v="2"/>
    <x v="1"/>
    <x v="0"/>
    <s v="Low"/>
    <n v="2"/>
    <n v="4"/>
    <n v="2"/>
    <s v="Yes"/>
    <n v="328"/>
    <n v="4764"/>
    <n v="8922"/>
    <n v="0"/>
    <s v="No"/>
    <s v="Minor"/>
    <n v="4461"/>
    <n v="2382"/>
    <n v="2024"/>
    <n v="8"/>
  </r>
  <r>
    <s v="SHP-30715"/>
    <d v="2024-07-21T00:00:00"/>
    <x v="1"/>
    <s v="Bhubaneswar"/>
    <x v="1"/>
    <x v="2"/>
    <x v="4"/>
    <s v="Low"/>
    <n v="2"/>
    <n v="7"/>
    <n v="5"/>
    <s v="Yes"/>
    <n v="428"/>
    <n v="10260"/>
    <n v="10380"/>
    <n v="0"/>
    <s v="No"/>
    <s v="Major"/>
    <n v="2076"/>
    <n v="2052"/>
    <n v="2024"/>
    <n v="7"/>
  </r>
  <r>
    <s v="SHP-30716"/>
    <d v="2024-08-18T00:00:00"/>
    <x v="0"/>
    <s v="Chennai"/>
    <x v="0"/>
    <x v="0"/>
    <x v="4"/>
    <s v="Medium"/>
    <n v="2"/>
    <n v="5"/>
    <n v="3"/>
    <s v="Yes"/>
    <n v="348"/>
    <n v="6330"/>
    <n v="14970"/>
    <n v="0"/>
    <s v="No"/>
    <s v="Major"/>
    <n v="4990"/>
    <n v="2110"/>
    <n v="2024"/>
    <n v="8"/>
  </r>
  <r>
    <s v="SHP-30717"/>
    <d v="2024-06-16T00:00:00"/>
    <x v="2"/>
    <s v="Delhi"/>
    <x v="1"/>
    <x v="1"/>
    <x v="4"/>
    <s v="Low"/>
    <n v="3"/>
    <n v="6"/>
    <n v="3"/>
    <s v="Yes"/>
    <n v="334"/>
    <n v="7200"/>
    <n v="13254"/>
    <n v="0"/>
    <s v="No"/>
    <s v="Major"/>
    <n v="4418"/>
    <n v="2400"/>
    <n v="2024"/>
    <n v="6"/>
  </r>
  <r>
    <s v="SHP-30718"/>
    <d v="2024-07-15T00:00:00"/>
    <x v="2"/>
    <s v="Noida"/>
    <x v="0"/>
    <x v="2"/>
    <x v="2"/>
    <s v="High"/>
    <n v="2"/>
    <n v="7"/>
    <n v="5"/>
    <s v="Yes"/>
    <n v="158"/>
    <n v="7410"/>
    <n v="13450"/>
    <n v="0"/>
    <s v="No"/>
    <s v="Major"/>
    <n v="2690"/>
    <n v="1482"/>
    <n v="2024"/>
    <n v="7"/>
  </r>
  <r>
    <s v="SHP-30719"/>
    <d v="2024-01-24T00:00:00"/>
    <x v="3"/>
    <s v="Mumbai"/>
    <x v="2"/>
    <x v="1"/>
    <x v="2"/>
    <s v="High"/>
    <n v="1"/>
    <n v="5"/>
    <n v="4"/>
    <s v="Yes"/>
    <n v="226"/>
    <n v="3932"/>
    <n v="19024"/>
    <n v="0"/>
    <s v="No"/>
    <s v="Major"/>
    <n v="4756"/>
    <n v="983"/>
    <n v="2024"/>
    <n v="1"/>
  </r>
  <r>
    <s v="SHP-30720"/>
    <d v="2024-07-13T00:00:00"/>
    <x v="0"/>
    <s v="Bengaluru"/>
    <x v="2"/>
    <x v="1"/>
    <x v="4"/>
    <s v="Medium"/>
    <n v="2"/>
    <n v="7"/>
    <n v="5"/>
    <s v="Yes"/>
    <n v="479"/>
    <n v="12340"/>
    <n v="23210"/>
    <n v="0"/>
    <s v="No"/>
    <s v="Major"/>
    <n v="4642"/>
    <n v="2468"/>
    <n v="2024"/>
    <n v="7"/>
  </r>
  <r>
    <s v="SHP-30721"/>
    <d v="2024-07-19T00:00:00"/>
    <x v="0"/>
    <s v="Chennai"/>
    <x v="0"/>
    <x v="1"/>
    <x v="4"/>
    <s v="Low"/>
    <n v="3"/>
    <n v="8"/>
    <n v="5"/>
    <s v="Yes"/>
    <n v="438"/>
    <n v="7195"/>
    <n v="12460"/>
    <n v="0"/>
    <s v="No"/>
    <s v="Major"/>
    <n v="2492"/>
    <n v="1439"/>
    <n v="2024"/>
    <n v="7"/>
  </r>
  <r>
    <s v="SHP-30722"/>
    <d v="2024-07-24T00:00:00"/>
    <x v="2"/>
    <s v="Delhi"/>
    <x v="1"/>
    <x v="1"/>
    <x v="0"/>
    <s v="Medium"/>
    <n v="2"/>
    <n v="5"/>
    <n v="3"/>
    <s v="Yes"/>
    <n v="380"/>
    <n v="3495"/>
    <n v="8481"/>
    <n v="0"/>
    <s v="No"/>
    <s v="Major"/>
    <n v="2827"/>
    <n v="1165"/>
    <n v="2024"/>
    <n v="7"/>
  </r>
  <r>
    <s v="SHP-30723"/>
    <d v="2024-07-17T00:00:00"/>
    <x v="1"/>
    <s v="Bhubaneswar"/>
    <x v="0"/>
    <x v="0"/>
    <x v="4"/>
    <s v="Low"/>
    <n v="3"/>
    <n v="8"/>
    <n v="5"/>
    <s v="Yes"/>
    <n v="203"/>
    <n v="11690"/>
    <n v="11140"/>
    <n v="0"/>
    <s v="No"/>
    <s v="Major"/>
    <n v="2228"/>
    <n v="2338"/>
    <n v="2024"/>
    <n v="7"/>
  </r>
  <r>
    <s v="SHP-30724"/>
    <d v="2024-11-05T00:00:00"/>
    <x v="3"/>
    <s v="Pune"/>
    <x v="2"/>
    <x v="2"/>
    <x v="4"/>
    <s v="Medium"/>
    <n v="3"/>
    <n v="5"/>
    <n v="2"/>
    <s v="Yes"/>
    <n v="458"/>
    <n v="3320"/>
    <n v="8124"/>
    <n v="0"/>
    <s v="No"/>
    <s v="Minor"/>
    <n v="4062"/>
    <n v="1660"/>
    <n v="2024"/>
    <n v="11"/>
  </r>
  <r>
    <s v="SHP-30725"/>
    <d v="2024-12-15T00:00:00"/>
    <x v="1"/>
    <s v="Bhubaneswar"/>
    <x v="2"/>
    <x v="0"/>
    <x v="4"/>
    <s v="High"/>
    <n v="3"/>
    <n v="10"/>
    <n v="7"/>
    <s v="Yes"/>
    <n v="363"/>
    <n v="17073"/>
    <n v="25039"/>
    <n v="0"/>
    <s v="No"/>
    <s v="Severe"/>
    <n v="3577"/>
    <n v="2439"/>
    <n v="2024"/>
    <n v="12"/>
  </r>
  <r>
    <s v="SHP-30726"/>
    <d v="2024-07-25T00:00:00"/>
    <x v="2"/>
    <s v="Delhi"/>
    <x v="1"/>
    <x v="1"/>
    <x v="1"/>
    <s v="Low"/>
    <n v="1"/>
    <n v="1"/>
    <n v="0"/>
    <s v="No"/>
    <n v="177"/>
    <n v="0"/>
    <n v="0"/>
    <n v="1"/>
    <s v="No"/>
    <s v="On Time"/>
    <n v="0"/>
    <n v="0"/>
    <n v="2024"/>
    <n v="7"/>
  </r>
  <r>
    <s v="SHP-30727"/>
    <d v="2024-10-29T00:00:00"/>
    <x v="1"/>
    <s v="Bhubaneswar"/>
    <x v="0"/>
    <x v="1"/>
    <x v="4"/>
    <s v="Medium"/>
    <n v="2"/>
    <n v="4"/>
    <n v="2"/>
    <s v="Yes"/>
    <n v="406"/>
    <n v="4292"/>
    <n v="3070"/>
    <n v="0"/>
    <s v="No"/>
    <s v="Minor"/>
    <n v="1535"/>
    <n v="2146"/>
    <n v="2024"/>
    <n v="10"/>
  </r>
  <r>
    <s v="SHP-30728"/>
    <d v="2024-01-20T00:00:00"/>
    <x v="3"/>
    <s v="Mumbai"/>
    <x v="2"/>
    <x v="1"/>
    <x v="1"/>
    <s v="Medium"/>
    <n v="1"/>
    <n v="3"/>
    <n v="2"/>
    <s v="Yes"/>
    <n v="127"/>
    <n v="3074"/>
    <n v="9320"/>
    <n v="0"/>
    <s v="No"/>
    <s v="Minor"/>
    <n v="4660"/>
    <n v="1537"/>
    <n v="2024"/>
    <n v="1"/>
  </r>
  <r>
    <s v="SHP-30729"/>
    <d v="2024-01-02T00:00:00"/>
    <x v="0"/>
    <s v="Bengaluru"/>
    <x v="1"/>
    <x v="2"/>
    <x v="2"/>
    <s v="Medium"/>
    <n v="3"/>
    <n v="7"/>
    <n v="4"/>
    <s v="Yes"/>
    <n v="334"/>
    <n v="5288"/>
    <n v="18420"/>
    <n v="0"/>
    <s v="No"/>
    <s v="Major"/>
    <n v="4605"/>
    <n v="1322"/>
    <n v="2024"/>
    <n v="1"/>
  </r>
  <r>
    <s v="SHP-30730"/>
    <d v="2024-10-05T00:00:00"/>
    <x v="1"/>
    <s v="Bhubaneswar"/>
    <x v="0"/>
    <x v="1"/>
    <x v="4"/>
    <s v="Low"/>
    <n v="5"/>
    <n v="10"/>
    <n v="5"/>
    <s v="Yes"/>
    <n v="153"/>
    <n v="8760"/>
    <n v="8370"/>
    <n v="0"/>
    <s v="No"/>
    <s v="Major"/>
    <n v="1674"/>
    <n v="1752"/>
    <n v="2024"/>
    <n v="10"/>
  </r>
  <r>
    <s v="SHP-30731"/>
    <d v="2024-09-12T00:00:00"/>
    <x v="0"/>
    <s v="Bengaluru"/>
    <x v="2"/>
    <x v="1"/>
    <x v="2"/>
    <s v="Low"/>
    <n v="2"/>
    <n v="6"/>
    <n v="4"/>
    <s v="Yes"/>
    <n v="200"/>
    <n v="9180"/>
    <n v="12376"/>
    <n v="0"/>
    <s v="No"/>
    <s v="Major"/>
    <n v="3094"/>
    <n v="2295"/>
    <n v="2024"/>
    <n v="9"/>
  </r>
  <r>
    <s v="SHP-30732"/>
    <d v="2024-08-05T00:00:00"/>
    <x v="1"/>
    <s v="Bhubaneswar"/>
    <x v="1"/>
    <x v="1"/>
    <x v="0"/>
    <s v="High"/>
    <n v="3"/>
    <n v="10"/>
    <n v="7"/>
    <s v="Yes"/>
    <n v="308"/>
    <n v="8253"/>
    <n v="25270"/>
    <n v="0"/>
    <s v="No"/>
    <s v="Severe"/>
    <n v="3610"/>
    <n v="1179"/>
    <n v="2024"/>
    <n v="8"/>
  </r>
  <r>
    <s v="SHP-30733"/>
    <d v="2024-02-14T00:00:00"/>
    <x v="2"/>
    <s v="Delhi"/>
    <x v="0"/>
    <x v="0"/>
    <x v="1"/>
    <s v="Medium"/>
    <n v="3"/>
    <n v="8"/>
    <n v="5"/>
    <s v="Yes"/>
    <n v="231"/>
    <n v="8305"/>
    <n v="11360"/>
    <n v="0"/>
    <s v="No"/>
    <s v="Major"/>
    <n v="2272"/>
    <n v="1661"/>
    <n v="2024"/>
    <n v="2"/>
  </r>
  <r>
    <s v="SHP-30734"/>
    <d v="2024-11-14T00:00:00"/>
    <x v="3"/>
    <s v="Mumbai"/>
    <x v="1"/>
    <x v="0"/>
    <x v="1"/>
    <s v="Medium"/>
    <n v="3"/>
    <n v="3"/>
    <n v="0"/>
    <s v="No"/>
    <n v="446"/>
    <n v="0"/>
    <n v="0"/>
    <n v="1"/>
    <s v="No"/>
    <s v="On Time"/>
    <n v="0"/>
    <n v="0"/>
    <n v="2024"/>
    <n v="11"/>
  </r>
  <r>
    <s v="SHP-30735"/>
    <d v="2024-04-15T00:00:00"/>
    <x v="2"/>
    <s v="Noida"/>
    <x v="2"/>
    <x v="1"/>
    <x v="0"/>
    <s v="Low"/>
    <n v="1"/>
    <n v="4"/>
    <n v="3"/>
    <s v="Yes"/>
    <n v="268"/>
    <n v="5181"/>
    <n v="10719"/>
    <n v="0"/>
    <s v="No"/>
    <s v="Major"/>
    <n v="3573"/>
    <n v="1727"/>
    <n v="2024"/>
    <n v="4"/>
  </r>
  <r>
    <s v="SHP-30736"/>
    <d v="2024-04-15T00:00:00"/>
    <x v="3"/>
    <s v="Mumbai"/>
    <x v="0"/>
    <x v="0"/>
    <x v="3"/>
    <s v="Low"/>
    <n v="1"/>
    <n v="3"/>
    <n v="2"/>
    <s v="Yes"/>
    <n v="341"/>
    <n v="2076"/>
    <n v="9574"/>
    <n v="0"/>
    <s v="No"/>
    <s v="Minor"/>
    <n v="4787"/>
    <n v="1038"/>
    <n v="2024"/>
    <n v="4"/>
  </r>
  <r>
    <s v="SHP-30737"/>
    <d v="2024-01-29T00:00:00"/>
    <x v="3"/>
    <s v="Mumbai"/>
    <x v="1"/>
    <x v="0"/>
    <x v="1"/>
    <s v="Low"/>
    <n v="3"/>
    <n v="7"/>
    <n v="4"/>
    <s v="Yes"/>
    <n v="457"/>
    <n v="8560"/>
    <n v="11224"/>
    <n v="0"/>
    <s v="No"/>
    <s v="Major"/>
    <n v="2806"/>
    <n v="2140"/>
    <n v="2024"/>
    <n v="1"/>
  </r>
  <r>
    <s v="SHP-30738"/>
    <d v="2024-08-30T00:00:00"/>
    <x v="0"/>
    <s v="Chennai"/>
    <x v="1"/>
    <x v="0"/>
    <x v="4"/>
    <s v="High"/>
    <n v="5"/>
    <n v="8"/>
    <n v="3"/>
    <s v="Yes"/>
    <n v="262"/>
    <n v="7062"/>
    <n v="9690"/>
    <n v="0"/>
    <s v="No"/>
    <s v="Major"/>
    <n v="3230"/>
    <n v="2354"/>
    <n v="2024"/>
    <n v="8"/>
  </r>
  <r>
    <s v="SHP-30739"/>
    <d v="2024-06-18T00:00:00"/>
    <x v="1"/>
    <s v="Bhubaneswar"/>
    <x v="2"/>
    <x v="1"/>
    <x v="2"/>
    <s v="Low"/>
    <n v="2"/>
    <n v="4"/>
    <n v="2"/>
    <s v="Yes"/>
    <n v="388"/>
    <n v="1786"/>
    <n v="9386"/>
    <n v="0"/>
    <s v="No"/>
    <s v="Minor"/>
    <n v="4693"/>
    <n v="893"/>
    <n v="2024"/>
    <n v="6"/>
  </r>
  <r>
    <s v="SHP-30740"/>
    <d v="2024-08-22T00:00:00"/>
    <x v="2"/>
    <s v="Delhi"/>
    <x v="0"/>
    <x v="1"/>
    <x v="0"/>
    <s v="Medium"/>
    <n v="2"/>
    <n v="4"/>
    <n v="2"/>
    <s v="Yes"/>
    <n v="166"/>
    <n v="2976"/>
    <n v="4162"/>
    <n v="0"/>
    <s v="No"/>
    <s v="Minor"/>
    <n v="2081"/>
    <n v="1488"/>
    <n v="2024"/>
    <n v="8"/>
  </r>
  <r>
    <s v="SHP-30741"/>
    <d v="2024-02-09T00:00:00"/>
    <x v="3"/>
    <s v="Pune"/>
    <x v="2"/>
    <x v="2"/>
    <x v="3"/>
    <s v="Medium"/>
    <n v="3"/>
    <n v="5"/>
    <n v="2"/>
    <s v="Yes"/>
    <n v="205"/>
    <n v="4732"/>
    <n v="6548"/>
    <n v="0"/>
    <s v="No"/>
    <s v="Minor"/>
    <n v="3274"/>
    <n v="2366"/>
    <n v="2024"/>
    <n v="2"/>
  </r>
  <r>
    <s v="SHP-30742"/>
    <d v="2024-03-27T00:00:00"/>
    <x v="2"/>
    <s v="Delhi"/>
    <x v="2"/>
    <x v="1"/>
    <x v="0"/>
    <s v="Low"/>
    <n v="2"/>
    <n v="5"/>
    <n v="3"/>
    <s v="Yes"/>
    <n v="336"/>
    <n v="6456"/>
    <n v="6915"/>
    <n v="0"/>
    <s v="No"/>
    <s v="Major"/>
    <n v="2305"/>
    <n v="2152"/>
    <n v="2024"/>
    <n v="3"/>
  </r>
  <r>
    <s v="SHP-30743"/>
    <d v="2024-06-15T00:00:00"/>
    <x v="0"/>
    <s v="Bengaluru"/>
    <x v="2"/>
    <x v="1"/>
    <x v="0"/>
    <s v="Medium"/>
    <n v="2"/>
    <n v="7"/>
    <n v="5"/>
    <s v="Yes"/>
    <n v="61"/>
    <n v="9525"/>
    <n v="14230"/>
    <n v="0"/>
    <s v="No"/>
    <s v="Major"/>
    <n v="2846"/>
    <n v="1905"/>
    <n v="2024"/>
    <n v="6"/>
  </r>
  <r>
    <s v="SHP-30744"/>
    <d v="2024-07-27T00:00:00"/>
    <x v="1"/>
    <s v="Bhubaneswar"/>
    <x v="0"/>
    <x v="1"/>
    <x v="1"/>
    <s v="High"/>
    <n v="2"/>
    <n v="7"/>
    <n v="5"/>
    <s v="Yes"/>
    <n v="102"/>
    <n v="10695"/>
    <n v="16055"/>
    <n v="0"/>
    <s v="No"/>
    <s v="Major"/>
    <n v="3211"/>
    <n v="2139"/>
    <n v="2024"/>
    <n v="7"/>
  </r>
  <r>
    <s v="SHP-30745"/>
    <d v="2024-06-06T00:00:00"/>
    <x v="1"/>
    <s v="Bhubaneswar"/>
    <x v="2"/>
    <x v="2"/>
    <x v="0"/>
    <s v="Low"/>
    <n v="1"/>
    <n v="6"/>
    <n v="5"/>
    <s v="Yes"/>
    <n v="350"/>
    <n v="10635"/>
    <n v="24220"/>
    <n v="0"/>
    <s v="No"/>
    <s v="Major"/>
    <n v="4844"/>
    <n v="2127"/>
    <n v="2024"/>
    <n v="6"/>
  </r>
  <r>
    <s v="SHP-30746"/>
    <d v="2024-04-08T00:00:00"/>
    <x v="0"/>
    <s v="Chennai"/>
    <x v="2"/>
    <x v="1"/>
    <x v="0"/>
    <s v="Low"/>
    <n v="2"/>
    <n v="3"/>
    <n v="1"/>
    <s v="Yes"/>
    <n v="163"/>
    <n v="2047"/>
    <n v="1524"/>
    <n v="0"/>
    <s v="No"/>
    <s v="Minor"/>
    <n v="1524"/>
    <n v="2047"/>
    <n v="2024"/>
    <n v="4"/>
  </r>
  <r>
    <s v="SHP-30747"/>
    <d v="2024-12-28T00:00:00"/>
    <x v="1"/>
    <s v="Kolkata"/>
    <x v="2"/>
    <x v="0"/>
    <x v="2"/>
    <s v="Low"/>
    <n v="3"/>
    <n v="6"/>
    <n v="3"/>
    <s v="Yes"/>
    <n v="470"/>
    <n v="6831"/>
    <n v="6768"/>
    <n v="0"/>
    <s v="No"/>
    <s v="Major"/>
    <n v="2256"/>
    <n v="2277"/>
    <n v="2024"/>
    <n v="12"/>
  </r>
  <r>
    <s v="SHP-30748"/>
    <d v="2024-04-15T00:00:00"/>
    <x v="1"/>
    <s v="Bhubaneswar"/>
    <x v="0"/>
    <x v="1"/>
    <x v="0"/>
    <s v="Medium"/>
    <n v="1"/>
    <n v="1"/>
    <n v="0"/>
    <s v="No"/>
    <n v="225"/>
    <n v="0"/>
    <n v="0"/>
    <n v="1"/>
    <s v="No"/>
    <s v="On Time"/>
    <n v="0"/>
    <n v="0"/>
    <n v="2024"/>
    <n v="4"/>
  </r>
  <r>
    <s v="SHP-30749"/>
    <d v="2024-10-26T00:00:00"/>
    <x v="2"/>
    <s v="Noida"/>
    <x v="0"/>
    <x v="1"/>
    <x v="1"/>
    <s v="Medium"/>
    <n v="1"/>
    <n v="2"/>
    <n v="1"/>
    <s v="Yes"/>
    <n v="109"/>
    <n v="1360"/>
    <n v="4433"/>
    <n v="0"/>
    <s v="No"/>
    <s v="Minor"/>
    <n v="4433"/>
    <n v="1360"/>
    <n v="2024"/>
    <n v="10"/>
  </r>
  <r>
    <s v="SHP-30750"/>
    <d v="2024-07-27T00:00:00"/>
    <x v="0"/>
    <s v="Bengaluru"/>
    <x v="1"/>
    <x v="1"/>
    <x v="1"/>
    <s v="High"/>
    <n v="5"/>
    <n v="9"/>
    <n v="4"/>
    <s v="Yes"/>
    <n v="293"/>
    <n v="4100"/>
    <n v="7552"/>
    <n v="0"/>
    <s v="No"/>
    <s v="Major"/>
    <n v="1888"/>
    <n v="1025"/>
    <n v="2024"/>
    <n v="7"/>
  </r>
  <r>
    <s v="SHP-30751"/>
    <d v="2024-01-29T00:00:00"/>
    <x v="3"/>
    <s v="Mumbai"/>
    <x v="1"/>
    <x v="0"/>
    <x v="3"/>
    <s v="Medium"/>
    <n v="2"/>
    <n v="6"/>
    <n v="4"/>
    <s v="Yes"/>
    <n v="228"/>
    <n v="8520"/>
    <n v="17904"/>
    <n v="0"/>
    <s v="No"/>
    <s v="Major"/>
    <n v="4476"/>
    <n v="2130"/>
    <n v="2024"/>
    <n v="1"/>
  </r>
  <r>
    <s v="SHP-30752"/>
    <d v="2024-01-26T00:00:00"/>
    <x v="2"/>
    <s v="Delhi"/>
    <x v="2"/>
    <x v="1"/>
    <x v="0"/>
    <s v="Low"/>
    <n v="1"/>
    <n v="5"/>
    <n v="4"/>
    <s v="Yes"/>
    <n v="364"/>
    <n v="4000"/>
    <n v="7520"/>
    <n v="0"/>
    <s v="No"/>
    <s v="Major"/>
    <n v="1880"/>
    <n v="1000"/>
    <n v="2024"/>
    <n v="1"/>
  </r>
  <r>
    <s v="SHP-30753"/>
    <d v="2024-07-06T00:00:00"/>
    <x v="3"/>
    <s v="Mumbai"/>
    <x v="1"/>
    <x v="1"/>
    <x v="0"/>
    <s v="Low"/>
    <n v="1"/>
    <n v="4"/>
    <n v="3"/>
    <s v="Yes"/>
    <n v="82"/>
    <n v="7467"/>
    <n v="11316"/>
    <n v="0"/>
    <s v="No"/>
    <s v="Major"/>
    <n v="3772"/>
    <n v="2489"/>
    <n v="2024"/>
    <n v="7"/>
  </r>
  <r>
    <s v="SHP-30754"/>
    <d v="2024-01-28T00:00:00"/>
    <x v="1"/>
    <s v="Kolkata"/>
    <x v="1"/>
    <x v="1"/>
    <x v="0"/>
    <s v="High"/>
    <n v="3"/>
    <n v="7"/>
    <n v="4"/>
    <s v="Yes"/>
    <n v="212"/>
    <n v="5996"/>
    <n v="19100"/>
    <n v="0"/>
    <s v="No"/>
    <s v="Major"/>
    <n v="4775"/>
    <n v="1499"/>
    <n v="2024"/>
    <n v="1"/>
  </r>
  <r>
    <s v="SHP-30755"/>
    <d v="2024-01-02T00:00:00"/>
    <x v="2"/>
    <s v="Noida"/>
    <x v="2"/>
    <x v="1"/>
    <x v="2"/>
    <s v="Low"/>
    <n v="2"/>
    <n v="6"/>
    <n v="4"/>
    <s v="Yes"/>
    <n v="79"/>
    <n v="5164"/>
    <n v="18736"/>
    <n v="0"/>
    <s v="No"/>
    <s v="Major"/>
    <n v="4684"/>
    <n v="1291"/>
    <n v="2024"/>
    <n v="1"/>
  </r>
  <r>
    <s v="SHP-30756"/>
    <d v="2024-03-23T00:00:00"/>
    <x v="1"/>
    <s v="Kolkata"/>
    <x v="2"/>
    <x v="2"/>
    <x v="1"/>
    <s v="Low"/>
    <n v="3"/>
    <n v="7"/>
    <n v="4"/>
    <s v="Yes"/>
    <n v="203"/>
    <n v="8696"/>
    <n v="19940"/>
    <n v="0"/>
    <s v="No"/>
    <s v="Major"/>
    <n v="4985"/>
    <n v="2174"/>
    <n v="2024"/>
    <n v="3"/>
  </r>
  <r>
    <s v="SHP-30757"/>
    <d v="2024-07-30T00:00:00"/>
    <x v="2"/>
    <s v="Delhi"/>
    <x v="1"/>
    <x v="1"/>
    <x v="1"/>
    <s v="High"/>
    <n v="1"/>
    <n v="5"/>
    <n v="4"/>
    <s v="Yes"/>
    <n v="306"/>
    <n v="7584"/>
    <n v="17452"/>
    <n v="0"/>
    <s v="No"/>
    <s v="Major"/>
    <n v="4363"/>
    <n v="1896"/>
    <n v="2024"/>
    <n v="7"/>
  </r>
  <r>
    <s v="SHP-30758"/>
    <d v="2024-12-24T00:00:00"/>
    <x v="2"/>
    <s v="Noida"/>
    <x v="2"/>
    <x v="1"/>
    <x v="0"/>
    <s v="Low"/>
    <n v="2"/>
    <n v="6"/>
    <n v="4"/>
    <s v="Yes"/>
    <n v="260"/>
    <n v="5260"/>
    <n v="7880"/>
    <n v="0"/>
    <s v="No"/>
    <s v="Major"/>
    <n v="1970"/>
    <n v="1315"/>
    <n v="2024"/>
    <n v="12"/>
  </r>
  <r>
    <s v="SHP-30759"/>
    <d v="2024-07-29T00:00:00"/>
    <x v="3"/>
    <s v="Pune"/>
    <x v="2"/>
    <x v="2"/>
    <x v="3"/>
    <s v="Low"/>
    <n v="3"/>
    <n v="7"/>
    <n v="4"/>
    <s v="Yes"/>
    <n v="306"/>
    <n v="6536"/>
    <n v="10756"/>
    <n v="0"/>
    <s v="No"/>
    <s v="Major"/>
    <n v="2689"/>
    <n v="1634"/>
    <n v="2024"/>
    <n v="7"/>
  </r>
  <r>
    <s v="SHP-30760"/>
    <d v="2024-11-27T00:00:00"/>
    <x v="1"/>
    <s v="Bhubaneswar"/>
    <x v="0"/>
    <x v="0"/>
    <x v="2"/>
    <s v="Medium"/>
    <n v="2"/>
    <n v="4"/>
    <n v="2"/>
    <s v="Yes"/>
    <n v="281"/>
    <n v="3054"/>
    <n v="5316"/>
    <n v="0"/>
    <s v="No"/>
    <s v="Minor"/>
    <n v="2658"/>
    <n v="1527"/>
    <n v="2024"/>
    <n v="11"/>
  </r>
  <r>
    <s v="SHP-30761"/>
    <d v="2024-05-10T00:00:00"/>
    <x v="3"/>
    <s v="Pune"/>
    <x v="1"/>
    <x v="1"/>
    <x v="3"/>
    <s v="Medium"/>
    <n v="2"/>
    <n v="3"/>
    <n v="1"/>
    <s v="Yes"/>
    <n v="136"/>
    <n v="1324"/>
    <n v="4082"/>
    <n v="0"/>
    <s v="No"/>
    <s v="Minor"/>
    <n v="4082"/>
    <n v="1324"/>
    <n v="2024"/>
    <n v="5"/>
  </r>
  <r>
    <s v="SHP-30762"/>
    <d v="2024-07-02T00:00:00"/>
    <x v="0"/>
    <s v="Bengaluru"/>
    <x v="0"/>
    <x v="1"/>
    <x v="4"/>
    <s v="Medium"/>
    <n v="2"/>
    <n v="2"/>
    <n v="0"/>
    <s v="No"/>
    <n v="382"/>
    <n v="0"/>
    <n v="0"/>
    <n v="1"/>
    <s v="No"/>
    <s v="On Time"/>
    <n v="0"/>
    <n v="0"/>
    <n v="2024"/>
    <n v="7"/>
  </r>
  <r>
    <s v="SHP-30763"/>
    <d v="2024-04-22T00:00:00"/>
    <x v="3"/>
    <s v="Pune"/>
    <x v="1"/>
    <x v="1"/>
    <x v="3"/>
    <s v="Low"/>
    <n v="1"/>
    <n v="3"/>
    <n v="2"/>
    <s v="Yes"/>
    <n v="460"/>
    <n v="3260"/>
    <n v="9494"/>
    <n v="0"/>
    <s v="No"/>
    <s v="Minor"/>
    <n v="4747"/>
    <n v="1630"/>
    <n v="2024"/>
    <n v="4"/>
  </r>
  <r>
    <s v="SHP-30764"/>
    <d v="2024-09-18T00:00:00"/>
    <x v="2"/>
    <s v="Noida"/>
    <x v="2"/>
    <x v="1"/>
    <x v="4"/>
    <s v="Low"/>
    <n v="5"/>
    <n v="7"/>
    <n v="2"/>
    <s v="Yes"/>
    <n v="349"/>
    <n v="3742"/>
    <n v="4504"/>
    <n v="0"/>
    <s v="No"/>
    <s v="Minor"/>
    <n v="2252"/>
    <n v="1871"/>
    <n v="2024"/>
    <n v="9"/>
  </r>
  <r>
    <s v="SHP-30765"/>
    <d v="2024-11-14T00:00:00"/>
    <x v="3"/>
    <s v="Mumbai"/>
    <x v="1"/>
    <x v="2"/>
    <x v="0"/>
    <s v="Medium"/>
    <n v="1"/>
    <n v="3"/>
    <n v="2"/>
    <s v="Yes"/>
    <n v="281"/>
    <n v="4886"/>
    <n v="5144"/>
    <n v="0"/>
    <s v="No"/>
    <s v="Minor"/>
    <n v="2572"/>
    <n v="2443"/>
    <n v="2024"/>
    <n v="11"/>
  </r>
  <r>
    <s v="SHP-30766"/>
    <d v="2024-04-04T00:00:00"/>
    <x v="3"/>
    <s v="Pune"/>
    <x v="2"/>
    <x v="1"/>
    <x v="2"/>
    <s v="Medium"/>
    <n v="5"/>
    <n v="6"/>
    <n v="1"/>
    <s v="Yes"/>
    <n v="356"/>
    <n v="1709"/>
    <n v="2845"/>
    <n v="0"/>
    <s v="No"/>
    <s v="Minor"/>
    <n v="2845"/>
    <n v="1709"/>
    <n v="2024"/>
    <n v="4"/>
  </r>
  <r>
    <s v="SHP-30767"/>
    <d v="2024-05-20T00:00:00"/>
    <x v="2"/>
    <s v="Delhi"/>
    <x v="2"/>
    <x v="2"/>
    <x v="0"/>
    <s v="Low"/>
    <n v="2"/>
    <n v="9"/>
    <n v="7"/>
    <s v="Yes"/>
    <n v="102"/>
    <n v="15337"/>
    <n v="33166"/>
    <n v="0"/>
    <s v="No"/>
    <s v="Severe"/>
    <n v="4738"/>
    <n v="2191"/>
    <n v="2024"/>
    <n v="5"/>
  </r>
  <r>
    <s v="SHP-30768"/>
    <d v="2024-12-04T00:00:00"/>
    <x v="3"/>
    <s v="Pune"/>
    <x v="0"/>
    <x v="2"/>
    <x v="3"/>
    <s v="Low"/>
    <n v="1"/>
    <n v="3"/>
    <n v="2"/>
    <s v="Yes"/>
    <n v="172"/>
    <n v="2382"/>
    <n v="7550"/>
    <n v="0"/>
    <s v="No"/>
    <s v="Minor"/>
    <n v="3775"/>
    <n v="1191"/>
    <n v="2024"/>
    <n v="12"/>
  </r>
  <r>
    <s v="SHP-30769"/>
    <d v="2024-08-10T00:00:00"/>
    <x v="3"/>
    <s v="Pune"/>
    <x v="2"/>
    <x v="1"/>
    <x v="0"/>
    <s v="Medium"/>
    <n v="2"/>
    <n v="5"/>
    <n v="3"/>
    <s v="Yes"/>
    <n v="65"/>
    <n v="7191"/>
    <n v="9039"/>
    <n v="0"/>
    <s v="No"/>
    <s v="Major"/>
    <n v="3013"/>
    <n v="2397"/>
    <n v="2024"/>
    <n v="8"/>
  </r>
  <r>
    <s v="SHP-30770"/>
    <d v="2024-02-20T00:00:00"/>
    <x v="1"/>
    <s v="Bhubaneswar"/>
    <x v="1"/>
    <x v="1"/>
    <x v="3"/>
    <s v="Medium"/>
    <n v="3"/>
    <n v="4"/>
    <n v="1"/>
    <s v="Yes"/>
    <n v="308"/>
    <n v="2287"/>
    <n v="3786"/>
    <n v="0"/>
    <s v="No"/>
    <s v="Minor"/>
    <n v="3786"/>
    <n v="2287"/>
    <n v="2024"/>
    <n v="2"/>
  </r>
  <r>
    <s v="SHP-30771"/>
    <d v="2024-09-23T00:00:00"/>
    <x v="3"/>
    <s v="Pune"/>
    <x v="0"/>
    <x v="1"/>
    <x v="3"/>
    <s v="Medium"/>
    <n v="2"/>
    <n v="6"/>
    <n v="4"/>
    <s v="Yes"/>
    <n v="446"/>
    <n v="5848"/>
    <n v="15924"/>
    <n v="0"/>
    <s v="No"/>
    <s v="Major"/>
    <n v="3981"/>
    <n v="1462"/>
    <n v="2024"/>
    <n v="9"/>
  </r>
  <r>
    <s v="SHP-30772"/>
    <d v="2024-11-05T00:00:00"/>
    <x v="2"/>
    <s v="Noida"/>
    <x v="2"/>
    <x v="1"/>
    <x v="0"/>
    <s v="High"/>
    <n v="3"/>
    <n v="7"/>
    <n v="4"/>
    <s v="Yes"/>
    <n v="278"/>
    <n v="5420"/>
    <n v="18116"/>
    <n v="0"/>
    <s v="No"/>
    <s v="Major"/>
    <n v="4529"/>
    <n v="1355"/>
    <n v="2024"/>
    <n v="11"/>
  </r>
  <r>
    <s v="SHP-30773"/>
    <d v="2024-02-22T00:00:00"/>
    <x v="0"/>
    <s v="Bengaluru"/>
    <x v="0"/>
    <x v="0"/>
    <x v="3"/>
    <s v="Medium"/>
    <n v="2"/>
    <n v="4"/>
    <n v="2"/>
    <s v="Yes"/>
    <n v="126"/>
    <n v="2578"/>
    <n v="3816"/>
    <n v="0"/>
    <s v="No"/>
    <s v="Minor"/>
    <n v="1908"/>
    <n v="1289"/>
    <n v="2024"/>
    <n v="2"/>
  </r>
  <r>
    <s v="SHP-30774"/>
    <d v="2024-10-13T00:00:00"/>
    <x v="3"/>
    <s v="Mumbai"/>
    <x v="2"/>
    <x v="0"/>
    <x v="2"/>
    <s v="Low"/>
    <n v="1"/>
    <n v="4"/>
    <n v="3"/>
    <s v="Yes"/>
    <n v="302"/>
    <n v="3789"/>
    <n v="14097"/>
    <n v="0"/>
    <s v="No"/>
    <s v="Major"/>
    <n v="4699"/>
    <n v="1263"/>
    <n v="2024"/>
    <n v="10"/>
  </r>
  <r>
    <s v="SHP-30775"/>
    <d v="2024-05-21T00:00:00"/>
    <x v="0"/>
    <s v="Chennai"/>
    <x v="0"/>
    <x v="1"/>
    <x v="3"/>
    <s v="Low"/>
    <n v="2"/>
    <n v="7"/>
    <n v="5"/>
    <s v="Yes"/>
    <n v="57"/>
    <n v="5845"/>
    <n v="22170"/>
    <n v="0"/>
    <s v="No"/>
    <s v="Major"/>
    <n v="4434"/>
    <n v="1169"/>
    <n v="2024"/>
    <n v="5"/>
  </r>
  <r>
    <s v="SHP-30776"/>
    <d v="2024-12-22T00:00:00"/>
    <x v="0"/>
    <s v="Bengaluru"/>
    <x v="0"/>
    <x v="1"/>
    <x v="3"/>
    <s v="Medium"/>
    <n v="2"/>
    <n v="2"/>
    <n v="0"/>
    <s v="No"/>
    <n v="344"/>
    <n v="0"/>
    <n v="0"/>
    <n v="1"/>
    <s v="No"/>
    <s v="On Time"/>
    <n v="0"/>
    <n v="0"/>
    <n v="2024"/>
    <n v="12"/>
  </r>
  <r>
    <s v="SHP-30777"/>
    <d v="2024-11-04T00:00:00"/>
    <x v="2"/>
    <s v="Noida"/>
    <x v="0"/>
    <x v="0"/>
    <x v="0"/>
    <s v="High"/>
    <n v="3"/>
    <n v="8"/>
    <n v="5"/>
    <s v="Yes"/>
    <n v="68"/>
    <n v="4455"/>
    <n v="13735"/>
    <n v="0"/>
    <s v="No"/>
    <s v="Major"/>
    <n v="2747"/>
    <n v="891"/>
    <n v="2024"/>
    <n v="11"/>
  </r>
  <r>
    <s v="SHP-30778"/>
    <d v="2024-12-01T00:00:00"/>
    <x v="0"/>
    <s v="Bengaluru"/>
    <x v="2"/>
    <x v="1"/>
    <x v="0"/>
    <s v="Low"/>
    <n v="2"/>
    <n v="6"/>
    <n v="4"/>
    <s v="Yes"/>
    <n v="230"/>
    <n v="4040"/>
    <n v="12672"/>
    <n v="0"/>
    <s v="No"/>
    <s v="Major"/>
    <n v="3168"/>
    <n v="1010"/>
    <n v="2024"/>
    <n v="12"/>
  </r>
  <r>
    <s v="SHP-30779"/>
    <d v="2024-09-19T00:00:00"/>
    <x v="3"/>
    <s v="Pune"/>
    <x v="0"/>
    <x v="1"/>
    <x v="3"/>
    <s v="High"/>
    <n v="5"/>
    <n v="13"/>
    <n v="8"/>
    <s v="Yes"/>
    <n v="455"/>
    <n v="9160"/>
    <n v="16720"/>
    <n v="0"/>
    <s v="No"/>
    <s v="Severe"/>
    <n v="2090"/>
    <n v="1145"/>
    <n v="2024"/>
    <n v="9"/>
  </r>
  <r>
    <s v="SHP-30780"/>
    <d v="2024-01-31T00:00:00"/>
    <x v="1"/>
    <s v="Kolkata"/>
    <x v="2"/>
    <x v="1"/>
    <x v="1"/>
    <s v="Low"/>
    <n v="2"/>
    <n v="2"/>
    <n v="0"/>
    <s v="No"/>
    <n v="144"/>
    <n v="0"/>
    <n v="0"/>
    <n v="1"/>
    <s v="No"/>
    <s v="On Time"/>
    <n v="0"/>
    <n v="0"/>
    <n v="2024"/>
    <n v="1"/>
  </r>
  <r>
    <s v="SHP-30781"/>
    <d v="2024-06-09T00:00:00"/>
    <x v="1"/>
    <s v="Bhubaneswar"/>
    <x v="2"/>
    <x v="1"/>
    <x v="3"/>
    <s v="Low"/>
    <n v="2"/>
    <n v="5"/>
    <n v="3"/>
    <s v="Yes"/>
    <n v="409"/>
    <n v="3828"/>
    <n v="4857"/>
    <n v="0"/>
    <s v="No"/>
    <s v="Major"/>
    <n v="1619"/>
    <n v="1276"/>
    <n v="2024"/>
    <n v="6"/>
  </r>
  <r>
    <s v="SHP-30782"/>
    <d v="2024-12-12T00:00:00"/>
    <x v="1"/>
    <s v="Bhubaneswar"/>
    <x v="2"/>
    <x v="2"/>
    <x v="0"/>
    <s v="Medium"/>
    <n v="1"/>
    <n v="7"/>
    <n v="6"/>
    <s v="Yes"/>
    <n v="258"/>
    <n v="9018"/>
    <n v="12054"/>
    <n v="0"/>
    <s v="No"/>
    <s v="Severe"/>
    <n v="2009"/>
    <n v="1503"/>
    <n v="2024"/>
    <n v="12"/>
  </r>
  <r>
    <s v="SHP-30783"/>
    <d v="2024-11-28T00:00:00"/>
    <x v="0"/>
    <s v="Chennai"/>
    <x v="2"/>
    <x v="2"/>
    <x v="2"/>
    <s v="Low"/>
    <n v="1"/>
    <n v="7"/>
    <n v="6"/>
    <s v="Yes"/>
    <n v="179"/>
    <n v="9930"/>
    <n v="25908"/>
    <n v="0"/>
    <s v="No"/>
    <s v="Severe"/>
    <n v="4318"/>
    <n v="1655"/>
    <n v="2024"/>
    <n v="11"/>
  </r>
  <r>
    <s v="SHP-30784"/>
    <d v="2024-06-16T00:00:00"/>
    <x v="1"/>
    <s v="Bhubaneswar"/>
    <x v="1"/>
    <x v="2"/>
    <x v="3"/>
    <s v="Medium"/>
    <n v="1"/>
    <n v="7"/>
    <n v="6"/>
    <s v="Yes"/>
    <n v="482"/>
    <n v="13158"/>
    <n v="18234"/>
    <n v="0"/>
    <s v="No"/>
    <s v="Severe"/>
    <n v="3039"/>
    <n v="2193"/>
    <n v="2024"/>
    <n v="6"/>
  </r>
  <r>
    <s v="SHP-30785"/>
    <d v="2024-02-10T00:00:00"/>
    <x v="2"/>
    <s v="Delhi"/>
    <x v="2"/>
    <x v="0"/>
    <x v="3"/>
    <s v="High"/>
    <n v="5"/>
    <n v="12"/>
    <n v="7"/>
    <s v="Yes"/>
    <n v="165"/>
    <n v="7602"/>
    <n v="17059"/>
    <n v="0"/>
    <s v="No"/>
    <s v="Severe"/>
    <n v="2437"/>
    <n v="1086"/>
    <n v="2024"/>
    <n v="2"/>
  </r>
  <r>
    <s v="SHP-30786"/>
    <d v="2024-09-30T00:00:00"/>
    <x v="1"/>
    <s v="Bhubaneswar"/>
    <x v="1"/>
    <x v="1"/>
    <x v="0"/>
    <s v="High"/>
    <n v="1"/>
    <n v="4"/>
    <n v="3"/>
    <s v="Yes"/>
    <n v="274"/>
    <n v="3516"/>
    <n v="8748"/>
    <n v="0"/>
    <s v="No"/>
    <s v="Major"/>
    <n v="2916"/>
    <n v="1172"/>
    <n v="2024"/>
    <n v="9"/>
  </r>
  <r>
    <s v="SHP-30787"/>
    <d v="2024-11-04T00:00:00"/>
    <x v="1"/>
    <s v="Bhubaneswar"/>
    <x v="2"/>
    <x v="1"/>
    <x v="0"/>
    <s v="Low"/>
    <n v="3"/>
    <n v="5"/>
    <n v="2"/>
    <s v="Yes"/>
    <n v="386"/>
    <n v="3852"/>
    <n v="8666"/>
    <n v="0"/>
    <s v="No"/>
    <s v="Minor"/>
    <n v="4333"/>
    <n v="1926"/>
    <n v="2024"/>
    <n v="11"/>
  </r>
  <r>
    <s v="SHP-30788"/>
    <d v="2024-04-04T00:00:00"/>
    <x v="1"/>
    <s v="Bhubaneswar"/>
    <x v="0"/>
    <x v="1"/>
    <x v="0"/>
    <s v="High"/>
    <n v="2"/>
    <n v="10"/>
    <n v="8"/>
    <s v="Yes"/>
    <n v="465"/>
    <n v="15248"/>
    <n v="36928"/>
    <n v="0"/>
    <s v="No"/>
    <s v="Severe"/>
    <n v="4616"/>
    <n v="1906"/>
    <n v="2024"/>
    <n v="4"/>
  </r>
  <r>
    <s v="SHP-30789"/>
    <d v="2024-05-08T00:00:00"/>
    <x v="1"/>
    <s v="Kolkata"/>
    <x v="0"/>
    <x v="1"/>
    <x v="3"/>
    <s v="Low"/>
    <n v="2"/>
    <n v="7"/>
    <n v="5"/>
    <s v="Yes"/>
    <n v="149"/>
    <n v="4455"/>
    <n v="11230"/>
    <n v="0"/>
    <s v="No"/>
    <s v="Major"/>
    <n v="2246"/>
    <n v="891"/>
    <n v="2024"/>
    <n v="5"/>
  </r>
  <r>
    <s v="SHP-30790"/>
    <d v="2024-07-12T00:00:00"/>
    <x v="1"/>
    <s v="Kolkata"/>
    <x v="0"/>
    <x v="1"/>
    <x v="3"/>
    <s v="Medium"/>
    <n v="1"/>
    <n v="1"/>
    <n v="0"/>
    <s v="No"/>
    <n v="370"/>
    <n v="0"/>
    <n v="0"/>
    <n v="1"/>
    <s v="No"/>
    <s v="On Time"/>
    <n v="0"/>
    <n v="0"/>
    <n v="2024"/>
    <n v="7"/>
  </r>
  <r>
    <s v="SHP-30791"/>
    <d v="2024-12-23T00:00:00"/>
    <x v="3"/>
    <s v="Mumbai"/>
    <x v="2"/>
    <x v="2"/>
    <x v="0"/>
    <s v="Low"/>
    <n v="2"/>
    <n v="4"/>
    <n v="2"/>
    <s v="Yes"/>
    <n v="390"/>
    <n v="1954"/>
    <n v="6946"/>
    <n v="0"/>
    <s v="No"/>
    <s v="Minor"/>
    <n v="3473"/>
    <n v="977"/>
    <n v="2024"/>
    <n v="12"/>
  </r>
  <r>
    <s v="SHP-30792"/>
    <d v="2024-07-19T00:00:00"/>
    <x v="2"/>
    <s v="Delhi"/>
    <x v="1"/>
    <x v="2"/>
    <x v="1"/>
    <s v="Medium"/>
    <n v="1"/>
    <n v="6"/>
    <n v="5"/>
    <s v="Yes"/>
    <n v="146"/>
    <n v="11475"/>
    <n v="21835"/>
    <n v="0"/>
    <s v="No"/>
    <s v="Major"/>
    <n v="4367"/>
    <n v="2295"/>
    <n v="2024"/>
    <n v="7"/>
  </r>
  <r>
    <s v="SHP-30793"/>
    <d v="2024-08-17T00:00:00"/>
    <x v="0"/>
    <s v="Chennai"/>
    <x v="1"/>
    <x v="1"/>
    <x v="2"/>
    <s v="Medium"/>
    <n v="2"/>
    <n v="7"/>
    <n v="5"/>
    <s v="Yes"/>
    <n v="139"/>
    <n v="9795"/>
    <n v="20750"/>
    <n v="0"/>
    <s v="No"/>
    <s v="Major"/>
    <n v="4150"/>
    <n v="1959"/>
    <n v="2024"/>
    <n v="8"/>
  </r>
  <r>
    <s v="SHP-30794"/>
    <d v="2024-02-09T00:00:00"/>
    <x v="0"/>
    <s v="Chennai"/>
    <x v="1"/>
    <x v="1"/>
    <x v="4"/>
    <s v="High"/>
    <n v="5"/>
    <n v="8"/>
    <n v="3"/>
    <s v="Yes"/>
    <n v="81"/>
    <n v="6204"/>
    <n v="13068"/>
    <n v="0"/>
    <s v="No"/>
    <s v="Major"/>
    <n v="4356"/>
    <n v="2068"/>
    <n v="2024"/>
    <n v="2"/>
  </r>
  <r>
    <s v="SHP-30795"/>
    <d v="2024-07-21T00:00:00"/>
    <x v="1"/>
    <s v="Bhubaneswar"/>
    <x v="2"/>
    <x v="1"/>
    <x v="2"/>
    <s v="Low"/>
    <n v="2"/>
    <n v="5"/>
    <n v="3"/>
    <s v="Yes"/>
    <n v="218"/>
    <n v="3534"/>
    <n v="8166"/>
    <n v="0"/>
    <s v="No"/>
    <s v="Major"/>
    <n v="2722"/>
    <n v="1178"/>
    <n v="2024"/>
    <n v="7"/>
  </r>
  <r>
    <s v="SHP-30796"/>
    <d v="2024-01-10T00:00:00"/>
    <x v="1"/>
    <s v="Bhubaneswar"/>
    <x v="0"/>
    <x v="2"/>
    <x v="3"/>
    <s v="Low"/>
    <n v="2"/>
    <n v="3"/>
    <n v="1"/>
    <s v="Yes"/>
    <n v="471"/>
    <n v="2001"/>
    <n v="2687"/>
    <n v="0"/>
    <s v="No"/>
    <s v="Minor"/>
    <n v="2687"/>
    <n v="2001"/>
    <n v="2024"/>
    <n v="1"/>
  </r>
  <r>
    <s v="SHP-30797"/>
    <d v="2024-07-08T00:00:00"/>
    <x v="0"/>
    <s v="Chennai"/>
    <x v="2"/>
    <x v="1"/>
    <x v="2"/>
    <s v="Medium"/>
    <n v="1"/>
    <n v="3"/>
    <n v="2"/>
    <s v="Yes"/>
    <n v="433"/>
    <n v="2978"/>
    <n v="9232"/>
    <n v="0"/>
    <s v="No"/>
    <s v="Minor"/>
    <n v="4616"/>
    <n v="1489"/>
    <n v="2024"/>
    <n v="7"/>
  </r>
  <r>
    <s v="SHP-30798"/>
    <d v="2024-08-05T00:00:00"/>
    <x v="0"/>
    <s v="Bengaluru"/>
    <x v="2"/>
    <x v="1"/>
    <x v="4"/>
    <s v="Low"/>
    <n v="3"/>
    <n v="5"/>
    <n v="2"/>
    <s v="Yes"/>
    <n v="303"/>
    <n v="2140"/>
    <n v="4832"/>
    <n v="0"/>
    <s v="No"/>
    <s v="Minor"/>
    <n v="2416"/>
    <n v="1070"/>
    <n v="2024"/>
    <n v="8"/>
  </r>
  <r>
    <s v="SHP-30799"/>
    <d v="2024-04-09T00:00:00"/>
    <x v="2"/>
    <s v="Delhi"/>
    <x v="1"/>
    <x v="2"/>
    <x v="3"/>
    <s v="Medium"/>
    <n v="2"/>
    <n v="4"/>
    <n v="2"/>
    <s v="Yes"/>
    <n v="192"/>
    <n v="2184"/>
    <n v="6670"/>
    <n v="0"/>
    <s v="No"/>
    <s v="Minor"/>
    <n v="3335"/>
    <n v="1092"/>
    <n v="2024"/>
    <n v="4"/>
  </r>
  <r>
    <s v="SHP-30800"/>
    <d v="2024-07-06T00:00:00"/>
    <x v="0"/>
    <s v="Bengaluru"/>
    <x v="0"/>
    <x v="0"/>
    <x v="0"/>
    <s v="Low"/>
    <n v="3"/>
    <n v="4"/>
    <n v="1"/>
    <s v="Yes"/>
    <n v="415"/>
    <n v="1027"/>
    <n v="1949"/>
    <n v="0"/>
    <s v="No"/>
    <s v="Minor"/>
    <n v="1949"/>
    <n v="1027"/>
    <n v="2024"/>
    <n v="7"/>
  </r>
  <r>
    <s v="SHP-30801"/>
    <d v="2024-08-25T00:00:00"/>
    <x v="0"/>
    <s v="Bengaluru"/>
    <x v="0"/>
    <x v="0"/>
    <x v="1"/>
    <s v="Low"/>
    <n v="2"/>
    <n v="6"/>
    <n v="4"/>
    <s v="Yes"/>
    <n v="201"/>
    <n v="7808"/>
    <n v="8216"/>
    <n v="0"/>
    <s v="No"/>
    <s v="Major"/>
    <n v="2054"/>
    <n v="1952"/>
    <n v="2024"/>
    <n v="8"/>
  </r>
  <r>
    <s v="SHP-30802"/>
    <d v="2024-07-04T00:00:00"/>
    <x v="3"/>
    <s v="Pune"/>
    <x v="0"/>
    <x v="0"/>
    <x v="2"/>
    <s v="Low"/>
    <n v="5"/>
    <n v="7"/>
    <n v="2"/>
    <s v="Yes"/>
    <n v="180"/>
    <n v="2906"/>
    <n v="4564"/>
    <n v="0"/>
    <s v="No"/>
    <s v="Minor"/>
    <n v="2282"/>
    <n v="1453"/>
    <n v="2024"/>
    <n v="7"/>
  </r>
  <r>
    <s v="SHP-30803"/>
    <d v="2024-01-27T00:00:00"/>
    <x v="3"/>
    <s v="Mumbai"/>
    <x v="2"/>
    <x v="1"/>
    <x v="0"/>
    <s v="Low"/>
    <n v="2"/>
    <n v="5"/>
    <n v="3"/>
    <s v="Yes"/>
    <n v="190"/>
    <n v="7344"/>
    <n v="11088"/>
    <n v="0"/>
    <s v="No"/>
    <s v="Major"/>
    <n v="3696"/>
    <n v="2448"/>
    <n v="2024"/>
    <n v="1"/>
  </r>
  <r>
    <s v="SHP-30804"/>
    <d v="2024-05-09T00:00:00"/>
    <x v="0"/>
    <s v="Chennai"/>
    <x v="2"/>
    <x v="0"/>
    <x v="1"/>
    <s v="High"/>
    <n v="3"/>
    <n v="5"/>
    <n v="2"/>
    <s v="Yes"/>
    <n v="52"/>
    <n v="2640"/>
    <n v="9054"/>
    <n v="0"/>
    <s v="No"/>
    <s v="Minor"/>
    <n v="4527"/>
    <n v="1320"/>
    <n v="2024"/>
    <n v="5"/>
  </r>
  <r>
    <s v="SHP-30805"/>
    <d v="2024-05-31T00:00:00"/>
    <x v="1"/>
    <s v="Kolkata"/>
    <x v="2"/>
    <x v="0"/>
    <x v="2"/>
    <s v="Medium"/>
    <n v="2"/>
    <n v="2"/>
    <n v="0"/>
    <s v="No"/>
    <n v="126"/>
    <n v="0"/>
    <n v="0"/>
    <n v="1"/>
    <s v="No"/>
    <s v="On Time"/>
    <n v="0"/>
    <n v="0"/>
    <n v="2024"/>
    <n v="5"/>
  </r>
  <r>
    <s v="SHP-30806"/>
    <d v="2024-09-18T00:00:00"/>
    <x v="3"/>
    <s v="Pune"/>
    <x v="1"/>
    <x v="2"/>
    <x v="4"/>
    <s v="Medium"/>
    <n v="2"/>
    <n v="3"/>
    <n v="1"/>
    <s v="Yes"/>
    <n v="167"/>
    <n v="2352"/>
    <n v="4848"/>
    <n v="0"/>
    <s v="No"/>
    <s v="Minor"/>
    <n v="4848"/>
    <n v="2352"/>
    <n v="2024"/>
    <n v="9"/>
  </r>
  <r>
    <s v="SHP-30807"/>
    <d v="2024-02-11T00:00:00"/>
    <x v="0"/>
    <s v="Bengaluru"/>
    <x v="2"/>
    <x v="1"/>
    <x v="4"/>
    <s v="Low"/>
    <n v="2"/>
    <n v="7"/>
    <n v="5"/>
    <s v="Yes"/>
    <n v="476"/>
    <n v="9355"/>
    <n v="13895"/>
    <n v="0"/>
    <s v="No"/>
    <s v="Major"/>
    <n v="2779"/>
    <n v="1871"/>
    <n v="2024"/>
    <n v="2"/>
  </r>
  <r>
    <s v="SHP-30808"/>
    <d v="2024-01-08T00:00:00"/>
    <x v="0"/>
    <s v="Chennai"/>
    <x v="1"/>
    <x v="1"/>
    <x v="1"/>
    <s v="High"/>
    <n v="2"/>
    <n v="8"/>
    <n v="6"/>
    <s v="Yes"/>
    <n v="128"/>
    <n v="13608"/>
    <n v="23628"/>
    <n v="0"/>
    <s v="No"/>
    <s v="Severe"/>
    <n v="3938"/>
    <n v="2268"/>
    <n v="2024"/>
    <n v="1"/>
  </r>
  <r>
    <s v="SHP-30809"/>
    <d v="2024-07-01T00:00:00"/>
    <x v="0"/>
    <s v="Bengaluru"/>
    <x v="1"/>
    <x v="2"/>
    <x v="2"/>
    <s v="Low"/>
    <n v="1"/>
    <n v="4"/>
    <n v="3"/>
    <s v="Yes"/>
    <n v="401"/>
    <n v="4560"/>
    <n v="5976"/>
    <n v="0"/>
    <s v="No"/>
    <s v="Major"/>
    <n v="1992"/>
    <n v="1520"/>
    <n v="2024"/>
    <n v="7"/>
  </r>
  <r>
    <s v="SHP-30810"/>
    <d v="2024-03-18T00:00:00"/>
    <x v="0"/>
    <s v="Chennai"/>
    <x v="2"/>
    <x v="2"/>
    <x v="2"/>
    <s v="Low"/>
    <n v="2"/>
    <n v="8"/>
    <n v="6"/>
    <s v="Yes"/>
    <n v="237"/>
    <n v="12240"/>
    <n v="27432"/>
    <n v="0"/>
    <s v="No"/>
    <s v="Severe"/>
    <n v="4572"/>
    <n v="2040"/>
    <n v="2024"/>
    <n v="3"/>
  </r>
  <r>
    <s v="SHP-30811"/>
    <d v="2024-06-25T00:00:00"/>
    <x v="0"/>
    <s v="Chennai"/>
    <x v="2"/>
    <x v="0"/>
    <x v="0"/>
    <s v="Low"/>
    <n v="2"/>
    <n v="7"/>
    <n v="5"/>
    <s v="Yes"/>
    <n v="270"/>
    <n v="6565"/>
    <n v="21445"/>
    <n v="0"/>
    <s v="No"/>
    <s v="Major"/>
    <n v="4289"/>
    <n v="1313"/>
    <n v="2024"/>
    <n v="6"/>
  </r>
  <r>
    <s v="SHP-30812"/>
    <d v="2024-06-24T00:00:00"/>
    <x v="3"/>
    <s v="Pune"/>
    <x v="0"/>
    <x v="2"/>
    <x v="1"/>
    <s v="Medium"/>
    <n v="1"/>
    <n v="6"/>
    <n v="5"/>
    <s v="Yes"/>
    <n v="235"/>
    <n v="12435"/>
    <n v="23570"/>
    <n v="0"/>
    <s v="No"/>
    <s v="Major"/>
    <n v="4714"/>
    <n v="2487"/>
    <n v="2024"/>
    <n v="6"/>
  </r>
  <r>
    <s v="SHP-30813"/>
    <d v="2024-11-02T00:00:00"/>
    <x v="0"/>
    <s v="Chennai"/>
    <x v="1"/>
    <x v="2"/>
    <x v="2"/>
    <s v="Low"/>
    <n v="1"/>
    <n v="6"/>
    <n v="5"/>
    <s v="Yes"/>
    <n v="209"/>
    <n v="7630"/>
    <n v="10555"/>
    <n v="0"/>
    <s v="No"/>
    <s v="Major"/>
    <n v="2111"/>
    <n v="1526"/>
    <n v="2024"/>
    <n v="11"/>
  </r>
  <r>
    <s v="SHP-30814"/>
    <d v="2024-08-08T00:00:00"/>
    <x v="1"/>
    <s v="Kolkata"/>
    <x v="1"/>
    <x v="1"/>
    <x v="0"/>
    <s v="Low"/>
    <n v="2"/>
    <n v="4"/>
    <n v="2"/>
    <s v="Yes"/>
    <n v="189"/>
    <n v="1820"/>
    <n v="9288"/>
    <n v="0"/>
    <s v="No"/>
    <s v="Minor"/>
    <n v="4644"/>
    <n v="910"/>
    <n v="2024"/>
    <n v="8"/>
  </r>
  <r>
    <s v="SHP-30815"/>
    <d v="2024-12-29T00:00:00"/>
    <x v="2"/>
    <s v="Delhi"/>
    <x v="0"/>
    <x v="0"/>
    <x v="2"/>
    <s v="Medium"/>
    <n v="3"/>
    <n v="3"/>
    <n v="0"/>
    <s v="No"/>
    <n v="443"/>
    <n v="0"/>
    <n v="0"/>
    <n v="1"/>
    <s v="No"/>
    <s v="On Time"/>
    <n v="0"/>
    <n v="0"/>
    <n v="2024"/>
    <n v="12"/>
  </r>
  <r>
    <s v="SHP-30816"/>
    <d v="2024-10-28T00:00:00"/>
    <x v="1"/>
    <s v="Kolkata"/>
    <x v="1"/>
    <x v="0"/>
    <x v="3"/>
    <s v="Medium"/>
    <n v="3"/>
    <n v="4"/>
    <n v="1"/>
    <s v="Yes"/>
    <n v="472"/>
    <n v="1887"/>
    <n v="4992"/>
    <n v="0"/>
    <s v="No"/>
    <s v="Minor"/>
    <n v="4992"/>
    <n v="1887"/>
    <n v="2024"/>
    <n v="10"/>
  </r>
  <r>
    <s v="SHP-30817"/>
    <d v="2024-10-30T00:00:00"/>
    <x v="0"/>
    <s v="Bengaluru"/>
    <x v="1"/>
    <x v="0"/>
    <x v="3"/>
    <s v="Low"/>
    <n v="3"/>
    <n v="3"/>
    <n v="0"/>
    <s v="No"/>
    <n v="265"/>
    <n v="0"/>
    <n v="0"/>
    <n v="1"/>
    <s v="No"/>
    <s v="On Time"/>
    <n v="0"/>
    <n v="0"/>
    <n v="2024"/>
    <n v="10"/>
  </r>
  <r>
    <s v="SHP-30818"/>
    <d v="2024-10-23T00:00:00"/>
    <x v="0"/>
    <s v="Bengaluru"/>
    <x v="2"/>
    <x v="0"/>
    <x v="4"/>
    <s v="High"/>
    <n v="1"/>
    <n v="6"/>
    <n v="5"/>
    <s v="Yes"/>
    <n v="159"/>
    <n v="4070"/>
    <n v="20445"/>
    <n v="0"/>
    <s v="No"/>
    <s v="Major"/>
    <n v="4089"/>
    <n v="814"/>
    <n v="2024"/>
    <n v="10"/>
  </r>
  <r>
    <s v="SHP-30819"/>
    <d v="2024-09-06T00:00:00"/>
    <x v="1"/>
    <s v="Bhubaneswar"/>
    <x v="1"/>
    <x v="0"/>
    <x v="0"/>
    <s v="Low"/>
    <n v="3"/>
    <n v="7"/>
    <n v="4"/>
    <s v="Yes"/>
    <n v="211"/>
    <n v="9336"/>
    <n v="16084"/>
    <n v="0"/>
    <s v="No"/>
    <s v="Major"/>
    <n v="4021"/>
    <n v="2334"/>
    <n v="2024"/>
    <n v="9"/>
  </r>
  <r>
    <s v="SHP-30820"/>
    <d v="2024-02-07T00:00:00"/>
    <x v="0"/>
    <s v="Bengaluru"/>
    <x v="0"/>
    <x v="1"/>
    <x v="2"/>
    <s v="High"/>
    <n v="3"/>
    <n v="6"/>
    <n v="3"/>
    <s v="Yes"/>
    <n v="124"/>
    <n v="4488"/>
    <n v="6930"/>
    <n v="0"/>
    <s v="No"/>
    <s v="Major"/>
    <n v="2310"/>
    <n v="1496"/>
    <n v="2024"/>
    <n v="2"/>
  </r>
  <r>
    <s v="SHP-30821"/>
    <d v="2024-03-17T00:00:00"/>
    <x v="3"/>
    <s v="Mumbai"/>
    <x v="1"/>
    <x v="1"/>
    <x v="0"/>
    <s v="Low"/>
    <n v="5"/>
    <n v="7"/>
    <n v="2"/>
    <s v="Yes"/>
    <n v="126"/>
    <n v="3146"/>
    <n v="5536"/>
    <n v="0"/>
    <s v="No"/>
    <s v="Minor"/>
    <n v="2768"/>
    <n v="1573"/>
    <n v="2024"/>
    <n v="3"/>
  </r>
  <r>
    <s v="SHP-30822"/>
    <d v="2024-01-15T00:00:00"/>
    <x v="1"/>
    <s v="Kolkata"/>
    <x v="0"/>
    <x v="1"/>
    <x v="0"/>
    <s v="High"/>
    <n v="2"/>
    <n v="6"/>
    <n v="4"/>
    <s v="Yes"/>
    <n v="420"/>
    <n v="5760"/>
    <n v="13532"/>
    <n v="0"/>
    <s v="No"/>
    <s v="Major"/>
    <n v="3383"/>
    <n v="1440"/>
    <n v="2024"/>
    <n v="1"/>
  </r>
  <r>
    <s v="SHP-30823"/>
    <d v="2024-08-17T00:00:00"/>
    <x v="3"/>
    <s v="Pune"/>
    <x v="2"/>
    <x v="2"/>
    <x v="1"/>
    <s v="Low"/>
    <n v="1"/>
    <n v="3"/>
    <n v="2"/>
    <s v="Yes"/>
    <n v="290"/>
    <n v="4850"/>
    <n v="7886"/>
    <n v="0"/>
    <s v="No"/>
    <s v="Minor"/>
    <n v="3943"/>
    <n v="2425"/>
    <n v="2024"/>
    <n v="8"/>
  </r>
  <r>
    <s v="SHP-30824"/>
    <d v="2024-05-21T00:00:00"/>
    <x v="3"/>
    <s v="Mumbai"/>
    <x v="1"/>
    <x v="0"/>
    <x v="2"/>
    <s v="Medium"/>
    <n v="3"/>
    <n v="6"/>
    <n v="3"/>
    <s v="Yes"/>
    <n v="118"/>
    <n v="6573"/>
    <n v="10902"/>
    <n v="0"/>
    <s v="No"/>
    <s v="Major"/>
    <n v="3634"/>
    <n v="2191"/>
    <n v="2024"/>
    <n v="5"/>
  </r>
  <r>
    <s v="SHP-30825"/>
    <d v="2024-02-05T00:00:00"/>
    <x v="3"/>
    <s v="Pune"/>
    <x v="1"/>
    <x v="1"/>
    <x v="2"/>
    <s v="Medium"/>
    <n v="2"/>
    <n v="3"/>
    <n v="1"/>
    <s v="Yes"/>
    <n v="70"/>
    <n v="1518"/>
    <n v="2129"/>
    <n v="0"/>
    <s v="No"/>
    <s v="Minor"/>
    <n v="2129"/>
    <n v="1518"/>
    <n v="2024"/>
    <n v="2"/>
  </r>
  <r>
    <s v="SHP-30826"/>
    <d v="2024-08-01T00:00:00"/>
    <x v="1"/>
    <s v="Kolkata"/>
    <x v="1"/>
    <x v="1"/>
    <x v="0"/>
    <s v="High"/>
    <n v="2"/>
    <n v="5"/>
    <n v="3"/>
    <s v="Yes"/>
    <n v="435"/>
    <n v="7074"/>
    <n v="11133"/>
    <n v="0"/>
    <s v="No"/>
    <s v="Major"/>
    <n v="3711"/>
    <n v="2358"/>
    <n v="2024"/>
    <n v="8"/>
  </r>
  <r>
    <s v="SHP-30827"/>
    <d v="2024-10-10T00:00:00"/>
    <x v="0"/>
    <s v="Chennai"/>
    <x v="2"/>
    <x v="0"/>
    <x v="3"/>
    <s v="Low"/>
    <n v="1"/>
    <n v="3"/>
    <n v="2"/>
    <s v="Yes"/>
    <n v="160"/>
    <n v="2450"/>
    <n v="5312"/>
    <n v="0"/>
    <s v="No"/>
    <s v="Minor"/>
    <n v="2656"/>
    <n v="1225"/>
    <n v="2024"/>
    <n v="10"/>
  </r>
  <r>
    <s v="SHP-30828"/>
    <d v="2024-04-20T00:00:00"/>
    <x v="1"/>
    <s v="Bhubaneswar"/>
    <x v="2"/>
    <x v="0"/>
    <x v="0"/>
    <s v="Low"/>
    <n v="1"/>
    <n v="6"/>
    <n v="5"/>
    <s v="Yes"/>
    <n v="479"/>
    <n v="5000"/>
    <n v="11765"/>
    <n v="0"/>
    <s v="No"/>
    <s v="Major"/>
    <n v="2353"/>
    <n v="1000"/>
    <n v="2024"/>
    <n v="4"/>
  </r>
  <r>
    <s v="SHP-30829"/>
    <d v="2024-07-13T00:00:00"/>
    <x v="3"/>
    <s v="Mumbai"/>
    <x v="0"/>
    <x v="1"/>
    <x v="0"/>
    <s v="High"/>
    <n v="2"/>
    <n v="6"/>
    <n v="4"/>
    <s v="Yes"/>
    <n v="463"/>
    <n v="3412"/>
    <n v="12644"/>
    <n v="0"/>
    <s v="No"/>
    <s v="Major"/>
    <n v="3161"/>
    <n v="853"/>
    <n v="2024"/>
    <n v="7"/>
  </r>
  <r>
    <s v="SHP-30830"/>
    <d v="2024-11-27T00:00:00"/>
    <x v="3"/>
    <s v="Mumbai"/>
    <x v="0"/>
    <x v="2"/>
    <x v="1"/>
    <s v="Low"/>
    <n v="3"/>
    <n v="5"/>
    <n v="2"/>
    <s v="Yes"/>
    <n v="76"/>
    <n v="3252"/>
    <n v="9470"/>
    <n v="0"/>
    <s v="No"/>
    <s v="Minor"/>
    <n v="4735"/>
    <n v="1626"/>
    <n v="2024"/>
    <n v="11"/>
  </r>
  <r>
    <s v="SHP-30831"/>
    <d v="2024-04-10T00:00:00"/>
    <x v="1"/>
    <s v="Kolkata"/>
    <x v="2"/>
    <x v="1"/>
    <x v="1"/>
    <s v="Low"/>
    <n v="1"/>
    <n v="3"/>
    <n v="2"/>
    <s v="Yes"/>
    <n v="156"/>
    <n v="3594"/>
    <n v="8212"/>
    <n v="0"/>
    <s v="No"/>
    <s v="Minor"/>
    <n v="4106"/>
    <n v="1797"/>
    <n v="2024"/>
    <n v="4"/>
  </r>
  <r>
    <s v="SHP-30832"/>
    <d v="2024-11-29T00:00:00"/>
    <x v="0"/>
    <s v="Chennai"/>
    <x v="1"/>
    <x v="1"/>
    <x v="4"/>
    <s v="Medium"/>
    <n v="5"/>
    <n v="6"/>
    <n v="1"/>
    <s v="Yes"/>
    <n v="293"/>
    <n v="1312"/>
    <n v="2375"/>
    <n v="0"/>
    <s v="No"/>
    <s v="Minor"/>
    <n v="2375"/>
    <n v="1312"/>
    <n v="2024"/>
    <n v="11"/>
  </r>
  <r>
    <s v="SHP-30833"/>
    <d v="2024-08-27T00:00:00"/>
    <x v="1"/>
    <s v="Kolkata"/>
    <x v="2"/>
    <x v="1"/>
    <x v="0"/>
    <s v="Low"/>
    <n v="2"/>
    <n v="3"/>
    <n v="1"/>
    <s v="Yes"/>
    <n v="377"/>
    <n v="848"/>
    <n v="3271"/>
    <n v="0"/>
    <s v="No"/>
    <s v="Minor"/>
    <n v="3271"/>
    <n v="848"/>
    <n v="2024"/>
    <n v="8"/>
  </r>
  <r>
    <s v="SHP-30834"/>
    <d v="2024-11-13T00:00:00"/>
    <x v="2"/>
    <s v="Noida"/>
    <x v="2"/>
    <x v="1"/>
    <x v="0"/>
    <s v="Low"/>
    <n v="5"/>
    <n v="7"/>
    <n v="2"/>
    <s v="Yes"/>
    <n v="306"/>
    <n v="2688"/>
    <n v="5126"/>
    <n v="0"/>
    <s v="No"/>
    <s v="Minor"/>
    <n v="2563"/>
    <n v="1344"/>
    <n v="2024"/>
    <n v="11"/>
  </r>
  <r>
    <s v="SHP-30835"/>
    <d v="2024-02-06T00:00:00"/>
    <x v="0"/>
    <s v="Chennai"/>
    <x v="2"/>
    <x v="1"/>
    <x v="4"/>
    <s v="Medium"/>
    <n v="5"/>
    <n v="6"/>
    <n v="1"/>
    <s v="Yes"/>
    <n v="183"/>
    <n v="2115"/>
    <n v="4325"/>
    <n v="0"/>
    <s v="No"/>
    <s v="Minor"/>
    <n v="4325"/>
    <n v="2115"/>
    <n v="2024"/>
    <n v="2"/>
  </r>
  <r>
    <s v="SHP-30836"/>
    <d v="2024-11-02T00:00:00"/>
    <x v="1"/>
    <s v="Bhubaneswar"/>
    <x v="1"/>
    <x v="1"/>
    <x v="4"/>
    <s v="Medium"/>
    <n v="1"/>
    <n v="3"/>
    <n v="2"/>
    <s v="Yes"/>
    <n v="100"/>
    <n v="2730"/>
    <n v="4530"/>
    <n v="0"/>
    <s v="No"/>
    <s v="Minor"/>
    <n v="2265"/>
    <n v="1365"/>
    <n v="2024"/>
    <n v="11"/>
  </r>
  <r>
    <s v="SHP-30837"/>
    <d v="2024-10-28T00:00:00"/>
    <x v="0"/>
    <s v="Bengaluru"/>
    <x v="0"/>
    <x v="1"/>
    <x v="4"/>
    <s v="High"/>
    <n v="3"/>
    <n v="10"/>
    <n v="7"/>
    <s v="Yes"/>
    <n v="126"/>
    <n v="10913"/>
    <n v="14119"/>
    <n v="0"/>
    <s v="No"/>
    <s v="Severe"/>
    <n v="2017"/>
    <n v="1559"/>
    <n v="2024"/>
    <n v="10"/>
  </r>
  <r>
    <s v="SHP-30838"/>
    <d v="2024-09-16T00:00:00"/>
    <x v="2"/>
    <s v="Noida"/>
    <x v="1"/>
    <x v="1"/>
    <x v="4"/>
    <s v="Low"/>
    <n v="1"/>
    <n v="6"/>
    <n v="5"/>
    <s v="Yes"/>
    <n v="175"/>
    <n v="4400"/>
    <n v="20935"/>
    <n v="0"/>
    <s v="No"/>
    <s v="Major"/>
    <n v="4187"/>
    <n v="880"/>
    <n v="2024"/>
    <n v="9"/>
  </r>
  <r>
    <s v="SHP-30839"/>
    <d v="2024-04-08T00:00:00"/>
    <x v="2"/>
    <s v="Delhi"/>
    <x v="0"/>
    <x v="1"/>
    <x v="2"/>
    <s v="Low"/>
    <n v="1"/>
    <n v="1"/>
    <n v="0"/>
    <s v="No"/>
    <n v="379"/>
    <n v="0"/>
    <n v="0"/>
    <n v="1"/>
    <s v="No"/>
    <s v="On Time"/>
    <n v="0"/>
    <n v="0"/>
    <n v="2024"/>
    <n v="4"/>
  </r>
  <r>
    <s v="SHP-30840"/>
    <d v="2024-07-28T00:00:00"/>
    <x v="2"/>
    <s v="Delhi"/>
    <x v="2"/>
    <x v="1"/>
    <x v="0"/>
    <s v="Low"/>
    <n v="1"/>
    <n v="2"/>
    <n v="1"/>
    <s v="Yes"/>
    <n v="312"/>
    <n v="2067"/>
    <n v="2598"/>
    <n v="0"/>
    <s v="No"/>
    <s v="Minor"/>
    <n v="2598"/>
    <n v="2067"/>
    <n v="2024"/>
    <n v="7"/>
  </r>
  <r>
    <s v="SHP-30841"/>
    <d v="2024-11-26T00:00:00"/>
    <x v="3"/>
    <s v="Pune"/>
    <x v="2"/>
    <x v="1"/>
    <x v="4"/>
    <s v="High"/>
    <n v="1"/>
    <n v="9"/>
    <n v="8"/>
    <s v="Yes"/>
    <n v="257"/>
    <n v="8672"/>
    <n v="25048"/>
    <n v="0"/>
    <s v="No"/>
    <s v="Severe"/>
    <n v="3131"/>
    <n v="1084"/>
    <n v="2024"/>
    <n v="11"/>
  </r>
  <r>
    <s v="SHP-30842"/>
    <d v="2024-09-26T00:00:00"/>
    <x v="0"/>
    <s v="Chennai"/>
    <x v="2"/>
    <x v="0"/>
    <x v="4"/>
    <s v="High"/>
    <n v="2"/>
    <n v="9"/>
    <n v="7"/>
    <s v="Yes"/>
    <n v="115"/>
    <n v="6853"/>
    <n v="23212"/>
    <n v="0"/>
    <s v="No"/>
    <s v="Severe"/>
    <n v="3316"/>
    <n v="979"/>
    <n v="2024"/>
    <n v="9"/>
  </r>
  <r>
    <s v="SHP-30843"/>
    <d v="2024-11-11T00:00:00"/>
    <x v="2"/>
    <s v="Noida"/>
    <x v="2"/>
    <x v="0"/>
    <x v="4"/>
    <s v="Low"/>
    <n v="5"/>
    <n v="9"/>
    <n v="4"/>
    <s v="Yes"/>
    <n v="376"/>
    <n v="3288"/>
    <n v="13788"/>
    <n v="0"/>
    <s v="No"/>
    <s v="Major"/>
    <n v="3447"/>
    <n v="822"/>
    <n v="2024"/>
    <n v="11"/>
  </r>
  <r>
    <s v="SHP-30844"/>
    <d v="2024-05-02T00:00:00"/>
    <x v="1"/>
    <s v="Bhubaneswar"/>
    <x v="0"/>
    <x v="0"/>
    <x v="3"/>
    <s v="High"/>
    <n v="1"/>
    <n v="9"/>
    <n v="8"/>
    <s v="Yes"/>
    <n v="169"/>
    <n v="7920"/>
    <n v="31400"/>
    <n v="0"/>
    <s v="No"/>
    <s v="Severe"/>
    <n v="3925"/>
    <n v="990"/>
    <n v="2024"/>
    <n v="5"/>
  </r>
  <r>
    <s v="SHP-30845"/>
    <d v="2024-06-26T00:00:00"/>
    <x v="3"/>
    <s v="Mumbai"/>
    <x v="0"/>
    <x v="1"/>
    <x v="4"/>
    <s v="Low"/>
    <n v="5"/>
    <n v="8"/>
    <n v="3"/>
    <s v="Yes"/>
    <n v="336"/>
    <n v="3900"/>
    <n v="11034"/>
    <n v="0"/>
    <s v="No"/>
    <s v="Major"/>
    <n v="3678"/>
    <n v="1300"/>
    <n v="2024"/>
    <n v="6"/>
  </r>
  <r>
    <s v="SHP-30846"/>
    <d v="2024-09-05T00:00:00"/>
    <x v="1"/>
    <s v="Bhubaneswar"/>
    <x v="0"/>
    <x v="1"/>
    <x v="1"/>
    <s v="Low"/>
    <n v="3"/>
    <n v="6"/>
    <n v="3"/>
    <s v="Yes"/>
    <n v="114"/>
    <n v="3657"/>
    <n v="14742"/>
    <n v="0"/>
    <s v="No"/>
    <s v="Major"/>
    <n v="4914"/>
    <n v="1219"/>
    <n v="2024"/>
    <n v="9"/>
  </r>
  <r>
    <s v="SHP-30847"/>
    <d v="2024-01-13T00:00:00"/>
    <x v="1"/>
    <s v="Kolkata"/>
    <x v="2"/>
    <x v="0"/>
    <x v="0"/>
    <s v="Low"/>
    <n v="2"/>
    <n v="7"/>
    <n v="5"/>
    <s v="Yes"/>
    <n v="477"/>
    <n v="8115"/>
    <n v="12140"/>
    <n v="0"/>
    <s v="No"/>
    <s v="Major"/>
    <n v="2428"/>
    <n v="1623"/>
    <n v="2024"/>
    <n v="1"/>
  </r>
  <r>
    <s v="SHP-30848"/>
    <d v="2024-03-03T00:00:00"/>
    <x v="1"/>
    <s v="Bhubaneswar"/>
    <x v="0"/>
    <x v="2"/>
    <x v="3"/>
    <s v="Medium"/>
    <n v="3"/>
    <n v="8"/>
    <n v="5"/>
    <s v="Yes"/>
    <n v="487"/>
    <n v="9730"/>
    <n v="14730"/>
    <n v="0"/>
    <s v="No"/>
    <s v="Major"/>
    <n v="2946"/>
    <n v="1946"/>
    <n v="2024"/>
    <n v="3"/>
  </r>
  <r>
    <s v="SHP-30849"/>
    <d v="2024-08-14T00:00:00"/>
    <x v="1"/>
    <s v="Bhubaneswar"/>
    <x v="0"/>
    <x v="1"/>
    <x v="4"/>
    <s v="Medium"/>
    <n v="2"/>
    <n v="5"/>
    <n v="3"/>
    <s v="Yes"/>
    <n v="456"/>
    <n v="4656"/>
    <n v="13722"/>
    <n v="0"/>
    <s v="No"/>
    <s v="Major"/>
    <n v="4574"/>
    <n v="1552"/>
    <n v="2024"/>
    <n v="8"/>
  </r>
  <r>
    <s v="SHP-30850"/>
    <d v="2024-05-08T00:00:00"/>
    <x v="2"/>
    <s v="Noida"/>
    <x v="1"/>
    <x v="1"/>
    <x v="2"/>
    <s v="Low"/>
    <n v="3"/>
    <n v="7"/>
    <n v="4"/>
    <s v="Yes"/>
    <n v="250"/>
    <n v="9876"/>
    <n v="18224"/>
    <n v="0"/>
    <s v="No"/>
    <s v="Major"/>
    <n v="4556"/>
    <n v="2469"/>
    <n v="2024"/>
    <n v="5"/>
  </r>
  <r>
    <s v="SHP-30851"/>
    <d v="2024-06-19T00:00:00"/>
    <x v="3"/>
    <s v="Pune"/>
    <x v="0"/>
    <x v="1"/>
    <x v="4"/>
    <s v="Low"/>
    <n v="1"/>
    <n v="4"/>
    <n v="3"/>
    <s v="Yes"/>
    <n v="360"/>
    <n v="4509"/>
    <n v="12903"/>
    <n v="0"/>
    <s v="No"/>
    <s v="Major"/>
    <n v="4301"/>
    <n v="1503"/>
    <n v="2024"/>
    <n v="6"/>
  </r>
  <r>
    <s v="SHP-30852"/>
    <d v="2024-02-19T00:00:00"/>
    <x v="3"/>
    <s v="Pune"/>
    <x v="0"/>
    <x v="2"/>
    <x v="4"/>
    <s v="High"/>
    <n v="3"/>
    <n v="12"/>
    <n v="9"/>
    <s v="Yes"/>
    <n v="467"/>
    <n v="19035"/>
    <n v="44379"/>
    <n v="0"/>
    <s v="No"/>
    <s v="Severe"/>
    <n v="4931"/>
    <n v="2115"/>
    <n v="2024"/>
    <n v="2"/>
  </r>
  <r>
    <s v="SHP-30853"/>
    <d v="2024-06-07T00:00:00"/>
    <x v="3"/>
    <s v="Mumbai"/>
    <x v="1"/>
    <x v="1"/>
    <x v="4"/>
    <s v="Low"/>
    <n v="2"/>
    <n v="2"/>
    <n v="0"/>
    <s v="No"/>
    <n v="187"/>
    <n v="0"/>
    <n v="0"/>
    <n v="1"/>
    <s v="No"/>
    <s v="On Time"/>
    <n v="0"/>
    <n v="0"/>
    <n v="2024"/>
    <n v="6"/>
  </r>
  <r>
    <s v="SHP-30854"/>
    <d v="2024-09-18T00:00:00"/>
    <x v="3"/>
    <s v="Mumbai"/>
    <x v="1"/>
    <x v="1"/>
    <x v="0"/>
    <s v="Low"/>
    <n v="1"/>
    <n v="3"/>
    <n v="2"/>
    <s v="Yes"/>
    <n v="72"/>
    <n v="4636"/>
    <n v="3848"/>
    <n v="0"/>
    <s v="No"/>
    <s v="Minor"/>
    <n v="1924"/>
    <n v="2318"/>
    <n v="2024"/>
    <n v="9"/>
  </r>
  <r>
    <s v="SHP-30855"/>
    <d v="2024-09-04T00:00:00"/>
    <x v="1"/>
    <s v="Kolkata"/>
    <x v="2"/>
    <x v="1"/>
    <x v="4"/>
    <s v="Low"/>
    <n v="5"/>
    <n v="5"/>
    <n v="0"/>
    <s v="No"/>
    <n v="235"/>
    <n v="0"/>
    <n v="0"/>
    <n v="1"/>
    <s v="No"/>
    <s v="On Time"/>
    <n v="0"/>
    <n v="0"/>
    <n v="2024"/>
    <n v="9"/>
  </r>
  <r>
    <s v="SHP-30856"/>
    <d v="2024-08-07T00:00:00"/>
    <x v="3"/>
    <s v="Pune"/>
    <x v="2"/>
    <x v="1"/>
    <x v="0"/>
    <s v="Low"/>
    <n v="1"/>
    <n v="1"/>
    <n v="0"/>
    <s v="No"/>
    <n v="301"/>
    <n v="0"/>
    <n v="0"/>
    <n v="1"/>
    <s v="No"/>
    <s v="On Time"/>
    <n v="0"/>
    <n v="0"/>
    <n v="2024"/>
    <n v="8"/>
  </r>
  <r>
    <s v="SHP-30857"/>
    <d v="2024-04-15T00:00:00"/>
    <x v="2"/>
    <s v="Delhi"/>
    <x v="2"/>
    <x v="1"/>
    <x v="0"/>
    <s v="Low"/>
    <n v="2"/>
    <n v="5"/>
    <n v="3"/>
    <s v="Yes"/>
    <n v="247"/>
    <n v="3474"/>
    <n v="9093"/>
    <n v="0"/>
    <s v="No"/>
    <s v="Major"/>
    <n v="3031"/>
    <n v="1158"/>
    <n v="2024"/>
    <n v="4"/>
  </r>
  <r>
    <s v="SHP-30858"/>
    <d v="2024-06-11T00:00:00"/>
    <x v="3"/>
    <s v="Pune"/>
    <x v="0"/>
    <x v="1"/>
    <x v="4"/>
    <s v="High"/>
    <n v="5"/>
    <n v="13"/>
    <n v="8"/>
    <s v="Yes"/>
    <n v="305"/>
    <n v="13032"/>
    <n v="21840"/>
    <n v="0"/>
    <s v="No"/>
    <s v="Severe"/>
    <n v="2730"/>
    <n v="1629"/>
    <n v="2024"/>
    <n v="6"/>
  </r>
  <r>
    <s v="SHP-30859"/>
    <d v="2024-08-24T00:00:00"/>
    <x v="0"/>
    <s v="Chennai"/>
    <x v="0"/>
    <x v="0"/>
    <x v="4"/>
    <s v="Low"/>
    <n v="1"/>
    <n v="6"/>
    <n v="5"/>
    <s v="Yes"/>
    <n v="363"/>
    <n v="9530"/>
    <n v="15290"/>
    <n v="0"/>
    <s v="No"/>
    <s v="Major"/>
    <n v="3058"/>
    <n v="1906"/>
    <n v="2024"/>
    <n v="8"/>
  </r>
  <r>
    <s v="SHP-30860"/>
    <d v="2024-12-25T00:00:00"/>
    <x v="1"/>
    <s v="Kolkata"/>
    <x v="0"/>
    <x v="2"/>
    <x v="4"/>
    <s v="Medium"/>
    <n v="5"/>
    <n v="7"/>
    <n v="2"/>
    <s v="Yes"/>
    <n v="298"/>
    <n v="2352"/>
    <n v="8116"/>
    <n v="0"/>
    <s v="No"/>
    <s v="Minor"/>
    <n v="4058"/>
    <n v="1176"/>
    <n v="2024"/>
    <n v="12"/>
  </r>
  <r>
    <s v="SHP-30861"/>
    <d v="2024-07-13T00:00:00"/>
    <x v="1"/>
    <s v="Kolkata"/>
    <x v="1"/>
    <x v="2"/>
    <x v="2"/>
    <s v="Low"/>
    <n v="1"/>
    <n v="4"/>
    <n v="3"/>
    <s v="Yes"/>
    <n v="377"/>
    <n v="6936"/>
    <n v="11973"/>
    <n v="0"/>
    <s v="No"/>
    <s v="Major"/>
    <n v="3991"/>
    <n v="2312"/>
    <n v="2024"/>
    <n v="7"/>
  </r>
  <r>
    <s v="SHP-30862"/>
    <d v="2024-06-26T00:00:00"/>
    <x v="3"/>
    <s v="Pune"/>
    <x v="1"/>
    <x v="1"/>
    <x v="0"/>
    <s v="Medium"/>
    <n v="3"/>
    <n v="8"/>
    <n v="5"/>
    <s v="Yes"/>
    <n v="315"/>
    <n v="10935"/>
    <n v="9895"/>
    <n v="0"/>
    <s v="No"/>
    <s v="Major"/>
    <n v="1979"/>
    <n v="2187"/>
    <n v="2024"/>
    <n v="6"/>
  </r>
  <r>
    <s v="SHP-30863"/>
    <d v="2024-07-01T00:00:00"/>
    <x v="3"/>
    <s v="Mumbai"/>
    <x v="0"/>
    <x v="1"/>
    <x v="3"/>
    <s v="Low"/>
    <n v="3"/>
    <n v="8"/>
    <n v="5"/>
    <s v="Yes"/>
    <n v="336"/>
    <n v="4555"/>
    <n v="23970"/>
    <n v="0"/>
    <s v="No"/>
    <s v="Major"/>
    <n v="4794"/>
    <n v="911"/>
    <n v="2024"/>
    <n v="7"/>
  </r>
  <r>
    <s v="SHP-30864"/>
    <d v="2024-07-22T00:00:00"/>
    <x v="2"/>
    <s v="Noida"/>
    <x v="2"/>
    <x v="2"/>
    <x v="4"/>
    <s v="Low"/>
    <n v="2"/>
    <n v="8"/>
    <n v="6"/>
    <s v="Yes"/>
    <n v="145"/>
    <n v="8664"/>
    <n v="22536"/>
    <n v="0"/>
    <s v="No"/>
    <s v="Severe"/>
    <n v="3756"/>
    <n v="1444"/>
    <n v="2024"/>
    <n v="7"/>
  </r>
  <r>
    <s v="SHP-30865"/>
    <d v="2024-11-03T00:00:00"/>
    <x v="3"/>
    <s v="Mumbai"/>
    <x v="2"/>
    <x v="1"/>
    <x v="4"/>
    <s v="Low"/>
    <n v="3"/>
    <n v="8"/>
    <n v="5"/>
    <s v="Yes"/>
    <n v="192"/>
    <n v="8590"/>
    <n v="15820"/>
    <n v="0"/>
    <s v="No"/>
    <s v="Major"/>
    <n v="3164"/>
    <n v="1718"/>
    <n v="2024"/>
    <n v="11"/>
  </r>
  <r>
    <s v="SHP-30866"/>
    <d v="2024-08-22T00:00:00"/>
    <x v="3"/>
    <s v="Mumbai"/>
    <x v="0"/>
    <x v="2"/>
    <x v="2"/>
    <s v="Medium"/>
    <n v="1"/>
    <n v="6"/>
    <n v="5"/>
    <s v="Yes"/>
    <n v="233"/>
    <n v="4755"/>
    <n v="21360"/>
    <n v="0"/>
    <s v="No"/>
    <s v="Major"/>
    <n v="4272"/>
    <n v="951"/>
    <n v="2024"/>
    <n v="8"/>
  </r>
  <r>
    <s v="SHP-30867"/>
    <d v="2024-07-18T00:00:00"/>
    <x v="2"/>
    <s v="Noida"/>
    <x v="0"/>
    <x v="2"/>
    <x v="2"/>
    <s v="Medium"/>
    <n v="2"/>
    <n v="7"/>
    <n v="5"/>
    <s v="Yes"/>
    <n v="101"/>
    <n v="11180"/>
    <n v="15010"/>
    <n v="0"/>
    <s v="No"/>
    <s v="Major"/>
    <n v="3002"/>
    <n v="2236"/>
    <n v="2024"/>
    <n v="7"/>
  </r>
  <r>
    <s v="SHP-30868"/>
    <d v="2024-05-21T00:00:00"/>
    <x v="1"/>
    <s v="Kolkata"/>
    <x v="2"/>
    <x v="1"/>
    <x v="4"/>
    <s v="Medium"/>
    <n v="2"/>
    <n v="3"/>
    <n v="1"/>
    <s v="Yes"/>
    <n v="176"/>
    <n v="2494"/>
    <n v="1782"/>
    <n v="0"/>
    <s v="No"/>
    <s v="Minor"/>
    <n v="1782"/>
    <n v="2494"/>
    <n v="2024"/>
    <n v="5"/>
  </r>
  <r>
    <s v="SHP-30869"/>
    <d v="2024-03-31T00:00:00"/>
    <x v="3"/>
    <s v="Mumbai"/>
    <x v="1"/>
    <x v="0"/>
    <x v="4"/>
    <s v="High"/>
    <n v="1"/>
    <n v="6"/>
    <n v="5"/>
    <s v="Yes"/>
    <n v="106"/>
    <n v="5965"/>
    <n v="20500"/>
    <n v="0"/>
    <s v="No"/>
    <s v="Major"/>
    <n v="4100"/>
    <n v="1193"/>
    <n v="2024"/>
    <n v="3"/>
  </r>
  <r>
    <s v="SHP-30870"/>
    <d v="2024-05-08T00:00:00"/>
    <x v="3"/>
    <s v="Pune"/>
    <x v="2"/>
    <x v="0"/>
    <x v="0"/>
    <s v="Medium"/>
    <n v="5"/>
    <n v="8"/>
    <n v="3"/>
    <s v="Yes"/>
    <n v="275"/>
    <n v="2880"/>
    <n v="12519"/>
    <n v="0"/>
    <s v="No"/>
    <s v="Major"/>
    <n v="4173"/>
    <n v="960"/>
    <n v="2024"/>
    <n v="5"/>
  </r>
  <r>
    <s v="SHP-30871"/>
    <d v="2024-12-19T00:00:00"/>
    <x v="1"/>
    <s v="Bhubaneswar"/>
    <x v="1"/>
    <x v="2"/>
    <x v="3"/>
    <s v="Low"/>
    <n v="3"/>
    <n v="9"/>
    <n v="6"/>
    <s v="Yes"/>
    <n v="79"/>
    <n v="12666"/>
    <n v="18042"/>
    <n v="0"/>
    <s v="No"/>
    <s v="Severe"/>
    <n v="3007"/>
    <n v="2111"/>
    <n v="2024"/>
    <n v="12"/>
  </r>
  <r>
    <s v="SHP-30872"/>
    <d v="2024-08-06T00:00:00"/>
    <x v="2"/>
    <s v="Delhi"/>
    <x v="2"/>
    <x v="1"/>
    <x v="4"/>
    <s v="Medium"/>
    <n v="1"/>
    <n v="2"/>
    <n v="1"/>
    <s v="Yes"/>
    <n v="266"/>
    <n v="1838"/>
    <n v="4404"/>
    <n v="0"/>
    <s v="No"/>
    <s v="Minor"/>
    <n v="4404"/>
    <n v="1838"/>
    <n v="2024"/>
    <n v="8"/>
  </r>
  <r>
    <s v="SHP-30873"/>
    <d v="2024-08-24T00:00:00"/>
    <x v="0"/>
    <s v="Bengaluru"/>
    <x v="1"/>
    <x v="1"/>
    <x v="4"/>
    <s v="Medium"/>
    <n v="5"/>
    <n v="8"/>
    <n v="3"/>
    <s v="Yes"/>
    <n v="333"/>
    <n v="5841"/>
    <n v="4677"/>
    <n v="0"/>
    <s v="No"/>
    <s v="Major"/>
    <n v="1559"/>
    <n v="1947"/>
    <n v="2024"/>
    <n v="8"/>
  </r>
  <r>
    <s v="SHP-30874"/>
    <d v="2024-11-29T00:00:00"/>
    <x v="1"/>
    <s v="Kolkata"/>
    <x v="2"/>
    <x v="1"/>
    <x v="2"/>
    <s v="Low"/>
    <n v="2"/>
    <n v="3"/>
    <n v="1"/>
    <s v="Yes"/>
    <n v="149"/>
    <n v="1249"/>
    <n v="2967"/>
    <n v="0"/>
    <s v="No"/>
    <s v="Minor"/>
    <n v="2967"/>
    <n v="1249"/>
    <n v="2024"/>
    <n v="11"/>
  </r>
  <r>
    <s v="SHP-30875"/>
    <d v="2024-02-12T00:00:00"/>
    <x v="2"/>
    <s v="Noida"/>
    <x v="2"/>
    <x v="0"/>
    <x v="4"/>
    <s v="High"/>
    <n v="3"/>
    <n v="6"/>
    <n v="3"/>
    <s v="Yes"/>
    <n v="394"/>
    <n v="4503"/>
    <n v="9621"/>
    <n v="0"/>
    <s v="No"/>
    <s v="Major"/>
    <n v="3207"/>
    <n v="1501"/>
    <n v="2024"/>
    <n v="2"/>
  </r>
  <r>
    <s v="SHP-30876"/>
    <d v="2024-04-25T00:00:00"/>
    <x v="0"/>
    <s v="Bengaluru"/>
    <x v="2"/>
    <x v="2"/>
    <x v="1"/>
    <s v="Medium"/>
    <n v="5"/>
    <n v="10"/>
    <n v="5"/>
    <s v="Yes"/>
    <n v="367"/>
    <n v="6130"/>
    <n v="12890"/>
    <n v="0"/>
    <s v="No"/>
    <s v="Major"/>
    <n v="2578"/>
    <n v="1226"/>
    <n v="2024"/>
    <n v="4"/>
  </r>
  <r>
    <s v="SHP-30877"/>
    <d v="2024-07-03T00:00:00"/>
    <x v="2"/>
    <s v="Delhi"/>
    <x v="0"/>
    <x v="1"/>
    <x v="1"/>
    <s v="High"/>
    <n v="3"/>
    <n v="8"/>
    <n v="5"/>
    <s v="Yes"/>
    <n v="397"/>
    <n v="11220"/>
    <n v="18035"/>
    <n v="0"/>
    <s v="No"/>
    <s v="Major"/>
    <n v="3607"/>
    <n v="2244"/>
    <n v="2024"/>
    <n v="7"/>
  </r>
  <r>
    <s v="SHP-30878"/>
    <d v="2024-10-31T00:00:00"/>
    <x v="1"/>
    <s v="Kolkata"/>
    <x v="0"/>
    <x v="1"/>
    <x v="3"/>
    <s v="Medium"/>
    <n v="1"/>
    <n v="1"/>
    <n v="0"/>
    <s v="No"/>
    <n v="423"/>
    <n v="0"/>
    <n v="0"/>
    <n v="1"/>
    <s v="No"/>
    <s v="On Time"/>
    <n v="0"/>
    <n v="0"/>
    <n v="2024"/>
    <n v="10"/>
  </r>
  <r>
    <s v="SHP-30879"/>
    <d v="2024-01-11T00:00:00"/>
    <x v="0"/>
    <s v="Chennai"/>
    <x v="2"/>
    <x v="1"/>
    <x v="1"/>
    <s v="Low"/>
    <n v="1"/>
    <n v="1"/>
    <n v="0"/>
    <s v="No"/>
    <n v="324"/>
    <n v="0"/>
    <n v="0"/>
    <n v="1"/>
    <s v="No"/>
    <s v="On Time"/>
    <n v="0"/>
    <n v="0"/>
    <n v="2024"/>
    <n v="1"/>
  </r>
  <r>
    <s v="SHP-30880"/>
    <d v="2024-09-21T00:00:00"/>
    <x v="2"/>
    <s v="Noida"/>
    <x v="0"/>
    <x v="1"/>
    <x v="0"/>
    <s v="Medium"/>
    <n v="2"/>
    <n v="6"/>
    <n v="4"/>
    <s v="Yes"/>
    <n v="199"/>
    <n v="8972"/>
    <n v="6832"/>
    <n v="0"/>
    <s v="No"/>
    <s v="Major"/>
    <n v="1708"/>
    <n v="2243"/>
    <n v="2024"/>
    <n v="9"/>
  </r>
  <r>
    <s v="SHP-30881"/>
    <d v="2024-05-31T00:00:00"/>
    <x v="0"/>
    <s v="Chennai"/>
    <x v="1"/>
    <x v="0"/>
    <x v="3"/>
    <s v="Medium"/>
    <n v="2"/>
    <n v="6"/>
    <n v="4"/>
    <s v="Yes"/>
    <n v="259"/>
    <n v="7860"/>
    <n v="9420"/>
    <n v="0"/>
    <s v="No"/>
    <s v="Major"/>
    <n v="2355"/>
    <n v="1965"/>
    <n v="2024"/>
    <n v="5"/>
  </r>
  <r>
    <s v="SHP-30882"/>
    <d v="2024-08-07T00:00:00"/>
    <x v="2"/>
    <s v="Noida"/>
    <x v="0"/>
    <x v="1"/>
    <x v="1"/>
    <s v="Low"/>
    <n v="2"/>
    <n v="4"/>
    <n v="2"/>
    <s v="Yes"/>
    <n v="135"/>
    <n v="1794"/>
    <n v="8556"/>
    <n v="0"/>
    <s v="No"/>
    <s v="Minor"/>
    <n v="4278"/>
    <n v="897"/>
    <n v="2024"/>
    <n v="8"/>
  </r>
  <r>
    <s v="SHP-30883"/>
    <d v="2024-11-23T00:00:00"/>
    <x v="3"/>
    <s v="Pune"/>
    <x v="1"/>
    <x v="1"/>
    <x v="0"/>
    <s v="Low"/>
    <n v="2"/>
    <n v="3"/>
    <n v="1"/>
    <s v="Yes"/>
    <n v="121"/>
    <n v="1395"/>
    <n v="1827"/>
    <n v="0"/>
    <s v="No"/>
    <s v="Minor"/>
    <n v="1827"/>
    <n v="1395"/>
    <n v="2024"/>
    <n v="11"/>
  </r>
  <r>
    <s v="SHP-30884"/>
    <d v="2024-02-14T00:00:00"/>
    <x v="1"/>
    <s v="Kolkata"/>
    <x v="0"/>
    <x v="1"/>
    <x v="0"/>
    <s v="High"/>
    <n v="2"/>
    <n v="8"/>
    <n v="6"/>
    <s v="Yes"/>
    <n v="292"/>
    <n v="10266"/>
    <n v="10530"/>
    <n v="0"/>
    <s v="No"/>
    <s v="Severe"/>
    <n v="1755"/>
    <n v="1711"/>
    <n v="2024"/>
    <n v="2"/>
  </r>
  <r>
    <s v="SHP-30885"/>
    <d v="2024-07-30T00:00:00"/>
    <x v="2"/>
    <s v="Noida"/>
    <x v="0"/>
    <x v="1"/>
    <x v="4"/>
    <s v="Low"/>
    <n v="2"/>
    <n v="2"/>
    <n v="0"/>
    <s v="No"/>
    <n v="240"/>
    <n v="0"/>
    <n v="0"/>
    <n v="1"/>
    <s v="No"/>
    <s v="On Time"/>
    <n v="0"/>
    <n v="0"/>
    <n v="2024"/>
    <n v="7"/>
  </r>
  <r>
    <s v="SHP-30886"/>
    <d v="2024-02-14T00:00:00"/>
    <x v="3"/>
    <s v="Pune"/>
    <x v="2"/>
    <x v="1"/>
    <x v="2"/>
    <s v="Medium"/>
    <n v="2"/>
    <n v="2"/>
    <n v="0"/>
    <s v="No"/>
    <n v="310"/>
    <n v="0"/>
    <n v="0"/>
    <n v="1"/>
    <s v="No"/>
    <s v="On Time"/>
    <n v="0"/>
    <n v="0"/>
    <n v="2024"/>
    <n v="2"/>
  </r>
  <r>
    <s v="SHP-30887"/>
    <d v="2024-03-21T00:00:00"/>
    <x v="0"/>
    <s v="Chennai"/>
    <x v="2"/>
    <x v="2"/>
    <x v="4"/>
    <s v="Medium"/>
    <n v="2"/>
    <n v="7"/>
    <n v="5"/>
    <s v="Yes"/>
    <n v="65"/>
    <n v="5460"/>
    <n v="18820"/>
    <n v="0"/>
    <s v="No"/>
    <s v="Major"/>
    <n v="3764"/>
    <n v="1092"/>
    <n v="2024"/>
    <n v="3"/>
  </r>
  <r>
    <s v="SHP-30888"/>
    <d v="2024-11-29T00:00:00"/>
    <x v="2"/>
    <s v="Delhi"/>
    <x v="2"/>
    <x v="0"/>
    <x v="3"/>
    <s v="Low"/>
    <n v="1"/>
    <n v="3"/>
    <n v="2"/>
    <s v="Yes"/>
    <n v="431"/>
    <n v="1682"/>
    <n v="3202"/>
    <n v="0"/>
    <s v="No"/>
    <s v="Minor"/>
    <n v="1601"/>
    <n v="841"/>
    <n v="2024"/>
    <n v="11"/>
  </r>
  <r>
    <s v="SHP-30889"/>
    <d v="2024-09-20T00:00:00"/>
    <x v="3"/>
    <s v="Mumbai"/>
    <x v="0"/>
    <x v="0"/>
    <x v="4"/>
    <s v="Medium"/>
    <n v="1"/>
    <n v="4"/>
    <n v="3"/>
    <s v="Yes"/>
    <n v="190"/>
    <n v="5838"/>
    <n v="8190"/>
    <n v="0"/>
    <s v="No"/>
    <s v="Major"/>
    <n v="2730"/>
    <n v="1946"/>
    <n v="2024"/>
    <n v="9"/>
  </r>
  <r>
    <s v="SHP-30890"/>
    <d v="2024-02-19T00:00:00"/>
    <x v="3"/>
    <s v="Pune"/>
    <x v="1"/>
    <x v="1"/>
    <x v="4"/>
    <s v="Low"/>
    <n v="1"/>
    <n v="4"/>
    <n v="3"/>
    <s v="Yes"/>
    <n v="406"/>
    <n v="4818"/>
    <n v="6630"/>
    <n v="0"/>
    <s v="No"/>
    <s v="Major"/>
    <n v="2210"/>
    <n v="1606"/>
    <n v="2024"/>
    <n v="2"/>
  </r>
  <r>
    <s v="SHP-30891"/>
    <d v="2024-02-22T00:00:00"/>
    <x v="3"/>
    <s v="Mumbai"/>
    <x v="0"/>
    <x v="1"/>
    <x v="0"/>
    <s v="Medium"/>
    <n v="2"/>
    <n v="4"/>
    <n v="2"/>
    <s v="Yes"/>
    <n v="115"/>
    <n v="4892"/>
    <n v="3502"/>
    <n v="0"/>
    <s v="No"/>
    <s v="Minor"/>
    <n v="1751"/>
    <n v="2446"/>
    <n v="2024"/>
    <n v="2"/>
  </r>
  <r>
    <s v="SHP-30892"/>
    <d v="2024-05-18T00:00:00"/>
    <x v="1"/>
    <s v="Bhubaneswar"/>
    <x v="1"/>
    <x v="0"/>
    <x v="0"/>
    <s v="Low"/>
    <n v="1"/>
    <n v="2"/>
    <n v="1"/>
    <s v="Yes"/>
    <n v="265"/>
    <n v="2243"/>
    <n v="3007"/>
    <n v="0"/>
    <s v="No"/>
    <s v="Minor"/>
    <n v="3007"/>
    <n v="2243"/>
    <n v="2024"/>
    <n v="5"/>
  </r>
  <r>
    <s v="SHP-30893"/>
    <d v="2024-08-12T00:00:00"/>
    <x v="2"/>
    <s v="Noida"/>
    <x v="1"/>
    <x v="1"/>
    <x v="4"/>
    <s v="Low"/>
    <n v="2"/>
    <n v="6"/>
    <n v="4"/>
    <s v="Yes"/>
    <n v="54"/>
    <n v="9256"/>
    <n v="7984"/>
    <n v="0"/>
    <s v="No"/>
    <s v="Major"/>
    <n v="1996"/>
    <n v="2314"/>
    <n v="2024"/>
    <n v="8"/>
  </r>
  <r>
    <s v="SHP-30894"/>
    <d v="2024-09-26T00:00:00"/>
    <x v="0"/>
    <s v="Bengaluru"/>
    <x v="1"/>
    <x v="0"/>
    <x v="3"/>
    <s v="Medium"/>
    <n v="1"/>
    <n v="3"/>
    <n v="2"/>
    <s v="Yes"/>
    <n v="234"/>
    <n v="3176"/>
    <n v="3172"/>
    <n v="0"/>
    <s v="No"/>
    <s v="Minor"/>
    <n v="1586"/>
    <n v="1588"/>
    <n v="2024"/>
    <n v="9"/>
  </r>
  <r>
    <s v="SHP-30895"/>
    <d v="2024-02-07T00:00:00"/>
    <x v="0"/>
    <s v="Bengaluru"/>
    <x v="2"/>
    <x v="1"/>
    <x v="2"/>
    <s v="Medium"/>
    <n v="3"/>
    <n v="6"/>
    <n v="3"/>
    <s v="Yes"/>
    <n v="477"/>
    <n v="3891"/>
    <n v="13755"/>
    <n v="0"/>
    <s v="No"/>
    <s v="Major"/>
    <n v="4585"/>
    <n v="1297"/>
    <n v="2024"/>
    <n v="2"/>
  </r>
  <r>
    <s v="SHP-30896"/>
    <d v="2024-07-16T00:00:00"/>
    <x v="3"/>
    <s v="Mumbai"/>
    <x v="2"/>
    <x v="1"/>
    <x v="2"/>
    <s v="Medium"/>
    <n v="3"/>
    <n v="3"/>
    <n v="0"/>
    <s v="No"/>
    <n v="453"/>
    <n v="0"/>
    <n v="0"/>
    <n v="1"/>
    <s v="No"/>
    <s v="On Time"/>
    <n v="0"/>
    <n v="0"/>
    <n v="2024"/>
    <n v="7"/>
  </r>
  <r>
    <s v="SHP-30897"/>
    <d v="2024-04-02T00:00:00"/>
    <x v="3"/>
    <s v="Mumbai"/>
    <x v="2"/>
    <x v="0"/>
    <x v="4"/>
    <s v="Low"/>
    <n v="1"/>
    <n v="5"/>
    <n v="4"/>
    <s v="Yes"/>
    <n v="223"/>
    <n v="3608"/>
    <n v="16800"/>
    <n v="0"/>
    <s v="No"/>
    <s v="Major"/>
    <n v="4200"/>
    <n v="902"/>
    <n v="2024"/>
    <n v="4"/>
  </r>
  <r>
    <s v="SHP-30898"/>
    <d v="2024-11-15T00:00:00"/>
    <x v="2"/>
    <s v="Delhi"/>
    <x v="1"/>
    <x v="1"/>
    <x v="4"/>
    <s v="Low"/>
    <n v="2"/>
    <n v="4"/>
    <n v="2"/>
    <s v="Yes"/>
    <n v="194"/>
    <n v="4402"/>
    <n v="3808"/>
    <n v="0"/>
    <s v="No"/>
    <s v="Minor"/>
    <n v="1904"/>
    <n v="2201"/>
    <n v="2024"/>
    <n v="11"/>
  </r>
  <r>
    <s v="SHP-30899"/>
    <d v="2024-04-19T00:00:00"/>
    <x v="2"/>
    <s v="Delhi"/>
    <x v="1"/>
    <x v="1"/>
    <x v="0"/>
    <s v="Low"/>
    <n v="1"/>
    <n v="1"/>
    <n v="0"/>
    <s v="No"/>
    <n v="103"/>
    <n v="0"/>
    <n v="0"/>
    <n v="1"/>
    <s v="No"/>
    <s v="On Time"/>
    <n v="0"/>
    <n v="0"/>
    <n v="2024"/>
    <n v="4"/>
  </r>
  <r>
    <s v="SHP-30900"/>
    <d v="2024-09-06T00:00:00"/>
    <x v="0"/>
    <s v="Chennai"/>
    <x v="1"/>
    <x v="0"/>
    <x v="1"/>
    <s v="Medium"/>
    <n v="1"/>
    <n v="2"/>
    <n v="1"/>
    <s v="Yes"/>
    <n v="280"/>
    <n v="842"/>
    <n v="4966"/>
    <n v="0"/>
    <s v="No"/>
    <s v="Minor"/>
    <n v="4966"/>
    <n v="842"/>
    <n v="2024"/>
    <n v="9"/>
  </r>
  <r>
    <s v="SHP-30901"/>
    <d v="2024-06-15T00:00:00"/>
    <x v="0"/>
    <s v="Bengaluru"/>
    <x v="0"/>
    <x v="2"/>
    <x v="2"/>
    <s v="High"/>
    <n v="1"/>
    <n v="5"/>
    <n v="4"/>
    <s v="Yes"/>
    <n v="361"/>
    <n v="8688"/>
    <n v="12560"/>
    <n v="0"/>
    <s v="No"/>
    <s v="Major"/>
    <n v="3140"/>
    <n v="2172"/>
    <n v="2024"/>
    <n v="6"/>
  </r>
  <r>
    <s v="SHP-30902"/>
    <d v="2024-07-15T00:00:00"/>
    <x v="2"/>
    <s v="Delhi"/>
    <x v="2"/>
    <x v="2"/>
    <x v="0"/>
    <s v="High"/>
    <n v="5"/>
    <n v="11"/>
    <n v="6"/>
    <s v="Yes"/>
    <n v="268"/>
    <n v="13062"/>
    <n v="11364"/>
    <n v="0"/>
    <s v="No"/>
    <s v="Severe"/>
    <n v="1894"/>
    <n v="2177"/>
    <n v="2024"/>
    <n v="7"/>
  </r>
  <r>
    <s v="SHP-30903"/>
    <d v="2024-02-13T00:00:00"/>
    <x v="3"/>
    <s v="Mumbai"/>
    <x v="0"/>
    <x v="0"/>
    <x v="2"/>
    <s v="Low"/>
    <n v="1"/>
    <n v="2"/>
    <n v="1"/>
    <s v="Yes"/>
    <n v="448"/>
    <n v="1426"/>
    <n v="4585"/>
    <n v="0"/>
    <s v="No"/>
    <s v="Minor"/>
    <n v="4585"/>
    <n v="1426"/>
    <n v="2024"/>
    <n v="2"/>
  </r>
  <r>
    <s v="SHP-30904"/>
    <d v="2024-03-30T00:00:00"/>
    <x v="3"/>
    <s v="Mumbai"/>
    <x v="0"/>
    <x v="1"/>
    <x v="0"/>
    <s v="High"/>
    <n v="2"/>
    <n v="7"/>
    <n v="5"/>
    <s v="Yes"/>
    <n v="298"/>
    <n v="11790"/>
    <n v="9195"/>
    <n v="0"/>
    <s v="No"/>
    <s v="Major"/>
    <n v="1839"/>
    <n v="2358"/>
    <n v="2024"/>
    <n v="3"/>
  </r>
  <r>
    <s v="SHP-30905"/>
    <d v="2024-07-25T00:00:00"/>
    <x v="0"/>
    <s v="Bengaluru"/>
    <x v="2"/>
    <x v="0"/>
    <x v="0"/>
    <s v="High"/>
    <n v="3"/>
    <n v="8"/>
    <n v="5"/>
    <s v="Yes"/>
    <n v="448"/>
    <n v="11475"/>
    <n v="16735"/>
    <n v="0"/>
    <s v="No"/>
    <s v="Major"/>
    <n v="3347"/>
    <n v="2295"/>
    <n v="2024"/>
    <n v="7"/>
  </r>
  <r>
    <s v="SHP-30906"/>
    <d v="2024-03-20T00:00:00"/>
    <x v="2"/>
    <s v="Noida"/>
    <x v="2"/>
    <x v="0"/>
    <x v="3"/>
    <s v="Medium"/>
    <n v="2"/>
    <n v="5"/>
    <n v="3"/>
    <s v="Yes"/>
    <n v="269"/>
    <n v="7341"/>
    <n v="5967"/>
    <n v="0"/>
    <s v="No"/>
    <s v="Major"/>
    <n v="1989"/>
    <n v="2447"/>
    <n v="2024"/>
    <n v="3"/>
  </r>
  <r>
    <s v="SHP-30907"/>
    <d v="2024-01-04T00:00:00"/>
    <x v="2"/>
    <s v="Delhi"/>
    <x v="2"/>
    <x v="2"/>
    <x v="0"/>
    <s v="Low"/>
    <n v="1"/>
    <n v="6"/>
    <n v="5"/>
    <s v="Yes"/>
    <n v="157"/>
    <n v="12275"/>
    <n v="11625"/>
    <n v="0"/>
    <s v="No"/>
    <s v="Major"/>
    <n v="2325"/>
    <n v="2455"/>
    <n v="2024"/>
    <n v="1"/>
  </r>
  <r>
    <s v="SHP-30908"/>
    <d v="2024-07-08T00:00:00"/>
    <x v="2"/>
    <s v="Delhi"/>
    <x v="0"/>
    <x v="0"/>
    <x v="0"/>
    <s v="Medium"/>
    <n v="2"/>
    <n v="3"/>
    <n v="1"/>
    <s v="Yes"/>
    <n v="268"/>
    <n v="1627"/>
    <n v="1836"/>
    <n v="0"/>
    <s v="No"/>
    <s v="Minor"/>
    <n v="1836"/>
    <n v="1627"/>
    <n v="2024"/>
    <n v="7"/>
  </r>
  <r>
    <s v="SHP-30909"/>
    <d v="2024-01-02T00:00:00"/>
    <x v="3"/>
    <s v="Mumbai"/>
    <x v="1"/>
    <x v="0"/>
    <x v="2"/>
    <s v="High"/>
    <n v="3"/>
    <n v="9"/>
    <n v="6"/>
    <s v="Yes"/>
    <n v="208"/>
    <n v="9408"/>
    <n v="21666"/>
    <n v="0"/>
    <s v="No"/>
    <s v="Severe"/>
    <n v="3611"/>
    <n v="1568"/>
    <n v="2024"/>
    <n v="1"/>
  </r>
  <r>
    <s v="SHP-30910"/>
    <d v="2024-10-18T00:00:00"/>
    <x v="2"/>
    <s v="Noida"/>
    <x v="1"/>
    <x v="1"/>
    <x v="2"/>
    <s v="Medium"/>
    <n v="1"/>
    <n v="3"/>
    <n v="2"/>
    <s v="Yes"/>
    <n v="111"/>
    <n v="1722"/>
    <n v="4648"/>
    <n v="0"/>
    <s v="No"/>
    <s v="Minor"/>
    <n v="2324"/>
    <n v="861"/>
    <n v="2024"/>
    <n v="10"/>
  </r>
  <r>
    <s v="SHP-30911"/>
    <d v="2024-07-08T00:00:00"/>
    <x v="3"/>
    <s v="Pune"/>
    <x v="2"/>
    <x v="1"/>
    <x v="0"/>
    <s v="Low"/>
    <n v="2"/>
    <n v="4"/>
    <n v="2"/>
    <s v="Yes"/>
    <n v="362"/>
    <n v="2162"/>
    <n v="7242"/>
    <n v="0"/>
    <s v="No"/>
    <s v="Minor"/>
    <n v="3621"/>
    <n v="1081"/>
    <n v="2024"/>
    <n v="7"/>
  </r>
  <r>
    <s v="SHP-30912"/>
    <d v="2024-10-08T00:00:00"/>
    <x v="0"/>
    <s v="Chennai"/>
    <x v="2"/>
    <x v="1"/>
    <x v="0"/>
    <s v="High"/>
    <n v="2"/>
    <n v="7"/>
    <n v="5"/>
    <s v="Yes"/>
    <n v="334"/>
    <n v="7640"/>
    <n v="9170"/>
    <n v="0"/>
    <s v="No"/>
    <s v="Major"/>
    <n v="1834"/>
    <n v="1528"/>
    <n v="2024"/>
    <n v="10"/>
  </r>
  <r>
    <s v="SHP-30913"/>
    <d v="2024-07-25T00:00:00"/>
    <x v="1"/>
    <s v="Kolkata"/>
    <x v="1"/>
    <x v="0"/>
    <x v="3"/>
    <s v="Low"/>
    <n v="1"/>
    <n v="3"/>
    <n v="2"/>
    <s v="Yes"/>
    <n v="221"/>
    <n v="3142"/>
    <n v="9766"/>
    <n v="0"/>
    <s v="No"/>
    <s v="Minor"/>
    <n v="4883"/>
    <n v="1571"/>
    <n v="2024"/>
    <n v="7"/>
  </r>
  <r>
    <s v="SHP-30914"/>
    <d v="2024-03-26T00:00:00"/>
    <x v="2"/>
    <s v="Delhi"/>
    <x v="2"/>
    <x v="2"/>
    <x v="0"/>
    <s v="Medium"/>
    <n v="3"/>
    <n v="6"/>
    <n v="3"/>
    <s v="Yes"/>
    <n v="94"/>
    <n v="6510"/>
    <n v="8874"/>
    <n v="0"/>
    <s v="No"/>
    <s v="Major"/>
    <n v="2958"/>
    <n v="2170"/>
    <n v="2024"/>
    <n v="3"/>
  </r>
  <r>
    <s v="SHP-30915"/>
    <d v="2024-06-21T00:00:00"/>
    <x v="2"/>
    <s v="Noida"/>
    <x v="1"/>
    <x v="1"/>
    <x v="1"/>
    <s v="High"/>
    <n v="5"/>
    <n v="9"/>
    <n v="4"/>
    <s v="Yes"/>
    <n v="110"/>
    <n v="5520"/>
    <n v="7044"/>
    <n v="0"/>
    <s v="No"/>
    <s v="Major"/>
    <n v="1761"/>
    <n v="1380"/>
    <n v="2024"/>
    <n v="6"/>
  </r>
  <r>
    <s v="SHP-30916"/>
    <d v="2024-02-06T00:00:00"/>
    <x v="0"/>
    <s v="Chennai"/>
    <x v="1"/>
    <x v="1"/>
    <x v="2"/>
    <s v="Medium"/>
    <n v="2"/>
    <n v="2"/>
    <n v="0"/>
    <s v="No"/>
    <n v="417"/>
    <n v="0"/>
    <n v="0"/>
    <n v="1"/>
    <s v="No"/>
    <s v="On Time"/>
    <n v="0"/>
    <n v="0"/>
    <n v="2024"/>
    <n v="2"/>
  </r>
  <r>
    <s v="SHP-30917"/>
    <d v="2024-01-03T00:00:00"/>
    <x v="0"/>
    <s v="Chennai"/>
    <x v="1"/>
    <x v="0"/>
    <x v="1"/>
    <s v="Medium"/>
    <n v="1"/>
    <n v="5"/>
    <n v="4"/>
    <s v="Yes"/>
    <n v="259"/>
    <n v="9056"/>
    <n v="19088"/>
    <n v="0"/>
    <s v="No"/>
    <s v="Major"/>
    <n v="4772"/>
    <n v="2264"/>
    <n v="2024"/>
    <n v="1"/>
  </r>
  <r>
    <s v="SHP-30918"/>
    <d v="2024-10-15T00:00:00"/>
    <x v="1"/>
    <s v="Kolkata"/>
    <x v="0"/>
    <x v="1"/>
    <x v="4"/>
    <s v="Low"/>
    <n v="2"/>
    <n v="4"/>
    <n v="2"/>
    <s v="Yes"/>
    <n v="177"/>
    <n v="3838"/>
    <n v="3808"/>
    <n v="0"/>
    <s v="No"/>
    <s v="Minor"/>
    <n v="1904"/>
    <n v="1919"/>
    <n v="2024"/>
    <n v="10"/>
  </r>
  <r>
    <s v="SHP-30919"/>
    <d v="2024-09-22T00:00:00"/>
    <x v="3"/>
    <s v="Pune"/>
    <x v="1"/>
    <x v="1"/>
    <x v="2"/>
    <s v="Low"/>
    <n v="3"/>
    <n v="4"/>
    <n v="1"/>
    <s v="Yes"/>
    <n v="291"/>
    <n v="1869"/>
    <n v="3531"/>
    <n v="0"/>
    <s v="No"/>
    <s v="Minor"/>
    <n v="3531"/>
    <n v="1869"/>
    <n v="2024"/>
    <n v="9"/>
  </r>
  <r>
    <s v="SHP-30920"/>
    <d v="2024-06-01T00:00:00"/>
    <x v="1"/>
    <s v="Bhubaneswar"/>
    <x v="1"/>
    <x v="1"/>
    <x v="1"/>
    <s v="Low"/>
    <n v="2"/>
    <n v="4"/>
    <n v="2"/>
    <s v="Yes"/>
    <n v="306"/>
    <n v="2826"/>
    <n v="4144"/>
    <n v="0"/>
    <s v="No"/>
    <s v="Minor"/>
    <n v="2072"/>
    <n v="1413"/>
    <n v="2024"/>
    <n v="6"/>
  </r>
  <r>
    <s v="SHP-30921"/>
    <d v="2024-12-16T00:00:00"/>
    <x v="0"/>
    <s v="Chennai"/>
    <x v="2"/>
    <x v="0"/>
    <x v="0"/>
    <s v="Low"/>
    <n v="2"/>
    <n v="7"/>
    <n v="5"/>
    <s v="Yes"/>
    <n v="67"/>
    <n v="7750"/>
    <n v="11895"/>
    <n v="0"/>
    <s v="No"/>
    <s v="Major"/>
    <n v="2379"/>
    <n v="1550"/>
    <n v="2024"/>
    <n v="12"/>
  </r>
  <r>
    <s v="SHP-30922"/>
    <d v="2024-04-16T00:00:00"/>
    <x v="2"/>
    <s v="Noida"/>
    <x v="2"/>
    <x v="1"/>
    <x v="1"/>
    <s v="High"/>
    <n v="2"/>
    <n v="6"/>
    <n v="4"/>
    <s v="Yes"/>
    <n v="280"/>
    <n v="9012"/>
    <n v="9184"/>
    <n v="0"/>
    <s v="No"/>
    <s v="Major"/>
    <n v="2296"/>
    <n v="2253"/>
    <n v="2024"/>
    <n v="4"/>
  </r>
  <r>
    <s v="SHP-30923"/>
    <d v="2024-09-20T00:00:00"/>
    <x v="1"/>
    <s v="Bhubaneswar"/>
    <x v="0"/>
    <x v="2"/>
    <x v="4"/>
    <s v="Medium"/>
    <n v="1"/>
    <n v="8"/>
    <n v="7"/>
    <s v="Yes"/>
    <n v="438"/>
    <n v="15379"/>
    <n v="28910"/>
    <n v="0"/>
    <s v="No"/>
    <s v="Severe"/>
    <n v="4130"/>
    <n v="2197"/>
    <n v="2024"/>
    <n v="9"/>
  </r>
  <r>
    <s v="SHP-30924"/>
    <d v="2024-08-01T00:00:00"/>
    <x v="2"/>
    <s v="Noida"/>
    <x v="1"/>
    <x v="0"/>
    <x v="1"/>
    <s v="High"/>
    <n v="1"/>
    <n v="7"/>
    <n v="6"/>
    <s v="Yes"/>
    <n v="499"/>
    <n v="11904"/>
    <n v="14688"/>
    <n v="0"/>
    <s v="No"/>
    <s v="Severe"/>
    <n v="2448"/>
    <n v="1984"/>
    <n v="2024"/>
    <n v="8"/>
  </r>
  <r>
    <s v="SHP-30925"/>
    <d v="2024-03-27T00:00:00"/>
    <x v="1"/>
    <s v="Kolkata"/>
    <x v="1"/>
    <x v="1"/>
    <x v="0"/>
    <s v="Low"/>
    <n v="3"/>
    <n v="6"/>
    <n v="3"/>
    <s v="Yes"/>
    <n v="413"/>
    <n v="5691"/>
    <n v="5784"/>
    <n v="0"/>
    <s v="No"/>
    <s v="Major"/>
    <n v="1928"/>
    <n v="1897"/>
    <n v="2024"/>
    <n v="3"/>
  </r>
  <r>
    <s v="SHP-30926"/>
    <d v="2024-02-18T00:00:00"/>
    <x v="0"/>
    <s v="Bengaluru"/>
    <x v="2"/>
    <x v="1"/>
    <x v="4"/>
    <s v="Low"/>
    <n v="1"/>
    <n v="4"/>
    <n v="3"/>
    <s v="Yes"/>
    <n v="414"/>
    <n v="6330"/>
    <n v="4821"/>
    <n v="0"/>
    <s v="No"/>
    <s v="Major"/>
    <n v="1607"/>
    <n v="2110"/>
    <n v="2024"/>
    <n v="2"/>
  </r>
  <r>
    <s v="SHP-30927"/>
    <d v="2024-01-08T00:00:00"/>
    <x v="0"/>
    <s v="Chennai"/>
    <x v="2"/>
    <x v="0"/>
    <x v="3"/>
    <s v="Low"/>
    <n v="2"/>
    <n v="7"/>
    <n v="5"/>
    <s v="Yes"/>
    <n v="97"/>
    <n v="5005"/>
    <n v="11510"/>
    <n v="0"/>
    <s v="No"/>
    <s v="Major"/>
    <n v="2302"/>
    <n v="1001"/>
    <n v="2024"/>
    <n v="1"/>
  </r>
  <r>
    <s v="SHP-30928"/>
    <d v="2024-06-08T00:00:00"/>
    <x v="1"/>
    <s v="Bhubaneswar"/>
    <x v="2"/>
    <x v="2"/>
    <x v="2"/>
    <s v="Medium"/>
    <n v="3"/>
    <n v="10"/>
    <n v="7"/>
    <s v="Yes"/>
    <n v="93"/>
    <n v="7434"/>
    <n v="26488"/>
    <n v="0"/>
    <s v="No"/>
    <s v="Severe"/>
    <n v="3784"/>
    <n v="1062"/>
    <n v="2024"/>
    <n v="6"/>
  </r>
  <r>
    <s v="SHP-30929"/>
    <d v="2024-01-01T00:00:00"/>
    <x v="0"/>
    <s v="Bengaluru"/>
    <x v="0"/>
    <x v="0"/>
    <x v="3"/>
    <s v="High"/>
    <n v="1"/>
    <n v="6"/>
    <n v="5"/>
    <s v="Yes"/>
    <n v="299"/>
    <n v="11990"/>
    <n v="9715"/>
    <n v="0"/>
    <s v="No"/>
    <s v="Major"/>
    <n v="1943"/>
    <n v="2398"/>
    <n v="2024"/>
    <n v="1"/>
  </r>
  <r>
    <s v="SHP-30930"/>
    <d v="2024-10-08T00:00:00"/>
    <x v="3"/>
    <s v="Mumbai"/>
    <x v="2"/>
    <x v="2"/>
    <x v="2"/>
    <s v="Low"/>
    <n v="1"/>
    <n v="7"/>
    <n v="6"/>
    <s v="Yes"/>
    <n v="97"/>
    <n v="12828"/>
    <n v="22662"/>
    <n v="0"/>
    <s v="No"/>
    <s v="Severe"/>
    <n v="3777"/>
    <n v="2138"/>
    <n v="2024"/>
    <n v="10"/>
  </r>
  <r>
    <s v="SHP-30931"/>
    <d v="2024-02-17T00:00:00"/>
    <x v="3"/>
    <s v="Pune"/>
    <x v="2"/>
    <x v="2"/>
    <x v="4"/>
    <s v="High"/>
    <n v="2"/>
    <n v="12"/>
    <n v="10"/>
    <s v="Yes"/>
    <n v="136"/>
    <n v="12070"/>
    <n v="27610"/>
    <n v="0"/>
    <s v="No"/>
    <s v="Severe"/>
    <n v="2761"/>
    <n v="1207"/>
    <n v="2024"/>
    <n v="2"/>
  </r>
  <r>
    <s v="SHP-30932"/>
    <d v="2024-07-04T00:00:00"/>
    <x v="0"/>
    <s v="Bengaluru"/>
    <x v="2"/>
    <x v="0"/>
    <x v="1"/>
    <s v="High"/>
    <n v="2"/>
    <n v="7"/>
    <n v="5"/>
    <s v="Yes"/>
    <n v="130"/>
    <n v="5730"/>
    <n v="22105"/>
    <n v="0"/>
    <s v="No"/>
    <s v="Major"/>
    <n v="4421"/>
    <n v="1146"/>
    <n v="2024"/>
    <n v="7"/>
  </r>
  <r>
    <s v="SHP-30933"/>
    <d v="2024-06-15T00:00:00"/>
    <x v="1"/>
    <s v="Kolkata"/>
    <x v="2"/>
    <x v="0"/>
    <x v="4"/>
    <s v="Medium"/>
    <n v="2"/>
    <n v="2"/>
    <n v="0"/>
    <s v="No"/>
    <n v="393"/>
    <n v="0"/>
    <n v="0"/>
    <n v="1"/>
    <s v="No"/>
    <s v="On Time"/>
    <n v="0"/>
    <n v="0"/>
    <n v="2024"/>
    <n v="6"/>
  </r>
  <r>
    <s v="SHP-30934"/>
    <d v="2024-09-23T00:00:00"/>
    <x v="2"/>
    <s v="Delhi"/>
    <x v="2"/>
    <x v="0"/>
    <x v="0"/>
    <s v="Low"/>
    <n v="3"/>
    <n v="5"/>
    <n v="2"/>
    <s v="Yes"/>
    <n v="326"/>
    <n v="4988"/>
    <n v="6464"/>
    <n v="0"/>
    <s v="No"/>
    <s v="Minor"/>
    <n v="3232"/>
    <n v="2494"/>
    <n v="2024"/>
    <n v="9"/>
  </r>
  <r>
    <s v="SHP-30935"/>
    <d v="2024-05-02T00:00:00"/>
    <x v="3"/>
    <s v="Pune"/>
    <x v="1"/>
    <x v="1"/>
    <x v="0"/>
    <s v="Medium"/>
    <n v="2"/>
    <n v="2"/>
    <n v="0"/>
    <s v="No"/>
    <n v="264"/>
    <n v="0"/>
    <n v="0"/>
    <n v="1"/>
    <s v="No"/>
    <s v="On Time"/>
    <n v="0"/>
    <n v="0"/>
    <n v="2024"/>
    <n v="5"/>
  </r>
  <r>
    <s v="SHP-30936"/>
    <d v="2024-01-16T00:00:00"/>
    <x v="2"/>
    <s v="Noida"/>
    <x v="2"/>
    <x v="1"/>
    <x v="4"/>
    <s v="Low"/>
    <n v="5"/>
    <n v="5"/>
    <n v="0"/>
    <s v="No"/>
    <n v="353"/>
    <n v="0"/>
    <n v="0"/>
    <n v="1"/>
    <s v="No"/>
    <s v="On Time"/>
    <n v="0"/>
    <n v="0"/>
    <n v="2024"/>
    <n v="1"/>
  </r>
  <r>
    <s v="SHP-30937"/>
    <d v="2024-05-31T00:00:00"/>
    <x v="0"/>
    <s v="Bengaluru"/>
    <x v="0"/>
    <x v="0"/>
    <x v="1"/>
    <s v="High"/>
    <n v="3"/>
    <n v="6"/>
    <n v="3"/>
    <s v="Yes"/>
    <n v="215"/>
    <n v="5691"/>
    <n v="11211"/>
    <n v="0"/>
    <s v="No"/>
    <s v="Major"/>
    <n v="3737"/>
    <n v="1897"/>
    <n v="2024"/>
    <n v="5"/>
  </r>
  <r>
    <s v="SHP-30938"/>
    <d v="2024-03-27T00:00:00"/>
    <x v="0"/>
    <s v="Chennai"/>
    <x v="0"/>
    <x v="2"/>
    <x v="2"/>
    <s v="Medium"/>
    <n v="1"/>
    <n v="6"/>
    <n v="5"/>
    <s v="Yes"/>
    <n v="304"/>
    <n v="6025"/>
    <n v="11215"/>
    <n v="0"/>
    <s v="No"/>
    <s v="Major"/>
    <n v="2243"/>
    <n v="1205"/>
    <n v="2024"/>
    <n v="3"/>
  </r>
  <r>
    <s v="SHP-30939"/>
    <d v="2024-06-14T00:00:00"/>
    <x v="3"/>
    <s v="Mumbai"/>
    <x v="2"/>
    <x v="2"/>
    <x v="3"/>
    <s v="Low"/>
    <n v="5"/>
    <n v="7"/>
    <n v="2"/>
    <s v="Yes"/>
    <n v="349"/>
    <n v="4208"/>
    <n v="9974"/>
    <n v="0"/>
    <s v="No"/>
    <s v="Minor"/>
    <n v="4987"/>
    <n v="2104"/>
    <n v="2024"/>
    <n v="6"/>
  </r>
  <r>
    <s v="SHP-30940"/>
    <d v="2024-11-30T00:00:00"/>
    <x v="1"/>
    <s v="Kolkata"/>
    <x v="2"/>
    <x v="0"/>
    <x v="3"/>
    <s v="Low"/>
    <n v="5"/>
    <n v="9"/>
    <n v="4"/>
    <s v="Yes"/>
    <n v="327"/>
    <n v="9776"/>
    <n v="15388"/>
    <n v="0"/>
    <s v="No"/>
    <s v="Major"/>
    <n v="3847"/>
    <n v="2444"/>
    <n v="2024"/>
    <n v="11"/>
  </r>
  <r>
    <s v="SHP-30941"/>
    <d v="2024-06-17T00:00:00"/>
    <x v="3"/>
    <s v="Mumbai"/>
    <x v="1"/>
    <x v="1"/>
    <x v="0"/>
    <s v="Low"/>
    <n v="2"/>
    <n v="3"/>
    <n v="1"/>
    <s v="Yes"/>
    <n v="269"/>
    <n v="1546"/>
    <n v="2098"/>
    <n v="0"/>
    <s v="No"/>
    <s v="Minor"/>
    <n v="2098"/>
    <n v="1546"/>
    <n v="2024"/>
    <n v="6"/>
  </r>
  <r>
    <s v="SHP-30942"/>
    <d v="2024-11-23T00:00:00"/>
    <x v="0"/>
    <s v="Chennai"/>
    <x v="2"/>
    <x v="0"/>
    <x v="2"/>
    <s v="Low"/>
    <n v="5"/>
    <n v="5"/>
    <n v="0"/>
    <s v="No"/>
    <n v="430"/>
    <n v="0"/>
    <n v="0"/>
    <n v="1"/>
    <s v="No"/>
    <s v="On Time"/>
    <n v="0"/>
    <n v="0"/>
    <n v="2024"/>
    <n v="11"/>
  </r>
  <r>
    <s v="SHP-30943"/>
    <d v="2024-02-15T00:00:00"/>
    <x v="3"/>
    <s v="Mumbai"/>
    <x v="2"/>
    <x v="1"/>
    <x v="0"/>
    <s v="Low"/>
    <n v="3"/>
    <n v="6"/>
    <n v="3"/>
    <s v="Yes"/>
    <n v="479"/>
    <n v="3309"/>
    <n v="9678"/>
    <n v="0"/>
    <s v="No"/>
    <s v="Major"/>
    <n v="3226"/>
    <n v="1103"/>
    <n v="2024"/>
    <n v="2"/>
  </r>
  <r>
    <s v="SHP-30944"/>
    <d v="2024-11-14T00:00:00"/>
    <x v="0"/>
    <s v="Bengaluru"/>
    <x v="1"/>
    <x v="1"/>
    <x v="4"/>
    <s v="Medium"/>
    <n v="3"/>
    <n v="7"/>
    <n v="4"/>
    <s v="Yes"/>
    <n v="209"/>
    <n v="6924"/>
    <n v="17660"/>
    <n v="0"/>
    <s v="No"/>
    <s v="Major"/>
    <n v="4415"/>
    <n v="1731"/>
    <n v="2024"/>
    <n v="11"/>
  </r>
  <r>
    <s v="SHP-30945"/>
    <d v="2024-06-05T00:00:00"/>
    <x v="1"/>
    <s v="Kolkata"/>
    <x v="0"/>
    <x v="1"/>
    <x v="0"/>
    <s v="Low"/>
    <n v="3"/>
    <n v="3"/>
    <n v="0"/>
    <s v="No"/>
    <n v="409"/>
    <n v="0"/>
    <n v="0"/>
    <n v="1"/>
    <s v="No"/>
    <s v="On Time"/>
    <n v="0"/>
    <n v="0"/>
    <n v="2024"/>
    <n v="6"/>
  </r>
  <r>
    <s v="SHP-30946"/>
    <d v="2024-12-08T00:00:00"/>
    <x v="2"/>
    <s v="Noida"/>
    <x v="2"/>
    <x v="2"/>
    <x v="3"/>
    <s v="Low"/>
    <n v="5"/>
    <n v="11"/>
    <n v="6"/>
    <s v="Yes"/>
    <n v="363"/>
    <n v="10680"/>
    <n v="15972"/>
    <n v="0"/>
    <s v="No"/>
    <s v="Severe"/>
    <n v="2662"/>
    <n v="1780"/>
    <n v="2024"/>
    <n v="12"/>
  </r>
  <r>
    <s v="SHP-30947"/>
    <d v="2024-04-27T00:00:00"/>
    <x v="1"/>
    <s v="Bhubaneswar"/>
    <x v="1"/>
    <x v="2"/>
    <x v="1"/>
    <s v="Low"/>
    <n v="3"/>
    <n v="9"/>
    <n v="6"/>
    <s v="Yes"/>
    <n v="416"/>
    <n v="9798"/>
    <n v="16524"/>
    <n v="0"/>
    <s v="No"/>
    <s v="Severe"/>
    <n v="2754"/>
    <n v="1633"/>
    <n v="2024"/>
    <n v="4"/>
  </r>
  <r>
    <s v="SHP-30948"/>
    <d v="2024-03-12T00:00:00"/>
    <x v="0"/>
    <s v="Bengaluru"/>
    <x v="0"/>
    <x v="0"/>
    <x v="3"/>
    <s v="Medium"/>
    <n v="5"/>
    <n v="7"/>
    <n v="2"/>
    <s v="Yes"/>
    <n v="87"/>
    <n v="4262"/>
    <n v="9716"/>
    <n v="0"/>
    <s v="No"/>
    <s v="Minor"/>
    <n v="4858"/>
    <n v="2131"/>
    <n v="2024"/>
    <n v="3"/>
  </r>
  <r>
    <s v="SHP-30949"/>
    <d v="2024-07-15T00:00:00"/>
    <x v="2"/>
    <s v="Delhi"/>
    <x v="0"/>
    <x v="2"/>
    <x v="2"/>
    <s v="Low"/>
    <n v="1"/>
    <n v="7"/>
    <n v="6"/>
    <s v="Yes"/>
    <n v="329"/>
    <n v="14970"/>
    <n v="29940"/>
    <n v="0"/>
    <s v="No"/>
    <s v="Severe"/>
    <n v="4990"/>
    <n v="2495"/>
    <n v="2024"/>
    <n v="7"/>
  </r>
  <r>
    <s v="SHP-30950"/>
    <d v="2024-11-14T00:00:00"/>
    <x v="1"/>
    <s v="Kolkata"/>
    <x v="2"/>
    <x v="0"/>
    <x v="4"/>
    <s v="Medium"/>
    <n v="3"/>
    <n v="7"/>
    <n v="4"/>
    <s v="Yes"/>
    <n v="213"/>
    <n v="7964"/>
    <n v="12372"/>
    <n v="0"/>
    <s v="No"/>
    <s v="Major"/>
    <n v="3093"/>
    <n v="1991"/>
    <n v="2024"/>
    <n v="11"/>
  </r>
  <r>
    <s v="SHP-30951"/>
    <d v="2024-07-23T00:00:00"/>
    <x v="0"/>
    <s v="Bengaluru"/>
    <x v="2"/>
    <x v="0"/>
    <x v="3"/>
    <s v="Medium"/>
    <n v="3"/>
    <n v="4"/>
    <n v="1"/>
    <s v="Yes"/>
    <n v="386"/>
    <n v="2041"/>
    <n v="2012"/>
    <n v="0"/>
    <s v="No"/>
    <s v="Minor"/>
    <n v="2012"/>
    <n v="2041"/>
    <n v="2024"/>
    <n v="7"/>
  </r>
  <r>
    <s v="SHP-30952"/>
    <d v="2024-08-29T00:00:00"/>
    <x v="3"/>
    <s v="Pune"/>
    <x v="2"/>
    <x v="0"/>
    <x v="3"/>
    <s v="Low"/>
    <n v="2"/>
    <n v="6"/>
    <n v="4"/>
    <s v="Yes"/>
    <n v="220"/>
    <n v="9160"/>
    <n v="16500"/>
    <n v="0"/>
    <s v="No"/>
    <s v="Major"/>
    <n v="4125"/>
    <n v="2290"/>
    <n v="2024"/>
    <n v="8"/>
  </r>
  <r>
    <s v="SHP-30953"/>
    <d v="2024-04-04T00:00:00"/>
    <x v="3"/>
    <s v="Mumbai"/>
    <x v="2"/>
    <x v="2"/>
    <x v="2"/>
    <s v="High"/>
    <n v="2"/>
    <n v="6"/>
    <n v="4"/>
    <s v="Yes"/>
    <n v="251"/>
    <n v="8920"/>
    <n v="14436"/>
    <n v="0"/>
    <s v="No"/>
    <s v="Major"/>
    <n v="3609"/>
    <n v="2230"/>
    <n v="2024"/>
    <n v="4"/>
  </r>
  <r>
    <s v="SHP-30954"/>
    <d v="2024-07-04T00:00:00"/>
    <x v="2"/>
    <s v="Delhi"/>
    <x v="0"/>
    <x v="1"/>
    <x v="2"/>
    <s v="Low"/>
    <n v="2"/>
    <n v="5"/>
    <n v="3"/>
    <s v="Yes"/>
    <n v="233"/>
    <n v="3333"/>
    <n v="8361"/>
    <n v="0"/>
    <s v="No"/>
    <s v="Major"/>
    <n v="2787"/>
    <n v="1111"/>
    <n v="2024"/>
    <n v="7"/>
  </r>
  <r>
    <s v="SHP-30955"/>
    <d v="2024-01-13T00:00:00"/>
    <x v="2"/>
    <s v="Delhi"/>
    <x v="1"/>
    <x v="0"/>
    <x v="1"/>
    <s v="High"/>
    <n v="3"/>
    <n v="11"/>
    <n v="8"/>
    <s v="Yes"/>
    <n v="321"/>
    <n v="14776"/>
    <n v="32288"/>
    <n v="0"/>
    <s v="No"/>
    <s v="Severe"/>
    <n v="4036"/>
    <n v="1847"/>
    <n v="2024"/>
    <n v="1"/>
  </r>
  <r>
    <s v="SHP-30956"/>
    <d v="2024-09-13T00:00:00"/>
    <x v="3"/>
    <s v="Pune"/>
    <x v="2"/>
    <x v="0"/>
    <x v="3"/>
    <s v="Low"/>
    <n v="2"/>
    <n v="4"/>
    <n v="2"/>
    <s v="Yes"/>
    <n v="99"/>
    <n v="3180"/>
    <n v="5592"/>
    <n v="0"/>
    <s v="No"/>
    <s v="Minor"/>
    <n v="2796"/>
    <n v="1590"/>
    <n v="2024"/>
    <n v="9"/>
  </r>
  <r>
    <s v="SHP-30957"/>
    <d v="2024-09-30T00:00:00"/>
    <x v="2"/>
    <s v="Noida"/>
    <x v="0"/>
    <x v="0"/>
    <x v="2"/>
    <s v="High"/>
    <n v="1"/>
    <n v="6"/>
    <n v="5"/>
    <s v="Yes"/>
    <n v="79"/>
    <n v="8845"/>
    <n v="22825"/>
    <n v="0"/>
    <s v="No"/>
    <s v="Major"/>
    <n v="4565"/>
    <n v="1769"/>
    <n v="2024"/>
    <n v="9"/>
  </r>
  <r>
    <s v="SHP-30958"/>
    <d v="2024-11-30T00:00:00"/>
    <x v="0"/>
    <s v="Chennai"/>
    <x v="0"/>
    <x v="0"/>
    <x v="0"/>
    <s v="Low"/>
    <n v="1"/>
    <n v="2"/>
    <n v="1"/>
    <s v="Yes"/>
    <n v="154"/>
    <n v="2007"/>
    <n v="4990"/>
    <n v="0"/>
    <s v="No"/>
    <s v="Minor"/>
    <n v="4990"/>
    <n v="2007"/>
    <n v="2024"/>
    <n v="11"/>
  </r>
  <r>
    <s v="SHP-30959"/>
    <d v="2024-10-31T00:00:00"/>
    <x v="0"/>
    <s v="Chennai"/>
    <x v="0"/>
    <x v="0"/>
    <x v="0"/>
    <s v="Medium"/>
    <n v="2"/>
    <n v="7"/>
    <n v="5"/>
    <s v="Yes"/>
    <n v="161"/>
    <n v="8615"/>
    <n v="12240"/>
    <n v="0"/>
    <s v="No"/>
    <s v="Major"/>
    <n v="2448"/>
    <n v="1723"/>
    <n v="2024"/>
    <n v="10"/>
  </r>
  <r>
    <s v="SHP-30960"/>
    <d v="2024-01-01T00:00:00"/>
    <x v="0"/>
    <s v="Chennai"/>
    <x v="1"/>
    <x v="1"/>
    <x v="4"/>
    <s v="Medium"/>
    <n v="5"/>
    <n v="10"/>
    <n v="5"/>
    <s v="Yes"/>
    <n v="322"/>
    <n v="10655"/>
    <n v="8495"/>
    <n v="0"/>
    <s v="No"/>
    <s v="Major"/>
    <n v="1699"/>
    <n v="2131"/>
    <n v="2024"/>
    <n v="1"/>
  </r>
  <r>
    <s v="SHP-30961"/>
    <d v="2024-07-12T00:00:00"/>
    <x v="0"/>
    <s v="Chennai"/>
    <x v="0"/>
    <x v="2"/>
    <x v="0"/>
    <s v="Medium"/>
    <n v="2"/>
    <n v="8"/>
    <n v="6"/>
    <s v="Yes"/>
    <n v="62"/>
    <n v="8766"/>
    <n v="26676"/>
    <n v="0"/>
    <s v="No"/>
    <s v="Severe"/>
    <n v="4446"/>
    <n v="1461"/>
    <n v="2024"/>
    <n v="7"/>
  </r>
  <r>
    <s v="SHP-30962"/>
    <d v="2024-03-11T00:00:00"/>
    <x v="1"/>
    <s v="Bhubaneswar"/>
    <x v="0"/>
    <x v="1"/>
    <x v="4"/>
    <s v="Low"/>
    <n v="2"/>
    <n v="5"/>
    <n v="3"/>
    <s v="Yes"/>
    <n v="471"/>
    <n v="3156"/>
    <n v="12786"/>
    <n v="0"/>
    <s v="No"/>
    <s v="Major"/>
    <n v="4262"/>
    <n v="1052"/>
    <n v="2024"/>
    <n v="3"/>
  </r>
  <r>
    <s v="SHP-30963"/>
    <d v="2024-04-26T00:00:00"/>
    <x v="1"/>
    <s v="Bhubaneswar"/>
    <x v="2"/>
    <x v="1"/>
    <x v="2"/>
    <s v="High"/>
    <n v="1"/>
    <n v="9"/>
    <n v="8"/>
    <s v="Yes"/>
    <n v="355"/>
    <n v="16584"/>
    <n v="29688"/>
    <n v="0"/>
    <s v="No"/>
    <s v="Severe"/>
    <n v="3711"/>
    <n v="2073"/>
    <n v="2024"/>
    <n v="4"/>
  </r>
  <r>
    <s v="SHP-30964"/>
    <d v="2024-01-03T00:00:00"/>
    <x v="2"/>
    <s v="Delhi"/>
    <x v="1"/>
    <x v="0"/>
    <x v="4"/>
    <s v="Low"/>
    <n v="5"/>
    <n v="9"/>
    <n v="4"/>
    <s v="Yes"/>
    <n v="267"/>
    <n v="5064"/>
    <n v="18576"/>
    <n v="0"/>
    <s v="No"/>
    <s v="Major"/>
    <n v="4644"/>
    <n v="1266"/>
    <n v="2024"/>
    <n v="1"/>
  </r>
  <r>
    <s v="SHP-30965"/>
    <d v="2024-10-17T00:00:00"/>
    <x v="1"/>
    <s v="Kolkata"/>
    <x v="0"/>
    <x v="0"/>
    <x v="2"/>
    <s v="High"/>
    <n v="1"/>
    <n v="9"/>
    <n v="8"/>
    <s v="Yes"/>
    <n v="418"/>
    <n v="9296"/>
    <n v="33376"/>
    <n v="0"/>
    <s v="No"/>
    <s v="Severe"/>
    <n v="4172"/>
    <n v="1162"/>
    <n v="2024"/>
    <n v="10"/>
  </r>
  <r>
    <s v="SHP-30966"/>
    <d v="2024-12-08T00:00:00"/>
    <x v="3"/>
    <s v="Mumbai"/>
    <x v="2"/>
    <x v="0"/>
    <x v="3"/>
    <s v="Low"/>
    <n v="2"/>
    <n v="5"/>
    <n v="3"/>
    <s v="Yes"/>
    <n v="438"/>
    <n v="6315"/>
    <n v="11700"/>
    <n v="0"/>
    <s v="No"/>
    <s v="Major"/>
    <n v="3900"/>
    <n v="2105"/>
    <n v="2024"/>
    <n v="12"/>
  </r>
  <r>
    <s v="SHP-30967"/>
    <d v="2024-05-21T00:00:00"/>
    <x v="0"/>
    <s v="Chennai"/>
    <x v="2"/>
    <x v="0"/>
    <x v="2"/>
    <s v="High"/>
    <n v="2"/>
    <n v="6"/>
    <n v="4"/>
    <s v="Yes"/>
    <n v="202"/>
    <n v="6208"/>
    <n v="7216"/>
    <n v="0"/>
    <s v="No"/>
    <s v="Major"/>
    <n v="1804"/>
    <n v="1552"/>
    <n v="2024"/>
    <n v="5"/>
  </r>
  <r>
    <s v="SHP-30968"/>
    <d v="2024-08-11T00:00:00"/>
    <x v="2"/>
    <s v="Delhi"/>
    <x v="0"/>
    <x v="1"/>
    <x v="2"/>
    <s v="Low"/>
    <n v="2"/>
    <n v="7"/>
    <n v="5"/>
    <s v="Yes"/>
    <n v="433"/>
    <n v="7375"/>
    <n v="20930"/>
    <n v="0"/>
    <s v="No"/>
    <s v="Major"/>
    <n v="4186"/>
    <n v="1475"/>
    <n v="2024"/>
    <n v="8"/>
  </r>
  <r>
    <s v="SHP-30969"/>
    <d v="2024-11-04T00:00:00"/>
    <x v="0"/>
    <s v="Bengaluru"/>
    <x v="2"/>
    <x v="1"/>
    <x v="4"/>
    <s v="Medium"/>
    <n v="1"/>
    <n v="5"/>
    <n v="4"/>
    <s v="Yes"/>
    <n v="209"/>
    <n v="3540"/>
    <n v="18428"/>
    <n v="0"/>
    <s v="No"/>
    <s v="Major"/>
    <n v="4607"/>
    <n v="885"/>
    <n v="2024"/>
    <n v="11"/>
  </r>
  <r>
    <s v="SHP-30970"/>
    <d v="2024-07-25T00:00:00"/>
    <x v="1"/>
    <s v="Kolkata"/>
    <x v="2"/>
    <x v="1"/>
    <x v="0"/>
    <s v="Medium"/>
    <n v="2"/>
    <n v="5"/>
    <n v="3"/>
    <s v="Yes"/>
    <n v="313"/>
    <n v="6300"/>
    <n v="7434"/>
    <n v="0"/>
    <s v="No"/>
    <s v="Major"/>
    <n v="2478"/>
    <n v="2100"/>
    <n v="2024"/>
    <n v="7"/>
  </r>
  <r>
    <s v="SHP-30971"/>
    <d v="2024-07-25T00:00:00"/>
    <x v="1"/>
    <s v="Bhubaneswar"/>
    <x v="2"/>
    <x v="1"/>
    <x v="4"/>
    <s v="High"/>
    <n v="5"/>
    <n v="10"/>
    <n v="5"/>
    <s v="Yes"/>
    <n v="198"/>
    <n v="10255"/>
    <n v="23660"/>
    <n v="0"/>
    <s v="No"/>
    <s v="Major"/>
    <n v="4732"/>
    <n v="2051"/>
    <n v="2024"/>
    <n v="7"/>
  </r>
  <r>
    <s v="SHP-30972"/>
    <d v="2024-09-01T00:00:00"/>
    <x v="2"/>
    <s v="Delhi"/>
    <x v="1"/>
    <x v="1"/>
    <x v="4"/>
    <s v="Medium"/>
    <n v="2"/>
    <n v="6"/>
    <n v="4"/>
    <s v="Yes"/>
    <n v="405"/>
    <n v="9884"/>
    <n v="11088"/>
    <n v="0"/>
    <s v="No"/>
    <s v="Major"/>
    <n v="2772"/>
    <n v="2471"/>
    <n v="2024"/>
    <n v="9"/>
  </r>
  <r>
    <s v="SHP-30973"/>
    <d v="2024-10-13T00:00:00"/>
    <x v="0"/>
    <s v="Chennai"/>
    <x v="0"/>
    <x v="1"/>
    <x v="4"/>
    <s v="Low"/>
    <n v="1"/>
    <n v="2"/>
    <n v="1"/>
    <s v="Yes"/>
    <n v="123"/>
    <n v="1179"/>
    <n v="4324"/>
    <n v="0"/>
    <s v="No"/>
    <s v="Minor"/>
    <n v="4324"/>
    <n v="1179"/>
    <n v="2024"/>
    <n v="10"/>
  </r>
  <r>
    <s v="SHP-30974"/>
    <d v="2024-03-13T00:00:00"/>
    <x v="3"/>
    <s v="Mumbai"/>
    <x v="0"/>
    <x v="1"/>
    <x v="1"/>
    <s v="Low"/>
    <n v="3"/>
    <n v="5"/>
    <n v="2"/>
    <s v="Yes"/>
    <n v="284"/>
    <n v="3084"/>
    <n v="8714"/>
    <n v="0"/>
    <s v="No"/>
    <s v="Minor"/>
    <n v="4357"/>
    <n v="1542"/>
    <n v="2024"/>
    <n v="3"/>
  </r>
  <r>
    <s v="SHP-30975"/>
    <d v="2024-06-21T00:00:00"/>
    <x v="1"/>
    <s v="Bhubaneswar"/>
    <x v="0"/>
    <x v="1"/>
    <x v="0"/>
    <s v="High"/>
    <n v="2"/>
    <n v="7"/>
    <n v="5"/>
    <s v="Yes"/>
    <n v="148"/>
    <n v="10075"/>
    <n v="14550"/>
    <n v="0"/>
    <s v="No"/>
    <s v="Major"/>
    <n v="2910"/>
    <n v="2015"/>
    <n v="2024"/>
    <n v="6"/>
  </r>
  <r>
    <s v="SHP-30976"/>
    <d v="2024-09-04T00:00:00"/>
    <x v="2"/>
    <s v="Noida"/>
    <x v="2"/>
    <x v="0"/>
    <x v="0"/>
    <s v="Medium"/>
    <n v="1"/>
    <n v="3"/>
    <n v="2"/>
    <s v="Yes"/>
    <n v="216"/>
    <n v="3912"/>
    <n v="6038"/>
    <n v="0"/>
    <s v="No"/>
    <s v="Minor"/>
    <n v="3019"/>
    <n v="1956"/>
    <n v="2024"/>
    <n v="9"/>
  </r>
  <r>
    <s v="SHP-30977"/>
    <d v="2024-07-17T00:00:00"/>
    <x v="2"/>
    <s v="Delhi"/>
    <x v="1"/>
    <x v="1"/>
    <x v="1"/>
    <s v="Medium"/>
    <n v="2"/>
    <n v="3"/>
    <n v="1"/>
    <s v="Yes"/>
    <n v="161"/>
    <n v="1093"/>
    <n v="4160"/>
    <n v="0"/>
    <s v="No"/>
    <s v="Minor"/>
    <n v="4160"/>
    <n v="1093"/>
    <n v="2024"/>
    <n v="7"/>
  </r>
  <r>
    <s v="SHP-30978"/>
    <d v="2024-10-31T00:00:00"/>
    <x v="1"/>
    <s v="Kolkata"/>
    <x v="0"/>
    <x v="0"/>
    <x v="3"/>
    <s v="Medium"/>
    <n v="2"/>
    <n v="2"/>
    <n v="0"/>
    <s v="No"/>
    <n v="164"/>
    <n v="0"/>
    <n v="0"/>
    <n v="1"/>
    <s v="No"/>
    <s v="On Time"/>
    <n v="0"/>
    <n v="0"/>
    <n v="2024"/>
    <n v="10"/>
  </r>
  <r>
    <s v="SHP-30979"/>
    <d v="2024-02-10T00:00:00"/>
    <x v="3"/>
    <s v="Mumbai"/>
    <x v="2"/>
    <x v="1"/>
    <x v="1"/>
    <s v="Low"/>
    <n v="3"/>
    <n v="4"/>
    <n v="1"/>
    <s v="Yes"/>
    <n v="180"/>
    <n v="1852"/>
    <n v="4537"/>
    <n v="0"/>
    <s v="No"/>
    <s v="Minor"/>
    <n v="4537"/>
    <n v="1852"/>
    <n v="2024"/>
    <n v="2"/>
  </r>
  <r>
    <s v="SHP-30980"/>
    <d v="2024-06-04T00:00:00"/>
    <x v="0"/>
    <s v="Chennai"/>
    <x v="2"/>
    <x v="2"/>
    <x v="3"/>
    <s v="High"/>
    <n v="2"/>
    <n v="6"/>
    <n v="4"/>
    <s v="Yes"/>
    <n v="288"/>
    <n v="4324"/>
    <n v="14652"/>
    <n v="0"/>
    <s v="No"/>
    <s v="Major"/>
    <n v="3663"/>
    <n v="1081"/>
    <n v="2024"/>
    <n v="6"/>
  </r>
  <r>
    <s v="SHP-30981"/>
    <d v="2024-10-09T00:00:00"/>
    <x v="3"/>
    <s v="Pune"/>
    <x v="0"/>
    <x v="2"/>
    <x v="1"/>
    <s v="Medium"/>
    <n v="1"/>
    <n v="4"/>
    <n v="3"/>
    <s v="Yes"/>
    <n v="338"/>
    <n v="7239"/>
    <n v="4875"/>
    <n v="0"/>
    <s v="No"/>
    <s v="Major"/>
    <n v="1625"/>
    <n v="2413"/>
    <n v="2024"/>
    <n v="10"/>
  </r>
  <r>
    <s v="SHP-30982"/>
    <d v="2024-06-12T00:00:00"/>
    <x v="2"/>
    <s v="Delhi"/>
    <x v="0"/>
    <x v="0"/>
    <x v="1"/>
    <s v="Medium"/>
    <n v="1"/>
    <n v="1"/>
    <n v="0"/>
    <s v="No"/>
    <n v="281"/>
    <n v="0"/>
    <n v="0"/>
    <n v="1"/>
    <s v="No"/>
    <s v="On Time"/>
    <n v="0"/>
    <n v="0"/>
    <n v="2024"/>
    <n v="6"/>
  </r>
  <r>
    <s v="SHP-30983"/>
    <d v="2024-03-19T00:00:00"/>
    <x v="1"/>
    <s v="Bhubaneswar"/>
    <x v="1"/>
    <x v="0"/>
    <x v="4"/>
    <s v="Low"/>
    <n v="2"/>
    <n v="2"/>
    <n v="0"/>
    <s v="No"/>
    <n v="130"/>
    <n v="0"/>
    <n v="0"/>
    <n v="1"/>
    <s v="No"/>
    <s v="On Time"/>
    <n v="0"/>
    <n v="0"/>
    <n v="2024"/>
    <n v="3"/>
  </r>
  <r>
    <s v="SHP-30984"/>
    <d v="2024-08-17T00:00:00"/>
    <x v="2"/>
    <s v="Noida"/>
    <x v="2"/>
    <x v="1"/>
    <x v="4"/>
    <s v="Low"/>
    <n v="3"/>
    <n v="3"/>
    <n v="0"/>
    <s v="No"/>
    <n v="350"/>
    <n v="0"/>
    <n v="0"/>
    <n v="1"/>
    <s v="No"/>
    <s v="On Time"/>
    <n v="0"/>
    <n v="0"/>
    <n v="2024"/>
    <n v="8"/>
  </r>
  <r>
    <s v="SHP-30985"/>
    <d v="2024-08-07T00:00:00"/>
    <x v="2"/>
    <s v="Noida"/>
    <x v="0"/>
    <x v="1"/>
    <x v="3"/>
    <s v="High"/>
    <n v="1"/>
    <n v="6"/>
    <n v="5"/>
    <s v="Yes"/>
    <n v="145"/>
    <n v="12345"/>
    <n v="7945"/>
    <n v="0"/>
    <s v="No"/>
    <s v="Major"/>
    <n v="1589"/>
    <n v="2469"/>
    <n v="2024"/>
    <n v="8"/>
  </r>
  <r>
    <s v="SHP-30986"/>
    <d v="2024-02-03T00:00:00"/>
    <x v="3"/>
    <s v="Pune"/>
    <x v="1"/>
    <x v="0"/>
    <x v="3"/>
    <s v="Low"/>
    <n v="5"/>
    <n v="8"/>
    <n v="3"/>
    <s v="Yes"/>
    <n v="184"/>
    <n v="7257"/>
    <n v="13914"/>
    <n v="0"/>
    <s v="No"/>
    <s v="Major"/>
    <n v="4638"/>
    <n v="2419"/>
    <n v="2024"/>
    <n v="2"/>
  </r>
  <r>
    <s v="SHP-30987"/>
    <d v="2024-06-05T00:00:00"/>
    <x v="3"/>
    <s v="Pune"/>
    <x v="1"/>
    <x v="0"/>
    <x v="2"/>
    <s v="Low"/>
    <n v="3"/>
    <n v="3"/>
    <n v="0"/>
    <s v="No"/>
    <n v="68"/>
    <n v="0"/>
    <n v="0"/>
    <n v="1"/>
    <s v="No"/>
    <s v="On Time"/>
    <n v="0"/>
    <n v="0"/>
    <n v="2024"/>
    <n v="6"/>
  </r>
  <r>
    <s v="SHP-30988"/>
    <d v="2024-04-24T00:00:00"/>
    <x v="1"/>
    <s v="Kolkata"/>
    <x v="1"/>
    <x v="0"/>
    <x v="0"/>
    <s v="Low"/>
    <n v="1"/>
    <n v="3"/>
    <n v="2"/>
    <s v="Yes"/>
    <n v="296"/>
    <n v="4550"/>
    <n v="7174"/>
    <n v="0"/>
    <s v="No"/>
    <s v="Minor"/>
    <n v="3587"/>
    <n v="2275"/>
    <n v="2024"/>
    <n v="4"/>
  </r>
  <r>
    <s v="SHP-30989"/>
    <d v="2024-04-30T00:00:00"/>
    <x v="2"/>
    <s v="Noida"/>
    <x v="0"/>
    <x v="2"/>
    <x v="3"/>
    <s v="Medium"/>
    <n v="2"/>
    <n v="6"/>
    <n v="4"/>
    <s v="Yes"/>
    <n v="151"/>
    <n v="5864"/>
    <n v="11416"/>
    <n v="0"/>
    <s v="No"/>
    <s v="Major"/>
    <n v="2854"/>
    <n v="1466"/>
    <n v="2024"/>
    <n v="4"/>
  </r>
  <r>
    <s v="SHP-30990"/>
    <d v="2024-10-04T00:00:00"/>
    <x v="3"/>
    <s v="Mumbai"/>
    <x v="2"/>
    <x v="0"/>
    <x v="0"/>
    <s v="Low"/>
    <n v="2"/>
    <n v="6"/>
    <n v="4"/>
    <s v="Yes"/>
    <n v="386"/>
    <n v="9764"/>
    <n v="9052"/>
    <n v="0"/>
    <s v="No"/>
    <s v="Major"/>
    <n v="2263"/>
    <n v="2441"/>
    <n v="2024"/>
    <n v="10"/>
  </r>
  <r>
    <s v="SHP-30991"/>
    <d v="2024-07-07T00:00:00"/>
    <x v="2"/>
    <s v="Delhi"/>
    <x v="1"/>
    <x v="1"/>
    <x v="4"/>
    <s v="Medium"/>
    <n v="2"/>
    <n v="2"/>
    <n v="0"/>
    <s v="No"/>
    <n v="238"/>
    <n v="0"/>
    <n v="0"/>
    <n v="1"/>
    <s v="No"/>
    <s v="On Time"/>
    <n v="0"/>
    <n v="0"/>
    <n v="2024"/>
    <n v="7"/>
  </r>
  <r>
    <s v="SHP-30992"/>
    <d v="2024-02-05T00:00:00"/>
    <x v="1"/>
    <s v="Bhubaneswar"/>
    <x v="0"/>
    <x v="1"/>
    <x v="2"/>
    <s v="Low"/>
    <n v="2"/>
    <n v="7"/>
    <n v="5"/>
    <s v="Yes"/>
    <n v="162"/>
    <n v="8730"/>
    <n v="23715"/>
    <n v="0"/>
    <s v="No"/>
    <s v="Major"/>
    <n v="4743"/>
    <n v="1746"/>
    <n v="2024"/>
    <n v="2"/>
  </r>
  <r>
    <s v="SHP-30993"/>
    <d v="2024-05-17T00:00:00"/>
    <x v="0"/>
    <s v="Bengaluru"/>
    <x v="0"/>
    <x v="0"/>
    <x v="4"/>
    <s v="Low"/>
    <n v="5"/>
    <n v="9"/>
    <n v="4"/>
    <s v="Yes"/>
    <n v="442"/>
    <n v="5696"/>
    <n v="13724"/>
    <n v="0"/>
    <s v="No"/>
    <s v="Major"/>
    <n v="3431"/>
    <n v="1424"/>
    <n v="2024"/>
    <n v="5"/>
  </r>
  <r>
    <s v="SHP-30994"/>
    <d v="2024-10-11T00:00:00"/>
    <x v="1"/>
    <s v="Bhubaneswar"/>
    <x v="1"/>
    <x v="2"/>
    <x v="4"/>
    <s v="Low"/>
    <n v="2"/>
    <n v="9"/>
    <n v="7"/>
    <s v="Yes"/>
    <n v="390"/>
    <n v="13881"/>
    <n v="14665"/>
    <n v="0"/>
    <s v="No"/>
    <s v="Severe"/>
    <n v="2095"/>
    <n v="1983"/>
    <n v="2024"/>
    <n v="10"/>
  </r>
  <r>
    <s v="SHP-30995"/>
    <d v="2024-08-21T00:00:00"/>
    <x v="0"/>
    <s v="Chennai"/>
    <x v="0"/>
    <x v="2"/>
    <x v="1"/>
    <s v="Medium"/>
    <n v="2"/>
    <n v="3"/>
    <n v="1"/>
    <s v="Yes"/>
    <n v="104"/>
    <n v="1750"/>
    <n v="2998"/>
    <n v="0"/>
    <s v="No"/>
    <s v="Minor"/>
    <n v="2998"/>
    <n v="1750"/>
    <n v="2024"/>
    <n v="8"/>
  </r>
  <r>
    <s v="SHP-30996"/>
    <d v="2024-07-14T00:00:00"/>
    <x v="1"/>
    <s v="Kolkata"/>
    <x v="1"/>
    <x v="1"/>
    <x v="1"/>
    <s v="Medium"/>
    <n v="3"/>
    <n v="6"/>
    <n v="3"/>
    <s v="Yes"/>
    <n v="253"/>
    <n v="7431"/>
    <n v="7695"/>
    <n v="0"/>
    <s v="No"/>
    <s v="Major"/>
    <n v="2565"/>
    <n v="2477"/>
    <n v="2024"/>
    <n v="7"/>
  </r>
  <r>
    <s v="SHP-30997"/>
    <d v="2024-07-30T00:00:00"/>
    <x v="0"/>
    <s v="Bengaluru"/>
    <x v="0"/>
    <x v="0"/>
    <x v="2"/>
    <s v="High"/>
    <n v="3"/>
    <n v="11"/>
    <n v="8"/>
    <s v="Yes"/>
    <n v="464"/>
    <n v="17216"/>
    <n v="21400"/>
    <n v="0"/>
    <s v="No"/>
    <s v="Severe"/>
    <n v="2675"/>
    <n v="2152"/>
    <n v="2024"/>
    <n v="7"/>
  </r>
  <r>
    <s v="SHP-30998"/>
    <d v="2024-10-22T00:00:00"/>
    <x v="0"/>
    <s v="Chennai"/>
    <x v="2"/>
    <x v="1"/>
    <x v="3"/>
    <s v="Low"/>
    <n v="1"/>
    <n v="2"/>
    <n v="1"/>
    <s v="Yes"/>
    <n v="251"/>
    <n v="1780"/>
    <n v="2560"/>
    <n v="0"/>
    <s v="No"/>
    <s v="Minor"/>
    <n v="2560"/>
    <n v="1780"/>
    <n v="2024"/>
    <n v="10"/>
  </r>
  <r>
    <s v="SHP-30999"/>
    <d v="2024-09-22T00:00:00"/>
    <x v="3"/>
    <s v="Pune"/>
    <x v="2"/>
    <x v="1"/>
    <x v="0"/>
    <s v="Medium"/>
    <n v="3"/>
    <n v="6"/>
    <n v="3"/>
    <s v="Yes"/>
    <n v="104"/>
    <n v="5070"/>
    <n v="10338"/>
    <n v="0"/>
    <s v="No"/>
    <s v="Major"/>
    <n v="3446"/>
    <n v="1690"/>
    <n v="2024"/>
    <n v="9"/>
  </r>
  <r>
    <s v="SHP-31000"/>
    <d v="2024-10-01T00:00:00"/>
    <x v="3"/>
    <s v="Mumbai"/>
    <x v="0"/>
    <x v="1"/>
    <x v="2"/>
    <s v="Medium"/>
    <n v="2"/>
    <n v="7"/>
    <n v="5"/>
    <s v="Yes"/>
    <n v="75"/>
    <n v="11920"/>
    <n v="9675"/>
    <n v="0"/>
    <s v="No"/>
    <s v="Major"/>
    <n v="1935"/>
    <n v="2384"/>
    <n v="2024"/>
    <n v="10"/>
  </r>
  <r>
    <s v="SHP-31001"/>
    <d v="2024-09-12T00:00:00"/>
    <x v="1"/>
    <s v="Kolkata"/>
    <x v="1"/>
    <x v="0"/>
    <x v="4"/>
    <s v="Medium"/>
    <n v="3"/>
    <n v="4"/>
    <n v="1"/>
    <s v="Yes"/>
    <n v="181"/>
    <n v="2222"/>
    <n v="2241"/>
    <n v="0"/>
    <s v="No"/>
    <s v="Minor"/>
    <n v="2241"/>
    <n v="2222"/>
    <n v="2024"/>
    <n v="9"/>
  </r>
  <r>
    <s v="SHP-31002"/>
    <d v="2024-08-19T00:00:00"/>
    <x v="3"/>
    <s v="Mumbai"/>
    <x v="2"/>
    <x v="2"/>
    <x v="2"/>
    <s v="Medium"/>
    <n v="1"/>
    <n v="5"/>
    <n v="4"/>
    <s v="Yes"/>
    <n v="436"/>
    <n v="6792"/>
    <n v="9400"/>
    <n v="0"/>
    <s v="No"/>
    <s v="Major"/>
    <n v="2350"/>
    <n v="1698"/>
    <n v="2024"/>
    <n v="8"/>
  </r>
  <r>
    <s v="SHP-31003"/>
    <d v="2024-07-13T00:00:00"/>
    <x v="2"/>
    <s v="Noida"/>
    <x v="2"/>
    <x v="0"/>
    <x v="2"/>
    <s v="High"/>
    <n v="2"/>
    <n v="10"/>
    <n v="8"/>
    <s v="Yes"/>
    <n v="275"/>
    <n v="17392"/>
    <n v="27776"/>
    <n v="0"/>
    <s v="No"/>
    <s v="Severe"/>
    <n v="3472"/>
    <n v="2174"/>
    <n v="2024"/>
    <n v="7"/>
  </r>
  <r>
    <s v="SHP-31004"/>
    <d v="2024-03-04T00:00:00"/>
    <x v="3"/>
    <s v="Mumbai"/>
    <x v="2"/>
    <x v="0"/>
    <x v="1"/>
    <s v="High"/>
    <n v="3"/>
    <n v="8"/>
    <n v="5"/>
    <s v="Yes"/>
    <n v="154"/>
    <n v="8485"/>
    <n v="17925"/>
    <n v="0"/>
    <s v="No"/>
    <s v="Major"/>
    <n v="3585"/>
    <n v="1697"/>
    <n v="2024"/>
    <n v="3"/>
  </r>
  <r>
    <s v="SHP-31005"/>
    <d v="2024-09-25T00:00:00"/>
    <x v="3"/>
    <s v="Pune"/>
    <x v="2"/>
    <x v="0"/>
    <x v="1"/>
    <s v="Low"/>
    <n v="3"/>
    <n v="5"/>
    <n v="2"/>
    <s v="Yes"/>
    <n v="389"/>
    <n v="4930"/>
    <n v="4652"/>
    <n v="0"/>
    <s v="No"/>
    <s v="Minor"/>
    <n v="2326"/>
    <n v="2465"/>
    <n v="2024"/>
    <n v="9"/>
  </r>
  <r>
    <s v="SHP-31006"/>
    <d v="2024-08-17T00:00:00"/>
    <x v="0"/>
    <s v="Chennai"/>
    <x v="0"/>
    <x v="0"/>
    <x v="4"/>
    <s v="Medium"/>
    <n v="1"/>
    <n v="3"/>
    <n v="2"/>
    <s v="Yes"/>
    <n v="391"/>
    <n v="3378"/>
    <n v="4072"/>
    <n v="0"/>
    <s v="No"/>
    <s v="Minor"/>
    <n v="2036"/>
    <n v="1689"/>
    <n v="2024"/>
    <n v="8"/>
  </r>
  <r>
    <s v="SHP-31007"/>
    <d v="2024-07-14T00:00:00"/>
    <x v="2"/>
    <s v="Delhi"/>
    <x v="0"/>
    <x v="2"/>
    <x v="0"/>
    <s v="High"/>
    <n v="1"/>
    <n v="9"/>
    <n v="8"/>
    <s v="Yes"/>
    <n v="206"/>
    <n v="8192"/>
    <n v="36872"/>
    <n v="0"/>
    <s v="No"/>
    <s v="Severe"/>
    <n v="4609"/>
    <n v="1024"/>
    <n v="2024"/>
    <n v="7"/>
  </r>
  <r>
    <s v="SHP-31008"/>
    <d v="2024-08-26T00:00:00"/>
    <x v="1"/>
    <s v="Bhubaneswar"/>
    <x v="2"/>
    <x v="1"/>
    <x v="4"/>
    <s v="Low"/>
    <n v="1"/>
    <n v="6"/>
    <n v="5"/>
    <s v="Yes"/>
    <n v="389"/>
    <n v="9550"/>
    <n v="14745"/>
    <n v="0"/>
    <s v="No"/>
    <s v="Major"/>
    <n v="2949"/>
    <n v="1910"/>
    <n v="2024"/>
    <n v="8"/>
  </r>
  <r>
    <s v="SHP-31009"/>
    <d v="2024-05-08T00:00:00"/>
    <x v="2"/>
    <s v="Delhi"/>
    <x v="2"/>
    <x v="1"/>
    <x v="2"/>
    <s v="Medium"/>
    <n v="1"/>
    <n v="6"/>
    <n v="5"/>
    <s v="Yes"/>
    <n v="254"/>
    <n v="5340"/>
    <n v="11490"/>
    <n v="0"/>
    <s v="No"/>
    <s v="Major"/>
    <n v="2298"/>
    <n v="1068"/>
    <n v="2024"/>
    <n v="5"/>
  </r>
  <r>
    <s v="SHP-31010"/>
    <d v="2024-09-09T00:00:00"/>
    <x v="0"/>
    <s v="Chennai"/>
    <x v="2"/>
    <x v="1"/>
    <x v="2"/>
    <s v="Low"/>
    <n v="2"/>
    <n v="7"/>
    <n v="5"/>
    <s v="Yes"/>
    <n v="386"/>
    <n v="10105"/>
    <n v="13255"/>
    <n v="0"/>
    <s v="No"/>
    <s v="Major"/>
    <n v="2651"/>
    <n v="2021"/>
    <n v="2024"/>
    <n v="9"/>
  </r>
  <r>
    <s v="SHP-31011"/>
    <d v="2024-10-20T00:00:00"/>
    <x v="3"/>
    <s v="Pune"/>
    <x v="2"/>
    <x v="0"/>
    <x v="2"/>
    <s v="High"/>
    <n v="1"/>
    <n v="3"/>
    <n v="2"/>
    <s v="Yes"/>
    <n v="313"/>
    <n v="4860"/>
    <n v="9534"/>
    <n v="0"/>
    <s v="No"/>
    <s v="Minor"/>
    <n v="4767"/>
    <n v="2430"/>
    <n v="2024"/>
    <n v="10"/>
  </r>
  <r>
    <s v="SHP-31012"/>
    <d v="2024-01-09T00:00:00"/>
    <x v="2"/>
    <s v="Noida"/>
    <x v="1"/>
    <x v="2"/>
    <x v="1"/>
    <s v="Medium"/>
    <n v="1"/>
    <n v="6"/>
    <n v="5"/>
    <s v="Yes"/>
    <n v="337"/>
    <n v="4790"/>
    <n v="9125"/>
    <n v="0"/>
    <s v="No"/>
    <s v="Major"/>
    <n v="1825"/>
    <n v="958"/>
    <n v="2024"/>
    <n v="1"/>
  </r>
  <r>
    <s v="SHP-31013"/>
    <d v="2024-03-02T00:00:00"/>
    <x v="0"/>
    <s v="Bengaluru"/>
    <x v="1"/>
    <x v="1"/>
    <x v="2"/>
    <s v="Low"/>
    <n v="5"/>
    <n v="8"/>
    <n v="3"/>
    <s v="Yes"/>
    <n v="295"/>
    <n v="7329"/>
    <n v="6180"/>
    <n v="0"/>
    <s v="No"/>
    <s v="Major"/>
    <n v="2060"/>
    <n v="2443"/>
    <n v="2024"/>
    <n v="3"/>
  </r>
  <r>
    <s v="SHP-31014"/>
    <d v="2024-06-19T00:00:00"/>
    <x v="0"/>
    <s v="Chennai"/>
    <x v="2"/>
    <x v="1"/>
    <x v="3"/>
    <s v="Medium"/>
    <n v="2"/>
    <n v="4"/>
    <n v="2"/>
    <s v="Yes"/>
    <n v="493"/>
    <n v="4848"/>
    <n v="6738"/>
    <n v="0"/>
    <s v="No"/>
    <s v="Minor"/>
    <n v="3369"/>
    <n v="2424"/>
    <n v="2024"/>
    <n v="6"/>
  </r>
  <r>
    <s v="SHP-31015"/>
    <d v="2024-08-24T00:00:00"/>
    <x v="1"/>
    <s v="Kolkata"/>
    <x v="1"/>
    <x v="1"/>
    <x v="4"/>
    <s v="Low"/>
    <n v="2"/>
    <n v="4"/>
    <n v="2"/>
    <s v="Yes"/>
    <n v="224"/>
    <n v="2492"/>
    <n v="8566"/>
    <n v="0"/>
    <s v="No"/>
    <s v="Minor"/>
    <n v="4283"/>
    <n v="1246"/>
    <n v="2024"/>
    <n v="8"/>
  </r>
  <r>
    <s v="SHP-31016"/>
    <d v="2024-11-09T00:00:00"/>
    <x v="1"/>
    <s v="Kolkata"/>
    <x v="0"/>
    <x v="1"/>
    <x v="0"/>
    <s v="Low"/>
    <n v="3"/>
    <n v="7"/>
    <n v="4"/>
    <s v="Yes"/>
    <n v="256"/>
    <n v="9864"/>
    <n v="10308"/>
    <n v="0"/>
    <s v="No"/>
    <s v="Major"/>
    <n v="2577"/>
    <n v="2466"/>
    <n v="2024"/>
    <n v="11"/>
  </r>
  <r>
    <s v="SHP-31017"/>
    <d v="2024-12-19T00:00:00"/>
    <x v="0"/>
    <s v="Chennai"/>
    <x v="1"/>
    <x v="0"/>
    <x v="4"/>
    <s v="Low"/>
    <n v="1"/>
    <n v="2"/>
    <n v="1"/>
    <s v="Yes"/>
    <n v="450"/>
    <n v="1036"/>
    <n v="3856"/>
    <n v="0"/>
    <s v="No"/>
    <s v="Minor"/>
    <n v="3856"/>
    <n v="1036"/>
    <n v="2024"/>
    <n v="12"/>
  </r>
  <r>
    <s v="SHP-31018"/>
    <d v="2024-05-09T00:00:00"/>
    <x v="1"/>
    <s v="Kolkata"/>
    <x v="2"/>
    <x v="0"/>
    <x v="2"/>
    <s v="Medium"/>
    <n v="2"/>
    <n v="6"/>
    <n v="4"/>
    <s v="Yes"/>
    <n v="59"/>
    <n v="9900"/>
    <n v="6348"/>
    <n v="0"/>
    <s v="No"/>
    <s v="Major"/>
    <n v="1587"/>
    <n v="2475"/>
    <n v="2024"/>
    <n v="5"/>
  </r>
  <r>
    <s v="SHP-31019"/>
    <d v="2024-12-25T00:00:00"/>
    <x v="0"/>
    <s v="Chennai"/>
    <x v="1"/>
    <x v="0"/>
    <x v="1"/>
    <s v="Medium"/>
    <n v="1"/>
    <n v="5"/>
    <n v="4"/>
    <s v="Yes"/>
    <n v="285"/>
    <n v="9336"/>
    <n v="9024"/>
    <n v="0"/>
    <s v="No"/>
    <s v="Major"/>
    <n v="2256"/>
    <n v="2334"/>
    <n v="2024"/>
    <n v="12"/>
  </r>
  <r>
    <s v="SHP-31020"/>
    <d v="2024-01-21T00:00:00"/>
    <x v="0"/>
    <s v="Bengaluru"/>
    <x v="1"/>
    <x v="0"/>
    <x v="3"/>
    <s v="Low"/>
    <n v="1"/>
    <n v="6"/>
    <n v="5"/>
    <s v="Yes"/>
    <n v="355"/>
    <n v="4720"/>
    <n v="18885"/>
    <n v="0"/>
    <s v="No"/>
    <s v="Major"/>
    <n v="3777"/>
    <n v="944"/>
    <n v="2024"/>
    <n v="1"/>
  </r>
  <r>
    <s v="SHP-31021"/>
    <d v="2024-06-12T00:00:00"/>
    <x v="2"/>
    <s v="Noida"/>
    <x v="2"/>
    <x v="1"/>
    <x v="1"/>
    <s v="Medium"/>
    <n v="3"/>
    <n v="5"/>
    <n v="2"/>
    <s v="Yes"/>
    <n v="122"/>
    <n v="4414"/>
    <n v="3964"/>
    <n v="0"/>
    <s v="No"/>
    <s v="Minor"/>
    <n v="1982"/>
    <n v="2207"/>
    <n v="2024"/>
    <n v="6"/>
  </r>
  <r>
    <s v="SHP-31022"/>
    <d v="2024-11-27T00:00:00"/>
    <x v="2"/>
    <s v="Delhi"/>
    <x v="2"/>
    <x v="1"/>
    <x v="0"/>
    <s v="Medium"/>
    <n v="3"/>
    <n v="4"/>
    <n v="1"/>
    <s v="Yes"/>
    <n v="188"/>
    <n v="1276"/>
    <n v="3716"/>
    <n v="0"/>
    <s v="No"/>
    <s v="Minor"/>
    <n v="3716"/>
    <n v="1276"/>
    <n v="2024"/>
    <n v="11"/>
  </r>
  <r>
    <s v="SHP-31023"/>
    <d v="2024-10-29T00:00:00"/>
    <x v="3"/>
    <s v="Pune"/>
    <x v="1"/>
    <x v="1"/>
    <x v="4"/>
    <s v="Medium"/>
    <n v="2"/>
    <n v="3"/>
    <n v="1"/>
    <s v="Yes"/>
    <n v="330"/>
    <n v="1883"/>
    <n v="1548"/>
    <n v="0"/>
    <s v="No"/>
    <s v="Minor"/>
    <n v="1548"/>
    <n v="1883"/>
    <n v="2024"/>
    <n v="10"/>
  </r>
  <r>
    <s v="SHP-31024"/>
    <d v="2024-09-24T00:00:00"/>
    <x v="2"/>
    <s v="Noida"/>
    <x v="2"/>
    <x v="0"/>
    <x v="4"/>
    <s v="Low"/>
    <n v="2"/>
    <n v="4"/>
    <n v="2"/>
    <s v="Yes"/>
    <n v="331"/>
    <n v="2912"/>
    <n v="8780"/>
    <n v="0"/>
    <s v="No"/>
    <s v="Minor"/>
    <n v="4390"/>
    <n v="1456"/>
    <n v="2024"/>
    <n v="9"/>
  </r>
  <r>
    <s v="SHP-31025"/>
    <d v="2024-01-13T00:00:00"/>
    <x v="3"/>
    <s v="Mumbai"/>
    <x v="0"/>
    <x v="1"/>
    <x v="1"/>
    <s v="Low"/>
    <n v="2"/>
    <n v="4"/>
    <n v="2"/>
    <s v="Yes"/>
    <n v="332"/>
    <n v="4660"/>
    <n v="9502"/>
    <n v="0"/>
    <s v="No"/>
    <s v="Minor"/>
    <n v="4751"/>
    <n v="2330"/>
    <n v="2024"/>
    <n v="1"/>
  </r>
  <r>
    <s v="SHP-31026"/>
    <d v="2024-09-03T00:00:00"/>
    <x v="0"/>
    <s v="Chennai"/>
    <x v="2"/>
    <x v="1"/>
    <x v="2"/>
    <s v="Medium"/>
    <n v="1"/>
    <n v="6"/>
    <n v="5"/>
    <s v="Yes"/>
    <n v="479"/>
    <n v="12435"/>
    <n v="21420"/>
    <n v="0"/>
    <s v="No"/>
    <s v="Major"/>
    <n v="4284"/>
    <n v="2487"/>
    <n v="2024"/>
    <n v="9"/>
  </r>
  <r>
    <s v="SHP-31027"/>
    <d v="2024-04-10T00:00:00"/>
    <x v="3"/>
    <s v="Pune"/>
    <x v="1"/>
    <x v="0"/>
    <x v="2"/>
    <s v="Low"/>
    <n v="2"/>
    <n v="4"/>
    <n v="2"/>
    <s v="Yes"/>
    <n v="488"/>
    <n v="4408"/>
    <n v="5028"/>
    <n v="0"/>
    <s v="No"/>
    <s v="Minor"/>
    <n v="2514"/>
    <n v="2204"/>
    <n v="2024"/>
    <n v="4"/>
  </r>
  <r>
    <s v="SHP-31028"/>
    <d v="2024-02-05T00:00:00"/>
    <x v="1"/>
    <s v="Kolkata"/>
    <x v="2"/>
    <x v="0"/>
    <x v="4"/>
    <s v="Low"/>
    <n v="5"/>
    <n v="8"/>
    <n v="3"/>
    <s v="Yes"/>
    <n v="249"/>
    <n v="6474"/>
    <n v="11160"/>
    <n v="0"/>
    <s v="No"/>
    <s v="Major"/>
    <n v="3720"/>
    <n v="2158"/>
    <n v="2024"/>
    <n v="2"/>
  </r>
  <r>
    <s v="SHP-31029"/>
    <d v="2024-02-18T00:00:00"/>
    <x v="1"/>
    <s v="Kolkata"/>
    <x v="1"/>
    <x v="2"/>
    <x v="3"/>
    <s v="Medium"/>
    <n v="2"/>
    <n v="6"/>
    <n v="4"/>
    <s v="Yes"/>
    <n v="308"/>
    <n v="6212"/>
    <n v="8112"/>
    <n v="0"/>
    <s v="No"/>
    <s v="Major"/>
    <n v="2028"/>
    <n v="1553"/>
    <n v="2024"/>
    <n v="2"/>
  </r>
  <r>
    <s v="SHP-31030"/>
    <d v="2024-09-01T00:00:00"/>
    <x v="0"/>
    <s v="Bengaluru"/>
    <x v="0"/>
    <x v="1"/>
    <x v="3"/>
    <s v="Low"/>
    <n v="1"/>
    <n v="1"/>
    <n v="0"/>
    <s v="No"/>
    <n v="381"/>
    <n v="0"/>
    <n v="0"/>
    <n v="1"/>
    <s v="No"/>
    <s v="On Time"/>
    <n v="0"/>
    <n v="0"/>
    <n v="2024"/>
    <n v="9"/>
  </r>
  <r>
    <s v="SHP-31031"/>
    <d v="2024-12-11T00:00:00"/>
    <x v="0"/>
    <s v="Bengaluru"/>
    <x v="0"/>
    <x v="1"/>
    <x v="0"/>
    <s v="High"/>
    <n v="2"/>
    <n v="5"/>
    <n v="3"/>
    <s v="Yes"/>
    <n v="176"/>
    <n v="6279"/>
    <n v="7407"/>
    <n v="0"/>
    <s v="No"/>
    <s v="Major"/>
    <n v="2469"/>
    <n v="2093"/>
    <n v="2024"/>
    <n v="12"/>
  </r>
  <r>
    <s v="SHP-31032"/>
    <d v="2024-10-19T00:00:00"/>
    <x v="2"/>
    <s v="Noida"/>
    <x v="2"/>
    <x v="0"/>
    <x v="4"/>
    <s v="Medium"/>
    <n v="3"/>
    <n v="8"/>
    <n v="5"/>
    <s v="Yes"/>
    <n v="394"/>
    <n v="11115"/>
    <n v="14695"/>
    <n v="0"/>
    <s v="No"/>
    <s v="Major"/>
    <n v="2939"/>
    <n v="2223"/>
    <n v="2024"/>
    <n v="10"/>
  </r>
  <r>
    <s v="SHP-31033"/>
    <d v="2024-05-13T00:00:00"/>
    <x v="0"/>
    <s v="Chennai"/>
    <x v="1"/>
    <x v="0"/>
    <x v="4"/>
    <s v="Medium"/>
    <n v="2"/>
    <n v="2"/>
    <n v="0"/>
    <s v="No"/>
    <n v="348"/>
    <n v="0"/>
    <n v="0"/>
    <n v="1"/>
    <s v="No"/>
    <s v="On Time"/>
    <n v="0"/>
    <n v="0"/>
    <n v="2024"/>
    <n v="5"/>
  </r>
  <r>
    <s v="SHP-31034"/>
    <d v="2024-12-29T00:00:00"/>
    <x v="0"/>
    <s v="Chennai"/>
    <x v="2"/>
    <x v="1"/>
    <x v="4"/>
    <s v="Medium"/>
    <n v="1"/>
    <n v="5"/>
    <n v="4"/>
    <s v="Yes"/>
    <n v="443"/>
    <n v="4352"/>
    <n v="6060"/>
    <n v="0"/>
    <s v="No"/>
    <s v="Major"/>
    <n v="1515"/>
    <n v="1088"/>
    <n v="2024"/>
    <n v="12"/>
  </r>
  <r>
    <s v="SHP-31035"/>
    <d v="2024-01-18T00:00:00"/>
    <x v="0"/>
    <s v="Chennai"/>
    <x v="2"/>
    <x v="2"/>
    <x v="2"/>
    <s v="Low"/>
    <n v="3"/>
    <n v="10"/>
    <n v="7"/>
    <s v="Yes"/>
    <n v="259"/>
    <n v="13986"/>
    <n v="24248"/>
    <n v="0"/>
    <s v="No"/>
    <s v="Severe"/>
    <n v="3464"/>
    <n v="1998"/>
    <n v="2024"/>
    <n v="1"/>
  </r>
  <r>
    <s v="SHP-31036"/>
    <d v="2024-01-25T00:00:00"/>
    <x v="2"/>
    <s v="Noida"/>
    <x v="0"/>
    <x v="1"/>
    <x v="2"/>
    <s v="Low"/>
    <n v="3"/>
    <n v="5"/>
    <n v="2"/>
    <s v="Yes"/>
    <n v="169"/>
    <n v="2176"/>
    <n v="7342"/>
    <n v="0"/>
    <s v="No"/>
    <s v="Minor"/>
    <n v="3671"/>
    <n v="1088"/>
    <n v="2024"/>
    <n v="1"/>
  </r>
  <r>
    <s v="SHP-31037"/>
    <d v="2024-12-26T00:00:00"/>
    <x v="1"/>
    <s v="Kolkata"/>
    <x v="0"/>
    <x v="1"/>
    <x v="3"/>
    <s v="Low"/>
    <n v="2"/>
    <n v="7"/>
    <n v="5"/>
    <s v="Yes"/>
    <n v="235"/>
    <n v="4595"/>
    <n v="24605"/>
    <n v="0"/>
    <s v="No"/>
    <s v="Major"/>
    <n v="4921"/>
    <n v="919"/>
    <n v="2024"/>
    <n v="12"/>
  </r>
  <r>
    <s v="SHP-31038"/>
    <d v="2024-05-19T00:00:00"/>
    <x v="3"/>
    <s v="Pune"/>
    <x v="0"/>
    <x v="1"/>
    <x v="2"/>
    <s v="High"/>
    <n v="3"/>
    <n v="10"/>
    <n v="7"/>
    <s v="Yes"/>
    <n v="326"/>
    <n v="12908"/>
    <n v="33551"/>
    <n v="0"/>
    <s v="No"/>
    <s v="Severe"/>
    <n v="4793"/>
    <n v="1844"/>
    <n v="2024"/>
    <n v="5"/>
  </r>
  <r>
    <s v="SHP-31039"/>
    <d v="2024-08-26T00:00:00"/>
    <x v="3"/>
    <s v="Pune"/>
    <x v="1"/>
    <x v="0"/>
    <x v="2"/>
    <s v="Low"/>
    <n v="1"/>
    <n v="6"/>
    <n v="5"/>
    <s v="Yes"/>
    <n v="318"/>
    <n v="9300"/>
    <n v="8815"/>
    <n v="0"/>
    <s v="No"/>
    <s v="Major"/>
    <n v="1763"/>
    <n v="1860"/>
    <n v="2024"/>
    <n v="8"/>
  </r>
  <r>
    <s v="SHP-31040"/>
    <d v="2024-08-24T00:00:00"/>
    <x v="1"/>
    <s v="Bhubaneswar"/>
    <x v="2"/>
    <x v="1"/>
    <x v="0"/>
    <s v="Medium"/>
    <n v="3"/>
    <n v="5"/>
    <n v="2"/>
    <s v="Yes"/>
    <n v="293"/>
    <n v="4028"/>
    <n v="3082"/>
    <n v="0"/>
    <s v="No"/>
    <s v="Minor"/>
    <n v="1541"/>
    <n v="2014"/>
    <n v="2024"/>
    <n v="8"/>
  </r>
  <r>
    <s v="SHP-31041"/>
    <d v="2024-07-29T00:00:00"/>
    <x v="3"/>
    <s v="Mumbai"/>
    <x v="0"/>
    <x v="1"/>
    <x v="4"/>
    <s v="Medium"/>
    <n v="2"/>
    <n v="2"/>
    <n v="0"/>
    <s v="No"/>
    <n v="404"/>
    <n v="0"/>
    <n v="0"/>
    <n v="1"/>
    <s v="No"/>
    <s v="On Time"/>
    <n v="0"/>
    <n v="0"/>
    <n v="2024"/>
    <n v="7"/>
  </r>
  <r>
    <s v="SHP-31042"/>
    <d v="2024-08-15T00:00:00"/>
    <x v="0"/>
    <s v="Chennai"/>
    <x v="2"/>
    <x v="1"/>
    <x v="0"/>
    <s v="Low"/>
    <n v="1"/>
    <n v="5"/>
    <n v="4"/>
    <s v="Yes"/>
    <n v="64"/>
    <n v="5768"/>
    <n v="18944"/>
    <n v="0"/>
    <s v="No"/>
    <s v="Major"/>
    <n v="4736"/>
    <n v="1442"/>
    <n v="2024"/>
    <n v="8"/>
  </r>
  <r>
    <s v="SHP-31043"/>
    <d v="2024-05-18T00:00:00"/>
    <x v="3"/>
    <s v="Pune"/>
    <x v="0"/>
    <x v="0"/>
    <x v="0"/>
    <s v="Medium"/>
    <n v="2"/>
    <n v="5"/>
    <n v="3"/>
    <s v="Yes"/>
    <n v="121"/>
    <n v="6000"/>
    <n v="10662"/>
    <n v="0"/>
    <s v="No"/>
    <s v="Major"/>
    <n v="3554"/>
    <n v="2000"/>
    <n v="2024"/>
    <n v="5"/>
  </r>
  <r>
    <s v="SHP-31044"/>
    <d v="2024-04-12T00:00:00"/>
    <x v="1"/>
    <s v="Bhubaneswar"/>
    <x v="1"/>
    <x v="2"/>
    <x v="1"/>
    <s v="Low"/>
    <n v="2"/>
    <n v="4"/>
    <n v="2"/>
    <s v="Yes"/>
    <n v="471"/>
    <n v="1840"/>
    <n v="9054"/>
    <n v="0"/>
    <s v="No"/>
    <s v="Minor"/>
    <n v="4527"/>
    <n v="920"/>
    <n v="2024"/>
    <n v="4"/>
  </r>
  <r>
    <s v="SHP-31045"/>
    <d v="2024-11-20T00:00:00"/>
    <x v="0"/>
    <s v="Chennai"/>
    <x v="0"/>
    <x v="1"/>
    <x v="4"/>
    <s v="Low"/>
    <n v="1"/>
    <n v="3"/>
    <n v="2"/>
    <s v="Yes"/>
    <n v="294"/>
    <n v="4096"/>
    <n v="9344"/>
    <n v="0"/>
    <s v="No"/>
    <s v="Minor"/>
    <n v="4672"/>
    <n v="2048"/>
    <n v="2024"/>
    <n v="11"/>
  </r>
  <r>
    <s v="SHP-31046"/>
    <d v="2024-03-22T00:00:00"/>
    <x v="2"/>
    <s v="Noida"/>
    <x v="1"/>
    <x v="2"/>
    <x v="4"/>
    <s v="High"/>
    <n v="2"/>
    <n v="9"/>
    <n v="7"/>
    <s v="Yes"/>
    <n v="387"/>
    <n v="8484"/>
    <n v="16086"/>
    <n v="0"/>
    <s v="No"/>
    <s v="Severe"/>
    <n v="2298"/>
    <n v="1212"/>
    <n v="2024"/>
    <n v="3"/>
  </r>
  <r>
    <s v="SHP-31047"/>
    <d v="2024-11-19T00:00:00"/>
    <x v="2"/>
    <s v="Noida"/>
    <x v="2"/>
    <x v="1"/>
    <x v="2"/>
    <s v="Low"/>
    <n v="5"/>
    <n v="9"/>
    <n v="4"/>
    <s v="Yes"/>
    <n v="369"/>
    <n v="9532"/>
    <n v="12616"/>
    <n v="0"/>
    <s v="No"/>
    <s v="Major"/>
    <n v="3154"/>
    <n v="2383"/>
    <n v="2024"/>
    <n v="11"/>
  </r>
  <r>
    <s v="SHP-31048"/>
    <d v="2024-06-28T00:00:00"/>
    <x v="0"/>
    <s v="Bengaluru"/>
    <x v="1"/>
    <x v="1"/>
    <x v="0"/>
    <s v="Low"/>
    <n v="5"/>
    <n v="6"/>
    <n v="1"/>
    <s v="Yes"/>
    <n v="369"/>
    <n v="2115"/>
    <n v="3568"/>
    <n v="0"/>
    <s v="No"/>
    <s v="Minor"/>
    <n v="3568"/>
    <n v="2115"/>
    <n v="2024"/>
    <n v="6"/>
  </r>
  <r>
    <s v="SHP-31049"/>
    <d v="2024-04-08T00:00:00"/>
    <x v="2"/>
    <s v="Delhi"/>
    <x v="2"/>
    <x v="1"/>
    <x v="0"/>
    <s v="Medium"/>
    <n v="2"/>
    <n v="3"/>
    <n v="1"/>
    <s v="Yes"/>
    <n v="344"/>
    <n v="1204"/>
    <n v="2036"/>
    <n v="0"/>
    <s v="No"/>
    <s v="Minor"/>
    <n v="2036"/>
    <n v="1204"/>
    <n v="2024"/>
    <n v="4"/>
  </r>
  <r>
    <s v="SHP-31050"/>
    <d v="2024-02-29T00:00:00"/>
    <x v="1"/>
    <s v="Bhubaneswar"/>
    <x v="2"/>
    <x v="0"/>
    <x v="0"/>
    <s v="Low"/>
    <n v="3"/>
    <n v="3"/>
    <n v="0"/>
    <s v="No"/>
    <n v="93"/>
    <n v="0"/>
    <n v="0"/>
    <n v="1"/>
    <s v="No"/>
    <s v="On Time"/>
    <n v="0"/>
    <n v="0"/>
    <n v="2024"/>
    <n v="2"/>
  </r>
  <r>
    <s v="SHP-31051"/>
    <d v="2024-01-07T00:00:00"/>
    <x v="3"/>
    <s v="Pune"/>
    <x v="1"/>
    <x v="2"/>
    <x v="3"/>
    <s v="Low"/>
    <n v="3"/>
    <n v="9"/>
    <n v="6"/>
    <s v="Yes"/>
    <n v="318"/>
    <n v="12060"/>
    <n v="15378"/>
    <n v="0"/>
    <s v="No"/>
    <s v="Severe"/>
    <n v="2563"/>
    <n v="2010"/>
    <n v="2024"/>
    <n v="1"/>
  </r>
  <r>
    <s v="SHP-31052"/>
    <d v="2024-01-03T00:00:00"/>
    <x v="0"/>
    <s v="Chennai"/>
    <x v="1"/>
    <x v="2"/>
    <x v="0"/>
    <s v="Low"/>
    <n v="5"/>
    <n v="7"/>
    <n v="2"/>
    <s v="Yes"/>
    <n v="343"/>
    <n v="3842"/>
    <n v="5880"/>
    <n v="0"/>
    <s v="No"/>
    <s v="Minor"/>
    <n v="2940"/>
    <n v="1921"/>
    <n v="2024"/>
    <n v="1"/>
  </r>
  <r>
    <s v="SHP-31053"/>
    <d v="2024-03-29T00:00:00"/>
    <x v="2"/>
    <s v="Delhi"/>
    <x v="2"/>
    <x v="1"/>
    <x v="0"/>
    <s v="Medium"/>
    <n v="3"/>
    <n v="4"/>
    <n v="1"/>
    <s v="Yes"/>
    <n v="90"/>
    <n v="2491"/>
    <n v="4986"/>
    <n v="0"/>
    <s v="No"/>
    <s v="Minor"/>
    <n v="4986"/>
    <n v="2491"/>
    <n v="2024"/>
    <n v="3"/>
  </r>
  <r>
    <s v="SHP-31054"/>
    <d v="2024-12-05T00:00:00"/>
    <x v="0"/>
    <s v="Chennai"/>
    <x v="2"/>
    <x v="0"/>
    <x v="0"/>
    <s v="Low"/>
    <n v="3"/>
    <n v="8"/>
    <n v="5"/>
    <s v="Yes"/>
    <n v="193"/>
    <n v="12220"/>
    <n v="12470"/>
    <n v="0"/>
    <s v="No"/>
    <s v="Major"/>
    <n v="2494"/>
    <n v="2444"/>
    <n v="2024"/>
    <n v="12"/>
  </r>
  <r>
    <s v="SHP-31055"/>
    <d v="2024-12-13T00:00:00"/>
    <x v="0"/>
    <s v="Bengaluru"/>
    <x v="2"/>
    <x v="2"/>
    <x v="0"/>
    <s v="High"/>
    <n v="3"/>
    <n v="7"/>
    <n v="4"/>
    <s v="Yes"/>
    <n v="389"/>
    <n v="9708"/>
    <n v="10844"/>
    <n v="0"/>
    <s v="No"/>
    <s v="Major"/>
    <n v="2711"/>
    <n v="2427"/>
    <n v="2024"/>
    <n v="12"/>
  </r>
  <r>
    <s v="SHP-31056"/>
    <d v="2024-12-14T00:00:00"/>
    <x v="3"/>
    <s v="Mumbai"/>
    <x v="2"/>
    <x v="2"/>
    <x v="2"/>
    <s v="Low"/>
    <n v="1"/>
    <n v="5"/>
    <n v="4"/>
    <s v="Yes"/>
    <n v="51"/>
    <n v="9788"/>
    <n v="10396"/>
    <n v="0"/>
    <s v="No"/>
    <s v="Major"/>
    <n v="2599"/>
    <n v="2447"/>
    <n v="2024"/>
    <n v="12"/>
  </r>
  <r>
    <s v="SHP-31057"/>
    <d v="2024-03-26T00:00:00"/>
    <x v="3"/>
    <s v="Pune"/>
    <x v="1"/>
    <x v="0"/>
    <x v="4"/>
    <s v="Low"/>
    <n v="3"/>
    <n v="4"/>
    <n v="1"/>
    <s v="Yes"/>
    <n v="361"/>
    <n v="908"/>
    <n v="4387"/>
    <n v="0"/>
    <s v="No"/>
    <s v="Minor"/>
    <n v="4387"/>
    <n v="908"/>
    <n v="2024"/>
    <n v="3"/>
  </r>
  <r>
    <s v="SHP-31058"/>
    <d v="2024-12-05T00:00:00"/>
    <x v="0"/>
    <s v="Bengaluru"/>
    <x v="2"/>
    <x v="1"/>
    <x v="1"/>
    <s v="High"/>
    <n v="3"/>
    <n v="8"/>
    <n v="5"/>
    <s v="Yes"/>
    <n v="111"/>
    <n v="9285"/>
    <n v="10525"/>
    <n v="0"/>
    <s v="No"/>
    <s v="Major"/>
    <n v="2105"/>
    <n v="1857"/>
    <n v="2024"/>
    <n v="12"/>
  </r>
  <r>
    <s v="SHP-31059"/>
    <d v="2024-09-24T00:00:00"/>
    <x v="1"/>
    <s v="Bhubaneswar"/>
    <x v="2"/>
    <x v="1"/>
    <x v="4"/>
    <s v="Medium"/>
    <n v="3"/>
    <n v="8"/>
    <n v="5"/>
    <s v="Yes"/>
    <n v="407"/>
    <n v="4760"/>
    <n v="20835"/>
    <n v="0"/>
    <s v="No"/>
    <s v="Major"/>
    <n v="4167"/>
    <n v="952"/>
    <n v="2024"/>
    <n v="9"/>
  </r>
  <r>
    <s v="SHP-31060"/>
    <d v="2024-06-26T00:00:00"/>
    <x v="0"/>
    <s v="Chennai"/>
    <x v="1"/>
    <x v="0"/>
    <x v="2"/>
    <s v="Low"/>
    <n v="1"/>
    <n v="1"/>
    <n v="0"/>
    <s v="No"/>
    <n v="227"/>
    <n v="0"/>
    <n v="0"/>
    <n v="1"/>
    <s v="No"/>
    <s v="On Time"/>
    <n v="0"/>
    <n v="0"/>
    <n v="2024"/>
    <n v="6"/>
  </r>
  <r>
    <s v="SHP-31061"/>
    <d v="2024-06-22T00:00:00"/>
    <x v="1"/>
    <s v="Kolkata"/>
    <x v="2"/>
    <x v="1"/>
    <x v="4"/>
    <s v="Medium"/>
    <n v="2"/>
    <n v="4"/>
    <n v="2"/>
    <s v="Yes"/>
    <n v="247"/>
    <n v="4732"/>
    <n v="8338"/>
    <n v="0"/>
    <s v="No"/>
    <s v="Minor"/>
    <n v="4169"/>
    <n v="2366"/>
    <n v="2024"/>
    <n v="6"/>
  </r>
  <r>
    <s v="SHP-31062"/>
    <d v="2024-05-18T00:00:00"/>
    <x v="1"/>
    <s v="Kolkata"/>
    <x v="2"/>
    <x v="1"/>
    <x v="4"/>
    <s v="Low"/>
    <n v="1"/>
    <n v="5"/>
    <n v="4"/>
    <s v="Yes"/>
    <n v="152"/>
    <n v="6024"/>
    <n v="17248"/>
    <n v="0"/>
    <s v="No"/>
    <s v="Major"/>
    <n v="4312"/>
    <n v="1506"/>
    <n v="2024"/>
    <n v="5"/>
  </r>
  <r>
    <s v="SHP-31063"/>
    <d v="2024-11-30T00:00:00"/>
    <x v="0"/>
    <s v="Chennai"/>
    <x v="2"/>
    <x v="0"/>
    <x v="4"/>
    <s v="Low"/>
    <n v="3"/>
    <n v="7"/>
    <n v="4"/>
    <s v="Yes"/>
    <n v="425"/>
    <n v="8452"/>
    <n v="6744"/>
    <n v="0"/>
    <s v="No"/>
    <s v="Major"/>
    <n v="1686"/>
    <n v="2113"/>
    <n v="2024"/>
    <n v="11"/>
  </r>
  <r>
    <s v="SHP-31064"/>
    <d v="2024-11-25T00:00:00"/>
    <x v="1"/>
    <s v="Kolkata"/>
    <x v="2"/>
    <x v="1"/>
    <x v="1"/>
    <s v="Medium"/>
    <n v="2"/>
    <n v="5"/>
    <n v="3"/>
    <s v="Yes"/>
    <n v="374"/>
    <n v="7266"/>
    <n v="11271"/>
    <n v="0"/>
    <s v="No"/>
    <s v="Major"/>
    <n v="3757"/>
    <n v="2422"/>
    <n v="2024"/>
    <n v="11"/>
  </r>
  <r>
    <s v="SHP-31065"/>
    <d v="2024-01-18T00:00:00"/>
    <x v="2"/>
    <s v="Noida"/>
    <x v="1"/>
    <x v="1"/>
    <x v="3"/>
    <s v="Low"/>
    <n v="3"/>
    <n v="7"/>
    <n v="4"/>
    <s v="Yes"/>
    <n v="273"/>
    <n v="7392"/>
    <n v="10180"/>
    <n v="0"/>
    <s v="No"/>
    <s v="Major"/>
    <n v="2545"/>
    <n v="1848"/>
    <n v="2024"/>
    <n v="1"/>
  </r>
  <r>
    <s v="SHP-31066"/>
    <d v="2024-03-30T00:00:00"/>
    <x v="0"/>
    <s v="Bengaluru"/>
    <x v="1"/>
    <x v="0"/>
    <x v="2"/>
    <s v="Low"/>
    <n v="1"/>
    <n v="4"/>
    <n v="3"/>
    <s v="Yes"/>
    <n v="230"/>
    <n v="5931"/>
    <n v="10365"/>
    <n v="0"/>
    <s v="No"/>
    <s v="Major"/>
    <n v="3455"/>
    <n v="1977"/>
    <n v="2024"/>
    <n v="3"/>
  </r>
  <r>
    <s v="SHP-31067"/>
    <d v="2024-07-21T00:00:00"/>
    <x v="3"/>
    <s v="Mumbai"/>
    <x v="0"/>
    <x v="1"/>
    <x v="4"/>
    <s v="Low"/>
    <n v="1"/>
    <n v="3"/>
    <n v="2"/>
    <s v="Yes"/>
    <n v="344"/>
    <n v="2508"/>
    <n v="9616"/>
    <n v="0"/>
    <s v="No"/>
    <s v="Minor"/>
    <n v="4808"/>
    <n v="1254"/>
    <n v="2024"/>
    <n v="7"/>
  </r>
  <r>
    <s v="SHP-31068"/>
    <d v="2024-09-01T00:00:00"/>
    <x v="0"/>
    <s v="Chennai"/>
    <x v="0"/>
    <x v="1"/>
    <x v="3"/>
    <s v="Medium"/>
    <n v="2"/>
    <n v="6"/>
    <n v="4"/>
    <s v="Yes"/>
    <n v="448"/>
    <n v="8272"/>
    <n v="10844"/>
    <n v="0"/>
    <s v="No"/>
    <s v="Major"/>
    <n v="2711"/>
    <n v="2068"/>
    <n v="2024"/>
    <n v="9"/>
  </r>
  <r>
    <s v="SHP-31069"/>
    <d v="2024-06-08T00:00:00"/>
    <x v="2"/>
    <s v="Noida"/>
    <x v="1"/>
    <x v="2"/>
    <x v="4"/>
    <s v="High"/>
    <n v="3"/>
    <n v="12"/>
    <n v="9"/>
    <s v="Yes"/>
    <n v="325"/>
    <n v="15489"/>
    <n v="43578"/>
    <n v="0"/>
    <s v="No"/>
    <s v="Severe"/>
    <n v="4842"/>
    <n v="1721"/>
    <n v="2024"/>
    <n v="6"/>
  </r>
  <r>
    <s v="SHP-31070"/>
    <d v="2024-11-14T00:00:00"/>
    <x v="2"/>
    <s v="Delhi"/>
    <x v="0"/>
    <x v="1"/>
    <x v="0"/>
    <s v="Low"/>
    <n v="1"/>
    <n v="1"/>
    <n v="0"/>
    <s v="No"/>
    <n v="146"/>
    <n v="0"/>
    <n v="0"/>
    <n v="1"/>
    <s v="No"/>
    <s v="On Time"/>
    <n v="0"/>
    <n v="0"/>
    <n v="2024"/>
    <n v="11"/>
  </r>
  <r>
    <s v="SHP-31071"/>
    <d v="2024-06-18T00:00:00"/>
    <x v="1"/>
    <s v="Kolkata"/>
    <x v="2"/>
    <x v="2"/>
    <x v="1"/>
    <s v="High"/>
    <n v="1"/>
    <n v="8"/>
    <n v="7"/>
    <s v="Yes"/>
    <n v="462"/>
    <n v="9163"/>
    <n v="24094"/>
    <n v="0"/>
    <s v="No"/>
    <s v="Severe"/>
    <n v="3442"/>
    <n v="1309"/>
    <n v="2024"/>
    <n v="6"/>
  </r>
  <r>
    <s v="SHP-31072"/>
    <d v="2024-06-09T00:00:00"/>
    <x v="3"/>
    <s v="Pune"/>
    <x v="0"/>
    <x v="2"/>
    <x v="0"/>
    <s v="Medium"/>
    <n v="2"/>
    <n v="7"/>
    <n v="5"/>
    <s v="Yes"/>
    <n v="485"/>
    <n v="10840"/>
    <n v="11370"/>
    <n v="0"/>
    <s v="No"/>
    <s v="Major"/>
    <n v="2274"/>
    <n v="2168"/>
    <n v="2024"/>
    <n v="6"/>
  </r>
  <r>
    <s v="SHP-31073"/>
    <d v="2024-02-29T00:00:00"/>
    <x v="2"/>
    <s v="Delhi"/>
    <x v="2"/>
    <x v="2"/>
    <x v="2"/>
    <s v="Medium"/>
    <n v="1"/>
    <n v="3"/>
    <n v="2"/>
    <s v="Yes"/>
    <n v="276"/>
    <n v="1994"/>
    <n v="4000"/>
    <n v="0"/>
    <s v="No"/>
    <s v="Minor"/>
    <n v="2000"/>
    <n v="997"/>
    <n v="2024"/>
    <n v="2"/>
  </r>
  <r>
    <s v="SHP-31074"/>
    <d v="2024-07-16T00:00:00"/>
    <x v="1"/>
    <s v="Kolkata"/>
    <x v="2"/>
    <x v="1"/>
    <x v="1"/>
    <s v="Low"/>
    <n v="1"/>
    <n v="2"/>
    <n v="1"/>
    <s v="Yes"/>
    <n v="220"/>
    <n v="1533"/>
    <n v="2176"/>
    <n v="0"/>
    <s v="No"/>
    <s v="Minor"/>
    <n v="2176"/>
    <n v="1533"/>
    <n v="2024"/>
    <n v="7"/>
  </r>
  <r>
    <s v="SHP-31075"/>
    <d v="2024-04-07T00:00:00"/>
    <x v="3"/>
    <s v="Pune"/>
    <x v="2"/>
    <x v="0"/>
    <x v="1"/>
    <s v="Low"/>
    <n v="3"/>
    <n v="4"/>
    <n v="1"/>
    <s v="Yes"/>
    <n v="472"/>
    <n v="1991"/>
    <n v="2531"/>
    <n v="0"/>
    <s v="No"/>
    <s v="Minor"/>
    <n v="2531"/>
    <n v="1991"/>
    <n v="2024"/>
    <n v="4"/>
  </r>
  <r>
    <s v="SHP-31076"/>
    <d v="2024-04-23T00:00:00"/>
    <x v="0"/>
    <s v="Bengaluru"/>
    <x v="2"/>
    <x v="1"/>
    <x v="4"/>
    <s v="Low"/>
    <n v="3"/>
    <n v="6"/>
    <n v="3"/>
    <s v="Yes"/>
    <n v="130"/>
    <n v="4443"/>
    <n v="9660"/>
    <n v="0"/>
    <s v="No"/>
    <s v="Major"/>
    <n v="3220"/>
    <n v="1481"/>
    <n v="2024"/>
    <n v="4"/>
  </r>
  <r>
    <s v="SHP-31077"/>
    <d v="2024-10-16T00:00:00"/>
    <x v="3"/>
    <s v="Pune"/>
    <x v="0"/>
    <x v="1"/>
    <x v="0"/>
    <s v="High"/>
    <n v="3"/>
    <n v="9"/>
    <n v="6"/>
    <s v="Yes"/>
    <n v="234"/>
    <n v="6240"/>
    <n v="28218"/>
    <n v="0"/>
    <s v="No"/>
    <s v="Severe"/>
    <n v="4703"/>
    <n v="1040"/>
    <n v="2024"/>
    <n v="10"/>
  </r>
  <r>
    <s v="SHP-31078"/>
    <d v="2024-12-29T00:00:00"/>
    <x v="1"/>
    <s v="Kolkata"/>
    <x v="0"/>
    <x v="0"/>
    <x v="4"/>
    <s v="Medium"/>
    <n v="2"/>
    <n v="5"/>
    <n v="3"/>
    <s v="Yes"/>
    <n v="322"/>
    <n v="4659"/>
    <n v="10743"/>
    <n v="0"/>
    <s v="No"/>
    <s v="Major"/>
    <n v="3581"/>
    <n v="1553"/>
    <n v="2024"/>
    <n v="12"/>
  </r>
  <r>
    <s v="SHP-31079"/>
    <d v="2024-02-07T00:00:00"/>
    <x v="0"/>
    <s v="Chennai"/>
    <x v="1"/>
    <x v="0"/>
    <x v="3"/>
    <s v="Low"/>
    <n v="2"/>
    <n v="6"/>
    <n v="4"/>
    <s v="Yes"/>
    <n v="239"/>
    <n v="5164"/>
    <n v="13520"/>
    <n v="0"/>
    <s v="No"/>
    <s v="Major"/>
    <n v="3380"/>
    <n v="1291"/>
    <n v="2024"/>
    <n v="2"/>
  </r>
  <r>
    <s v="SHP-31080"/>
    <d v="2024-11-11T00:00:00"/>
    <x v="3"/>
    <s v="Mumbai"/>
    <x v="0"/>
    <x v="2"/>
    <x v="2"/>
    <s v="Low"/>
    <n v="2"/>
    <n v="5"/>
    <n v="3"/>
    <s v="Yes"/>
    <n v="313"/>
    <n v="7035"/>
    <n v="6387"/>
    <n v="0"/>
    <s v="No"/>
    <s v="Major"/>
    <n v="2129"/>
    <n v="2345"/>
    <n v="2024"/>
    <n v="11"/>
  </r>
  <r>
    <s v="SHP-31081"/>
    <d v="2024-01-15T00:00:00"/>
    <x v="3"/>
    <s v="Pune"/>
    <x v="1"/>
    <x v="1"/>
    <x v="1"/>
    <s v="Low"/>
    <n v="2"/>
    <n v="7"/>
    <n v="5"/>
    <s v="Yes"/>
    <n v="107"/>
    <n v="8455"/>
    <n v="23765"/>
    <n v="0"/>
    <s v="No"/>
    <s v="Major"/>
    <n v="4753"/>
    <n v="1691"/>
    <n v="2024"/>
    <n v="1"/>
  </r>
  <r>
    <s v="SHP-31082"/>
    <d v="2024-01-13T00:00:00"/>
    <x v="2"/>
    <s v="Delhi"/>
    <x v="2"/>
    <x v="1"/>
    <x v="2"/>
    <s v="High"/>
    <n v="2"/>
    <n v="10"/>
    <n v="8"/>
    <s v="Yes"/>
    <n v="294"/>
    <n v="11648"/>
    <n v="20248"/>
    <n v="0"/>
    <s v="No"/>
    <s v="Severe"/>
    <n v="2531"/>
    <n v="1456"/>
    <n v="2024"/>
    <n v="1"/>
  </r>
  <r>
    <s v="SHP-31083"/>
    <d v="2024-02-10T00:00:00"/>
    <x v="3"/>
    <s v="Mumbai"/>
    <x v="1"/>
    <x v="0"/>
    <x v="4"/>
    <s v="Low"/>
    <n v="1"/>
    <n v="2"/>
    <n v="1"/>
    <s v="Yes"/>
    <n v="262"/>
    <n v="1297"/>
    <n v="2257"/>
    <n v="0"/>
    <s v="No"/>
    <s v="Minor"/>
    <n v="2257"/>
    <n v="1297"/>
    <n v="2024"/>
    <n v="2"/>
  </r>
  <r>
    <s v="SHP-31084"/>
    <d v="2024-11-02T00:00:00"/>
    <x v="2"/>
    <s v="Delhi"/>
    <x v="1"/>
    <x v="1"/>
    <x v="2"/>
    <s v="Low"/>
    <n v="1"/>
    <n v="1"/>
    <n v="0"/>
    <s v="No"/>
    <n v="485"/>
    <n v="0"/>
    <n v="0"/>
    <n v="1"/>
    <s v="No"/>
    <s v="On Time"/>
    <n v="0"/>
    <n v="0"/>
    <n v="2024"/>
    <n v="11"/>
  </r>
  <r>
    <s v="SHP-31085"/>
    <d v="2024-03-16T00:00:00"/>
    <x v="3"/>
    <s v="Pune"/>
    <x v="2"/>
    <x v="0"/>
    <x v="0"/>
    <s v="Low"/>
    <n v="2"/>
    <n v="6"/>
    <n v="4"/>
    <s v="Yes"/>
    <n v="305"/>
    <n v="7260"/>
    <n v="14196"/>
    <n v="0"/>
    <s v="No"/>
    <s v="Major"/>
    <n v="3549"/>
    <n v="1815"/>
    <n v="2024"/>
    <n v="3"/>
  </r>
  <r>
    <s v="SHP-31086"/>
    <d v="2024-09-01T00:00:00"/>
    <x v="3"/>
    <s v="Pune"/>
    <x v="1"/>
    <x v="0"/>
    <x v="1"/>
    <s v="Low"/>
    <n v="3"/>
    <n v="4"/>
    <n v="1"/>
    <s v="Yes"/>
    <n v="170"/>
    <n v="1328"/>
    <n v="2762"/>
    <n v="0"/>
    <s v="No"/>
    <s v="Minor"/>
    <n v="2762"/>
    <n v="1328"/>
    <n v="2024"/>
    <n v="9"/>
  </r>
  <r>
    <s v="SHP-31087"/>
    <d v="2024-11-06T00:00:00"/>
    <x v="1"/>
    <s v="Kolkata"/>
    <x v="2"/>
    <x v="0"/>
    <x v="0"/>
    <s v="Low"/>
    <n v="1"/>
    <n v="6"/>
    <n v="5"/>
    <s v="Yes"/>
    <n v="154"/>
    <n v="9685"/>
    <n v="21025"/>
    <n v="0"/>
    <s v="No"/>
    <s v="Major"/>
    <n v="4205"/>
    <n v="1937"/>
    <n v="2024"/>
    <n v="11"/>
  </r>
  <r>
    <s v="SHP-31088"/>
    <d v="2024-09-25T00:00:00"/>
    <x v="1"/>
    <s v="Bhubaneswar"/>
    <x v="2"/>
    <x v="1"/>
    <x v="2"/>
    <s v="Medium"/>
    <n v="1"/>
    <n v="5"/>
    <n v="4"/>
    <s v="Yes"/>
    <n v="171"/>
    <n v="9352"/>
    <n v="9592"/>
    <n v="0"/>
    <s v="No"/>
    <s v="Major"/>
    <n v="2398"/>
    <n v="2338"/>
    <n v="2024"/>
    <n v="9"/>
  </r>
  <r>
    <s v="SHP-31089"/>
    <d v="2024-07-24T00:00:00"/>
    <x v="2"/>
    <s v="Delhi"/>
    <x v="2"/>
    <x v="2"/>
    <x v="3"/>
    <s v="Low"/>
    <n v="2"/>
    <n v="6"/>
    <n v="4"/>
    <s v="Yes"/>
    <n v="410"/>
    <n v="3444"/>
    <n v="10976"/>
    <n v="0"/>
    <s v="No"/>
    <s v="Major"/>
    <n v="2744"/>
    <n v="861"/>
    <n v="2024"/>
    <n v="7"/>
  </r>
  <r>
    <s v="SHP-31090"/>
    <d v="2024-02-27T00:00:00"/>
    <x v="3"/>
    <s v="Mumbai"/>
    <x v="2"/>
    <x v="0"/>
    <x v="4"/>
    <s v="Low"/>
    <n v="3"/>
    <n v="5"/>
    <n v="2"/>
    <s v="Yes"/>
    <n v="166"/>
    <n v="2656"/>
    <n v="8660"/>
    <n v="0"/>
    <s v="No"/>
    <s v="Minor"/>
    <n v="4330"/>
    <n v="1328"/>
    <n v="2024"/>
    <n v="2"/>
  </r>
  <r>
    <s v="SHP-31091"/>
    <d v="2024-05-17T00:00:00"/>
    <x v="0"/>
    <s v="Bengaluru"/>
    <x v="1"/>
    <x v="0"/>
    <x v="0"/>
    <s v="Low"/>
    <n v="2"/>
    <n v="7"/>
    <n v="5"/>
    <s v="Yes"/>
    <n v="258"/>
    <n v="5635"/>
    <n v="21995"/>
    <n v="0"/>
    <s v="No"/>
    <s v="Major"/>
    <n v="4399"/>
    <n v="1127"/>
    <n v="2024"/>
    <n v="5"/>
  </r>
  <r>
    <s v="SHP-31092"/>
    <d v="2024-11-08T00:00:00"/>
    <x v="2"/>
    <s v="Noida"/>
    <x v="0"/>
    <x v="1"/>
    <x v="1"/>
    <s v="Low"/>
    <n v="3"/>
    <n v="6"/>
    <n v="3"/>
    <s v="Yes"/>
    <n v="277"/>
    <n v="4329"/>
    <n v="14610"/>
    <n v="0"/>
    <s v="No"/>
    <s v="Major"/>
    <n v="4870"/>
    <n v="1443"/>
    <n v="2024"/>
    <n v="11"/>
  </r>
  <r>
    <s v="SHP-31093"/>
    <d v="2024-04-24T00:00:00"/>
    <x v="3"/>
    <s v="Pune"/>
    <x v="2"/>
    <x v="2"/>
    <x v="1"/>
    <s v="Medium"/>
    <n v="2"/>
    <n v="7"/>
    <n v="5"/>
    <s v="Yes"/>
    <n v="60"/>
    <n v="4190"/>
    <n v="24120"/>
    <n v="0"/>
    <s v="No"/>
    <s v="Major"/>
    <n v="4824"/>
    <n v="838"/>
    <n v="2024"/>
    <n v="4"/>
  </r>
  <r>
    <s v="SHP-31094"/>
    <d v="2024-03-19T00:00:00"/>
    <x v="0"/>
    <s v="Chennai"/>
    <x v="2"/>
    <x v="1"/>
    <x v="1"/>
    <s v="Medium"/>
    <n v="3"/>
    <n v="3"/>
    <n v="0"/>
    <s v="No"/>
    <n v="86"/>
    <n v="0"/>
    <n v="0"/>
    <n v="1"/>
    <s v="No"/>
    <s v="On Time"/>
    <n v="0"/>
    <n v="0"/>
    <n v="2024"/>
    <n v="3"/>
  </r>
  <r>
    <s v="SHP-31095"/>
    <d v="2024-01-08T00:00:00"/>
    <x v="1"/>
    <s v="Kolkata"/>
    <x v="1"/>
    <x v="1"/>
    <x v="1"/>
    <s v="Low"/>
    <n v="2"/>
    <n v="2"/>
    <n v="0"/>
    <s v="No"/>
    <n v="203"/>
    <n v="0"/>
    <n v="0"/>
    <n v="1"/>
    <s v="No"/>
    <s v="On Time"/>
    <n v="0"/>
    <n v="0"/>
    <n v="2024"/>
    <n v="1"/>
  </r>
  <r>
    <s v="SHP-31096"/>
    <d v="2024-06-13T00:00:00"/>
    <x v="1"/>
    <s v="Kolkata"/>
    <x v="2"/>
    <x v="0"/>
    <x v="1"/>
    <s v="Low"/>
    <n v="2"/>
    <n v="4"/>
    <n v="2"/>
    <s v="Yes"/>
    <n v="126"/>
    <n v="2508"/>
    <n v="7032"/>
    <n v="0"/>
    <s v="No"/>
    <s v="Minor"/>
    <n v="3516"/>
    <n v="1254"/>
    <n v="2024"/>
    <n v="6"/>
  </r>
  <r>
    <s v="SHP-31097"/>
    <d v="2024-04-28T00:00:00"/>
    <x v="0"/>
    <s v="Chennai"/>
    <x v="2"/>
    <x v="0"/>
    <x v="4"/>
    <s v="High"/>
    <n v="3"/>
    <n v="11"/>
    <n v="8"/>
    <s v="Yes"/>
    <n v="391"/>
    <n v="12600"/>
    <n v="18200"/>
    <n v="0"/>
    <s v="No"/>
    <s v="Severe"/>
    <n v="2275"/>
    <n v="1575"/>
    <n v="2024"/>
    <n v="4"/>
  </r>
  <r>
    <s v="SHP-31098"/>
    <d v="2024-09-21T00:00:00"/>
    <x v="0"/>
    <s v="Chennai"/>
    <x v="2"/>
    <x v="0"/>
    <x v="4"/>
    <s v="Medium"/>
    <n v="1"/>
    <n v="4"/>
    <n v="3"/>
    <s v="Yes"/>
    <n v="201"/>
    <n v="2604"/>
    <n v="8490"/>
    <n v="0"/>
    <s v="No"/>
    <s v="Major"/>
    <n v="2830"/>
    <n v="868"/>
    <n v="2024"/>
    <n v="9"/>
  </r>
  <r>
    <s v="SHP-31099"/>
    <d v="2024-11-30T00:00:00"/>
    <x v="3"/>
    <s v="Pune"/>
    <x v="1"/>
    <x v="2"/>
    <x v="1"/>
    <s v="High"/>
    <n v="1"/>
    <n v="5"/>
    <n v="4"/>
    <s v="Yes"/>
    <n v="53"/>
    <n v="7360"/>
    <n v="12404"/>
    <n v="0"/>
    <s v="No"/>
    <s v="Major"/>
    <n v="3101"/>
    <n v="1840"/>
    <n v="2024"/>
    <n v="11"/>
  </r>
  <r>
    <s v="SHP-31100"/>
    <d v="2024-05-31T00:00:00"/>
    <x v="0"/>
    <s v="Bengaluru"/>
    <x v="0"/>
    <x v="0"/>
    <x v="4"/>
    <s v="Low"/>
    <n v="2"/>
    <n v="5"/>
    <n v="3"/>
    <s v="Yes"/>
    <n v="439"/>
    <n v="6966"/>
    <n v="7317"/>
    <n v="0"/>
    <s v="No"/>
    <s v="Major"/>
    <n v="2439"/>
    <n v="2322"/>
    <n v="2024"/>
    <n v="5"/>
  </r>
  <r>
    <s v="SHP-31101"/>
    <d v="2024-08-28T00:00:00"/>
    <x v="2"/>
    <s v="Delhi"/>
    <x v="0"/>
    <x v="1"/>
    <x v="4"/>
    <s v="High"/>
    <n v="2"/>
    <n v="8"/>
    <n v="6"/>
    <s v="Yes"/>
    <n v="453"/>
    <n v="14166"/>
    <n v="14664"/>
    <n v="0"/>
    <s v="No"/>
    <s v="Severe"/>
    <n v="2444"/>
    <n v="2361"/>
    <n v="2024"/>
    <n v="8"/>
  </r>
  <r>
    <s v="SHP-31102"/>
    <d v="2024-05-28T00:00:00"/>
    <x v="3"/>
    <s v="Mumbai"/>
    <x v="1"/>
    <x v="1"/>
    <x v="3"/>
    <s v="Low"/>
    <n v="2"/>
    <n v="6"/>
    <n v="4"/>
    <s v="Yes"/>
    <n v="211"/>
    <n v="9688"/>
    <n v="15856"/>
    <n v="0"/>
    <s v="No"/>
    <s v="Major"/>
    <n v="3964"/>
    <n v="2422"/>
    <n v="2024"/>
    <n v="5"/>
  </r>
  <r>
    <s v="SHP-31103"/>
    <d v="2024-02-12T00:00:00"/>
    <x v="2"/>
    <s v="Delhi"/>
    <x v="1"/>
    <x v="0"/>
    <x v="0"/>
    <s v="High"/>
    <n v="2"/>
    <n v="5"/>
    <n v="3"/>
    <s v="Yes"/>
    <n v="339"/>
    <n v="6357"/>
    <n v="9132"/>
    <n v="0"/>
    <s v="No"/>
    <s v="Major"/>
    <n v="3044"/>
    <n v="2119"/>
    <n v="2024"/>
    <n v="2"/>
  </r>
  <r>
    <s v="SHP-31104"/>
    <d v="2024-03-14T00:00:00"/>
    <x v="2"/>
    <s v="Noida"/>
    <x v="1"/>
    <x v="1"/>
    <x v="2"/>
    <s v="High"/>
    <n v="1"/>
    <n v="4"/>
    <n v="3"/>
    <s v="Yes"/>
    <n v="245"/>
    <n v="6822"/>
    <n v="7761"/>
    <n v="0"/>
    <s v="No"/>
    <s v="Major"/>
    <n v="2587"/>
    <n v="2274"/>
    <n v="2024"/>
    <n v="3"/>
  </r>
  <r>
    <s v="SHP-31105"/>
    <d v="2024-11-07T00:00:00"/>
    <x v="0"/>
    <s v="Bengaluru"/>
    <x v="0"/>
    <x v="1"/>
    <x v="3"/>
    <s v="Medium"/>
    <n v="3"/>
    <n v="3"/>
    <n v="0"/>
    <s v="No"/>
    <n v="293"/>
    <n v="0"/>
    <n v="0"/>
    <n v="1"/>
    <s v="No"/>
    <s v="On Time"/>
    <n v="0"/>
    <n v="0"/>
    <n v="2024"/>
    <n v="11"/>
  </r>
  <r>
    <s v="SHP-31106"/>
    <d v="2024-11-13T00:00:00"/>
    <x v="1"/>
    <s v="Kolkata"/>
    <x v="1"/>
    <x v="0"/>
    <x v="1"/>
    <s v="Medium"/>
    <n v="2"/>
    <n v="4"/>
    <n v="2"/>
    <s v="Yes"/>
    <n v="160"/>
    <n v="2528"/>
    <n v="6500"/>
    <n v="0"/>
    <s v="No"/>
    <s v="Minor"/>
    <n v="3250"/>
    <n v="1264"/>
    <n v="2024"/>
    <n v="11"/>
  </r>
  <r>
    <s v="SHP-31107"/>
    <d v="2024-03-29T00:00:00"/>
    <x v="3"/>
    <s v="Mumbai"/>
    <x v="2"/>
    <x v="0"/>
    <x v="3"/>
    <s v="High"/>
    <n v="1"/>
    <n v="4"/>
    <n v="3"/>
    <s v="Yes"/>
    <n v="482"/>
    <n v="7314"/>
    <n v="14211"/>
    <n v="0"/>
    <s v="No"/>
    <s v="Major"/>
    <n v="4737"/>
    <n v="2438"/>
    <n v="2024"/>
    <n v="3"/>
  </r>
  <r>
    <s v="SHP-31108"/>
    <d v="2024-11-12T00:00:00"/>
    <x v="0"/>
    <s v="Chennai"/>
    <x v="0"/>
    <x v="1"/>
    <x v="2"/>
    <s v="High"/>
    <n v="2"/>
    <n v="8"/>
    <n v="6"/>
    <s v="Yes"/>
    <n v="351"/>
    <n v="13596"/>
    <n v="28662"/>
    <n v="0"/>
    <s v="No"/>
    <s v="Severe"/>
    <n v="4777"/>
    <n v="2266"/>
    <n v="2024"/>
    <n v="11"/>
  </r>
  <r>
    <s v="SHP-31109"/>
    <d v="2024-01-18T00:00:00"/>
    <x v="2"/>
    <s v="Delhi"/>
    <x v="0"/>
    <x v="1"/>
    <x v="3"/>
    <s v="Low"/>
    <n v="3"/>
    <n v="5"/>
    <n v="2"/>
    <s v="Yes"/>
    <n v="326"/>
    <n v="3886"/>
    <n v="6812"/>
    <n v="0"/>
    <s v="No"/>
    <s v="Minor"/>
    <n v="3406"/>
    <n v="1943"/>
    <n v="2024"/>
    <n v="1"/>
  </r>
  <r>
    <s v="SHP-31110"/>
    <d v="2024-10-24T00:00:00"/>
    <x v="1"/>
    <s v="Bhubaneswar"/>
    <x v="2"/>
    <x v="2"/>
    <x v="2"/>
    <s v="Low"/>
    <n v="2"/>
    <n v="7"/>
    <n v="5"/>
    <s v="Yes"/>
    <n v="109"/>
    <n v="5735"/>
    <n v="21235"/>
    <n v="0"/>
    <s v="No"/>
    <s v="Major"/>
    <n v="4247"/>
    <n v="1147"/>
    <n v="2024"/>
    <n v="10"/>
  </r>
  <r>
    <s v="SHP-31111"/>
    <d v="2024-01-22T00:00:00"/>
    <x v="2"/>
    <s v="Noida"/>
    <x v="0"/>
    <x v="1"/>
    <x v="2"/>
    <s v="High"/>
    <n v="1"/>
    <n v="4"/>
    <n v="3"/>
    <s v="Yes"/>
    <n v="95"/>
    <n v="3678"/>
    <n v="13236"/>
    <n v="0"/>
    <s v="No"/>
    <s v="Major"/>
    <n v="4412"/>
    <n v="1226"/>
    <n v="2024"/>
    <n v="1"/>
  </r>
  <r>
    <s v="SHP-31112"/>
    <d v="2024-03-23T00:00:00"/>
    <x v="3"/>
    <s v="Pune"/>
    <x v="1"/>
    <x v="1"/>
    <x v="3"/>
    <s v="Medium"/>
    <n v="2"/>
    <n v="4"/>
    <n v="2"/>
    <s v="Yes"/>
    <n v="231"/>
    <n v="2038"/>
    <n v="7758"/>
    <n v="0"/>
    <s v="No"/>
    <s v="Minor"/>
    <n v="3879"/>
    <n v="1019"/>
    <n v="2024"/>
    <n v="3"/>
  </r>
  <r>
    <s v="SHP-31113"/>
    <d v="2024-05-15T00:00:00"/>
    <x v="0"/>
    <s v="Bengaluru"/>
    <x v="2"/>
    <x v="0"/>
    <x v="4"/>
    <s v="Medium"/>
    <n v="2"/>
    <n v="6"/>
    <n v="4"/>
    <s v="Yes"/>
    <n v="371"/>
    <n v="4960"/>
    <n v="14504"/>
    <n v="0"/>
    <s v="No"/>
    <s v="Major"/>
    <n v="3626"/>
    <n v="1240"/>
    <n v="2024"/>
    <n v="5"/>
  </r>
  <r>
    <s v="SHP-31114"/>
    <d v="2024-06-28T00:00:00"/>
    <x v="0"/>
    <s v="Bengaluru"/>
    <x v="2"/>
    <x v="1"/>
    <x v="3"/>
    <s v="Medium"/>
    <n v="1"/>
    <n v="4"/>
    <n v="3"/>
    <s v="Yes"/>
    <n v="404"/>
    <n v="6918"/>
    <n v="10464"/>
    <n v="0"/>
    <s v="No"/>
    <s v="Major"/>
    <n v="3488"/>
    <n v="2306"/>
    <n v="2024"/>
    <n v="6"/>
  </r>
  <r>
    <s v="SHP-31115"/>
    <d v="2024-06-24T00:00:00"/>
    <x v="1"/>
    <s v="Kolkata"/>
    <x v="2"/>
    <x v="1"/>
    <x v="4"/>
    <s v="Medium"/>
    <n v="2"/>
    <n v="7"/>
    <n v="5"/>
    <s v="Yes"/>
    <n v="455"/>
    <n v="7650"/>
    <n v="17685"/>
    <n v="0"/>
    <s v="No"/>
    <s v="Major"/>
    <n v="3537"/>
    <n v="1530"/>
    <n v="2024"/>
    <n v="6"/>
  </r>
  <r>
    <s v="SHP-31116"/>
    <d v="2024-05-31T00:00:00"/>
    <x v="0"/>
    <s v="Chennai"/>
    <x v="1"/>
    <x v="2"/>
    <x v="0"/>
    <s v="Medium"/>
    <n v="5"/>
    <n v="10"/>
    <n v="5"/>
    <s v="Yes"/>
    <n v="71"/>
    <n v="7435"/>
    <n v="19630"/>
    <n v="0"/>
    <s v="No"/>
    <s v="Major"/>
    <n v="3926"/>
    <n v="1487"/>
    <n v="2024"/>
    <n v="5"/>
  </r>
  <r>
    <s v="SHP-31117"/>
    <d v="2024-01-03T00:00:00"/>
    <x v="3"/>
    <s v="Mumbai"/>
    <x v="0"/>
    <x v="0"/>
    <x v="0"/>
    <s v="Low"/>
    <n v="1"/>
    <n v="6"/>
    <n v="5"/>
    <s v="Yes"/>
    <n v="119"/>
    <n v="11095"/>
    <n v="16520"/>
    <n v="0"/>
    <s v="No"/>
    <s v="Major"/>
    <n v="3304"/>
    <n v="2219"/>
    <n v="2024"/>
    <n v="1"/>
  </r>
  <r>
    <s v="SHP-31118"/>
    <d v="2024-11-04T00:00:00"/>
    <x v="0"/>
    <s v="Chennai"/>
    <x v="2"/>
    <x v="0"/>
    <x v="1"/>
    <s v="Low"/>
    <n v="1"/>
    <n v="4"/>
    <n v="3"/>
    <s v="Yes"/>
    <n v="453"/>
    <n v="7419"/>
    <n v="5643"/>
    <n v="0"/>
    <s v="No"/>
    <s v="Major"/>
    <n v="1881"/>
    <n v="2473"/>
    <n v="2024"/>
    <n v="11"/>
  </r>
  <r>
    <s v="SHP-31119"/>
    <d v="2024-10-06T00:00:00"/>
    <x v="2"/>
    <s v="Delhi"/>
    <x v="0"/>
    <x v="2"/>
    <x v="1"/>
    <s v="Low"/>
    <n v="5"/>
    <n v="11"/>
    <n v="6"/>
    <s v="Yes"/>
    <n v="193"/>
    <n v="14232"/>
    <n v="29028"/>
    <n v="0"/>
    <s v="No"/>
    <s v="Severe"/>
    <n v="4838"/>
    <n v="2372"/>
    <n v="2024"/>
    <n v="10"/>
  </r>
  <r>
    <s v="SHP-31120"/>
    <d v="2024-02-27T00:00:00"/>
    <x v="1"/>
    <s v="Kolkata"/>
    <x v="0"/>
    <x v="1"/>
    <x v="0"/>
    <s v="Low"/>
    <n v="1"/>
    <n v="3"/>
    <n v="2"/>
    <s v="Yes"/>
    <n v="81"/>
    <n v="3926"/>
    <n v="4414"/>
    <n v="0"/>
    <s v="No"/>
    <s v="Minor"/>
    <n v="2207"/>
    <n v="1963"/>
    <n v="2024"/>
    <n v="2"/>
  </r>
  <r>
    <s v="SHP-31121"/>
    <d v="2024-02-22T00:00:00"/>
    <x v="0"/>
    <s v="Bengaluru"/>
    <x v="2"/>
    <x v="1"/>
    <x v="4"/>
    <s v="Medium"/>
    <n v="1"/>
    <n v="6"/>
    <n v="5"/>
    <s v="Yes"/>
    <n v="451"/>
    <n v="8150"/>
    <n v="20460"/>
    <n v="0"/>
    <s v="No"/>
    <s v="Major"/>
    <n v="4092"/>
    <n v="1630"/>
    <n v="2024"/>
    <n v="2"/>
  </r>
  <r>
    <s v="SHP-31122"/>
    <d v="2024-11-02T00:00:00"/>
    <x v="3"/>
    <s v="Pune"/>
    <x v="1"/>
    <x v="2"/>
    <x v="2"/>
    <s v="High"/>
    <n v="1"/>
    <n v="5"/>
    <n v="4"/>
    <s v="Yes"/>
    <n v="96"/>
    <n v="8604"/>
    <n v="15812"/>
    <n v="0"/>
    <s v="No"/>
    <s v="Major"/>
    <n v="3953"/>
    <n v="2151"/>
    <n v="2024"/>
    <n v="11"/>
  </r>
  <r>
    <s v="SHP-31123"/>
    <d v="2024-10-06T00:00:00"/>
    <x v="1"/>
    <s v="Bhubaneswar"/>
    <x v="2"/>
    <x v="2"/>
    <x v="0"/>
    <s v="Low"/>
    <n v="2"/>
    <n v="4"/>
    <n v="2"/>
    <s v="Yes"/>
    <n v="277"/>
    <n v="2102"/>
    <n v="7460"/>
    <n v="0"/>
    <s v="No"/>
    <s v="Minor"/>
    <n v="3730"/>
    <n v="1051"/>
    <n v="2024"/>
    <n v="10"/>
  </r>
  <r>
    <s v="SHP-31124"/>
    <d v="2024-08-31T00:00:00"/>
    <x v="2"/>
    <s v="Noida"/>
    <x v="0"/>
    <x v="1"/>
    <x v="3"/>
    <s v="Medium"/>
    <n v="1"/>
    <n v="4"/>
    <n v="3"/>
    <s v="Yes"/>
    <n v="244"/>
    <n v="3255"/>
    <n v="13542"/>
    <n v="0"/>
    <s v="No"/>
    <s v="Major"/>
    <n v="4514"/>
    <n v="1085"/>
    <n v="2024"/>
    <n v="8"/>
  </r>
  <r>
    <s v="SHP-31125"/>
    <d v="2024-01-08T00:00:00"/>
    <x v="3"/>
    <s v="Mumbai"/>
    <x v="0"/>
    <x v="2"/>
    <x v="3"/>
    <s v="Low"/>
    <n v="1"/>
    <n v="8"/>
    <n v="7"/>
    <s v="Yes"/>
    <n v="62"/>
    <n v="10605"/>
    <n v="27776"/>
    <n v="0"/>
    <s v="No"/>
    <s v="Severe"/>
    <n v="3968"/>
    <n v="1515"/>
    <n v="2024"/>
    <n v="1"/>
  </r>
  <r>
    <s v="SHP-31126"/>
    <d v="2024-03-14T00:00:00"/>
    <x v="2"/>
    <s v="Delhi"/>
    <x v="2"/>
    <x v="1"/>
    <x v="3"/>
    <s v="Medium"/>
    <n v="5"/>
    <n v="6"/>
    <n v="1"/>
    <s v="Yes"/>
    <n v="411"/>
    <n v="953"/>
    <n v="3787"/>
    <n v="0"/>
    <s v="No"/>
    <s v="Minor"/>
    <n v="3787"/>
    <n v="953"/>
    <n v="2024"/>
    <n v="3"/>
  </r>
  <r>
    <s v="SHP-31127"/>
    <d v="2024-08-24T00:00:00"/>
    <x v="2"/>
    <s v="Delhi"/>
    <x v="0"/>
    <x v="1"/>
    <x v="0"/>
    <s v="Low"/>
    <n v="3"/>
    <n v="3"/>
    <n v="0"/>
    <s v="No"/>
    <n v="171"/>
    <n v="0"/>
    <n v="0"/>
    <n v="1"/>
    <s v="No"/>
    <s v="On Time"/>
    <n v="0"/>
    <n v="0"/>
    <n v="2024"/>
    <n v="8"/>
  </r>
  <r>
    <s v="SHP-31128"/>
    <d v="2024-05-29T00:00:00"/>
    <x v="0"/>
    <s v="Bengaluru"/>
    <x v="1"/>
    <x v="2"/>
    <x v="0"/>
    <s v="Medium"/>
    <n v="3"/>
    <n v="6"/>
    <n v="3"/>
    <s v="Yes"/>
    <n v="228"/>
    <n v="4566"/>
    <n v="13119"/>
    <n v="0"/>
    <s v="No"/>
    <s v="Major"/>
    <n v="4373"/>
    <n v="1522"/>
    <n v="2024"/>
    <n v="5"/>
  </r>
  <r>
    <s v="SHP-31129"/>
    <d v="2024-11-29T00:00:00"/>
    <x v="1"/>
    <s v="Bhubaneswar"/>
    <x v="0"/>
    <x v="2"/>
    <x v="2"/>
    <s v="Medium"/>
    <n v="2"/>
    <n v="9"/>
    <n v="7"/>
    <s v="Yes"/>
    <n v="215"/>
    <n v="11466"/>
    <n v="31388"/>
    <n v="0"/>
    <s v="No"/>
    <s v="Severe"/>
    <n v="4484"/>
    <n v="1638"/>
    <n v="2024"/>
    <n v="11"/>
  </r>
  <r>
    <s v="SHP-31130"/>
    <d v="2024-02-17T00:00:00"/>
    <x v="3"/>
    <s v="Pune"/>
    <x v="1"/>
    <x v="0"/>
    <x v="4"/>
    <s v="Medium"/>
    <n v="1"/>
    <n v="5"/>
    <n v="4"/>
    <s v="Yes"/>
    <n v="125"/>
    <n v="7980"/>
    <n v="14620"/>
    <n v="0"/>
    <s v="No"/>
    <s v="Major"/>
    <n v="3655"/>
    <n v="1995"/>
    <n v="2024"/>
    <n v="2"/>
  </r>
  <r>
    <s v="SHP-31131"/>
    <d v="2024-03-13T00:00:00"/>
    <x v="0"/>
    <s v="Bengaluru"/>
    <x v="1"/>
    <x v="1"/>
    <x v="2"/>
    <s v="Medium"/>
    <n v="3"/>
    <n v="7"/>
    <n v="4"/>
    <s v="Yes"/>
    <n v="99"/>
    <n v="7568"/>
    <n v="13156"/>
    <n v="0"/>
    <s v="No"/>
    <s v="Major"/>
    <n v="3289"/>
    <n v="1892"/>
    <n v="2024"/>
    <n v="3"/>
  </r>
  <r>
    <s v="SHP-31132"/>
    <d v="2024-09-01T00:00:00"/>
    <x v="3"/>
    <s v="Pune"/>
    <x v="2"/>
    <x v="1"/>
    <x v="2"/>
    <s v="Low"/>
    <n v="1"/>
    <n v="4"/>
    <n v="3"/>
    <s v="Yes"/>
    <n v="176"/>
    <n v="4734"/>
    <n v="12459"/>
    <n v="0"/>
    <s v="No"/>
    <s v="Major"/>
    <n v="4153"/>
    <n v="1578"/>
    <n v="2024"/>
    <n v="9"/>
  </r>
  <r>
    <s v="SHP-31133"/>
    <d v="2024-07-02T00:00:00"/>
    <x v="3"/>
    <s v="Mumbai"/>
    <x v="1"/>
    <x v="1"/>
    <x v="0"/>
    <s v="Low"/>
    <n v="2"/>
    <n v="6"/>
    <n v="4"/>
    <s v="Yes"/>
    <n v="366"/>
    <n v="4348"/>
    <n v="7124"/>
    <n v="0"/>
    <s v="No"/>
    <s v="Major"/>
    <n v="1781"/>
    <n v="1087"/>
    <n v="2024"/>
    <n v="7"/>
  </r>
  <r>
    <s v="SHP-31134"/>
    <d v="2024-05-15T00:00:00"/>
    <x v="2"/>
    <s v="Noida"/>
    <x v="2"/>
    <x v="0"/>
    <x v="1"/>
    <s v="High"/>
    <n v="2"/>
    <n v="7"/>
    <n v="5"/>
    <s v="Yes"/>
    <n v="106"/>
    <n v="8535"/>
    <n v="16635"/>
    <n v="0"/>
    <s v="No"/>
    <s v="Major"/>
    <n v="3327"/>
    <n v="1707"/>
    <n v="2024"/>
    <n v="5"/>
  </r>
  <r>
    <s v="SHP-31135"/>
    <d v="2024-01-29T00:00:00"/>
    <x v="2"/>
    <s v="Delhi"/>
    <x v="2"/>
    <x v="1"/>
    <x v="4"/>
    <s v="Low"/>
    <n v="5"/>
    <n v="8"/>
    <n v="3"/>
    <s v="Yes"/>
    <n v="351"/>
    <n v="6078"/>
    <n v="9141"/>
    <n v="0"/>
    <s v="No"/>
    <s v="Major"/>
    <n v="3047"/>
    <n v="2026"/>
    <n v="2024"/>
    <n v="1"/>
  </r>
  <r>
    <s v="SHP-31136"/>
    <d v="2024-04-19T00:00:00"/>
    <x v="3"/>
    <s v="Mumbai"/>
    <x v="1"/>
    <x v="1"/>
    <x v="0"/>
    <s v="Low"/>
    <n v="2"/>
    <n v="7"/>
    <n v="5"/>
    <s v="Yes"/>
    <n v="448"/>
    <n v="9065"/>
    <n v="24100"/>
    <n v="0"/>
    <s v="No"/>
    <s v="Major"/>
    <n v="4820"/>
    <n v="1813"/>
    <n v="2024"/>
    <n v="4"/>
  </r>
  <r>
    <s v="SHP-31137"/>
    <d v="2024-12-15T00:00:00"/>
    <x v="2"/>
    <s v="Delhi"/>
    <x v="0"/>
    <x v="1"/>
    <x v="3"/>
    <s v="Low"/>
    <n v="3"/>
    <n v="5"/>
    <n v="2"/>
    <s v="Yes"/>
    <n v="275"/>
    <n v="3662"/>
    <n v="9424"/>
    <n v="0"/>
    <s v="No"/>
    <s v="Minor"/>
    <n v="4712"/>
    <n v="1831"/>
    <n v="2024"/>
    <n v="12"/>
  </r>
  <r>
    <s v="SHP-31138"/>
    <d v="2024-12-12T00:00:00"/>
    <x v="0"/>
    <s v="Chennai"/>
    <x v="2"/>
    <x v="1"/>
    <x v="4"/>
    <s v="Medium"/>
    <n v="2"/>
    <n v="3"/>
    <n v="1"/>
    <s v="Yes"/>
    <n v="480"/>
    <n v="1211"/>
    <n v="1834"/>
    <n v="0"/>
    <s v="No"/>
    <s v="Minor"/>
    <n v="1834"/>
    <n v="1211"/>
    <n v="2024"/>
    <n v="12"/>
  </r>
  <r>
    <s v="SHP-31139"/>
    <d v="2024-12-04T00:00:00"/>
    <x v="3"/>
    <s v="Pune"/>
    <x v="2"/>
    <x v="1"/>
    <x v="4"/>
    <s v="Medium"/>
    <n v="3"/>
    <n v="3"/>
    <n v="0"/>
    <s v="No"/>
    <n v="82"/>
    <n v="0"/>
    <n v="0"/>
    <n v="1"/>
    <s v="No"/>
    <s v="On Time"/>
    <n v="0"/>
    <n v="0"/>
    <n v="2024"/>
    <n v="12"/>
  </r>
  <r>
    <s v="SHP-31140"/>
    <d v="2024-07-25T00:00:00"/>
    <x v="2"/>
    <s v="Noida"/>
    <x v="0"/>
    <x v="0"/>
    <x v="2"/>
    <s v="High"/>
    <n v="2"/>
    <n v="8"/>
    <n v="6"/>
    <s v="Yes"/>
    <n v="211"/>
    <n v="10122"/>
    <n v="21696"/>
    <n v="0"/>
    <s v="No"/>
    <s v="Severe"/>
    <n v="3616"/>
    <n v="1687"/>
    <n v="2024"/>
    <n v="7"/>
  </r>
  <r>
    <s v="SHP-31141"/>
    <d v="2024-10-31T00:00:00"/>
    <x v="3"/>
    <s v="Pune"/>
    <x v="2"/>
    <x v="1"/>
    <x v="2"/>
    <s v="Low"/>
    <n v="3"/>
    <n v="8"/>
    <n v="5"/>
    <s v="Yes"/>
    <n v="327"/>
    <n v="6400"/>
    <n v="21380"/>
    <n v="0"/>
    <s v="No"/>
    <s v="Major"/>
    <n v="4276"/>
    <n v="1280"/>
    <n v="2024"/>
    <n v="10"/>
  </r>
  <r>
    <s v="SHP-31142"/>
    <d v="2024-07-15T00:00:00"/>
    <x v="3"/>
    <s v="Mumbai"/>
    <x v="2"/>
    <x v="1"/>
    <x v="3"/>
    <s v="Low"/>
    <n v="3"/>
    <n v="5"/>
    <n v="2"/>
    <s v="Yes"/>
    <n v="146"/>
    <n v="3222"/>
    <n v="6428"/>
    <n v="0"/>
    <s v="No"/>
    <s v="Minor"/>
    <n v="3214"/>
    <n v="1611"/>
    <n v="2024"/>
    <n v="7"/>
  </r>
  <r>
    <s v="SHP-31143"/>
    <d v="2024-10-28T00:00:00"/>
    <x v="2"/>
    <s v="Noida"/>
    <x v="1"/>
    <x v="0"/>
    <x v="1"/>
    <s v="Medium"/>
    <n v="2"/>
    <n v="6"/>
    <n v="4"/>
    <s v="Yes"/>
    <n v="134"/>
    <n v="8196"/>
    <n v="18064"/>
    <n v="0"/>
    <s v="No"/>
    <s v="Major"/>
    <n v="4516"/>
    <n v="2049"/>
    <n v="2024"/>
    <n v="10"/>
  </r>
  <r>
    <s v="SHP-31144"/>
    <d v="2024-03-27T00:00:00"/>
    <x v="2"/>
    <s v="Delhi"/>
    <x v="2"/>
    <x v="1"/>
    <x v="2"/>
    <s v="Medium"/>
    <n v="2"/>
    <n v="6"/>
    <n v="4"/>
    <s v="Yes"/>
    <n v="343"/>
    <n v="6988"/>
    <n v="11988"/>
    <n v="0"/>
    <s v="No"/>
    <s v="Major"/>
    <n v="2997"/>
    <n v="1747"/>
    <n v="2024"/>
    <n v="3"/>
  </r>
  <r>
    <s v="SHP-31145"/>
    <d v="2024-02-07T00:00:00"/>
    <x v="1"/>
    <s v="Kolkata"/>
    <x v="2"/>
    <x v="2"/>
    <x v="1"/>
    <s v="Low"/>
    <n v="3"/>
    <n v="5"/>
    <n v="2"/>
    <s v="Yes"/>
    <n v="298"/>
    <n v="2106"/>
    <n v="8244"/>
    <n v="0"/>
    <s v="No"/>
    <s v="Minor"/>
    <n v="4122"/>
    <n v="1053"/>
    <n v="2024"/>
    <n v="2"/>
  </r>
  <r>
    <s v="SHP-31146"/>
    <d v="2024-05-09T00:00:00"/>
    <x v="2"/>
    <s v="Delhi"/>
    <x v="1"/>
    <x v="1"/>
    <x v="4"/>
    <s v="Low"/>
    <n v="2"/>
    <n v="7"/>
    <n v="5"/>
    <s v="Yes"/>
    <n v="126"/>
    <n v="4360"/>
    <n v="18280"/>
    <n v="0"/>
    <s v="No"/>
    <s v="Major"/>
    <n v="3656"/>
    <n v="872"/>
    <n v="2024"/>
    <n v="5"/>
  </r>
  <r>
    <s v="SHP-31147"/>
    <d v="2024-02-28T00:00:00"/>
    <x v="0"/>
    <s v="Chennai"/>
    <x v="0"/>
    <x v="1"/>
    <x v="4"/>
    <s v="High"/>
    <n v="3"/>
    <n v="7"/>
    <n v="4"/>
    <s v="Yes"/>
    <n v="245"/>
    <n v="5692"/>
    <n v="16896"/>
    <n v="0"/>
    <s v="No"/>
    <s v="Major"/>
    <n v="4224"/>
    <n v="1423"/>
    <n v="2024"/>
    <n v="2"/>
  </r>
  <r>
    <s v="SHP-31148"/>
    <d v="2024-07-03T00:00:00"/>
    <x v="2"/>
    <s v="Delhi"/>
    <x v="1"/>
    <x v="0"/>
    <x v="0"/>
    <s v="High"/>
    <n v="1"/>
    <n v="5"/>
    <n v="4"/>
    <s v="Yes"/>
    <n v="90"/>
    <n v="8420"/>
    <n v="14992"/>
    <n v="0"/>
    <s v="No"/>
    <s v="Major"/>
    <n v="3748"/>
    <n v="2105"/>
    <n v="2024"/>
    <n v="7"/>
  </r>
  <r>
    <s v="SHP-31149"/>
    <d v="2024-07-21T00:00:00"/>
    <x v="2"/>
    <s v="Delhi"/>
    <x v="1"/>
    <x v="0"/>
    <x v="1"/>
    <s v="Low"/>
    <n v="5"/>
    <n v="8"/>
    <n v="3"/>
    <s v="Yes"/>
    <n v="441"/>
    <n v="7089"/>
    <n v="7287"/>
    <n v="0"/>
    <s v="No"/>
    <s v="Major"/>
    <n v="2429"/>
    <n v="2363"/>
    <n v="2024"/>
    <n v="7"/>
  </r>
  <r>
    <s v="SHP-31150"/>
    <d v="2024-12-10T00:00:00"/>
    <x v="3"/>
    <s v="Mumbai"/>
    <x v="1"/>
    <x v="0"/>
    <x v="0"/>
    <s v="Medium"/>
    <n v="3"/>
    <n v="3"/>
    <n v="0"/>
    <s v="No"/>
    <n v="268"/>
    <n v="0"/>
    <n v="0"/>
    <n v="1"/>
    <s v="No"/>
    <s v="On Time"/>
    <n v="0"/>
    <n v="0"/>
    <n v="2024"/>
    <n v="12"/>
  </r>
  <r>
    <s v="SHP-31151"/>
    <d v="2024-11-03T00:00:00"/>
    <x v="2"/>
    <s v="Delhi"/>
    <x v="2"/>
    <x v="1"/>
    <x v="4"/>
    <s v="Medium"/>
    <n v="1"/>
    <n v="6"/>
    <n v="5"/>
    <s v="Yes"/>
    <n v="353"/>
    <n v="8175"/>
    <n v="12125"/>
    <n v="0"/>
    <s v="No"/>
    <s v="Major"/>
    <n v="2425"/>
    <n v="1635"/>
    <n v="2024"/>
    <n v="11"/>
  </r>
  <r>
    <s v="SHP-31152"/>
    <d v="2024-10-04T00:00:00"/>
    <x v="3"/>
    <s v="Mumbai"/>
    <x v="1"/>
    <x v="0"/>
    <x v="1"/>
    <s v="Low"/>
    <n v="1"/>
    <n v="5"/>
    <n v="4"/>
    <s v="Yes"/>
    <n v="340"/>
    <n v="9992"/>
    <n v="7308"/>
    <n v="0"/>
    <s v="No"/>
    <s v="Major"/>
    <n v="1827"/>
    <n v="2498"/>
    <n v="2024"/>
    <n v="10"/>
  </r>
  <r>
    <s v="SHP-31153"/>
    <d v="2024-02-03T00:00:00"/>
    <x v="1"/>
    <s v="Kolkata"/>
    <x v="0"/>
    <x v="0"/>
    <x v="0"/>
    <s v="Low"/>
    <n v="3"/>
    <n v="5"/>
    <n v="2"/>
    <s v="Yes"/>
    <n v="336"/>
    <n v="4844"/>
    <n v="5532"/>
    <n v="0"/>
    <s v="No"/>
    <s v="Minor"/>
    <n v="2766"/>
    <n v="2422"/>
    <n v="2024"/>
    <n v="2"/>
  </r>
  <r>
    <s v="SHP-31154"/>
    <d v="2024-09-02T00:00:00"/>
    <x v="2"/>
    <s v="Noida"/>
    <x v="0"/>
    <x v="0"/>
    <x v="1"/>
    <s v="High"/>
    <n v="2"/>
    <n v="5"/>
    <n v="3"/>
    <s v="Yes"/>
    <n v="454"/>
    <n v="4461"/>
    <n v="6657"/>
    <n v="0"/>
    <s v="No"/>
    <s v="Major"/>
    <n v="2219"/>
    <n v="1487"/>
    <n v="2024"/>
    <n v="9"/>
  </r>
  <r>
    <s v="SHP-31155"/>
    <d v="2024-07-29T00:00:00"/>
    <x v="3"/>
    <s v="Pune"/>
    <x v="0"/>
    <x v="2"/>
    <x v="1"/>
    <s v="Low"/>
    <n v="2"/>
    <n v="6"/>
    <n v="4"/>
    <s v="Yes"/>
    <n v="119"/>
    <n v="9924"/>
    <n v="19296"/>
    <n v="0"/>
    <s v="No"/>
    <s v="Major"/>
    <n v="4824"/>
    <n v="2481"/>
    <n v="2024"/>
    <n v="7"/>
  </r>
  <r>
    <s v="SHP-31156"/>
    <d v="2024-04-20T00:00:00"/>
    <x v="3"/>
    <s v="Mumbai"/>
    <x v="1"/>
    <x v="1"/>
    <x v="2"/>
    <s v="High"/>
    <n v="1"/>
    <n v="5"/>
    <n v="4"/>
    <s v="Yes"/>
    <n v="364"/>
    <n v="6544"/>
    <n v="11968"/>
    <n v="0"/>
    <s v="No"/>
    <s v="Major"/>
    <n v="2992"/>
    <n v="1636"/>
    <n v="2024"/>
    <n v="4"/>
  </r>
  <r>
    <s v="SHP-31157"/>
    <d v="2024-10-14T00:00:00"/>
    <x v="3"/>
    <s v="Mumbai"/>
    <x v="2"/>
    <x v="2"/>
    <x v="2"/>
    <s v="Medium"/>
    <n v="2"/>
    <n v="7"/>
    <n v="5"/>
    <s v="Yes"/>
    <n v="424"/>
    <n v="10585"/>
    <n v="9225"/>
    <n v="0"/>
    <s v="No"/>
    <s v="Major"/>
    <n v="1845"/>
    <n v="2117"/>
    <n v="2024"/>
    <n v="10"/>
  </r>
  <r>
    <s v="SHP-31158"/>
    <d v="2024-03-24T00:00:00"/>
    <x v="0"/>
    <s v="Chennai"/>
    <x v="2"/>
    <x v="0"/>
    <x v="1"/>
    <s v="Medium"/>
    <n v="2"/>
    <n v="2"/>
    <n v="0"/>
    <s v="No"/>
    <n v="175"/>
    <n v="0"/>
    <n v="0"/>
    <n v="1"/>
    <s v="No"/>
    <s v="On Time"/>
    <n v="0"/>
    <n v="0"/>
    <n v="2024"/>
    <n v="3"/>
  </r>
  <r>
    <s v="SHP-31159"/>
    <d v="2024-11-11T00:00:00"/>
    <x v="1"/>
    <s v="Kolkata"/>
    <x v="2"/>
    <x v="0"/>
    <x v="4"/>
    <s v="Low"/>
    <n v="3"/>
    <n v="3"/>
    <n v="0"/>
    <s v="No"/>
    <n v="231"/>
    <n v="0"/>
    <n v="0"/>
    <n v="1"/>
    <s v="No"/>
    <s v="On Time"/>
    <n v="0"/>
    <n v="0"/>
    <n v="2024"/>
    <n v="11"/>
  </r>
  <r>
    <s v="SHP-31160"/>
    <d v="2024-05-04T00:00:00"/>
    <x v="1"/>
    <s v="Bhubaneswar"/>
    <x v="2"/>
    <x v="1"/>
    <x v="4"/>
    <s v="High"/>
    <n v="2"/>
    <n v="5"/>
    <n v="3"/>
    <s v="Yes"/>
    <n v="490"/>
    <n v="4545"/>
    <n v="14991"/>
    <n v="0"/>
    <s v="No"/>
    <s v="Major"/>
    <n v="4997"/>
    <n v="1515"/>
    <n v="2024"/>
    <n v="5"/>
  </r>
  <r>
    <s v="SHP-31161"/>
    <d v="2024-04-03T00:00:00"/>
    <x v="2"/>
    <s v="Noida"/>
    <x v="0"/>
    <x v="2"/>
    <x v="3"/>
    <s v="High"/>
    <n v="3"/>
    <n v="8"/>
    <n v="5"/>
    <s v="Yes"/>
    <n v="295"/>
    <n v="5075"/>
    <n v="16245"/>
    <n v="0"/>
    <s v="No"/>
    <s v="Major"/>
    <n v="3249"/>
    <n v="1015"/>
    <n v="2024"/>
    <n v="4"/>
  </r>
  <r>
    <s v="SHP-31162"/>
    <d v="2024-12-22T00:00:00"/>
    <x v="3"/>
    <s v="Mumbai"/>
    <x v="0"/>
    <x v="1"/>
    <x v="0"/>
    <s v="Medium"/>
    <n v="3"/>
    <n v="6"/>
    <n v="3"/>
    <s v="Yes"/>
    <n v="341"/>
    <n v="5940"/>
    <n v="4764"/>
    <n v="0"/>
    <s v="No"/>
    <s v="Major"/>
    <n v="1588"/>
    <n v="1980"/>
    <n v="2024"/>
    <n v="12"/>
  </r>
  <r>
    <s v="SHP-31163"/>
    <d v="2024-09-02T00:00:00"/>
    <x v="2"/>
    <s v="Delhi"/>
    <x v="2"/>
    <x v="1"/>
    <x v="2"/>
    <s v="Low"/>
    <n v="1"/>
    <n v="2"/>
    <n v="1"/>
    <s v="Yes"/>
    <n v="473"/>
    <n v="1210"/>
    <n v="4729"/>
    <n v="0"/>
    <s v="No"/>
    <s v="Minor"/>
    <n v="4729"/>
    <n v="1210"/>
    <n v="2024"/>
    <n v="9"/>
  </r>
  <r>
    <s v="SHP-31164"/>
    <d v="2024-11-20T00:00:00"/>
    <x v="3"/>
    <s v="Mumbai"/>
    <x v="1"/>
    <x v="1"/>
    <x v="3"/>
    <s v="Low"/>
    <n v="1"/>
    <n v="5"/>
    <n v="4"/>
    <s v="Yes"/>
    <n v="144"/>
    <n v="8076"/>
    <n v="8788"/>
    <n v="0"/>
    <s v="No"/>
    <s v="Major"/>
    <n v="2197"/>
    <n v="2019"/>
    <n v="2024"/>
    <n v="11"/>
  </r>
  <r>
    <s v="SHP-31165"/>
    <d v="2024-02-03T00:00:00"/>
    <x v="1"/>
    <s v="Kolkata"/>
    <x v="1"/>
    <x v="1"/>
    <x v="0"/>
    <s v="Low"/>
    <n v="1"/>
    <n v="5"/>
    <n v="4"/>
    <s v="Yes"/>
    <n v="350"/>
    <n v="3792"/>
    <n v="6056"/>
    <n v="0"/>
    <s v="No"/>
    <s v="Major"/>
    <n v="1514"/>
    <n v="948"/>
    <n v="2024"/>
    <n v="2"/>
  </r>
  <r>
    <s v="SHP-31166"/>
    <d v="2024-10-15T00:00:00"/>
    <x v="3"/>
    <s v="Mumbai"/>
    <x v="0"/>
    <x v="0"/>
    <x v="2"/>
    <s v="Low"/>
    <n v="2"/>
    <n v="7"/>
    <n v="5"/>
    <s v="Yes"/>
    <n v="108"/>
    <n v="9330"/>
    <n v="8760"/>
    <n v="0"/>
    <s v="No"/>
    <s v="Major"/>
    <n v="1752"/>
    <n v="1866"/>
    <n v="2024"/>
    <n v="10"/>
  </r>
  <r>
    <s v="SHP-31167"/>
    <d v="2024-12-21T00:00:00"/>
    <x v="0"/>
    <s v="Bengaluru"/>
    <x v="0"/>
    <x v="0"/>
    <x v="3"/>
    <s v="Low"/>
    <n v="1"/>
    <n v="2"/>
    <n v="1"/>
    <s v="Yes"/>
    <n v="223"/>
    <n v="1988"/>
    <n v="4943"/>
    <n v="0"/>
    <s v="No"/>
    <s v="Minor"/>
    <n v="4943"/>
    <n v="1988"/>
    <n v="2024"/>
    <n v="12"/>
  </r>
  <r>
    <s v="SHP-31168"/>
    <d v="2024-09-10T00:00:00"/>
    <x v="3"/>
    <s v="Mumbai"/>
    <x v="2"/>
    <x v="1"/>
    <x v="1"/>
    <s v="Low"/>
    <n v="3"/>
    <n v="6"/>
    <n v="3"/>
    <s v="Yes"/>
    <n v="452"/>
    <n v="4095"/>
    <n v="11298"/>
    <n v="0"/>
    <s v="No"/>
    <s v="Major"/>
    <n v="3766"/>
    <n v="1365"/>
    <n v="2024"/>
    <n v="9"/>
  </r>
  <r>
    <s v="SHP-31169"/>
    <d v="2024-08-23T00:00:00"/>
    <x v="1"/>
    <s v="Bhubaneswar"/>
    <x v="1"/>
    <x v="0"/>
    <x v="3"/>
    <s v="Medium"/>
    <n v="2"/>
    <n v="5"/>
    <n v="3"/>
    <s v="Yes"/>
    <n v="161"/>
    <n v="5019"/>
    <n v="7227"/>
    <n v="0"/>
    <s v="No"/>
    <s v="Major"/>
    <n v="2409"/>
    <n v="1673"/>
    <n v="2024"/>
    <n v="8"/>
  </r>
  <r>
    <s v="SHP-31170"/>
    <d v="2024-04-12T00:00:00"/>
    <x v="1"/>
    <s v="Bhubaneswar"/>
    <x v="0"/>
    <x v="1"/>
    <x v="3"/>
    <s v="Medium"/>
    <n v="2"/>
    <n v="2"/>
    <n v="0"/>
    <s v="No"/>
    <n v="231"/>
    <n v="0"/>
    <n v="0"/>
    <n v="1"/>
    <s v="No"/>
    <s v="On Time"/>
    <n v="0"/>
    <n v="0"/>
    <n v="2024"/>
    <n v="4"/>
  </r>
  <r>
    <s v="SHP-31171"/>
    <d v="2024-08-31T00:00:00"/>
    <x v="1"/>
    <s v="Bhubaneswar"/>
    <x v="0"/>
    <x v="1"/>
    <x v="2"/>
    <s v="Low"/>
    <n v="1"/>
    <n v="5"/>
    <n v="4"/>
    <s v="Yes"/>
    <n v="466"/>
    <n v="8072"/>
    <n v="17708"/>
    <n v="0"/>
    <s v="No"/>
    <s v="Major"/>
    <n v="4427"/>
    <n v="2018"/>
    <n v="2024"/>
    <n v="8"/>
  </r>
  <r>
    <s v="SHP-31172"/>
    <d v="2024-01-25T00:00:00"/>
    <x v="2"/>
    <s v="Delhi"/>
    <x v="0"/>
    <x v="0"/>
    <x v="0"/>
    <s v="Low"/>
    <n v="1"/>
    <n v="5"/>
    <n v="4"/>
    <s v="Yes"/>
    <n v="380"/>
    <n v="3740"/>
    <n v="15948"/>
    <n v="0"/>
    <s v="No"/>
    <s v="Major"/>
    <n v="3987"/>
    <n v="935"/>
    <n v="2024"/>
    <n v="1"/>
  </r>
  <r>
    <s v="SHP-31173"/>
    <d v="2024-10-25T00:00:00"/>
    <x v="1"/>
    <s v="Bhubaneswar"/>
    <x v="0"/>
    <x v="1"/>
    <x v="3"/>
    <s v="Low"/>
    <n v="2"/>
    <n v="2"/>
    <n v="0"/>
    <s v="No"/>
    <n v="254"/>
    <n v="0"/>
    <n v="0"/>
    <n v="1"/>
    <s v="No"/>
    <s v="On Time"/>
    <n v="0"/>
    <n v="0"/>
    <n v="2024"/>
    <n v="10"/>
  </r>
  <r>
    <s v="SHP-31174"/>
    <d v="2024-08-25T00:00:00"/>
    <x v="2"/>
    <s v="Delhi"/>
    <x v="0"/>
    <x v="0"/>
    <x v="1"/>
    <s v="Medium"/>
    <n v="1"/>
    <n v="2"/>
    <n v="1"/>
    <s v="Yes"/>
    <n v="117"/>
    <n v="1110"/>
    <n v="4660"/>
    <n v="0"/>
    <s v="No"/>
    <s v="Minor"/>
    <n v="4660"/>
    <n v="1110"/>
    <n v="2024"/>
    <n v="8"/>
  </r>
  <r>
    <s v="SHP-31175"/>
    <d v="2024-06-17T00:00:00"/>
    <x v="1"/>
    <s v="Bhubaneswar"/>
    <x v="1"/>
    <x v="0"/>
    <x v="4"/>
    <s v="Medium"/>
    <n v="2"/>
    <n v="3"/>
    <n v="1"/>
    <s v="Yes"/>
    <n v="147"/>
    <n v="2112"/>
    <n v="2448"/>
    <n v="0"/>
    <s v="No"/>
    <s v="Minor"/>
    <n v="2448"/>
    <n v="2112"/>
    <n v="2024"/>
    <n v="6"/>
  </r>
  <r>
    <s v="SHP-31176"/>
    <d v="2024-09-29T00:00:00"/>
    <x v="0"/>
    <s v="Bengaluru"/>
    <x v="1"/>
    <x v="1"/>
    <x v="3"/>
    <s v="Medium"/>
    <n v="5"/>
    <n v="10"/>
    <n v="5"/>
    <s v="Yes"/>
    <n v="302"/>
    <n v="5310"/>
    <n v="7940"/>
    <n v="0"/>
    <s v="No"/>
    <s v="Major"/>
    <n v="1588"/>
    <n v="1062"/>
    <n v="2024"/>
    <n v="9"/>
  </r>
  <r>
    <s v="SHP-31177"/>
    <d v="2024-10-24T00:00:00"/>
    <x v="2"/>
    <s v="Noida"/>
    <x v="0"/>
    <x v="1"/>
    <x v="2"/>
    <s v="High"/>
    <n v="2"/>
    <n v="8"/>
    <n v="6"/>
    <s v="Yes"/>
    <n v="141"/>
    <n v="9738"/>
    <n v="16170"/>
    <n v="0"/>
    <s v="No"/>
    <s v="Severe"/>
    <n v="2695"/>
    <n v="1623"/>
    <n v="2024"/>
    <n v="10"/>
  </r>
  <r>
    <s v="SHP-31178"/>
    <d v="2024-02-25T00:00:00"/>
    <x v="0"/>
    <s v="Chennai"/>
    <x v="0"/>
    <x v="1"/>
    <x v="2"/>
    <s v="High"/>
    <n v="1"/>
    <n v="3"/>
    <n v="2"/>
    <s v="Yes"/>
    <n v="458"/>
    <n v="3108"/>
    <n v="4252"/>
    <n v="0"/>
    <s v="No"/>
    <s v="Minor"/>
    <n v="2126"/>
    <n v="1554"/>
    <n v="2024"/>
    <n v="2"/>
  </r>
  <r>
    <s v="SHP-31179"/>
    <d v="2024-04-23T00:00:00"/>
    <x v="2"/>
    <s v="Noida"/>
    <x v="1"/>
    <x v="2"/>
    <x v="2"/>
    <s v="High"/>
    <n v="2"/>
    <n v="6"/>
    <n v="4"/>
    <s v="Yes"/>
    <n v="414"/>
    <n v="3556"/>
    <n v="19208"/>
    <n v="0"/>
    <s v="No"/>
    <s v="Major"/>
    <n v="4802"/>
    <n v="889"/>
    <n v="2024"/>
    <n v="4"/>
  </r>
  <r>
    <s v="SHP-31180"/>
    <d v="2024-03-08T00:00:00"/>
    <x v="0"/>
    <s v="Chennai"/>
    <x v="1"/>
    <x v="2"/>
    <x v="4"/>
    <s v="Low"/>
    <n v="2"/>
    <n v="8"/>
    <n v="6"/>
    <s v="Yes"/>
    <n v="244"/>
    <n v="6852"/>
    <n v="28410"/>
    <n v="0"/>
    <s v="No"/>
    <s v="Severe"/>
    <n v="4735"/>
    <n v="1142"/>
    <n v="2024"/>
    <n v="3"/>
  </r>
  <r>
    <s v="SHP-31181"/>
    <d v="2024-01-22T00:00:00"/>
    <x v="0"/>
    <s v="Bengaluru"/>
    <x v="1"/>
    <x v="0"/>
    <x v="0"/>
    <s v="Medium"/>
    <n v="3"/>
    <n v="8"/>
    <n v="5"/>
    <s v="Yes"/>
    <n v="428"/>
    <n v="7205"/>
    <n v="22210"/>
    <n v="0"/>
    <s v="No"/>
    <s v="Major"/>
    <n v="4442"/>
    <n v="1441"/>
    <n v="2024"/>
    <n v="1"/>
  </r>
  <r>
    <s v="SHP-31182"/>
    <d v="2024-11-10T00:00:00"/>
    <x v="2"/>
    <s v="Noida"/>
    <x v="1"/>
    <x v="1"/>
    <x v="4"/>
    <s v="High"/>
    <n v="2"/>
    <n v="9"/>
    <n v="7"/>
    <s v="Yes"/>
    <n v="58"/>
    <n v="6531"/>
    <n v="30478"/>
    <n v="0"/>
    <s v="No"/>
    <s v="Severe"/>
    <n v="4354"/>
    <n v="933"/>
    <n v="2024"/>
    <n v="11"/>
  </r>
  <r>
    <s v="SHP-31183"/>
    <d v="2024-12-13T00:00:00"/>
    <x v="3"/>
    <s v="Mumbai"/>
    <x v="1"/>
    <x v="2"/>
    <x v="1"/>
    <s v="Low"/>
    <n v="1"/>
    <n v="3"/>
    <n v="2"/>
    <s v="Yes"/>
    <n v="388"/>
    <n v="4074"/>
    <n v="6052"/>
    <n v="0"/>
    <s v="No"/>
    <s v="Minor"/>
    <n v="3026"/>
    <n v="2037"/>
    <n v="2024"/>
    <n v="12"/>
  </r>
  <r>
    <s v="SHP-31184"/>
    <d v="2024-09-06T00:00:00"/>
    <x v="1"/>
    <s v="Kolkata"/>
    <x v="0"/>
    <x v="2"/>
    <x v="0"/>
    <s v="Medium"/>
    <n v="1"/>
    <n v="7"/>
    <n v="6"/>
    <s v="Yes"/>
    <n v="336"/>
    <n v="9630"/>
    <n v="20130"/>
    <n v="0"/>
    <s v="No"/>
    <s v="Severe"/>
    <n v="3355"/>
    <n v="1605"/>
    <n v="2024"/>
    <n v="9"/>
  </r>
  <r>
    <s v="SHP-31185"/>
    <d v="2024-09-18T00:00:00"/>
    <x v="0"/>
    <s v="Chennai"/>
    <x v="1"/>
    <x v="1"/>
    <x v="4"/>
    <s v="Medium"/>
    <n v="1"/>
    <n v="6"/>
    <n v="5"/>
    <s v="Yes"/>
    <n v="215"/>
    <n v="12410"/>
    <n v="17980"/>
    <n v="0"/>
    <s v="No"/>
    <s v="Major"/>
    <n v="3596"/>
    <n v="2482"/>
    <n v="2024"/>
    <n v="9"/>
  </r>
  <r>
    <s v="SHP-31186"/>
    <d v="2024-08-17T00:00:00"/>
    <x v="3"/>
    <s v="Pune"/>
    <x v="2"/>
    <x v="0"/>
    <x v="1"/>
    <s v="Medium"/>
    <n v="1"/>
    <n v="3"/>
    <n v="2"/>
    <s v="Yes"/>
    <n v="380"/>
    <n v="2444"/>
    <n v="6538"/>
    <n v="0"/>
    <s v="No"/>
    <s v="Minor"/>
    <n v="3269"/>
    <n v="1222"/>
    <n v="2024"/>
    <n v="8"/>
  </r>
  <r>
    <s v="SHP-31187"/>
    <d v="2024-07-20T00:00:00"/>
    <x v="1"/>
    <s v="Kolkata"/>
    <x v="1"/>
    <x v="2"/>
    <x v="4"/>
    <s v="Low"/>
    <n v="3"/>
    <n v="6"/>
    <n v="3"/>
    <s v="Yes"/>
    <n v="285"/>
    <n v="4056"/>
    <n v="8877"/>
    <n v="0"/>
    <s v="No"/>
    <s v="Major"/>
    <n v="2959"/>
    <n v="1352"/>
    <n v="2024"/>
    <n v="7"/>
  </r>
  <r>
    <s v="SHP-31188"/>
    <d v="2024-05-21T00:00:00"/>
    <x v="2"/>
    <s v="Noida"/>
    <x v="2"/>
    <x v="2"/>
    <x v="2"/>
    <s v="High"/>
    <n v="2"/>
    <n v="6"/>
    <n v="4"/>
    <s v="Yes"/>
    <n v="457"/>
    <n v="9464"/>
    <n v="8408"/>
    <n v="0"/>
    <s v="No"/>
    <s v="Major"/>
    <n v="2102"/>
    <n v="2366"/>
    <n v="2024"/>
    <n v="5"/>
  </r>
  <r>
    <s v="SHP-31189"/>
    <d v="2024-09-10T00:00:00"/>
    <x v="1"/>
    <s v="Kolkata"/>
    <x v="0"/>
    <x v="0"/>
    <x v="3"/>
    <s v="Low"/>
    <n v="2"/>
    <n v="3"/>
    <n v="1"/>
    <s v="Yes"/>
    <n v="479"/>
    <n v="2065"/>
    <n v="4850"/>
    <n v="0"/>
    <s v="No"/>
    <s v="Minor"/>
    <n v="4850"/>
    <n v="2065"/>
    <n v="2024"/>
    <n v="9"/>
  </r>
  <r>
    <s v="SHP-31190"/>
    <d v="2024-04-13T00:00:00"/>
    <x v="3"/>
    <s v="Mumbai"/>
    <x v="2"/>
    <x v="1"/>
    <x v="4"/>
    <s v="Low"/>
    <n v="1"/>
    <n v="6"/>
    <n v="5"/>
    <s v="Yes"/>
    <n v="158"/>
    <n v="4250"/>
    <n v="11925"/>
    <n v="0"/>
    <s v="No"/>
    <s v="Major"/>
    <n v="2385"/>
    <n v="850"/>
    <n v="2024"/>
    <n v="4"/>
  </r>
  <r>
    <s v="SHP-31191"/>
    <d v="2024-03-23T00:00:00"/>
    <x v="1"/>
    <s v="Bhubaneswar"/>
    <x v="0"/>
    <x v="1"/>
    <x v="0"/>
    <s v="Low"/>
    <n v="2"/>
    <n v="6"/>
    <n v="4"/>
    <s v="Yes"/>
    <n v="263"/>
    <n v="5100"/>
    <n v="18868"/>
    <n v="0"/>
    <s v="No"/>
    <s v="Major"/>
    <n v="4717"/>
    <n v="1275"/>
    <n v="2024"/>
    <n v="3"/>
  </r>
  <r>
    <s v="SHP-31192"/>
    <d v="2024-11-01T00:00:00"/>
    <x v="0"/>
    <s v="Chennai"/>
    <x v="0"/>
    <x v="0"/>
    <x v="4"/>
    <s v="Medium"/>
    <n v="2"/>
    <n v="3"/>
    <n v="1"/>
    <s v="Yes"/>
    <n v="356"/>
    <n v="1142"/>
    <n v="4136"/>
    <n v="0"/>
    <s v="No"/>
    <s v="Minor"/>
    <n v="4136"/>
    <n v="1142"/>
    <n v="2024"/>
    <n v="11"/>
  </r>
  <r>
    <s v="SHP-31193"/>
    <d v="2024-01-01T00:00:00"/>
    <x v="0"/>
    <s v="Bengaluru"/>
    <x v="0"/>
    <x v="1"/>
    <x v="4"/>
    <s v="Medium"/>
    <n v="2"/>
    <n v="4"/>
    <n v="2"/>
    <s v="Yes"/>
    <n v="409"/>
    <n v="3244"/>
    <n v="7780"/>
    <n v="0"/>
    <s v="No"/>
    <s v="Minor"/>
    <n v="3890"/>
    <n v="1622"/>
    <n v="2024"/>
    <n v="1"/>
  </r>
  <r>
    <s v="SHP-31194"/>
    <d v="2024-02-10T00:00:00"/>
    <x v="2"/>
    <s v="Noida"/>
    <x v="0"/>
    <x v="0"/>
    <x v="3"/>
    <s v="Low"/>
    <n v="1"/>
    <n v="3"/>
    <n v="2"/>
    <s v="Yes"/>
    <n v="98"/>
    <n v="4638"/>
    <n v="3274"/>
    <n v="0"/>
    <s v="No"/>
    <s v="Minor"/>
    <n v="1637"/>
    <n v="2319"/>
    <n v="2024"/>
    <n v="2"/>
  </r>
  <r>
    <s v="SHP-31195"/>
    <d v="2024-01-22T00:00:00"/>
    <x v="1"/>
    <s v="Kolkata"/>
    <x v="0"/>
    <x v="0"/>
    <x v="1"/>
    <s v="Low"/>
    <n v="3"/>
    <n v="7"/>
    <n v="4"/>
    <s v="Yes"/>
    <n v="212"/>
    <n v="4652"/>
    <n v="14220"/>
    <n v="0"/>
    <s v="No"/>
    <s v="Major"/>
    <n v="3555"/>
    <n v="1163"/>
    <n v="2024"/>
    <n v="1"/>
  </r>
  <r>
    <s v="SHP-31196"/>
    <d v="2024-06-05T00:00:00"/>
    <x v="1"/>
    <s v="Bhubaneswar"/>
    <x v="1"/>
    <x v="1"/>
    <x v="4"/>
    <s v="Low"/>
    <n v="1"/>
    <n v="4"/>
    <n v="3"/>
    <s v="Yes"/>
    <n v="270"/>
    <n v="7119"/>
    <n v="8841"/>
    <n v="0"/>
    <s v="No"/>
    <s v="Major"/>
    <n v="2947"/>
    <n v="2373"/>
    <n v="2024"/>
    <n v="6"/>
  </r>
  <r>
    <s v="SHP-31197"/>
    <d v="2024-09-25T00:00:00"/>
    <x v="2"/>
    <s v="Noida"/>
    <x v="2"/>
    <x v="1"/>
    <x v="0"/>
    <s v="Medium"/>
    <n v="2"/>
    <n v="3"/>
    <n v="1"/>
    <s v="Yes"/>
    <n v="235"/>
    <n v="2474"/>
    <n v="4536"/>
    <n v="0"/>
    <s v="No"/>
    <s v="Minor"/>
    <n v="4536"/>
    <n v="2474"/>
    <n v="2024"/>
    <n v="9"/>
  </r>
  <r>
    <s v="SHP-31198"/>
    <d v="2024-05-25T00:00:00"/>
    <x v="1"/>
    <s v="Bhubaneswar"/>
    <x v="0"/>
    <x v="2"/>
    <x v="4"/>
    <s v="Low"/>
    <n v="2"/>
    <n v="6"/>
    <n v="4"/>
    <s v="Yes"/>
    <n v="55"/>
    <n v="5996"/>
    <n v="16320"/>
    <n v="0"/>
    <s v="No"/>
    <s v="Major"/>
    <n v="4080"/>
    <n v="1499"/>
    <n v="2024"/>
    <n v="5"/>
  </r>
  <r>
    <s v="SHP-31199"/>
    <d v="2024-03-30T00:00:00"/>
    <x v="0"/>
    <s v="Bengaluru"/>
    <x v="0"/>
    <x v="1"/>
    <x v="0"/>
    <s v="Medium"/>
    <n v="1"/>
    <n v="4"/>
    <n v="3"/>
    <s v="Yes"/>
    <n v="246"/>
    <n v="4698"/>
    <n v="8826"/>
    <n v="0"/>
    <s v="No"/>
    <s v="Major"/>
    <n v="2942"/>
    <n v="1566"/>
    <n v="2024"/>
    <n v="3"/>
  </r>
  <r>
    <s v="SHP-31200"/>
    <d v="2024-06-22T00:00:00"/>
    <x v="3"/>
    <s v="Mumbai"/>
    <x v="2"/>
    <x v="1"/>
    <x v="3"/>
    <s v="Low"/>
    <n v="3"/>
    <n v="8"/>
    <n v="5"/>
    <s v="Yes"/>
    <n v="450"/>
    <n v="7120"/>
    <n v="15770"/>
    <n v="0"/>
    <s v="No"/>
    <s v="Major"/>
    <n v="3154"/>
    <n v="1424"/>
    <n v="2024"/>
    <n v="6"/>
  </r>
  <r>
    <s v="SHP-31201"/>
    <d v="2024-08-20T00:00:00"/>
    <x v="3"/>
    <s v="Mumbai"/>
    <x v="1"/>
    <x v="2"/>
    <x v="2"/>
    <s v="High"/>
    <n v="1"/>
    <n v="7"/>
    <n v="6"/>
    <s v="Yes"/>
    <n v="456"/>
    <n v="7416"/>
    <n v="21324"/>
    <n v="0"/>
    <s v="No"/>
    <s v="Severe"/>
    <n v="3554"/>
    <n v="1236"/>
    <n v="2024"/>
    <n v="8"/>
  </r>
  <r>
    <s v="SHP-31202"/>
    <d v="2024-01-22T00:00:00"/>
    <x v="3"/>
    <s v="Mumbai"/>
    <x v="2"/>
    <x v="1"/>
    <x v="2"/>
    <s v="Low"/>
    <n v="2"/>
    <n v="6"/>
    <n v="4"/>
    <s v="Yes"/>
    <n v="171"/>
    <n v="4616"/>
    <n v="6680"/>
    <n v="0"/>
    <s v="No"/>
    <s v="Major"/>
    <n v="1670"/>
    <n v="1154"/>
    <n v="2024"/>
    <n v="1"/>
  </r>
  <r>
    <s v="SHP-31203"/>
    <d v="2024-05-17T00:00:00"/>
    <x v="0"/>
    <s v="Bengaluru"/>
    <x v="2"/>
    <x v="0"/>
    <x v="4"/>
    <s v="Low"/>
    <n v="1"/>
    <n v="6"/>
    <n v="5"/>
    <s v="Yes"/>
    <n v="335"/>
    <n v="11865"/>
    <n v="10900"/>
    <n v="0"/>
    <s v="No"/>
    <s v="Major"/>
    <n v="2180"/>
    <n v="2373"/>
    <n v="2024"/>
    <n v="5"/>
  </r>
  <r>
    <s v="SHP-31204"/>
    <d v="2024-02-18T00:00:00"/>
    <x v="3"/>
    <s v="Pune"/>
    <x v="2"/>
    <x v="2"/>
    <x v="4"/>
    <s v="Low"/>
    <n v="2"/>
    <n v="8"/>
    <n v="6"/>
    <s v="Yes"/>
    <n v="176"/>
    <n v="8298"/>
    <n v="26856"/>
    <n v="0"/>
    <s v="No"/>
    <s v="Severe"/>
    <n v="4476"/>
    <n v="1383"/>
    <n v="2024"/>
    <n v="2"/>
  </r>
  <r>
    <s v="SHP-31205"/>
    <d v="2024-09-15T00:00:00"/>
    <x v="3"/>
    <s v="Pune"/>
    <x v="1"/>
    <x v="1"/>
    <x v="1"/>
    <s v="High"/>
    <n v="2"/>
    <n v="9"/>
    <n v="7"/>
    <s v="Yes"/>
    <n v="344"/>
    <n v="11389"/>
    <n v="22351"/>
    <n v="0"/>
    <s v="No"/>
    <s v="Severe"/>
    <n v="3193"/>
    <n v="1627"/>
    <n v="2024"/>
    <n v="9"/>
  </r>
  <r>
    <s v="SHP-31206"/>
    <d v="2024-02-14T00:00:00"/>
    <x v="1"/>
    <s v="Bhubaneswar"/>
    <x v="0"/>
    <x v="2"/>
    <x v="4"/>
    <s v="Medium"/>
    <n v="3"/>
    <n v="5"/>
    <n v="2"/>
    <s v="Yes"/>
    <n v="166"/>
    <n v="4102"/>
    <n v="8676"/>
    <n v="0"/>
    <s v="No"/>
    <s v="Minor"/>
    <n v="4338"/>
    <n v="2051"/>
    <n v="2024"/>
    <n v="2"/>
  </r>
  <r>
    <s v="SHP-31207"/>
    <d v="2024-01-17T00:00:00"/>
    <x v="3"/>
    <s v="Mumbai"/>
    <x v="2"/>
    <x v="2"/>
    <x v="4"/>
    <s v="Medium"/>
    <n v="3"/>
    <n v="6"/>
    <n v="3"/>
    <s v="Yes"/>
    <n v="437"/>
    <n v="7296"/>
    <n v="7872"/>
    <n v="0"/>
    <s v="No"/>
    <s v="Major"/>
    <n v="2624"/>
    <n v="2432"/>
    <n v="2024"/>
    <n v="1"/>
  </r>
  <r>
    <s v="SHP-31208"/>
    <d v="2024-06-26T00:00:00"/>
    <x v="3"/>
    <s v="Pune"/>
    <x v="2"/>
    <x v="1"/>
    <x v="3"/>
    <s v="Medium"/>
    <n v="2"/>
    <n v="7"/>
    <n v="5"/>
    <s v="Yes"/>
    <n v="151"/>
    <n v="11275"/>
    <n v="8205"/>
    <n v="0"/>
    <s v="No"/>
    <s v="Major"/>
    <n v="1641"/>
    <n v="2255"/>
    <n v="2024"/>
    <n v="6"/>
  </r>
  <r>
    <s v="SHP-31209"/>
    <d v="2024-07-01T00:00:00"/>
    <x v="1"/>
    <s v="Bhubaneswar"/>
    <x v="2"/>
    <x v="1"/>
    <x v="0"/>
    <s v="Medium"/>
    <n v="2"/>
    <n v="7"/>
    <n v="5"/>
    <s v="Yes"/>
    <n v="466"/>
    <n v="8245"/>
    <n v="16945"/>
    <n v="0"/>
    <s v="No"/>
    <s v="Major"/>
    <n v="3389"/>
    <n v="1649"/>
    <n v="2024"/>
    <n v="7"/>
  </r>
  <r>
    <s v="SHP-31210"/>
    <d v="2024-02-27T00:00:00"/>
    <x v="3"/>
    <s v="Mumbai"/>
    <x v="0"/>
    <x v="2"/>
    <x v="4"/>
    <s v="High"/>
    <n v="3"/>
    <n v="10"/>
    <n v="7"/>
    <s v="Yes"/>
    <n v="220"/>
    <n v="8134"/>
    <n v="30506"/>
    <n v="0"/>
    <s v="No"/>
    <s v="Severe"/>
    <n v="4358"/>
    <n v="1162"/>
    <n v="2024"/>
    <n v="2"/>
  </r>
  <r>
    <s v="SHP-31211"/>
    <d v="2024-07-16T00:00:00"/>
    <x v="1"/>
    <s v="Bhubaneswar"/>
    <x v="2"/>
    <x v="2"/>
    <x v="4"/>
    <s v="Low"/>
    <n v="1"/>
    <n v="2"/>
    <n v="1"/>
    <s v="Yes"/>
    <n v="221"/>
    <n v="2270"/>
    <n v="1968"/>
    <n v="0"/>
    <s v="No"/>
    <s v="Minor"/>
    <n v="1968"/>
    <n v="2270"/>
    <n v="2024"/>
    <n v="7"/>
  </r>
  <r>
    <s v="SHP-31212"/>
    <d v="2024-12-10T00:00:00"/>
    <x v="2"/>
    <s v="Delhi"/>
    <x v="0"/>
    <x v="0"/>
    <x v="1"/>
    <s v="Low"/>
    <n v="1"/>
    <n v="5"/>
    <n v="4"/>
    <s v="Yes"/>
    <n v="264"/>
    <n v="5420"/>
    <n v="13664"/>
    <n v="0"/>
    <s v="No"/>
    <s v="Major"/>
    <n v="3416"/>
    <n v="1355"/>
    <n v="2024"/>
    <n v="12"/>
  </r>
  <r>
    <s v="SHP-31213"/>
    <d v="2024-09-28T00:00:00"/>
    <x v="1"/>
    <s v="Bhubaneswar"/>
    <x v="0"/>
    <x v="0"/>
    <x v="2"/>
    <s v="Low"/>
    <n v="5"/>
    <n v="9"/>
    <n v="4"/>
    <s v="Yes"/>
    <n v="324"/>
    <n v="5504"/>
    <n v="9108"/>
    <n v="0"/>
    <s v="No"/>
    <s v="Major"/>
    <n v="2277"/>
    <n v="1376"/>
    <n v="2024"/>
    <n v="9"/>
  </r>
  <r>
    <s v="SHP-31214"/>
    <d v="2024-02-14T00:00:00"/>
    <x v="1"/>
    <s v="Kolkata"/>
    <x v="1"/>
    <x v="1"/>
    <x v="1"/>
    <s v="Medium"/>
    <n v="2"/>
    <n v="6"/>
    <n v="4"/>
    <s v="Yes"/>
    <n v="91"/>
    <n v="5312"/>
    <n v="8804"/>
    <n v="0"/>
    <s v="No"/>
    <s v="Major"/>
    <n v="2201"/>
    <n v="1328"/>
    <n v="2024"/>
    <n v="2"/>
  </r>
  <r>
    <s v="SHP-31215"/>
    <d v="2024-08-11T00:00:00"/>
    <x v="2"/>
    <s v="Noida"/>
    <x v="2"/>
    <x v="0"/>
    <x v="4"/>
    <s v="Medium"/>
    <n v="1"/>
    <n v="4"/>
    <n v="3"/>
    <s v="Yes"/>
    <n v="313"/>
    <n v="3714"/>
    <n v="12594"/>
    <n v="0"/>
    <s v="No"/>
    <s v="Major"/>
    <n v="4198"/>
    <n v="1238"/>
    <n v="2024"/>
    <n v="8"/>
  </r>
  <r>
    <s v="SHP-31216"/>
    <d v="2024-10-18T00:00:00"/>
    <x v="1"/>
    <s v="Bhubaneswar"/>
    <x v="2"/>
    <x v="0"/>
    <x v="2"/>
    <s v="Low"/>
    <n v="3"/>
    <n v="7"/>
    <n v="4"/>
    <s v="Yes"/>
    <n v="108"/>
    <n v="7916"/>
    <n v="6476"/>
    <n v="0"/>
    <s v="No"/>
    <s v="Major"/>
    <n v="1619"/>
    <n v="1979"/>
    <n v="2024"/>
    <n v="10"/>
  </r>
  <r>
    <s v="SHP-31217"/>
    <d v="2024-02-14T00:00:00"/>
    <x v="1"/>
    <s v="Bhubaneswar"/>
    <x v="1"/>
    <x v="1"/>
    <x v="2"/>
    <s v="Low"/>
    <n v="3"/>
    <n v="6"/>
    <n v="3"/>
    <s v="Yes"/>
    <n v="226"/>
    <n v="5802"/>
    <n v="10815"/>
    <n v="0"/>
    <s v="No"/>
    <s v="Major"/>
    <n v="3605"/>
    <n v="1934"/>
    <n v="2024"/>
    <n v="2"/>
  </r>
  <r>
    <s v="SHP-31218"/>
    <d v="2024-03-21T00:00:00"/>
    <x v="0"/>
    <s v="Bengaluru"/>
    <x v="0"/>
    <x v="0"/>
    <x v="2"/>
    <s v="Medium"/>
    <n v="2"/>
    <n v="6"/>
    <n v="4"/>
    <s v="Yes"/>
    <n v="138"/>
    <n v="5460"/>
    <n v="7524"/>
    <n v="0"/>
    <s v="No"/>
    <s v="Major"/>
    <n v="1881"/>
    <n v="1365"/>
    <n v="2024"/>
    <n v="3"/>
  </r>
  <r>
    <s v="SHP-31219"/>
    <d v="2024-02-29T00:00:00"/>
    <x v="0"/>
    <s v="Bengaluru"/>
    <x v="1"/>
    <x v="1"/>
    <x v="1"/>
    <s v="High"/>
    <n v="1"/>
    <n v="6"/>
    <n v="5"/>
    <s v="Yes"/>
    <n v="289"/>
    <n v="12040"/>
    <n v="8635"/>
    <n v="0"/>
    <s v="No"/>
    <s v="Major"/>
    <n v="1727"/>
    <n v="2408"/>
    <n v="2024"/>
    <n v="2"/>
  </r>
  <r>
    <s v="SHP-31220"/>
    <d v="2024-08-03T00:00:00"/>
    <x v="0"/>
    <s v="Bengaluru"/>
    <x v="2"/>
    <x v="1"/>
    <x v="2"/>
    <s v="Low"/>
    <n v="3"/>
    <n v="4"/>
    <n v="1"/>
    <s v="Yes"/>
    <n v="275"/>
    <n v="2321"/>
    <n v="3922"/>
    <n v="0"/>
    <s v="No"/>
    <s v="Minor"/>
    <n v="3922"/>
    <n v="2321"/>
    <n v="2024"/>
    <n v="8"/>
  </r>
  <r>
    <s v="SHP-31221"/>
    <d v="2024-03-26T00:00:00"/>
    <x v="3"/>
    <s v="Mumbai"/>
    <x v="2"/>
    <x v="1"/>
    <x v="3"/>
    <s v="Low"/>
    <n v="1"/>
    <n v="5"/>
    <n v="4"/>
    <s v="Yes"/>
    <n v="361"/>
    <n v="8020"/>
    <n v="12024"/>
    <n v="0"/>
    <s v="No"/>
    <s v="Major"/>
    <n v="3006"/>
    <n v="2005"/>
    <n v="2024"/>
    <n v="3"/>
  </r>
  <r>
    <s v="SHP-31222"/>
    <d v="2024-07-20T00:00:00"/>
    <x v="1"/>
    <s v="Kolkata"/>
    <x v="1"/>
    <x v="2"/>
    <x v="2"/>
    <s v="Low"/>
    <n v="2"/>
    <n v="5"/>
    <n v="3"/>
    <s v="Yes"/>
    <n v="127"/>
    <n v="6045"/>
    <n v="10806"/>
    <n v="0"/>
    <s v="No"/>
    <s v="Major"/>
    <n v="3602"/>
    <n v="2015"/>
    <n v="2024"/>
    <n v="7"/>
  </r>
  <r>
    <s v="SHP-31223"/>
    <d v="2024-09-19T00:00:00"/>
    <x v="3"/>
    <s v="Pune"/>
    <x v="2"/>
    <x v="1"/>
    <x v="2"/>
    <s v="Low"/>
    <n v="3"/>
    <n v="7"/>
    <n v="4"/>
    <s v="Yes"/>
    <n v="297"/>
    <n v="8360"/>
    <n v="9528"/>
    <n v="0"/>
    <s v="No"/>
    <s v="Major"/>
    <n v="2382"/>
    <n v="2090"/>
    <n v="2024"/>
    <n v="9"/>
  </r>
  <r>
    <s v="SHP-31224"/>
    <d v="2024-04-03T00:00:00"/>
    <x v="0"/>
    <s v="Chennai"/>
    <x v="1"/>
    <x v="2"/>
    <x v="0"/>
    <s v="Medium"/>
    <n v="1"/>
    <n v="6"/>
    <n v="5"/>
    <s v="Yes"/>
    <n v="262"/>
    <n v="4955"/>
    <n v="19185"/>
    <n v="0"/>
    <s v="No"/>
    <s v="Major"/>
    <n v="3837"/>
    <n v="991"/>
    <n v="2024"/>
    <n v="4"/>
  </r>
  <r>
    <s v="SHP-31225"/>
    <d v="2024-11-01T00:00:00"/>
    <x v="3"/>
    <s v="Pune"/>
    <x v="0"/>
    <x v="2"/>
    <x v="4"/>
    <s v="Low"/>
    <n v="5"/>
    <n v="9"/>
    <n v="4"/>
    <s v="Yes"/>
    <n v="97"/>
    <n v="3748"/>
    <n v="15468"/>
    <n v="0"/>
    <s v="No"/>
    <s v="Major"/>
    <n v="3867"/>
    <n v="937"/>
    <n v="2024"/>
    <n v="11"/>
  </r>
  <r>
    <s v="SHP-31226"/>
    <d v="2024-04-20T00:00:00"/>
    <x v="1"/>
    <s v="Kolkata"/>
    <x v="1"/>
    <x v="1"/>
    <x v="3"/>
    <s v="Low"/>
    <n v="1"/>
    <n v="1"/>
    <n v="0"/>
    <s v="No"/>
    <n v="238"/>
    <n v="0"/>
    <n v="0"/>
    <n v="1"/>
    <s v="No"/>
    <s v="On Time"/>
    <n v="0"/>
    <n v="0"/>
    <n v="2024"/>
    <n v="4"/>
  </r>
  <r>
    <s v="SHP-31227"/>
    <d v="2024-04-24T00:00:00"/>
    <x v="0"/>
    <s v="Bengaluru"/>
    <x v="2"/>
    <x v="0"/>
    <x v="4"/>
    <s v="Low"/>
    <n v="2"/>
    <n v="7"/>
    <n v="5"/>
    <s v="Yes"/>
    <n v="224"/>
    <n v="4385"/>
    <n v="18475"/>
    <n v="0"/>
    <s v="No"/>
    <s v="Major"/>
    <n v="3695"/>
    <n v="877"/>
    <n v="2024"/>
    <n v="4"/>
  </r>
  <r>
    <s v="SHP-31228"/>
    <d v="2024-09-08T00:00:00"/>
    <x v="0"/>
    <s v="Chennai"/>
    <x v="0"/>
    <x v="0"/>
    <x v="0"/>
    <s v="High"/>
    <n v="2"/>
    <n v="7"/>
    <n v="5"/>
    <s v="Yes"/>
    <n v="140"/>
    <n v="11640"/>
    <n v="24180"/>
    <n v="0"/>
    <s v="No"/>
    <s v="Major"/>
    <n v="4836"/>
    <n v="2328"/>
    <n v="2024"/>
    <n v="9"/>
  </r>
  <r>
    <s v="SHP-31229"/>
    <d v="2024-10-29T00:00:00"/>
    <x v="1"/>
    <s v="Kolkata"/>
    <x v="2"/>
    <x v="1"/>
    <x v="4"/>
    <s v="Medium"/>
    <n v="2"/>
    <n v="5"/>
    <n v="3"/>
    <s v="Yes"/>
    <n v="267"/>
    <n v="4608"/>
    <n v="6501"/>
    <n v="0"/>
    <s v="No"/>
    <s v="Major"/>
    <n v="2167"/>
    <n v="1536"/>
    <n v="2024"/>
    <n v="10"/>
  </r>
  <r>
    <s v="SHP-31230"/>
    <d v="2024-11-24T00:00:00"/>
    <x v="3"/>
    <s v="Pune"/>
    <x v="1"/>
    <x v="1"/>
    <x v="3"/>
    <s v="Low"/>
    <n v="2"/>
    <n v="6"/>
    <n v="4"/>
    <s v="Yes"/>
    <n v="82"/>
    <n v="5372"/>
    <n v="13056"/>
    <n v="0"/>
    <s v="No"/>
    <s v="Major"/>
    <n v="3264"/>
    <n v="1343"/>
    <n v="2024"/>
    <n v="11"/>
  </r>
  <r>
    <s v="SHP-31231"/>
    <d v="2024-12-23T00:00:00"/>
    <x v="1"/>
    <s v="Bhubaneswar"/>
    <x v="0"/>
    <x v="1"/>
    <x v="2"/>
    <s v="Medium"/>
    <n v="5"/>
    <n v="7"/>
    <n v="2"/>
    <s v="Yes"/>
    <n v="397"/>
    <n v="1706"/>
    <n v="4124"/>
    <n v="0"/>
    <s v="No"/>
    <s v="Minor"/>
    <n v="2062"/>
    <n v="853"/>
    <n v="2024"/>
    <n v="12"/>
  </r>
  <r>
    <s v="SHP-31232"/>
    <d v="2024-12-17T00:00:00"/>
    <x v="1"/>
    <s v="Kolkata"/>
    <x v="1"/>
    <x v="1"/>
    <x v="0"/>
    <s v="High"/>
    <n v="2"/>
    <n v="9"/>
    <n v="7"/>
    <s v="Yes"/>
    <n v="405"/>
    <n v="12684"/>
    <n v="26166"/>
    <n v="0"/>
    <s v="No"/>
    <s v="Severe"/>
    <n v="3738"/>
    <n v="1812"/>
    <n v="2024"/>
    <n v="12"/>
  </r>
  <r>
    <s v="SHP-31233"/>
    <d v="2024-04-19T00:00:00"/>
    <x v="2"/>
    <s v="Delhi"/>
    <x v="0"/>
    <x v="1"/>
    <x v="4"/>
    <s v="Low"/>
    <n v="5"/>
    <n v="10"/>
    <n v="5"/>
    <s v="Yes"/>
    <n v="366"/>
    <n v="12450"/>
    <n v="19515"/>
    <n v="0"/>
    <s v="No"/>
    <s v="Major"/>
    <n v="3903"/>
    <n v="2490"/>
    <n v="2024"/>
    <n v="4"/>
  </r>
  <r>
    <s v="SHP-31234"/>
    <d v="2024-05-29T00:00:00"/>
    <x v="0"/>
    <s v="Chennai"/>
    <x v="2"/>
    <x v="2"/>
    <x v="1"/>
    <s v="Low"/>
    <n v="1"/>
    <n v="3"/>
    <n v="2"/>
    <s v="Yes"/>
    <n v="378"/>
    <n v="3008"/>
    <n v="5636"/>
    <n v="0"/>
    <s v="No"/>
    <s v="Minor"/>
    <n v="2818"/>
    <n v="1504"/>
    <n v="2024"/>
    <n v="5"/>
  </r>
  <r>
    <s v="SHP-31235"/>
    <d v="2024-01-17T00:00:00"/>
    <x v="2"/>
    <s v="Delhi"/>
    <x v="1"/>
    <x v="0"/>
    <x v="3"/>
    <s v="Medium"/>
    <n v="2"/>
    <n v="3"/>
    <n v="1"/>
    <s v="Yes"/>
    <n v="228"/>
    <n v="1311"/>
    <n v="1587"/>
    <n v="0"/>
    <s v="No"/>
    <s v="Minor"/>
    <n v="1587"/>
    <n v="1311"/>
    <n v="2024"/>
    <n v="1"/>
  </r>
  <r>
    <s v="SHP-31236"/>
    <d v="2024-05-29T00:00:00"/>
    <x v="0"/>
    <s v="Bengaluru"/>
    <x v="0"/>
    <x v="0"/>
    <x v="1"/>
    <s v="Low"/>
    <n v="2"/>
    <n v="3"/>
    <n v="1"/>
    <s v="Yes"/>
    <n v="256"/>
    <n v="2244"/>
    <n v="3568"/>
    <n v="0"/>
    <s v="No"/>
    <s v="Minor"/>
    <n v="3568"/>
    <n v="2244"/>
    <n v="2024"/>
    <n v="5"/>
  </r>
  <r>
    <s v="SHP-31237"/>
    <d v="2024-11-24T00:00:00"/>
    <x v="3"/>
    <s v="Mumbai"/>
    <x v="2"/>
    <x v="2"/>
    <x v="3"/>
    <s v="High"/>
    <n v="2"/>
    <n v="8"/>
    <n v="6"/>
    <s v="Yes"/>
    <n v="374"/>
    <n v="9486"/>
    <n v="27468"/>
    <n v="0"/>
    <s v="No"/>
    <s v="Severe"/>
    <n v="4578"/>
    <n v="1581"/>
    <n v="2024"/>
    <n v="11"/>
  </r>
  <r>
    <s v="SHP-31238"/>
    <d v="2024-02-01T00:00:00"/>
    <x v="2"/>
    <s v="Noida"/>
    <x v="1"/>
    <x v="1"/>
    <x v="4"/>
    <s v="Medium"/>
    <n v="2"/>
    <n v="7"/>
    <n v="5"/>
    <s v="Yes"/>
    <n v="258"/>
    <n v="6100"/>
    <n v="20355"/>
    <n v="0"/>
    <s v="No"/>
    <s v="Major"/>
    <n v="4071"/>
    <n v="1220"/>
    <n v="2024"/>
    <n v="2"/>
  </r>
  <r>
    <s v="SHP-31239"/>
    <d v="2024-06-13T00:00:00"/>
    <x v="2"/>
    <s v="Noida"/>
    <x v="2"/>
    <x v="0"/>
    <x v="2"/>
    <s v="Medium"/>
    <n v="3"/>
    <n v="4"/>
    <n v="1"/>
    <s v="Yes"/>
    <n v="470"/>
    <n v="1250"/>
    <n v="3001"/>
    <n v="0"/>
    <s v="No"/>
    <s v="Minor"/>
    <n v="3001"/>
    <n v="1250"/>
    <n v="2024"/>
    <n v="6"/>
  </r>
  <r>
    <s v="SHP-31240"/>
    <d v="2024-09-10T00:00:00"/>
    <x v="0"/>
    <s v="Bengaluru"/>
    <x v="1"/>
    <x v="1"/>
    <x v="3"/>
    <s v="High"/>
    <n v="1"/>
    <n v="4"/>
    <n v="3"/>
    <s v="Yes"/>
    <n v="470"/>
    <n v="5166"/>
    <n v="9762"/>
    <n v="0"/>
    <s v="No"/>
    <s v="Major"/>
    <n v="3254"/>
    <n v="1722"/>
    <n v="2024"/>
    <n v="9"/>
  </r>
  <r>
    <s v="SHP-31241"/>
    <d v="2024-08-12T00:00:00"/>
    <x v="3"/>
    <s v="Mumbai"/>
    <x v="0"/>
    <x v="0"/>
    <x v="1"/>
    <s v="High"/>
    <n v="2"/>
    <n v="9"/>
    <n v="7"/>
    <s v="Yes"/>
    <n v="113"/>
    <n v="16765"/>
    <n v="23268"/>
    <n v="0"/>
    <s v="No"/>
    <s v="Severe"/>
    <n v="3324"/>
    <n v="2395"/>
    <n v="2024"/>
    <n v="8"/>
  </r>
  <r>
    <s v="SHP-31242"/>
    <d v="2024-02-05T00:00:00"/>
    <x v="3"/>
    <s v="Pune"/>
    <x v="2"/>
    <x v="1"/>
    <x v="2"/>
    <s v="Medium"/>
    <n v="1"/>
    <n v="2"/>
    <n v="1"/>
    <s v="Yes"/>
    <n v="364"/>
    <n v="2243"/>
    <n v="4009"/>
    <n v="0"/>
    <s v="No"/>
    <s v="Minor"/>
    <n v="4009"/>
    <n v="2243"/>
    <n v="2024"/>
    <n v="2"/>
  </r>
  <r>
    <s v="SHP-31243"/>
    <d v="2024-12-22T00:00:00"/>
    <x v="2"/>
    <s v="Delhi"/>
    <x v="1"/>
    <x v="2"/>
    <x v="0"/>
    <s v="Low"/>
    <n v="2"/>
    <n v="4"/>
    <n v="2"/>
    <s v="Yes"/>
    <n v="464"/>
    <n v="4484"/>
    <n v="4954"/>
    <n v="0"/>
    <s v="No"/>
    <s v="Minor"/>
    <n v="2477"/>
    <n v="2242"/>
    <n v="2024"/>
    <n v="12"/>
  </r>
  <r>
    <s v="SHP-31244"/>
    <d v="2024-07-24T00:00:00"/>
    <x v="1"/>
    <s v="Kolkata"/>
    <x v="2"/>
    <x v="2"/>
    <x v="0"/>
    <s v="Low"/>
    <n v="3"/>
    <n v="9"/>
    <n v="6"/>
    <s v="Yes"/>
    <n v="77"/>
    <n v="12264"/>
    <n v="18192"/>
    <n v="0"/>
    <s v="No"/>
    <s v="Severe"/>
    <n v="3032"/>
    <n v="2044"/>
    <n v="2024"/>
    <n v="7"/>
  </r>
  <r>
    <s v="SHP-31245"/>
    <d v="2024-09-03T00:00:00"/>
    <x v="0"/>
    <s v="Bengaluru"/>
    <x v="0"/>
    <x v="2"/>
    <x v="2"/>
    <s v="Low"/>
    <n v="5"/>
    <n v="11"/>
    <n v="6"/>
    <s v="Yes"/>
    <n v="379"/>
    <n v="5418"/>
    <n v="27180"/>
    <n v="0"/>
    <s v="No"/>
    <s v="Severe"/>
    <n v="4530"/>
    <n v="903"/>
    <n v="2024"/>
    <n v="9"/>
  </r>
  <r>
    <s v="SHP-31246"/>
    <d v="2024-06-12T00:00:00"/>
    <x v="0"/>
    <s v="Bengaluru"/>
    <x v="0"/>
    <x v="1"/>
    <x v="0"/>
    <s v="Low"/>
    <n v="1"/>
    <n v="3"/>
    <n v="2"/>
    <s v="Yes"/>
    <n v="226"/>
    <n v="4092"/>
    <n v="6210"/>
    <n v="0"/>
    <s v="No"/>
    <s v="Minor"/>
    <n v="3105"/>
    <n v="2046"/>
    <n v="2024"/>
    <n v="6"/>
  </r>
  <r>
    <s v="SHP-31247"/>
    <d v="2024-12-22T00:00:00"/>
    <x v="0"/>
    <s v="Bengaluru"/>
    <x v="0"/>
    <x v="1"/>
    <x v="1"/>
    <s v="Medium"/>
    <n v="2"/>
    <n v="7"/>
    <n v="5"/>
    <s v="Yes"/>
    <n v="133"/>
    <n v="12190"/>
    <n v="14060"/>
    <n v="0"/>
    <s v="No"/>
    <s v="Major"/>
    <n v="2812"/>
    <n v="2438"/>
    <n v="2024"/>
    <n v="12"/>
  </r>
  <r>
    <s v="SHP-31248"/>
    <d v="2024-04-03T00:00:00"/>
    <x v="1"/>
    <s v="Bhubaneswar"/>
    <x v="0"/>
    <x v="1"/>
    <x v="4"/>
    <s v="Low"/>
    <n v="1"/>
    <n v="1"/>
    <n v="0"/>
    <s v="No"/>
    <n v="475"/>
    <n v="0"/>
    <n v="0"/>
    <n v="1"/>
    <s v="No"/>
    <s v="On Time"/>
    <n v="0"/>
    <n v="0"/>
    <n v="2024"/>
    <n v="4"/>
  </r>
  <r>
    <s v="SHP-31249"/>
    <d v="2024-01-01T00:00:00"/>
    <x v="0"/>
    <s v="Bengaluru"/>
    <x v="1"/>
    <x v="0"/>
    <x v="0"/>
    <s v="Low"/>
    <n v="3"/>
    <n v="8"/>
    <n v="5"/>
    <s v="Yes"/>
    <n v="350"/>
    <n v="4680"/>
    <n v="14875"/>
    <n v="0"/>
    <s v="No"/>
    <s v="Major"/>
    <n v="2975"/>
    <n v="936"/>
    <n v="2024"/>
    <n v="1"/>
  </r>
  <r>
    <s v="SHP-31250"/>
    <d v="2024-01-30T00:00:00"/>
    <x v="0"/>
    <s v="Chennai"/>
    <x v="0"/>
    <x v="2"/>
    <x v="3"/>
    <s v="Medium"/>
    <n v="5"/>
    <n v="12"/>
    <n v="7"/>
    <s v="Yes"/>
    <n v="328"/>
    <n v="15400"/>
    <n v="26117"/>
    <n v="0"/>
    <s v="No"/>
    <s v="Severe"/>
    <n v="3731"/>
    <n v="2200"/>
    <n v="2024"/>
    <n v="1"/>
  </r>
  <r>
    <s v="SHP-31251"/>
    <d v="2024-12-22T00:00:00"/>
    <x v="3"/>
    <s v="Mumbai"/>
    <x v="1"/>
    <x v="0"/>
    <x v="3"/>
    <s v="Low"/>
    <n v="3"/>
    <n v="6"/>
    <n v="3"/>
    <s v="Yes"/>
    <n v="218"/>
    <n v="6579"/>
    <n v="6483"/>
    <n v="0"/>
    <s v="No"/>
    <s v="Major"/>
    <n v="2161"/>
    <n v="2193"/>
    <n v="2024"/>
    <n v="12"/>
  </r>
  <r>
    <s v="SHP-31252"/>
    <d v="2024-07-03T00:00:00"/>
    <x v="3"/>
    <s v="Mumbai"/>
    <x v="1"/>
    <x v="2"/>
    <x v="4"/>
    <s v="Medium"/>
    <n v="3"/>
    <n v="6"/>
    <n v="3"/>
    <s v="Yes"/>
    <n v="133"/>
    <n v="7119"/>
    <n v="14802"/>
    <n v="0"/>
    <s v="No"/>
    <s v="Major"/>
    <n v="4934"/>
    <n v="2373"/>
    <n v="2024"/>
    <n v="7"/>
  </r>
  <r>
    <s v="SHP-31253"/>
    <d v="2024-05-10T00:00:00"/>
    <x v="2"/>
    <s v="Delhi"/>
    <x v="0"/>
    <x v="2"/>
    <x v="0"/>
    <s v="Medium"/>
    <n v="5"/>
    <n v="8"/>
    <n v="3"/>
    <s v="Yes"/>
    <n v="101"/>
    <n v="4416"/>
    <n v="14934"/>
    <n v="0"/>
    <s v="No"/>
    <s v="Major"/>
    <n v="4978"/>
    <n v="1472"/>
    <n v="2024"/>
    <n v="5"/>
  </r>
  <r>
    <s v="SHP-31254"/>
    <d v="2024-04-22T00:00:00"/>
    <x v="1"/>
    <s v="Bhubaneswar"/>
    <x v="0"/>
    <x v="2"/>
    <x v="3"/>
    <s v="Low"/>
    <n v="2"/>
    <n v="3"/>
    <n v="1"/>
    <s v="Yes"/>
    <n v="53"/>
    <n v="1486"/>
    <n v="2234"/>
    <n v="0"/>
    <s v="No"/>
    <s v="Minor"/>
    <n v="2234"/>
    <n v="1486"/>
    <n v="2024"/>
    <n v="4"/>
  </r>
  <r>
    <s v="SHP-31255"/>
    <d v="2024-05-10T00:00:00"/>
    <x v="2"/>
    <s v="Delhi"/>
    <x v="0"/>
    <x v="0"/>
    <x v="0"/>
    <s v="Medium"/>
    <n v="1"/>
    <n v="1"/>
    <n v="0"/>
    <s v="No"/>
    <n v="59"/>
    <n v="0"/>
    <n v="0"/>
    <n v="1"/>
    <s v="No"/>
    <s v="On Time"/>
    <n v="0"/>
    <n v="0"/>
    <n v="2024"/>
    <n v="5"/>
  </r>
  <r>
    <s v="SHP-31256"/>
    <d v="2024-07-05T00:00:00"/>
    <x v="1"/>
    <s v="Bhubaneswar"/>
    <x v="2"/>
    <x v="1"/>
    <x v="4"/>
    <s v="High"/>
    <n v="2"/>
    <n v="8"/>
    <n v="6"/>
    <s v="Yes"/>
    <n v="444"/>
    <n v="13638"/>
    <n v="17694"/>
    <n v="0"/>
    <s v="No"/>
    <s v="Severe"/>
    <n v="2949"/>
    <n v="2273"/>
    <n v="2024"/>
    <n v="7"/>
  </r>
  <r>
    <s v="SHP-31257"/>
    <d v="2024-12-14T00:00:00"/>
    <x v="3"/>
    <s v="Mumbai"/>
    <x v="1"/>
    <x v="1"/>
    <x v="0"/>
    <s v="Low"/>
    <n v="1"/>
    <n v="3"/>
    <n v="2"/>
    <s v="Yes"/>
    <n v="435"/>
    <n v="4522"/>
    <n v="6320"/>
    <n v="0"/>
    <s v="No"/>
    <s v="Minor"/>
    <n v="3160"/>
    <n v="2261"/>
    <n v="2024"/>
    <n v="12"/>
  </r>
  <r>
    <s v="SHP-31258"/>
    <d v="2024-11-15T00:00:00"/>
    <x v="3"/>
    <s v="Mumbai"/>
    <x v="0"/>
    <x v="1"/>
    <x v="0"/>
    <s v="Medium"/>
    <n v="3"/>
    <n v="6"/>
    <n v="3"/>
    <s v="Yes"/>
    <n v="366"/>
    <n v="3408"/>
    <n v="10161"/>
    <n v="0"/>
    <s v="No"/>
    <s v="Major"/>
    <n v="3387"/>
    <n v="1136"/>
    <n v="2024"/>
    <n v="11"/>
  </r>
  <r>
    <s v="SHP-31259"/>
    <d v="2024-07-18T00:00:00"/>
    <x v="1"/>
    <s v="Kolkata"/>
    <x v="0"/>
    <x v="1"/>
    <x v="3"/>
    <s v="Low"/>
    <n v="3"/>
    <n v="4"/>
    <n v="1"/>
    <s v="Yes"/>
    <n v="233"/>
    <n v="1884"/>
    <n v="2307"/>
    <n v="0"/>
    <s v="No"/>
    <s v="Minor"/>
    <n v="2307"/>
    <n v="1884"/>
    <n v="2024"/>
    <n v="7"/>
  </r>
  <r>
    <s v="SHP-31260"/>
    <d v="2024-10-08T00:00:00"/>
    <x v="0"/>
    <s v="Chennai"/>
    <x v="0"/>
    <x v="0"/>
    <x v="0"/>
    <s v="Medium"/>
    <n v="2"/>
    <n v="3"/>
    <n v="1"/>
    <s v="Yes"/>
    <n v="108"/>
    <n v="948"/>
    <n v="2430"/>
    <n v="0"/>
    <s v="No"/>
    <s v="Minor"/>
    <n v="2430"/>
    <n v="948"/>
    <n v="2024"/>
    <n v="10"/>
  </r>
  <r>
    <s v="SHP-31261"/>
    <d v="2024-01-05T00:00:00"/>
    <x v="1"/>
    <s v="Bhubaneswar"/>
    <x v="0"/>
    <x v="2"/>
    <x v="1"/>
    <s v="Medium"/>
    <n v="1"/>
    <n v="5"/>
    <n v="4"/>
    <s v="Yes"/>
    <n v="370"/>
    <n v="5848"/>
    <n v="8468"/>
    <n v="0"/>
    <s v="No"/>
    <s v="Major"/>
    <n v="2117"/>
    <n v="1462"/>
    <n v="2024"/>
    <n v="1"/>
  </r>
  <r>
    <s v="SHP-31262"/>
    <d v="2024-02-25T00:00:00"/>
    <x v="1"/>
    <s v="Bhubaneswar"/>
    <x v="0"/>
    <x v="1"/>
    <x v="2"/>
    <s v="Low"/>
    <n v="1"/>
    <n v="2"/>
    <n v="1"/>
    <s v="Yes"/>
    <n v="99"/>
    <n v="2325"/>
    <n v="3479"/>
    <n v="0"/>
    <s v="No"/>
    <s v="Minor"/>
    <n v="3479"/>
    <n v="2325"/>
    <n v="2024"/>
    <n v="2"/>
  </r>
  <r>
    <s v="SHP-31263"/>
    <d v="2024-10-22T00:00:00"/>
    <x v="3"/>
    <s v="Mumbai"/>
    <x v="0"/>
    <x v="1"/>
    <x v="0"/>
    <s v="Medium"/>
    <n v="2"/>
    <n v="3"/>
    <n v="1"/>
    <s v="Yes"/>
    <n v="410"/>
    <n v="2394"/>
    <n v="1549"/>
    <n v="0"/>
    <s v="No"/>
    <s v="Minor"/>
    <n v="1549"/>
    <n v="2394"/>
    <n v="2024"/>
    <n v="10"/>
  </r>
  <r>
    <s v="SHP-31264"/>
    <d v="2024-06-03T00:00:00"/>
    <x v="0"/>
    <s v="Chennai"/>
    <x v="2"/>
    <x v="1"/>
    <x v="0"/>
    <s v="Medium"/>
    <n v="3"/>
    <n v="8"/>
    <n v="5"/>
    <s v="Yes"/>
    <n v="499"/>
    <n v="9445"/>
    <n v="13115"/>
    <n v="0"/>
    <s v="No"/>
    <s v="Major"/>
    <n v="2623"/>
    <n v="1889"/>
    <n v="2024"/>
    <n v="6"/>
  </r>
  <r>
    <s v="SHP-31265"/>
    <d v="2024-05-04T00:00:00"/>
    <x v="2"/>
    <s v="Delhi"/>
    <x v="2"/>
    <x v="1"/>
    <x v="2"/>
    <s v="Low"/>
    <n v="3"/>
    <n v="7"/>
    <n v="4"/>
    <s v="Yes"/>
    <n v="364"/>
    <n v="8504"/>
    <n v="13552"/>
    <n v="0"/>
    <s v="No"/>
    <s v="Major"/>
    <n v="3388"/>
    <n v="2126"/>
    <n v="2024"/>
    <n v="5"/>
  </r>
  <r>
    <s v="SHP-31266"/>
    <d v="2024-02-27T00:00:00"/>
    <x v="2"/>
    <s v="Noida"/>
    <x v="2"/>
    <x v="2"/>
    <x v="4"/>
    <s v="Low"/>
    <n v="5"/>
    <n v="6"/>
    <n v="1"/>
    <s v="Yes"/>
    <n v="437"/>
    <n v="987"/>
    <n v="1784"/>
    <n v="0"/>
    <s v="No"/>
    <s v="Minor"/>
    <n v="1784"/>
    <n v="987"/>
    <n v="2024"/>
    <n v="2"/>
  </r>
  <r>
    <s v="SHP-31267"/>
    <d v="2024-05-19T00:00:00"/>
    <x v="2"/>
    <s v="Delhi"/>
    <x v="2"/>
    <x v="0"/>
    <x v="0"/>
    <s v="Low"/>
    <n v="2"/>
    <n v="4"/>
    <n v="2"/>
    <s v="Yes"/>
    <n v="343"/>
    <n v="4972"/>
    <n v="8194"/>
    <n v="0"/>
    <s v="No"/>
    <s v="Minor"/>
    <n v="4097"/>
    <n v="2486"/>
    <n v="2024"/>
    <n v="5"/>
  </r>
  <r>
    <s v="SHP-31268"/>
    <d v="2024-05-12T00:00:00"/>
    <x v="3"/>
    <s v="Mumbai"/>
    <x v="2"/>
    <x v="0"/>
    <x v="3"/>
    <s v="Low"/>
    <n v="2"/>
    <n v="2"/>
    <n v="0"/>
    <s v="No"/>
    <n v="150"/>
    <n v="0"/>
    <n v="0"/>
    <n v="1"/>
    <s v="No"/>
    <s v="On Time"/>
    <n v="0"/>
    <n v="0"/>
    <n v="2024"/>
    <n v="5"/>
  </r>
  <r>
    <s v="SHP-31269"/>
    <d v="2024-09-02T00:00:00"/>
    <x v="3"/>
    <s v="Pune"/>
    <x v="2"/>
    <x v="1"/>
    <x v="0"/>
    <s v="Medium"/>
    <n v="1"/>
    <n v="5"/>
    <n v="4"/>
    <s v="Yes"/>
    <n v="87"/>
    <n v="8216"/>
    <n v="12972"/>
    <n v="0"/>
    <s v="No"/>
    <s v="Major"/>
    <n v="3243"/>
    <n v="2054"/>
    <n v="2024"/>
    <n v="9"/>
  </r>
  <r>
    <s v="SHP-31270"/>
    <d v="2024-11-21T00:00:00"/>
    <x v="0"/>
    <s v="Bengaluru"/>
    <x v="2"/>
    <x v="1"/>
    <x v="0"/>
    <s v="Medium"/>
    <n v="2"/>
    <n v="5"/>
    <n v="3"/>
    <s v="Yes"/>
    <n v="344"/>
    <n v="5718"/>
    <n v="12663"/>
    <n v="0"/>
    <s v="No"/>
    <s v="Major"/>
    <n v="4221"/>
    <n v="1906"/>
    <n v="2024"/>
    <n v="11"/>
  </r>
  <r>
    <s v="SHP-31271"/>
    <d v="2024-02-02T00:00:00"/>
    <x v="3"/>
    <s v="Mumbai"/>
    <x v="1"/>
    <x v="0"/>
    <x v="3"/>
    <s v="Medium"/>
    <n v="1"/>
    <n v="1"/>
    <n v="0"/>
    <s v="No"/>
    <n v="77"/>
    <n v="0"/>
    <n v="0"/>
    <n v="1"/>
    <s v="No"/>
    <s v="On Time"/>
    <n v="0"/>
    <n v="0"/>
    <n v="2024"/>
    <n v="2"/>
  </r>
  <r>
    <s v="SHP-31272"/>
    <d v="2024-05-08T00:00:00"/>
    <x v="0"/>
    <s v="Chennai"/>
    <x v="1"/>
    <x v="1"/>
    <x v="1"/>
    <s v="Low"/>
    <n v="3"/>
    <n v="7"/>
    <n v="4"/>
    <s v="Yes"/>
    <n v="258"/>
    <n v="3588"/>
    <n v="13712"/>
    <n v="0"/>
    <s v="No"/>
    <s v="Major"/>
    <n v="3428"/>
    <n v="897"/>
    <n v="2024"/>
    <n v="5"/>
  </r>
  <r>
    <s v="SHP-31273"/>
    <d v="2024-11-10T00:00:00"/>
    <x v="3"/>
    <s v="Mumbai"/>
    <x v="2"/>
    <x v="1"/>
    <x v="0"/>
    <s v="High"/>
    <n v="5"/>
    <n v="10"/>
    <n v="5"/>
    <s v="Yes"/>
    <n v="72"/>
    <n v="4925"/>
    <n v="12120"/>
    <n v="0"/>
    <s v="No"/>
    <s v="Major"/>
    <n v="2424"/>
    <n v="985"/>
    <n v="2024"/>
    <n v="11"/>
  </r>
  <r>
    <s v="SHP-31274"/>
    <d v="2024-10-03T00:00:00"/>
    <x v="1"/>
    <s v="Kolkata"/>
    <x v="1"/>
    <x v="0"/>
    <x v="0"/>
    <s v="High"/>
    <n v="2"/>
    <n v="10"/>
    <n v="8"/>
    <s v="Yes"/>
    <n v="370"/>
    <n v="13656"/>
    <n v="31048"/>
    <n v="0"/>
    <s v="No"/>
    <s v="Severe"/>
    <n v="3881"/>
    <n v="1707"/>
    <n v="2024"/>
    <n v="10"/>
  </r>
  <r>
    <s v="SHP-31275"/>
    <d v="2024-06-22T00:00:00"/>
    <x v="1"/>
    <s v="Kolkata"/>
    <x v="0"/>
    <x v="1"/>
    <x v="1"/>
    <s v="Medium"/>
    <n v="2"/>
    <n v="5"/>
    <n v="3"/>
    <s v="Yes"/>
    <n v="486"/>
    <n v="6357"/>
    <n v="14112"/>
    <n v="0"/>
    <s v="No"/>
    <s v="Major"/>
    <n v="4704"/>
    <n v="2119"/>
    <n v="2024"/>
    <n v="6"/>
  </r>
  <r>
    <s v="SHP-31276"/>
    <d v="2024-06-02T00:00:00"/>
    <x v="2"/>
    <s v="Noida"/>
    <x v="2"/>
    <x v="1"/>
    <x v="1"/>
    <s v="Low"/>
    <n v="1"/>
    <n v="6"/>
    <n v="5"/>
    <s v="Yes"/>
    <n v="468"/>
    <n v="7075"/>
    <n v="24065"/>
    <n v="0"/>
    <s v="No"/>
    <s v="Major"/>
    <n v="4813"/>
    <n v="1415"/>
    <n v="2024"/>
    <n v="6"/>
  </r>
  <r>
    <s v="SHP-31277"/>
    <d v="2024-07-11T00:00:00"/>
    <x v="1"/>
    <s v="Kolkata"/>
    <x v="2"/>
    <x v="1"/>
    <x v="4"/>
    <s v="Low"/>
    <n v="1"/>
    <n v="2"/>
    <n v="1"/>
    <s v="Yes"/>
    <n v="480"/>
    <n v="2462"/>
    <n v="2175"/>
    <n v="0"/>
    <s v="No"/>
    <s v="Minor"/>
    <n v="2175"/>
    <n v="2462"/>
    <n v="2024"/>
    <n v="7"/>
  </r>
  <r>
    <s v="SHP-31278"/>
    <d v="2024-05-04T00:00:00"/>
    <x v="3"/>
    <s v="Pune"/>
    <x v="0"/>
    <x v="1"/>
    <x v="0"/>
    <s v="Low"/>
    <n v="1"/>
    <n v="5"/>
    <n v="4"/>
    <s v="Yes"/>
    <n v="337"/>
    <n v="8296"/>
    <n v="11412"/>
    <n v="0"/>
    <s v="No"/>
    <s v="Major"/>
    <n v="2853"/>
    <n v="2074"/>
    <n v="2024"/>
    <n v="5"/>
  </r>
  <r>
    <s v="SHP-31279"/>
    <d v="2024-07-30T00:00:00"/>
    <x v="0"/>
    <s v="Bengaluru"/>
    <x v="0"/>
    <x v="1"/>
    <x v="4"/>
    <s v="Low"/>
    <n v="2"/>
    <n v="7"/>
    <n v="5"/>
    <s v="Yes"/>
    <n v="145"/>
    <n v="4190"/>
    <n v="20265"/>
    <n v="0"/>
    <s v="No"/>
    <s v="Major"/>
    <n v="4053"/>
    <n v="838"/>
    <n v="2024"/>
    <n v="7"/>
  </r>
  <r>
    <s v="SHP-31280"/>
    <d v="2024-04-04T00:00:00"/>
    <x v="3"/>
    <s v="Mumbai"/>
    <x v="2"/>
    <x v="1"/>
    <x v="1"/>
    <s v="Low"/>
    <n v="1"/>
    <n v="1"/>
    <n v="0"/>
    <s v="No"/>
    <n v="440"/>
    <n v="0"/>
    <n v="0"/>
    <n v="1"/>
    <s v="No"/>
    <s v="On Time"/>
    <n v="0"/>
    <n v="0"/>
    <n v="2024"/>
    <n v="4"/>
  </r>
  <r>
    <s v="SHP-31281"/>
    <d v="2024-12-11T00:00:00"/>
    <x v="0"/>
    <s v="Chennai"/>
    <x v="0"/>
    <x v="1"/>
    <x v="4"/>
    <s v="Low"/>
    <n v="2"/>
    <n v="4"/>
    <n v="2"/>
    <s v="Yes"/>
    <n v="67"/>
    <n v="4510"/>
    <n v="8904"/>
    <n v="0"/>
    <s v="No"/>
    <s v="Minor"/>
    <n v="4452"/>
    <n v="2255"/>
    <n v="2024"/>
    <n v="12"/>
  </r>
  <r>
    <s v="SHP-31282"/>
    <d v="2024-12-10T00:00:00"/>
    <x v="3"/>
    <s v="Mumbai"/>
    <x v="2"/>
    <x v="2"/>
    <x v="0"/>
    <s v="Medium"/>
    <n v="5"/>
    <n v="9"/>
    <n v="4"/>
    <s v="Yes"/>
    <n v="256"/>
    <n v="4736"/>
    <n v="8452"/>
    <n v="0"/>
    <s v="No"/>
    <s v="Major"/>
    <n v="2113"/>
    <n v="1184"/>
    <n v="2024"/>
    <n v="12"/>
  </r>
  <r>
    <s v="SHP-31283"/>
    <d v="2024-05-28T00:00:00"/>
    <x v="3"/>
    <s v="Mumbai"/>
    <x v="2"/>
    <x v="2"/>
    <x v="3"/>
    <s v="Medium"/>
    <n v="2"/>
    <n v="7"/>
    <n v="5"/>
    <s v="Yes"/>
    <n v="368"/>
    <n v="6075"/>
    <n v="19900"/>
    <n v="0"/>
    <s v="No"/>
    <s v="Major"/>
    <n v="3980"/>
    <n v="1215"/>
    <n v="2024"/>
    <n v="5"/>
  </r>
  <r>
    <s v="SHP-31284"/>
    <d v="2024-03-14T00:00:00"/>
    <x v="2"/>
    <s v="Delhi"/>
    <x v="2"/>
    <x v="1"/>
    <x v="4"/>
    <s v="Medium"/>
    <n v="3"/>
    <n v="4"/>
    <n v="1"/>
    <s v="Yes"/>
    <n v="75"/>
    <n v="1130"/>
    <n v="2193"/>
    <n v="0"/>
    <s v="No"/>
    <s v="Minor"/>
    <n v="2193"/>
    <n v="1130"/>
    <n v="2024"/>
    <n v="3"/>
  </r>
  <r>
    <s v="SHP-31285"/>
    <d v="2024-01-30T00:00:00"/>
    <x v="3"/>
    <s v="Mumbai"/>
    <x v="2"/>
    <x v="2"/>
    <x v="3"/>
    <s v="Low"/>
    <n v="3"/>
    <n v="5"/>
    <n v="2"/>
    <s v="Yes"/>
    <n v="168"/>
    <n v="2658"/>
    <n v="8894"/>
    <n v="0"/>
    <s v="No"/>
    <s v="Minor"/>
    <n v="4447"/>
    <n v="1329"/>
    <n v="2024"/>
    <n v="1"/>
  </r>
  <r>
    <s v="SHP-31286"/>
    <d v="2024-10-13T00:00:00"/>
    <x v="1"/>
    <s v="Bhubaneswar"/>
    <x v="2"/>
    <x v="0"/>
    <x v="4"/>
    <s v="Low"/>
    <n v="2"/>
    <n v="5"/>
    <n v="3"/>
    <s v="Yes"/>
    <n v="338"/>
    <n v="5757"/>
    <n v="11025"/>
    <n v="0"/>
    <s v="No"/>
    <s v="Major"/>
    <n v="3675"/>
    <n v="1919"/>
    <n v="2024"/>
    <n v="10"/>
  </r>
  <r>
    <s v="SHP-31287"/>
    <d v="2024-12-16T00:00:00"/>
    <x v="1"/>
    <s v="Kolkata"/>
    <x v="1"/>
    <x v="1"/>
    <x v="4"/>
    <s v="Medium"/>
    <n v="3"/>
    <n v="6"/>
    <n v="3"/>
    <s v="Yes"/>
    <n v="399"/>
    <n v="6993"/>
    <n v="4965"/>
    <n v="0"/>
    <s v="No"/>
    <s v="Major"/>
    <n v="1655"/>
    <n v="2331"/>
    <n v="2024"/>
    <n v="12"/>
  </r>
  <r>
    <s v="SHP-31288"/>
    <d v="2024-04-29T00:00:00"/>
    <x v="3"/>
    <s v="Mumbai"/>
    <x v="2"/>
    <x v="1"/>
    <x v="3"/>
    <s v="High"/>
    <n v="2"/>
    <n v="8"/>
    <n v="6"/>
    <s v="Yes"/>
    <n v="316"/>
    <n v="5718"/>
    <n v="27144"/>
    <n v="0"/>
    <s v="No"/>
    <s v="Severe"/>
    <n v="4524"/>
    <n v="953"/>
    <n v="2024"/>
    <n v="4"/>
  </r>
  <r>
    <s v="SHP-31289"/>
    <d v="2024-08-25T00:00:00"/>
    <x v="3"/>
    <s v="Pune"/>
    <x v="2"/>
    <x v="0"/>
    <x v="4"/>
    <s v="Medium"/>
    <n v="5"/>
    <n v="5"/>
    <n v="0"/>
    <s v="No"/>
    <n v="247"/>
    <n v="0"/>
    <n v="0"/>
    <n v="1"/>
    <s v="No"/>
    <s v="On Time"/>
    <n v="0"/>
    <n v="0"/>
    <n v="2024"/>
    <n v="8"/>
  </r>
  <r>
    <s v="SHP-31290"/>
    <d v="2024-12-03T00:00:00"/>
    <x v="0"/>
    <s v="Bengaluru"/>
    <x v="1"/>
    <x v="1"/>
    <x v="4"/>
    <s v="Low"/>
    <n v="2"/>
    <n v="3"/>
    <n v="1"/>
    <s v="Yes"/>
    <n v="438"/>
    <n v="1479"/>
    <n v="4776"/>
    <n v="0"/>
    <s v="No"/>
    <s v="Minor"/>
    <n v="4776"/>
    <n v="1479"/>
    <n v="2024"/>
    <n v="12"/>
  </r>
  <r>
    <s v="SHP-31291"/>
    <d v="2024-11-08T00:00:00"/>
    <x v="3"/>
    <s v="Mumbai"/>
    <x v="0"/>
    <x v="1"/>
    <x v="1"/>
    <s v="High"/>
    <n v="2"/>
    <n v="6"/>
    <n v="4"/>
    <s v="Yes"/>
    <n v="349"/>
    <n v="9164"/>
    <n v="15540"/>
    <n v="0"/>
    <s v="No"/>
    <s v="Major"/>
    <n v="3885"/>
    <n v="2291"/>
    <n v="2024"/>
    <n v="11"/>
  </r>
  <r>
    <s v="SHP-31292"/>
    <d v="2024-06-09T00:00:00"/>
    <x v="2"/>
    <s v="Noida"/>
    <x v="1"/>
    <x v="1"/>
    <x v="2"/>
    <s v="Low"/>
    <n v="3"/>
    <n v="3"/>
    <n v="0"/>
    <s v="No"/>
    <n v="367"/>
    <n v="0"/>
    <n v="0"/>
    <n v="1"/>
    <s v="No"/>
    <s v="On Time"/>
    <n v="0"/>
    <n v="0"/>
    <n v="2024"/>
    <n v="6"/>
  </r>
  <r>
    <s v="SHP-31293"/>
    <d v="2024-04-15T00:00:00"/>
    <x v="1"/>
    <s v="Kolkata"/>
    <x v="2"/>
    <x v="0"/>
    <x v="4"/>
    <s v="Low"/>
    <n v="3"/>
    <n v="8"/>
    <n v="5"/>
    <s v="Yes"/>
    <n v="283"/>
    <n v="7710"/>
    <n v="22025"/>
    <n v="0"/>
    <s v="No"/>
    <s v="Major"/>
    <n v="4405"/>
    <n v="1542"/>
    <n v="2024"/>
    <n v="4"/>
  </r>
  <r>
    <s v="SHP-31294"/>
    <d v="2024-09-06T00:00:00"/>
    <x v="2"/>
    <s v="Delhi"/>
    <x v="1"/>
    <x v="0"/>
    <x v="3"/>
    <s v="Low"/>
    <n v="3"/>
    <n v="3"/>
    <n v="0"/>
    <s v="No"/>
    <n v="328"/>
    <n v="0"/>
    <n v="0"/>
    <n v="1"/>
    <s v="No"/>
    <s v="On Time"/>
    <n v="0"/>
    <n v="0"/>
    <n v="2024"/>
    <n v="9"/>
  </r>
  <r>
    <s v="SHP-31295"/>
    <d v="2024-03-19T00:00:00"/>
    <x v="3"/>
    <s v="Pune"/>
    <x v="2"/>
    <x v="0"/>
    <x v="2"/>
    <s v="Low"/>
    <n v="2"/>
    <n v="7"/>
    <n v="5"/>
    <s v="Yes"/>
    <n v="99"/>
    <n v="7470"/>
    <n v="16110"/>
    <n v="0"/>
    <s v="No"/>
    <s v="Major"/>
    <n v="3222"/>
    <n v="1494"/>
    <n v="2024"/>
    <n v="3"/>
  </r>
  <r>
    <s v="SHP-31296"/>
    <d v="2024-12-22T00:00:00"/>
    <x v="0"/>
    <s v="Bengaluru"/>
    <x v="2"/>
    <x v="0"/>
    <x v="4"/>
    <s v="Low"/>
    <n v="3"/>
    <n v="5"/>
    <n v="2"/>
    <s v="Yes"/>
    <n v="422"/>
    <n v="2024"/>
    <n v="7066"/>
    <n v="0"/>
    <s v="No"/>
    <s v="Minor"/>
    <n v="3533"/>
    <n v="1012"/>
    <n v="2024"/>
    <n v="12"/>
  </r>
  <r>
    <s v="SHP-31297"/>
    <d v="2024-01-31T00:00:00"/>
    <x v="1"/>
    <s v="Kolkata"/>
    <x v="2"/>
    <x v="1"/>
    <x v="4"/>
    <s v="Low"/>
    <n v="3"/>
    <n v="3"/>
    <n v="0"/>
    <s v="No"/>
    <n v="111"/>
    <n v="0"/>
    <n v="0"/>
    <n v="1"/>
    <s v="No"/>
    <s v="On Time"/>
    <n v="0"/>
    <n v="0"/>
    <n v="2024"/>
    <n v="1"/>
  </r>
  <r>
    <s v="SHP-31298"/>
    <d v="2024-01-31T00:00:00"/>
    <x v="3"/>
    <s v="Pune"/>
    <x v="2"/>
    <x v="1"/>
    <x v="2"/>
    <s v="Low"/>
    <n v="2"/>
    <n v="2"/>
    <n v="0"/>
    <s v="No"/>
    <n v="255"/>
    <n v="0"/>
    <n v="0"/>
    <n v="1"/>
    <s v="No"/>
    <s v="On Time"/>
    <n v="0"/>
    <n v="0"/>
    <n v="2024"/>
    <n v="1"/>
  </r>
  <r>
    <s v="SHP-31299"/>
    <d v="2024-12-26T00:00:00"/>
    <x v="3"/>
    <s v="Pune"/>
    <x v="2"/>
    <x v="2"/>
    <x v="4"/>
    <s v="Low"/>
    <n v="2"/>
    <n v="5"/>
    <n v="3"/>
    <s v="Yes"/>
    <n v="181"/>
    <n v="3231"/>
    <n v="11715"/>
    <n v="0"/>
    <s v="No"/>
    <s v="Major"/>
    <n v="3905"/>
    <n v="1077"/>
    <n v="2024"/>
    <n v="12"/>
  </r>
  <r>
    <s v="SHP-31300"/>
    <d v="2024-07-05T00:00:00"/>
    <x v="2"/>
    <s v="Noida"/>
    <x v="0"/>
    <x v="0"/>
    <x v="2"/>
    <s v="High"/>
    <n v="2"/>
    <n v="10"/>
    <n v="8"/>
    <s v="Yes"/>
    <n v="157"/>
    <n v="7096"/>
    <n v="33624"/>
    <n v="0"/>
    <s v="No"/>
    <s v="Severe"/>
    <n v="4203"/>
    <n v="887"/>
    <n v="2024"/>
    <n v="7"/>
  </r>
  <r>
    <s v="SHP-31301"/>
    <d v="2024-06-22T00:00:00"/>
    <x v="3"/>
    <s v="Pune"/>
    <x v="1"/>
    <x v="1"/>
    <x v="0"/>
    <s v="Low"/>
    <n v="2"/>
    <n v="3"/>
    <n v="1"/>
    <s v="Yes"/>
    <n v="153"/>
    <n v="921"/>
    <n v="1718"/>
    <n v="0"/>
    <s v="No"/>
    <s v="Minor"/>
    <n v="1718"/>
    <n v="921"/>
    <n v="2024"/>
    <n v="6"/>
  </r>
  <r>
    <s v="SHP-31302"/>
    <d v="2024-10-09T00:00:00"/>
    <x v="0"/>
    <s v="Bengaluru"/>
    <x v="2"/>
    <x v="1"/>
    <x v="1"/>
    <s v="Medium"/>
    <n v="1"/>
    <n v="4"/>
    <n v="3"/>
    <s v="Yes"/>
    <n v="394"/>
    <n v="4836"/>
    <n v="11382"/>
    <n v="0"/>
    <s v="No"/>
    <s v="Major"/>
    <n v="3794"/>
    <n v="1612"/>
    <n v="2024"/>
    <n v="10"/>
  </r>
  <r>
    <s v="SHP-31303"/>
    <d v="2024-04-13T00:00:00"/>
    <x v="2"/>
    <s v="Delhi"/>
    <x v="2"/>
    <x v="1"/>
    <x v="0"/>
    <s v="Low"/>
    <n v="2"/>
    <n v="6"/>
    <n v="4"/>
    <s v="Yes"/>
    <n v="84"/>
    <n v="7668"/>
    <n v="18916"/>
    <n v="0"/>
    <s v="No"/>
    <s v="Major"/>
    <n v="4729"/>
    <n v="1917"/>
    <n v="2024"/>
    <n v="4"/>
  </r>
  <r>
    <s v="SHP-31304"/>
    <d v="2024-01-02T00:00:00"/>
    <x v="1"/>
    <s v="Bhubaneswar"/>
    <x v="2"/>
    <x v="1"/>
    <x v="2"/>
    <s v="Low"/>
    <n v="2"/>
    <n v="5"/>
    <n v="3"/>
    <s v="Yes"/>
    <n v="186"/>
    <n v="4962"/>
    <n v="8025"/>
    <n v="0"/>
    <s v="No"/>
    <s v="Major"/>
    <n v="2675"/>
    <n v="1654"/>
    <n v="2024"/>
    <n v="1"/>
  </r>
  <r>
    <s v="SHP-31305"/>
    <d v="2024-12-13T00:00:00"/>
    <x v="1"/>
    <s v="Kolkata"/>
    <x v="2"/>
    <x v="2"/>
    <x v="3"/>
    <s v="Low"/>
    <n v="3"/>
    <n v="5"/>
    <n v="2"/>
    <s v="Yes"/>
    <n v="237"/>
    <n v="4638"/>
    <n v="6844"/>
    <n v="0"/>
    <s v="No"/>
    <s v="Minor"/>
    <n v="3422"/>
    <n v="2319"/>
    <n v="2024"/>
    <n v="12"/>
  </r>
  <r>
    <s v="SHP-31306"/>
    <d v="2024-02-16T00:00:00"/>
    <x v="0"/>
    <s v="Bengaluru"/>
    <x v="2"/>
    <x v="1"/>
    <x v="4"/>
    <s v="High"/>
    <n v="2"/>
    <n v="6"/>
    <n v="4"/>
    <s v="Yes"/>
    <n v="488"/>
    <n v="6116"/>
    <n v="7152"/>
    <n v="0"/>
    <s v="No"/>
    <s v="Major"/>
    <n v="1788"/>
    <n v="1529"/>
    <n v="2024"/>
    <n v="2"/>
  </r>
  <r>
    <s v="SHP-31307"/>
    <d v="2024-12-26T00:00:00"/>
    <x v="1"/>
    <s v="Bhubaneswar"/>
    <x v="0"/>
    <x v="1"/>
    <x v="4"/>
    <s v="High"/>
    <n v="5"/>
    <n v="9"/>
    <n v="4"/>
    <s v="Yes"/>
    <n v="446"/>
    <n v="5160"/>
    <n v="16900"/>
    <n v="0"/>
    <s v="No"/>
    <s v="Major"/>
    <n v="4225"/>
    <n v="1290"/>
    <n v="2024"/>
    <n v="12"/>
  </r>
  <r>
    <s v="SHP-31308"/>
    <d v="2024-03-28T00:00:00"/>
    <x v="3"/>
    <s v="Pune"/>
    <x v="1"/>
    <x v="0"/>
    <x v="3"/>
    <s v="Low"/>
    <n v="3"/>
    <n v="7"/>
    <n v="4"/>
    <s v="Yes"/>
    <n v="423"/>
    <n v="8540"/>
    <n v="13320"/>
    <n v="0"/>
    <s v="No"/>
    <s v="Major"/>
    <n v="3330"/>
    <n v="2135"/>
    <n v="2024"/>
    <n v="3"/>
  </r>
  <r>
    <s v="SHP-31309"/>
    <d v="2024-12-25T00:00:00"/>
    <x v="2"/>
    <s v="Noida"/>
    <x v="2"/>
    <x v="2"/>
    <x v="4"/>
    <s v="High"/>
    <n v="1"/>
    <n v="9"/>
    <n v="8"/>
    <s v="Yes"/>
    <n v="294"/>
    <n v="16792"/>
    <n v="20960"/>
    <n v="0"/>
    <s v="No"/>
    <s v="Severe"/>
    <n v="2620"/>
    <n v="2099"/>
    <n v="2024"/>
    <n v="12"/>
  </r>
  <r>
    <s v="SHP-31310"/>
    <d v="2024-01-26T00:00:00"/>
    <x v="0"/>
    <s v="Bengaluru"/>
    <x v="1"/>
    <x v="1"/>
    <x v="0"/>
    <s v="Medium"/>
    <n v="5"/>
    <n v="6"/>
    <n v="1"/>
    <s v="Yes"/>
    <n v="368"/>
    <n v="2231"/>
    <n v="1984"/>
    <n v="0"/>
    <s v="No"/>
    <s v="Minor"/>
    <n v="1984"/>
    <n v="2231"/>
    <n v="2024"/>
    <n v="1"/>
  </r>
  <r>
    <s v="SHP-31311"/>
    <d v="2024-12-06T00:00:00"/>
    <x v="2"/>
    <s v="Noida"/>
    <x v="0"/>
    <x v="0"/>
    <x v="4"/>
    <s v="High"/>
    <n v="1"/>
    <n v="8"/>
    <n v="7"/>
    <s v="Yes"/>
    <n v="103"/>
    <n v="16317"/>
    <n v="32466"/>
    <n v="0"/>
    <s v="No"/>
    <s v="Severe"/>
    <n v="4638"/>
    <n v="2331"/>
    <n v="2024"/>
    <n v="12"/>
  </r>
  <r>
    <s v="SHP-31312"/>
    <d v="2024-01-03T00:00:00"/>
    <x v="1"/>
    <s v="Kolkata"/>
    <x v="2"/>
    <x v="0"/>
    <x v="2"/>
    <s v="Low"/>
    <n v="1"/>
    <n v="4"/>
    <n v="3"/>
    <s v="Yes"/>
    <n v="225"/>
    <n v="6855"/>
    <n v="11352"/>
    <n v="0"/>
    <s v="No"/>
    <s v="Major"/>
    <n v="3784"/>
    <n v="2285"/>
    <n v="2024"/>
    <n v="1"/>
  </r>
  <r>
    <s v="SHP-31313"/>
    <d v="2024-07-25T00:00:00"/>
    <x v="3"/>
    <s v="Pune"/>
    <x v="2"/>
    <x v="2"/>
    <x v="3"/>
    <s v="Medium"/>
    <n v="5"/>
    <n v="11"/>
    <n v="6"/>
    <s v="Yes"/>
    <n v="466"/>
    <n v="8670"/>
    <n v="23808"/>
    <n v="0"/>
    <s v="No"/>
    <s v="Severe"/>
    <n v="3968"/>
    <n v="1445"/>
    <n v="2024"/>
    <n v="7"/>
  </r>
  <r>
    <s v="SHP-31314"/>
    <d v="2024-02-17T00:00:00"/>
    <x v="2"/>
    <s v="Noida"/>
    <x v="2"/>
    <x v="1"/>
    <x v="2"/>
    <s v="Low"/>
    <n v="3"/>
    <n v="6"/>
    <n v="3"/>
    <s v="Yes"/>
    <n v="456"/>
    <n v="3504"/>
    <n v="12204"/>
    <n v="0"/>
    <s v="No"/>
    <s v="Major"/>
    <n v="4068"/>
    <n v="1168"/>
    <n v="2024"/>
    <n v="2"/>
  </r>
  <r>
    <s v="SHP-31315"/>
    <d v="2024-07-20T00:00:00"/>
    <x v="3"/>
    <s v="Mumbai"/>
    <x v="2"/>
    <x v="0"/>
    <x v="3"/>
    <s v="Low"/>
    <n v="3"/>
    <n v="3"/>
    <n v="0"/>
    <s v="No"/>
    <n v="244"/>
    <n v="0"/>
    <n v="0"/>
    <n v="1"/>
    <s v="No"/>
    <s v="On Time"/>
    <n v="0"/>
    <n v="0"/>
    <n v="2024"/>
    <n v="7"/>
  </r>
  <r>
    <s v="SHP-31316"/>
    <d v="2024-11-05T00:00:00"/>
    <x v="3"/>
    <s v="Mumbai"/>
    <x v="2"/>
    <x v="1"/>
    <x v="2"/>
    <s v="High"/>
    <n v="3"/>
    <n v="7"/>
    <n v="4"/>
    <s v="Yes"/>
    <n v="372"/>
    <n v="3904"/>
    <n v="12272"/>
    <n v="0"/>
    <s v="No"/>
    <s v="Major"/>
    <n v="3068"/>
    <n v="976"/>
    <n v="2024"/>
    <n v="11"/>
  </r>
  <r>
    <s v="SHP-31317"/>
    <d v="2024-06-30T00:00:00"/>
    <x v="1"/>
    <s v="Kolkata"/>
    <x v="2"/>
    <x v="1"/>
    <x v="3"/>
    <s v="Medium"/>
    <n v="1"/>
    <n v="6"/>
    <n v="5"/>
    <s v="Yes"/>
    <n v="174"/>
    <n v="4595"/>
    <n v="12690"/>
    <n v="0"/>
    <s v="No"/>
    <s v="Major"/>
    <n v="2538"/>
    <n v="919"/>
    <n v="2024"/>
    <n v="6"/>
  </r>
  <r>
    <s v="SHP-31318"/>
    <d v="2024-02-10T00:00:00"/>
    <x v="3"/>
    <s v="Mumbai"/>
    <x v="0"/>
    <x v="1"/>
    <x v="2"/>
    <s v="High"/>
    <n v="1"/>
    <n v="6"/>
    <n v="5"/>
    <s v="Yes"/>
    <n v="166"/>
    <n v="4540"/>
    <n v="8700"/>
    <n v="0"/>
    <s v="No"/>
    <s v="Major"/>
    <n v="1740"/>
    <n v="908"/>
    <n v="2024"/>
    <n v="2"/>
  </r>
  <r>
    <s v="SHP-31319"/>
    <d v="2024-09-19T00:00:00"/>
    <x v="0"/>
    <s v="Bengaluru"/>
    <x v="2"/>
    <x v="1"/>
    <x v="3"/>
    <s v="Low"/>
    <n v="2"/>
    <n v="5"/>
    <n v="3"/>
    <s v="Yes"/>
    <n v="214"/>
    <n v="5139"/>
    <n v="6828"/>
    <n v="0"/>
    <s v="No"/>
    <s v="Major"/>
    <n v="2276"/>
    <n v="1713"/>
    <n v="2024"/>
    <n v="9"/>
  </r>
  <r>
    <s v="SHP-31320"/>
    <d v="2024-01-24T00:00:00"/>
    <x v="2"/>
    <s v="Delhi"/>
    <x v="0"/>
    <x v="1"/>
    <x v="2"/>
    <s v="Low"/>
    <n v="2"/>
    <n v="6"/>
    <n v="4"/>
    <s v="Yes"/>
    <n v="112"/>
    <n v="5516"/>
    <n v="12288"/>
    <n v="0"/>
    <s v="No"/>
    <s v="Major"/>
    <n v="3072"/>
    <n v="1379"/>
    <n v="2024"/>
    <n v="1"/>
  </r>
  <r>
    <s v="SHP-31321"/>
    <d v="2024-11-28T00:00:00"/>
    <x v="1"/>
    <s v="Kolkata"/>
    <x v="0"/>
    <x v="1"/>
    <x v="3"/>
    <s v="Medium"/>
    <n v="3"/>
    <n v="6"/>
    <n v="3"/>
    <s v="Yes"/>
    <n v="93"/>
    <n v="5088"/>
    <n v="5598"/>
    <n v="0"/>
    <s v="No"/>
    <s v="Major"/>
    <n v="1866"/>
    <n v="1696"/>
    <n v="2024"/>
    <n v="11"/>
  </r>
  <r>
    <s v="SHP-31322"/>
    <d v="2024-09-28T00:00:00"/>
    <x v="2"/>
    <s v="Noida"/>
    <x v="1"/>
    <x v="1"/>
    <x v="4"/>
    <s v="Low"/>
    <n v="2"/>
    <n v="4"/>
    <n v="2"/>
    <s v="Yes"/>
    <n v="85"/>
    <n v="2968"/>
    <n v="3326"/>
    <n v="0"/>
    <s v="No"/>
    <s v="Minor"/>
    <n v="1663"/>
    <n v="1484"/>
    <n v="2024"/>
    <n v="9"/>
  </r>
  <r>
    <s v="SHP-31323"/>
    <d v="2024-09-05T00:00:00"/>
    <x v="0"/>
    <s v="Bengaluru"/>
    <x v="2"/>
    <x v="1"/>
    <x v="2"/>
    <s v="Medium"/>
    <n v="3"/>
    <n v="8"/>
    <n v="5"/>
    <s v="Yes"/>
    <n v="413"/>
    <n v="5060"/>
    <n v="13255"/>
    <n v="0"/>
    <s v="No"/>
    <s v="Major"/>
    <n v="2651"/>
    <n v="1012"/>
    <n v="2024"/>
    <n v="9"/>
  </r>
  <r>
    <s v="SHP-31324"/>
    <d v="2024-04-01T00:00:00"/>
    <x v="3"/>
    <s v="Mumbai"/>
    <x v="0"/>
    <x v="1"/>
    <x v="2"/>
    <s v="High"/>
    <n v="5"/>
    <n v="9"/>
    <n v="4"/>
    <s v="Yes"/>
    <n v="419"/>
    <n v="9000"/>
    <n v="14720"/>
    <n v="0"/>
    <s v="No"/>
    <s v="Major"/>
    <n v="3680"/>
    <n v="2250"/>
    <n v="2024"/>
    <n v="4"/>
  </r>
  <r>
    <s v="SHP-31325"/>
    <d v="2024-01-27T00:00:00"/>
    <x v="2"/>
    <s v="Noida"/>
    <x v="1"/>
    <x v="1"/>
    <x v="4"/>
    <s v="High"/>
    <n v="5"/>
    <n v="8"/>
    <n v="3"/>
    <s v="Yes"/>
    <n v="123"/>
    <n v="3300"/>
    <n v="11073"/>
    <n v="0"/>
    <s v="No"/>
    <s v="Major"/>
    <n v="3691"/>
    <n v="1100"/>
    <n v="2024"/>
    <n v="1"/>
  </r>
  <r>
    <s v="SHP-31326"/>
    <d v="2024-11-16T00:00:00"/>
    <x v="0"/>
    <s v="Chennai"/>
    <x v="1"/>
    <x v="1"/>
    <x v="0"/>
    <s v="Low"/>
    <n v="1"/>
    <n v="5"/>
    <n v="4"/>
    <s v="Yes"/>
    <n v="282"/>
    <n v="4856"/>
    <n v="7112"/>
    <n v="0"/>
    <s v="No"/>
    <s v="Major"/>
    <n v="1778"/>
    <n v="1214"/>
    <n v="2024"/>
    <n v="11"/>
  </r>
  <r>
    <s v="SHP-31327"/>
    <d v="2024-02-02T00:00:00"/>
    <x v="2"/>
    <s v="Noida"/>
    <x v="2"/>
    <x v="1"/>
    <x v="0"/>
    <s v="Low"/>
    <n v="1"/>
    <n v="3"/>
    <n v="2"/>
    <s v="Yes"/>
    <n v="236"/>
    <n v="3652"/>
    <n v="8390"/>
    <n v="0"/>
    <s v="No"/>
    <s v="Minor"/>
    <n v="4195"/>
    <n v="1826"/>
    <n v="2024"/>
    <n v="2"/>
  </r>
  <r>
    <s v="SHP-31328"/>
    <d v="2024-07-24T00:00:00"/>
    <x v="0"/>
    <s v="Chennai"/>
    <x v="0"/>
    <x v="2"/>
    <x v="2"/>
    <s v="Low"/>
    <n v="1"/>
    <n v="5"/>
    <n v="4"/>
    <s v="Yes"/>
    <n v="85"/>
    <n v="3260"/>
    <n v="14716"/>
    <n v="0"/>
    <s v="No"/>
    <s v="Major"/>
    <n v="3679"/>
    <n v="815"/>
    <n v="2024"/>
    <n v="7"/>
  </r>
  <r>
    <s v="SHP-31329"/>
    <d v="2024-07-31T00:00:00"/>
    <x v="1"/>
    <s v="Bhubaneswar"/>
    <x v="1"/>
    <x v="1"/>
    <x v="1"/>
    <s v="Low"/>
    <n v="3"/>
    <n v="7"/>
    <n v="4"/>
    <s v="Yes"/>
    <n v="162"/>
    <n v="6428"/>
    <n v="6216"/>
    <n v="0"/>
    <s v="No"/>
    <s v="Major"/>
    <n v="1554"/>
    <n v="1607"/>
    <n v="2024"/>
    <n v="7"/>
  </r>
  <r>
    <s v="SHP-31330"/>
    <d v="2024-12-20T00:00:00"/>
    <x v="2"/>
    <s v="Noida"/>
    <x v="0"/>
    <x v="1"/>
    <x v="4"/>
    <s v="Low"/>
    <n v="2"/>
    <n v="5"/>
    <n v="3"/>
    <s v="Yes"/>
    <n v="297"/>
    <n v="3039"/>
    <n v="14775"/>
    <n v="0"/>
    <s v="No"/>
    <s v="Major"/>
    <n v="4925"/>
    <n v="1013"/>
    <n v="2024"/>
    <n v="12"/>
  </r>
  <r>
    <s v="SHP-31331"/>
    <d v="2024-09-16T00:00:00"/>
    <x v="0"/>
    <s v="Chennai"/>
    <x v="2"/>
    <x v="1"/>
    <x v="0"/>
    <s v="Low"/>
    <n v="1"/>
    <n v="6"/>
    <n v="5"/>
    <s v="Yes"/>
    <n v="216"/>
    <n v="11665"/>
    <n v="15690"/>
    <n v="0"/>
    <s v="No"/>
    <s v="Major"/>
    <n v="3138"/>
    <n v="2333"/>
    <n v="2024"/>
    <n v="9"/>
  </r>
  <r>
    <s v="SHP-31332"/>
    <d v="2024-10-08T00:00:00"/>
    <x v="1"/>
    <s v="Bhubaneswar"/>
    <x v="0"/>
    <x v="0"/>
    <x v="4"/>
    <s v="Low"/>
    <n v="2"/>
    <n v="4"/>
    <n v="2"/>
    <s v="Yes"/>
    <n v="113"/>
    <n v="3702"/>
    <n v="7878"/>
    <n v="0"/>
    <s v="No"/>
    <s v="Minor"/>
    <n v="3939"/>
    <n v="1851"/>
    <n v="2024"/>
    <n v="10"/>
  </r>
  <r>
    <s v="SHP-31333"/>
    <d v="2024-09-13T00:00:00"/>
    <x v="1"/>
    <s v="Kolkata"/>
    <x v="1"/>
    <x v="1"/>
    <x v="4"/>
    <s v="Low"/>
    <n v="1"/>
    <n v="2"/>
    <n v="1"/>
    <s v="Yes"/>
    <n v="181"/>
    <n v="851"/>
    <n v="3906"/>
    <n v="0"/>
    <s v="No"/>
    <s v="Minor"/>
    <n v="3906"/>
    <n v="851"/>
    <n v="2024"/>
    <n v="9"/>
  </r>
  <r>
    <s v="SHP-31334"/>
    <d v="2024-04-11T00:00:00"/>
    <x v="0"/>
    <s v="Chennai"/>
    <x v="2"/>
    <x v="1"/>
    <x v="1"/>
    <s v="Low"/>
    <n v="5"/>
    <n v="9"/>
    <n v="4"/>
    <s v="Yes"/>
    <n v="234"/>
    <n v="8224"/>
    <n v="17508"/>
    <n v="0"/>
    <s v="No"/>
    <s v="Major"/>
    <n v="4377"/>
    <n v="2056"/>
    <n v="2024"/>
    <n v="4"/>
  </r>
  <r>
    <s v="SHP-31335"/>
    <d v="2024-07-11T00:00:00"/>
    <x v="1"/>
    <s v="Kolkata"/>
    <x v="2"/>
    <x v="1"/>
    <x v="0"/>
    <s v="Low"/>
    <n v="2"/>
    <n v="2"/>
    <n v="0"/>
    <s v="No"/>
    <n v="182"/>
    <n v="0"/>
    <n v="0"/>
    <n v="1"/>
    <s v="No"/>
    <s v="On Time"/>
    <n v="0"/>
    <n v="0"/>
    <n v="2024"/>
    <n v="7"/>
  </r>
  <r>
    <s v="SHP-31336"/>
    <d v="2024-07-01T00:00:00"/>
    <x v="2"/>
    <s v="Noida"/>
    <x v="1"/>
    <x v="0"/>
    <x v="3"/>
    <s v="Low"/>
    <n v="3"/>
    <n v="4"/>
    <n v="1"/>
    <s v="Yes"/>
    <n v="125"/>
    <n v="1926"/>
    <n v="4037"/>
    <n v="0"/>
    <s v="No"/>
    <s v="Minor"/>
    <n v="4037"/>
    <n v="1926"/>
    <n v="2024"/>
    <n v="7"/>
  </r>
  <r>
    <s v="SHP-31337"/>
    <d v="2024-06-03T00:00:00"/>
    <x v="2"/>
    <s v="Delhi"/>
    <x v="1"/>
    <x v="1"/>
    <x v="1"/>
    <s v="High"/>
    <n v="2"/>
    <n v="6"/>
    <n v="4"/>
    <s v="Yes"/>
    <n v="93"/>
    <n v="6104"/>
    <n v="17236"/>
    <n v="0"/>
    <s v="No"/>
    <s v="Major"/>
    <n v="4309"/>
    <n v="1526"/>
    <n v="2024"/>
    <n v="6"/>
  </r>
  <r>
    <s v="SHP-31338"/>
    <d v="2024-02-11T00:00:00"/>
    <x v="0"/>
    <s v="Bengaluru"/>
    <x v="2"/>
    <x v="0"/>
    <x v="1"/>
    <s v="Medium"/>
    <n v="1"/>
    <n v="2"/>
    <n v="1"/>
    <s v="Yes"/>
    <n v="197"/>
    <n v="1402"/>
    <n v="3039"/>
    <n v="0"/>
    <s v="No"/>
    <s v="Minor"/>
    <n v="3039"/>
    <n v="1402"/>
    <n v="2024"/>
    <n v="2"/>
  </r>
  <r>
    <s v="SHP-31339"/>
    <d v="2024-06-30T00:00:00"/>
    <x v="1"/>
    <s v="Kolkata"/>
    <x v="1"/>
    <x v="1"/>
    <x v="1"/>
    <s v="Low"/>
    <n v="1"/>
    <n v="3"/>
    <n v="2"/>
    <s v="Yes"/>
    <n v="186"/>
    <n v="2462"/>
    <n v="8664"/>
    <n v="0"/>
    <s v="No"/>
    <s v="Minor"/>
    <n v="4332"/>
    <n v="1231"/>
    <n v="2024"/>
    <n v="6"/>
  </r>
  <r>
    <s v="SHP-31340"/>
    <d v="2024-09-14T00:00:00"/>
    <x v="3"/>
    <s v="Pune"/>
    <x v="1"/>
    <x v="1"/>
    <x v="4"/>
    <s v="Low"/>
    <n v="2"/>
    <n v="2"/>
    <n v="0"/>
    <s v="No"/>
    <n v="407"/>
    <n v="0"/>
    <n v="0"/>
    <n v="1"/>
    <s v="No"/>
    <s v="On Time"/>
    <n v="0"/>
    <n v="0"/>
    <n v="2024"/>
    <n v="9"/>
  </r>
  <r>
    <s v="SHP-31341"/>
    <d v="2024-12-26T00:00:00"/>
    <x v="1"/>
    <s v="Bhubaneswar"/>
    <x v="2"/>
    <x v="1"/>
    <x v="3"/>
    <s v="Low"/>
    <n v="1"/>
    <n v="5"/>
    <n v="4"/>
    <s v="Yes"/>
    <n v="318"/>
    <n v="9032"/>
    <n v="8756"/>
    <n v="0"/>
    <s v="No"/>
    <s v="Major"/>
    <n v="2189"/>
    <n v="2258"/>
    <n v="2024"/>
    <n v="12"/>
  </r>
  <r>
    <s v="SHP-31342"/>
    <d v="2024-05-30T00:00:00"/>
    <x v="2"/>
    <s v="Noida"/>
    <x v="0"/>
    <x v="1"/>
    <x v="4"/>
    <s v="Medium"/>
    <n v="2"/>
    <n v="4"/>
    <n v="2"/>
    <s v="Yes"/>
    <n v="296"/>
    <n v="2168"/>
    <n v="8986"/>
    <n v="0"/>
    <s v="No"/>
    <s v="Minor"/>
    <n v="4493"/>
    <n v="1084"/>
    <n v="2024"/>
    <n v="5"/>
  </r>
  <r>
    <s v="SHP-31343"/>
    <d v="2024-12-14T00:00:00"/>
    <x v="2"/>
    <s v="Delhi"/>
    <x v="0"/>
    <x v="2"/>
    <x v="2"/>
    <s v="Medium"/>
    <n v="3"/>
    <n v="7"/>
    <n v="4"/>
    <s v="Yes"/>
    <n v="490"/>
    <n v="9476"/>
    <n v="7988"/>
    <n v="0"/>
    <s v="No"/>
    <s v="Major"/>
    <n v="1997"/>
    <n v="2369"/>
    <n v="2024"/>
    <n v="12"/>
  </r>
  <r>
    <s v="SHP-31344"/>
    <d v="2024-03-13T00:00:00"/>
    <x v="2"/>
    <s v="Delhi"/>
    <x v="0"/>
    <x v="1"/>
    <x v="2"/>
    <s v="Medium"/>
    <n v="2"/>
    <n v="3"/>
    <n v="1"/>
    <s v="Yes"/>
    <n v="389"/>
    <n v="1566"/>
    <n v="2088"/>
    <n v="0"/>
    <s v="No"/>
    <s v="Minor"/>
    <n v="2088"/>
    <n v="1566"/>
    <n v="2024"/>
    <n v="3"/>
  </r>
  <r>
    <s v="SHP-31345"/>
    <d v="2024-08-26T00:00:00"/>
    <x v="3"/>
    <s v="Mumbai"/>
    <x v="2"/>
    <x v="1"/>
    <x v="2"/>
    <s v="Medium"/>
    <n v="2"/>
    <n v="5"/>
    <n v="3"/>
    <s v="Yes"/>
    <n v="129"/>
    <n v="7185"/>
    <n v="12534"/>
    <n v="0"/>
    <s v="No"/>
    <s v="Major"/>
    <n v="4178"/>
    <n v="2395"/>
    <n v="2024"/>
    <n v="8"/>
  </r>
  <r>
    <s v="SHP-31346"/>
    <d v="2024-11-04T00:00:00"/>
    <x v="2"/>
    <s v="Delhi"/>
    <x v="2"/>
    <x v="1"/>
    <x v="4"/>
    <s v="Low"/>
    <n v="1"/>
    <n v="1"/>
    <n v="0"/>
    <s v="No"/>
    <n v="176"/>
    <n v="0"/>
    <n v="0"/>
    <n v="1"/>
    <s v="No"/>
    <s v="On Time"/>
    <n v="0"/>
    <n v="0"/>
    <n v="2024"/>
    <n v="11"/>
  </r>
  <r>
    <s v="SHP-31347"/>
    <d v="2024-03-02T00:00:00"/>
    <x v="0"/>
    <s v="Bengaluru"/>
    <x v="1"/>
    <x v="1"/>
    <x v="4"/>
    <s v="Low"/>
    <n v="5"/>
    <n v="5"/>
    <n v="0"/>
    <s v="No"/>
    <n v="438"/>
    <n v="0"/>
    <n v="0"/>
    <n v="1"/>
    <s v="No"/>
    <s v="On Time"/>
    <n v="0"/>
    <n v="0"/>
    <n v="2024"/>
    <n v="3"/>
  </r>
  <r>
    <s v="SHP-31348"/>
    <d v="2024-02-11T00:00:00"/>
    <x v="2"/>
    <s v="Delhi"/>
    <x v="1"/>
    <x v="2"/>
    <x v="1"/>
    <s v="High"/>
    <n v="1"/>
    <n v="8"/>
    <n v="7"/>
    <s v="Yes"/>
    <n v="370"/>
    <n v="11837"/>
    <n v="17927"/>
    <n v="0"/>
    <s v="No"/>
    <s v="Severe"/>
    <n v="2561"/>
    <n v="1691"/>
    <n v="2024"/>
    <n v="2"/>
  </r>
  <r>
    <s v="SHP-31349"/>
    <d v="2024-12-19T00:00:00"/>
    <x v="1"/>
    <s v="Kolkata"/>
    <x v="1"/>
    <x v="1"/>
    <x v="4"/>
    <s v="High"/>
    <n v="2"/>
    <n v="7"/>
    <n v="5"/>
    <s v="Yes"/>
    <n v="257"/>
    <n v="6565"/>
    <n v="21220"/>
    <n v="0"/>
    <s v="No"/>
    <s v="Major"/>
    <n v="4244"/>
    <n v="1313"/>
    <n v="2024"/>
    <n v="12"/>
  </r>
  <r>
    <s v="SHP-31350"/>
    <d v="2024-09-27T00:00:00"/>
    <x v="1"/>
    <s v="Bhubaneswar"/>
    <x v="1"/>
    <x v="1"/>
    <x v="1"/>
    <s v="Low"/>
    <n v="2"/>
    <n v="4"/>
    <n v="2"/>
    <s v="Yes"/>
    <n v="205"/>
    <n v="4490"/>
    <n v="4714"/>
    <n v="0"/>
    <s v="No"/>
    <s v="Minor"/>
    <n v="2357"/>
    <n v="2245"/>
    <n v="2024"/>
    <n v="9"/>
  </r>
  <r>
    <s v="SHP-31351"/>
    <d v="2024-04-01T00:00:00"/>
    <x v="2"/>
    <s v="Noida"/>
    <x v="2"/>
    <x v="0"/>
    <x v="3"/>
    <s v="Medium"/>
    <n v="5"/>
    <n v="10"/>
    <n v="5"/>
    <s v="Yes"/>
    <n v="230"/>
    <n v="7790"/>
    <n v="23590"/>
    <n v="0"/>
    <s v="No"/>
    <s v="Major"/>
    <n v="4718"/>
    <n v="1558"/>
    <n v="2024"/>
    <n v="4"/>
  </r>
  <r>
    <s v="SHP-31352"/>
    <d v="2024-06-16T00:00:00"/>
    <x v="1"/>
    <s v="Kolkata"/>
    <x v="1"/>
    <x v="2"/>
    <x v="0"/>
    <s v="Low"/>
    <n v="1"/>
    <n v="3"/>
    <n v="2"/>
    <s v="Yes"/>
    <n v="403"/>
    <n v="3832"/>
    <n v="3960"/>
    <n v="0"/>
    <s v="No"/>
    <s v="Minor"/>
    <n v="1980"/>
    <n v="1916"/>
    <n v="2024"/>
    <n v="6"/>
  </r>
  <r>
    <s v="SHP-31353"/>
    <d v="2024-02-27T00:00:00"/>
    <x v="3"/>
    <s v="Pune"/>
    <x v="0"/>
    <x v="2"/>
    <x v="4"/>
    <s v="Low"/>
    <n v="2"/>
    <n v="4"/>
    <n v="2"/>
    <s v="Yes"/>
    <n v="177"/>
    <n v="3412"/>
    <n v="4526"/>
    <n v="0"/>
    <s v="No"/>
    <s v="Minor"/>
    <n v="2263"/>
    <n v="1706"/>
    <n v="2024"/>
    <n v="2"/>
  </r>
  <r>
    <s v="SHP-31354"/>
    <d v="2024-10-29T00:00:00"/>
    <x v="3"/>
    <s v="Pune"/>
    <x v="2"/>
    <x v="1"/>
    <x v="0"/>
    <s v="High"/>
    <n v="1"/>
    <n v="5"/>
    <n v="4"/>
    <s v="Yes"/>
    <n v="208"/>
    <n v="7924"/>
    <n v="9948"/>
    <n v="0"/>
    <s v="No"/>
    <s v="Major"/>
    <n v="2487"/>
    <n v="1981"/>
    <n v="2024"/>
    <n v="10"/>
  </r>
  <r>
    <s v="SHP-31355"/>
    <d v="2024-09-10T00:00:00"/>
    <x v="1"/>
    <s v="Bhubaneswar"/>
    <x v="0"/>
    <x v="0"/>
    <x v="1"/>
    <s v="High"/>
    <n v="1"/>
    <n v="6"/>
    <n v="5"/>
    <s v="Yes"/>
    <n v="261"/>
    <n v="9370"/>
    <n v="18000"/>
    <n v="0"/>
    <s v="No"/>
    <s v="Major"/>
    <n v="3600"/>
    <n v="1874"/>
    <n v="2024"/>
    <n v="9"/>
  </r>
  <r>
    <s v="SHP-31356"/>
    <d v="2024-08-13T00:00:00"/>
    <x v="2"/>
    <s v="Noida"/>
    <x v="0"/>
    <x v="0"/>
    <x v="0"/>
    <s v="High"/>
    <n v="1"/>
    <n v="6"/>
    <n v="5"/>
    <s v="Yes"/>
    <n v="470"/>
    <n v="12135"/>
    <n v="12715"/>
    <n v="0"/>
    <s v="No"/>
    <s v="Major"/>
    <n v="2543"/>
    <n v="2427"/>
    <n v="2024"/>
    <n v="8"/>
  </r>
  <r>
    <s v="SHP-31357"/>
    <d v="2024-07-20T00:00:00"/>
    <x v="1"/>
    <s v="Bhubaneswar"/>
    <x v="0"/>
    <x v="0"/>
    <x v="3"/>
    <s v="High"/>
    <n v="5"/>
    <n v="10"/>
    <n v="5"/>
    <s v="Yes"/>
    <n v="436"/>
    <n v="6580"/>
    <n v="13205"/>
    <n v="0"/>
    <s v="No"/>
    <s v="Major"/>
    <n v="2641"/>
    <n v="1316"/>
    <n v="2024"/>
    <n v="7"/>
  </r>
  <r>
    <s v="SHP-31358"/>
    <d v="2024-10-16T00:00:00"/>
    <x v="2"/>
    <s v="Delhi"/>
    <x v="0"/>
    <x v="0"/>
    <x v="1"/>
    <s v="Low"/>
    <n v="2"/>
    <n v="5"/>
    <n v="3"/>
    <s v="Yes"/>
    <n v="373"/>
    <n v="5478"/>
    <n v="11097"/>
    <n v="0"/>
    <s v="No"/>
    <s v="Major"/>
    <n v="3699"/>
    <n v="1826"/>
    <n v="2024"/>
    <n v="10"/>
  </r>
  <r>
    <s v="SHP-31359"/>
    <d v="2024-11-12T00:00:00"/>
    <x v="0"/>
    <s v="Bengaluru"/>
    <x v="2"/>
    <x v="0"/>
    <x v="4"/>
    <s v="Low"/>
    <n v="3"/>
    <n v="6"/>
    <n v="3"/>
    <s v="Yes"/>
    <n v="266"/>
    <n v="5664"/>
    <n v="6774"/>
    <n v="0"/>
    <s v="No"/>
    <s v="Major"/>
    <n v="2258"/>
    <n v="1888"/>
    <n v="2024"/>
    <n v="11"/>
  </r>
  <r>
    <s v="SHP-31360"/>
    <d v="2024-05-01T00:00:00"/>
    <x v="3"/>
    <s v="Mumbai"/>
    <x v="0"/>
    <x v="1"/>
    <x v="4"/>
    <s v="Medium"/>
    <n v="3"/>
    <n v="6"/>
    <n v="3"/>
    <s v="Yes"/>
    <n v="447"/>
    <n v="5616"/>
    <n v="5700"/>
    <n v="0"/>
    <s v="No"/>
    <s v="Major"/>
    <n v="1900"/>
    <n v="1872"/>
    <n v="2024"/>
    <n v="5"/>
  </r>
  <r>
    <s v="SHP-31361"/>
    <d v="2024-01-23T00:00:00"/>
    <x v="2"/>
    <s v="Delhi"/>
    <x v="0"/>
    <x v="0"/>
    <x v="2"/>
    <s v="Low"/>
    <n v="2"/>
    <n v="7"/>
    <n v="5"/>
    <s v="Yes"/>
    <n v="353"/>
    <n v="8100"/>
    <n v="24600"/>
    <n v="0"/>
    <s v="No"/>
    <s v="Major"/>
    <n v="4920"/>
    <n v="1620"/>
    <n v="2024"/>
    <n v="1"/>
  </r>
  <r>
    <s v="SHP-31362"/>
    <d v="2024-02-07T00:00:00"/>
    <x v="3"/>
    <s v="Mumbai"/>
    <x v="2"/>
    <x v="0"/>
    <x v="1"/>
    <s v="Medium"/>
    <n v="5"/>
    <n v="5"/>
    <n v="0"/>
    <s v="No"/>
    <n v="421"/>
    <n v="0"/>
    <n v="0"/>
    <n v="1"/>
    <s v="No"/>
    <s v="On Time"/>
    <n v="0"/>
    <n v="0"/>
    <n v="2024"/>
    <n v="2"/>
  </r>
  <r>
    <s v="SHP-31363"/>
    <d v="2024-07-13T00:00:00"/>
    <x v="3"/>
    <s v="Mumbai"/>
    <x v="1"/>
    <x v="2"/>
    <x v="4"/>
    <s v="High"/>
    <n v="2"/>
    <n v="8"/>
    <n v="6"/>
    <s v="Yes"/>
    <n v="257"/>
    <n v="6138"/>
    <n v="24792"/>
    <n v="0"/>
    <s v="No"/>
    <s v="Severe"/>
    <n v="4132"/>
    <n v="1023"/>
    <n v="2024"/>
    <n v="7"/>
  </r>
  <r>
    <s v="SHP-31364"/>
    <d v="2024-03-20T00:00:00"/>
    <x v="1"/>
    <s v="Kolkata"/>
    <x v="2"/>
    <x v="2"/>
    <x v="1"/>
    <s v="Medium"/>
    <n v="2"/>
    <n v="8"/>
    <n v="6"/>
    <s v="Yes"/>
    <n v="321"/>
    <n v="10470"/>
    <n v="23496"/>
    <n v="0"/>
    <s v="No"/>
    <s v="Severe"/>
    <n v="3916"/>
    <n v="1745"/>
    <n v="2024"/>
    <n v="3"/>
  </r>
  <r>
    <s v="SHP-31365"/>
    <d v="2024-12-13T00:00:00"/>
    <x v="1"/>
    <s v="Kolkata"/>
    <x v="0"/>
    <x v="2"/>
    <x v="0"/>
    <s v="Medium"/>
    <n v="3"/>
    <n v="10"/>
    <n v="7"/>
    <s v="Yes"/>
    <n v="227"/>
    <n v="16660"/>
    <n v="23842"/>
    <n v="0"/>
    <s v="No"/>
    <s v="Severe"/>
    <n v="3406"/>
    <n v="2380"/>
    <n v="2024"/>
    <n v="12"/>
  </r>
  <r>
    <s v="SHP-31366"/>
    <d v="2024-09-13T00:00:00"/>
    <x v="1"/>
    <s v="Bhubaneswar"/>
    <x v="1"/>
    <x v="1"/>
    <x v="2"/>
    <s v="Low"/>
    <n v="2"/>
    <n v="2"/>
    <n v="0"/>
    <s v="No"/>
    <n v="428"/>
    <n v="0"/>
    <n v="0"/>
    <n v="1"/>
    <s v="No"/>
    <s v="On Time"/>
    <n v="0"/>
    <n v="0"/>
    <n v="2024"/>
    <n v="9"/>
  </r>
  <r>
    <s v="SHP-31367"/>
    <d v="2024-03-21T00:00:00"/>
    <x v="1"/>
    <s v="Kolkata"/>
    <x v="2"/>
    <x v="0"/>
    <x v="2"/>
    <s v="Medium"/>
    <n v="1"/>
    <n v="4"/>
    <n v="3"/>
    <s v="Yes"/>
    <n v="176"/>
    <n v="2748"/>
    <n v="6435"/>
    <n v="0"/>
    <s v="No"/>
    <s v="Major"/>
    <n v="2145"/>
    <n v="916"/>
    <n v="2024"/>
    <n v="3"/>
  </r>
  <r>
    <s v="SHP-31368"/>
    <d v="2024-10-26T00:00:00"/>
    <x v="3"/>
    <s v="Pune"/>
    <x v="0"/>
    <x v="1"/>
    <x v="4"/>
    <s v="Medium"/>
    <n v="2"/>
    <n v="3"/>
    <n v="1"/>
    <s v="Yes"/>
    <n v="189"/>
    <n v="2298"/>
    <n v="2939"/>
    <n v="0"/>
    <s v="No"/>
    <s v="Minor"/>
    <n v="2939"/>
    <n v="2298"/>
    <n v="2024"/>
    <n v="10"/>
  </r>
  <r>
    <s v="SHP-31369"/>
    <d v="2024-06-12T00:00:00"/>
    <x v="0"/>
    <s v="Bengaluru"/>
    <x v="2"/>
    <x v="1"/>
    <x v="2"/>
    <s v="Medium"/>
    <n v="1"/>
    <n v="4"/>
    <n v="3"/>
    <s v="Yes"/>
    <n v="408"/>
    <n v="3117"/>
    <n v="14067"/>
    <n v="0"/>
    <s v="No"/>
    <s v="Major"/>
    <n v="4689"/>
    <n v="1039"/>
    <n v="2024"/>
    <n v="6"/>
  </r>
  <r>
    <s v="SHP-31370"/>
    <d v="2024-10-30T00:00:00"/>
    <x v="3"/>
    <s v="Pune"/>
    <x v="2"/>
    <x v="1"/>
    <x v="3"/>
    <s v="Medium"/>
    <n v="3"/>
    <n v="5"/>
    <n v="2"/>
    <s v="Yes"/>
    <n v="330"/>
    <n v="4832"/>
    <n v="5362"/>
    <n v="0"/>
    <s v="No"/>
    <s v="Minor"/>
    <n v="2681"/>
    <n v="2416"/>
    <n v="2024"/>
    <n v="10"/>
  </r>
  <r>
    <s v="SHP-31371"/>
    <d v="2024-07-10T00:00:00"/>
    <x v="1"/>
    <s v="Bhubaneswar"/>
    <x v="2"/>
    <x v="0"/>
    <x v="0"/>
    <s v="Medium"/>
    <n v="2"/>
    <n v="3"/>
    <n v="1"/>
    <s v="Yes"/>
    <n v="405"/>
    <n v="863"/>
    <n v="3730"/>
    <n v="0"/>
    <s v="No"/>
    <s v="Minor"/>
    <n v="3730"/>
    <n v="863"/>
    <n v="2024"/>
    <n v="7"/>
  </r>
  <r>
    <s v="SHP-31372"/>
    <d v="2024-07-24T00:00:00"/>
    <x v="3"/>
    <s v="Mumbai"/>
    <x v="2"/>
    <x v="1"/>
    <x v="2"/>
    <s v="Medium"/>
    <n v="2"/>
    <n v="4"/>
    <n v="2"/>
    <s v="Yes"/>
    <n v="201"/>
    <n v="2818"/>
    <n v="6044"/>
    <n v="0"/>
    <s v="No"/>
    <s v="Minor"/>
    <n v="3022"/>
    <n v="1409"/>
    <n v="2024"/>
    <n v="7"/>
  </r>
  <r>
    <s v="SHP-31373"/>
    <d v="2024-10-23T00:00:00"/>
    <x v="1"/>
    <s v="Bhubaneswar"/>
    <x v="2"/>
    <x v="1"/>
    <x v="3"/>
    <s v="Medium"/>
    <n v="2"/>
    <n v="6"/>
    <n v="4"/>
    <s v="Yes"/>
    <n v="271"/>
    <n v="6564"/>
    <n v="7256"/>
    <n v="0"/>
    <s v="No"/>
    <s v="Major"/>
    <n v="1814"/>
    <n v="1641"/>
    <n v="2024"/>
    <n v="10"/>
  </r>
  <r>
    <s v="SHP-31374"/>
    <d v="2024-05-24T00:00:00"/>
    <x v="1"/>
    <s v="Bhubaneswar"/>
    <x v="0"/>
    <x v="0"/>
    <x v="1"/>
    <s v="Low"/>
    <n v="2"/>
    <n v="7"/>
    <n v="5"/>
    <s v="Yes"/>
    <n v="477"/>
    <n v="10200"/>
    <n v="12020"/>
    <n v="0"/>
    <s v="No"/>
    <s v="Major"/>
    <n v="2404"/>
    <n v="2040"/>
    <n v="2024"/>
    <n v="5"/>
  </r>
  <r>
    <s v="SHP-31375"/>
    <d v="2024-12-14T00:00:00"/>
    <x v="0"/>
    <s v="Chennai"/>
    <x v="2"/>
    <x v="1"/>
    <x v="1"/>
    <s v="High"/>
    <n v="2"/>
    <n v="7"/>
    <n v="5"/>
    <s v="Yes"/>
    <n v="165"/>
    <n v="9650"/>
    <n v="11520"/>
    <n v="0"/>
    <s v="No"/>
    <s v="Major"/>
    <n v="2304"/>
    <n v="1930"/>
    <n v="2024"/>
    <n v="12"/>
  </r>
  <r>
    <s v="SHP-31376"/>
    <d v="2024-01-27T00:00:00"/>
    <x v="3"/>
    <s v="Mumbai"/>
    <x v="2"/>
    <x v="0"/>
    <x v="2"/>
    <s v="Low"/>
    <n v="2"/>
    <n v="4"/>
    <n v="2"/>
    <s v="Yes"/>
    <n v="419"/>
    <n v="2318"/>
    <n v="4810"/>
    <n v="0"/>
    <s v="No"/>
    <s v="Minor"/>
    <n v="2405"/>
    <n v="1159"/>
    <n v="2024"/>
    <n v="1"/>
  </r>
  <r>
    <s v="SHP-31377"/>
    <d v="2024-06-07T00:00:00"/>
    <x v="3"/>
    <s v="Pune"/>
    <x v="1"/>
    <x v="1"/>
    <x v="4"/>
    <s v="Low"/>
    <n v="1"/>
    <n v="6"/>
    <n v="5"/>
    <s v="Yes"/>
    <n v="474"/>
    <n v="9115"/>
    <n v="12340"/>
    <n v="0"/>
    <s v="No"/>
    <s v="Major"/>
    <n v="2468"/>
    <n v="1823"/>
    <n v="2024"/>
    <n v="6"/>
  </r>
  <r>
    <s v="SHP-31378"/>
    <d v="2024-03-02T00:00:00"/>
    <x v="2"/>
    <s v="Noida"/>
    <x v="1"/>
    <x v="2"/>
    <x v="4"/>
    <s v="High"/>
    <n v="3"/>
    <n v="8"/>
    <n v="5"/>
    <s v="Yes"/>
    <n v="219"/>
    <n v="10135"/>
    <n v="10850"/>
    <n v="0"/>
    <s v="No"/>
    <s v="Major"/>
    <n v="2170"/>
    <n v="2027"/>
    <n v="2024"/>
    <n v="3"/>
  </r>
  <r>
    <s v="SHP-31379"/>
    <d v="2024-08-11T00:00:00"/>
    <x v="1"/>
    <s v="Kolkata"/>
    <x v="2"/>
    <x v="2"/>
    <x v="3"/>
    <s v="High"/>
    <n v="5"/>
    <n v="9"/>
    <n v="4"/>
    <s v="Yes"/>
    <n v="490"/>
    <n v="7432"/>
    <n v="7520"/>
    <n v="0"/>
    <s v="No"/>
    <s v="Major"/>
    <n v="1880"/>
    <n v="1858"/>
    <n v="2024"/>
    <n v="8"/>
  </r>
  <r>
    <s v="SHP-31380"/>
    <d v="2024-07-16T00:00:00"/>
    <x v="1"/>
    <s v="Bhubaneswar"/>
    <x v="1"/>
    <x v="1"/>
    <x v="4"/>
    <s v="Medium"/>
    <n v="2"/>
    <n v="3"/>
    <n v="1"/>
    <s v="Yes"/>
    <n v="289"/>
    <n v="1702"/>
    <n v="4069"/>
    <n v="0"/>
    <s v="No"/>
    <s v="Minor"/>
    <n v="4069"/>
    <n v="1702"/>
    <n v="2024"/>
    <n v="7"/>
  </r>
  <r>
    <s v="SHP-31381"/>
    <d v="2024-12-20T00:00:00"/>
    <x v="0"/>
    <s v="Chennai"/>
    <x v="1"/>
    <x v="0"/>
    <x v="4"/>
    <s v="Medium"/>
    <n v="3"/>
    <n v="3"/>
    <n v="0"/>
    <s v="No"/>
    <n v="315"/>
    <n v="0"/>
    <n v="0"/>
    <n v="1"/>
    <s v="No"/>
    <s v="On Time"/>
    <n v="0"/>
    <n v="0"/>
    <n v="2024"/>
    <n v="12"/>
  </r>
  <r>
    <s v="SHP-31382"/>
    <d v="2024-11-12T00:00:00"/>
    <x v="1"/>
    <s v="Kolkata"/>
    <x v="0"/>
    <x v="2"/>
    <x v="1"/>
    <s v="Low"/>
    <n v="1"/>
    <n v="5"/>
    <n v="4"/>
    <s v="Yes"/>
    <n v="423"/>
    <n v="6692"/>
    <n v="9828"/>
    <n v="0"/>
    <s v="No"/>
    <s v="Major"/>
    <n v="2457"/>
    <n v="1673"/>
    <n v="2024"/>
    <n v="11"/>
  </r>
  <r>
    <s v="SHP-31383"/>
    <d v="2024-08-06T00:00:00"/>
    <x v="2"/>
    <s v="Delhi"/>
    <x v="2"/>
    <x v="0"/>
    <x v="2"/>
    <s v="Low"/>
    <n v="2"/>
    <n v="5"/>
    <n v="3"/>
    <s v="Yes"/>
    <n v="245"/>
    <n v="3123"/>
    <n v="6360"/>
    <n v="0"/>
    <s v="No"/>
    <s v="Major"/>
    <n v="2120"/>
    <n v="1041"/>
    <n v="2024"/>
    <n v="8"/>
  </r>
  <r>
    <s v="SHP-31384"/>
    <d v="2024-02-01T00:00:00"/>
    <x v="2"/>
    <s v="Delhi"/>
    <x v="2"/>
    <x v="1"/>
    <x v="4"/>
    <s v="High"/>
    <n v="3"/>
    <n v="10"/>
    <n v="7"/>
    <s v="Yes"/>
    <n v="125"/>
    <n v="15281"/>
    <n v="31304"/>
    <n v="0"/>
    <s v="No"/>
    <s v="Severe"/>
    <n v="4472"/>
    <n v="2183"/>
    <n v="2024"/>
    <n v="2"/>
  </r>
  <r>
    <s v="SHP-31385"/>
    <d v="2024-04-08T00:00:00"/>
    <x v="0"/>
    <s v="Bengaluru"/>
    <x v="2"/>
    <x v="0"/>
    <x v="4"/>
    <s v="Low"/>
    <n v="2"/>
    <n v="7"/>
    <n v="5"/>
    <s v="Yes"/>
    <n v="102"/>
    <n v="10175"/>
    <n v="11800"/>
    <n v="0"/>
    <s v="No"/>
    <s v="Major"/>
    <n v="2360"/>
    <n v="2035"/>
    <n v="2024"/>
    <n v="4"/>
  </r>
  <r>
    <s v="SHP-31386"/>
    <d v="2024-03-03T00:00:00"/>
    <x v="3"/>
    <s v="Pune"/>
    <x v="2"/>
    <x v="1"/>
    <x v="0"/>
    <s v="Low"/>
    <n v="2"/>
    <n v="4"/>
    <n v="2"/>
    <s v="Yes"/>
    <n v="245"/>
    <n v="2588"/>
    <n v="3470"/>
    <n v="0"/>
    <s v="No"/>
    <s v="Minor"/>
    <n v="1735"/>
    <n v="1294"/>
    <n v="2024"/>
    <n v="3"/>
  </r>
  <r>
    <s v="SHP-31387"/>
    <d v="2024-01-18T00:00:00"/>
    <x v="3"/>
    <s v="Pune"/>
    <x v="1"/>
    <x v="0"/>
    <x v="2"/>
    <s v="Medium"/>
    <n v="2"/>
    <n v="3"/>
    <n v="1"/>
    <s v="Yes"/>
    <n v="258"/>
    <n v="1146"/>
    <n v="2705"/>
    <n v="0"/>
    <s v="No"/>
    <s v="Minor"/>
    <n v="2705"/>
    <n v="1146"/>
    <n v="2024"/>
    <n v="1"/>
  </r>
  <r>
    <s v="SHP-31388"/>
    <d v="2024-07-09T00:00:00"/>
    <x v="3"/>
    <s v="Pune"/>
    <x v="2"/>
    <x v="1"/>
    <x v="1"/>
    <s v="Low"/>
    <n v="3"/>
    <n v="3"/>
    <n v="0"/>
    <s v="No"/>
    <n v="162"/>
    <n v="0"/>
    <n v="0"/>
    <n v="1"/>
    <s v="No"/>
    <s v="On Time"/>
    <n v="0"/>
    <n v="0"/>
    <n v="2024"/>
    <n v="7"/>
  </r>
  <r>
    <s v="SHP-31389"/>
    <d v="2024-07-11T00:00:00"/>
    <x v="0"/>
    <s v="Bengaluru"/>
    <x v="2"/>
    <x v="2"/>
    <x v="2"/>
    <s v="High"/>
    <n v="2"/>
    <n v="10"/>
    <n v="8"/>
    <s v="Yes"/>
    <n v="238"/>
    <n v="19984"/>
    <n v="29256"/>
    <n v="0"/>
    <s v="No"/>
    <s v="Severe"/>
    <n v="3657"/>
    <n v="2498"/>
    <n v="2024"/>
    <n v="7"/>
  </r>
  <r>
    <s v="SHP-31390"/>
    <d v="2024-11-05T00:00:00"/>
    <x v="1"/>
    <s v="Kolkata"/>
    <x v="0"/>
    <x v="1"/>
    <x v="1"/>
    <s v="Low"/>
    <n v="3"/>
    <n v="5"/>
    <n v="2"/>
    <s v="Yes"/>
    <n v="52"/>
    <n v="4354"/>
    <n v="3864"/>
    <n v="0"/>
    <s v="No"/>
    <s v="Minor"/>
    <n v="1932"/>
    <n v="2177"/>
    <n v="2024"/>
    <n v="11"/>
  </r>
  <r>
    <s v="SHP-31391"/>
    <d v="2024-08-15T00:00:00"/>
    <x v="1"/>
    <s v="Kolkata"/>
    <x v="2"/>
    <x v="2"/>
    <x v="4"/>
    <s v="Low"/>
    <n v="2"/>
    <n v="5"/>
    <n v="3"/>
    <s v="Yes"/>
    <n v="149"/>
    <n v="3612"/>
    <n v="13677"/>
    <n v="0"/>
    <s v="No"/>
    <s v="Major"/>
    <n v="4559"/>
    <n v="1204"/>
    <n v="2024"/>
    <n v="8"/>
  </r>
  <r>
    <s v="SHP-31392"/>
    <d v="2024-05-17T00:00:00"/>
    <x v="0"/>
    <s v="Bengaluru"/>
    <x v="2"/>
    <x v="0"/>
    <x v="0"/>
    <s v="Medium"/>
    <n v="1"/>
    <n v="6"/>
    <n v="5"/>
    <s v="Yes"/>
    <n v="186"/>
    <n v="8040"/>
    <n v="9910"/>
    <n v="0"/>
    <s v="No"/>
    <s v="Major"/>
    <n v="1982"/>
    <n v="1608"/>
    <n v="2024"/>
    <n v="5"/>
  </r>
  <r>
    <s v="SHP-31393"/>
    <d v="2024-09-12T00:00:00"/>
    <x v="0"/>
    <s v="Chennai"/>
    <x v="2"/>
    <x v="2"/>
    <x v="0"/>
    <s v="Low"/>
    <n v="2"/>
    <n v="4"/>
    <n v="2"/>
    <s v="Yes"/>
    <n v="158"/>
    <n v="2874"/>
    <n v="9306"/>
    <n v="0"/>
    <s v="No"/>
    <s v="Minor"/>
    <n v="4653"/>
    <n v="1437"/>
    <n v="2024"/>
    <n v="9"/>
  </r>
  <r>
    <s v="SHP-31394"/>
    <d v="2024-11-27T00:00:00"/>
    <x v="0"/>
    <s v="Bengaluru"/>
    <x v="2"/>
    <x v="2"/>
    <x v="0"/>
    <s v="High"/>
    <n v="2"/>
    <n v="11"/>
    <n v="9"/>
    <s v="Yes"/>
    <n v="128"/>
    <n v="16497"/>
    <n v="41211"/>
    <n v="0"/>
    <s v="No"/>
    <s v="Severe"/>
    <n v="4579"/>
    <n v="1833"/>
    <n v="2024"/>
    <n v="11"/>
  </r>
  <r>
    <s v="SHP-31395"/>
    <d v="2024-03-01T00:00:00"/>
    <x v="2"/>
    <s v="Noida"/>
    <x v="1"/>
    <x v="2"/>
    <x v="0"/>
    <s v="Medium"/>
    <n v="1"/>
    <n v="3"/>
    <n v="2"/>
    <s v="Yes"/>
    <n v="60"/>
    <n v="2686"/>
    <n v="7444"/>
    <n v="0"/>
    <s v="No"/>
    <s v="Minor"/>
    <n v="3722"/>
    <n v="1343"/>
    <n v="2024"/>
    <n v="3"/>
  </r>
  <r>
    <s v="SHP-31396"/>
    <d v="2024-03-13T00:00:00"/>
    <x v="0"/>
    <s v="Chennai"/>
    <x v="2"/>
    <x v="0"/>
    <x v="4"/>
    <s v="Medium"/>
    <n v="1"/>
    <n v="5"/>
    <n v="4"/>
    <s v="Yes"/>
    <n v="152"/>
    <n v="5920"/>
    <n v="9472"/>
    <n v="0"/>
    <s v="No"/>
    <s v="Major"/>
    <n v="2368"/>
    <n v="1480"/>
    <n v="2024"/>
    <n v="3"/>
  </r>
  <r>
    <s v="SHP-31397"/>
    <d v="2024-07-07T00:00:00"/>
    <x v="0"/>
    <s v="Bengaluru"/>
    <x v="1"/>
    <x v="1"/>
    <x v="0"/>
    <s v="Medium"/>
    <n v="2"/>
    <n v="6"/>
    <n v="4"/>
    <s v="Yes"/>
    <n v="434"/>
    <n v="7868"/>
    <n v="10844"/>
    <n v="0"/>
    <s v="No"/>
    <s v="Major"/>
    <n v="2711"/>
    <n v="1967"/>
    <n v="2024"/>
    <n v="7"/>
  </r>
  <r>
    <s v="SHP-31398"/>
    <d v="2024-06-12T00:00:00"/>
    <x v="2"/>
    <s v="Delhi"/>
    <x v="2"/>
    <x v="0"/>
    <x v="0"/>
    <s v="High"/>
    <n v="1"/>
    <n v="4"/>
    <n v="3"/>
    <s v="Yes"/>
    <n v="252"/>
    <n v="4719"/>
    <n v="10047"/>
    <n v="0"/>
    <s v="No"/>
    <s v="Major"/>
    <n v="3349"/>
    <n v="1573"/>
    <n v="2024"/>
    <n v="6"/>
  </r>
  <r>
    <s v="SHP-31399"/>
    <d v="2024-04-03T00:00:00"/>
    <x v="0"/>
    <s v="Chennai"/>
    <x v="2"/>
    <x v="0"/>
    <x v="4"/>
    <s v="Medium"/>
    <n v="3"/>
    <n v="7"/>
    <n v="4"/>
    <s v="Yes"/>
    <n v="128"/>
    <n v="8308"/>
    <n v="19580"/>
    <n v="0"/>
    <s v="No"/>
    <s v="Major"/>
    <n v="4895"/>
    <n v="2077"/>
    <n v="2024"/>
    <n v="4"/>
  </r>
  <r>
    <s v="SHP-31400"/>
    <d v="2024-09-03T00:00:00"/>
    <x v="3"/>
    <s v="Pune"/>
    <x v="2"/>
    <x v="2"/>
    <x v="4"/>
    <s v="High"/>
    <n v="5"/>
    <n v="11"/>
    <n v="6"/>
    <s v="Yes"/>
    <n v="430"/>
    <n v="6234"/>
    <n v="12726"/>
    <n v="0"/>
    <s v="No"/>
    <s v="Severe"/>
    <n v="2121"/>
    <n v="1039"/>
    <n v="2024"/>
    <n v="9"/>
  </r>
  <r>
    <s v="SHP-31401"/>
    <d v="2024-11-24T00:00:00"/>
    <x v="1"/>
    <s v="Bhubaneswar"/>
    <x v="1"/>
    <x v="0"/>
    <x v="4"/>
    <s v="High"/>
    <n v="2"/>
    <n v="5"/>
    <n v="3"/>
    <s v="Yes"/>
    <n v="141"/>
    <n v="4113"/>
    <n v="9846"/>
    <n v="0"/>
    <s v="No"/>
    <s v="Major"/>
    <n v="3282"/>
    <n v="1371"/>
    <n v="2024"/>
    <n v="11"/>
  </r>
  <r>
    <s v="SHP-31402"/>
    <d v="2024-10-13T00:00:00"/>
    <x v="1"/>
    <s v="Bhubaneswar"/>
    <x v="2"/>
    <x v="1"/>
    <x v="0"/>
    <s v="Low"/>
    <n v="5"/>
    <n v="6"/>
    <n v="1"/>
    <s v="Yes"/>
    <n v="178"/>
    <n v="1763"/>
    <n v="2403"/>
    <n v="0"/>
    <s v="No"/>
    <s v="Minor"/>
    <n v="2403"/>
    <n v="1763"/>
    <n v="2024"/>
    <n v="10"/>
  </r>
  <r>
    <s v="SHP-31403"/>
    <d v="2024-05-26T00:00:00"/>
    <x v="1"/>
    <s v="Kolkata"/>
    <x v="1"/>
    <x v="1"/>
    <x v="1"/>
    <s v="High"/>
    <n v="2"/>
    <n v="9"/>
    <n v="7"/>
    <s v="Yes"/>
    <n v="452"/>
    <n v="7196"/>
    <n v="34853"/>
    <n v="0"/>
    <s v="No"/>
    <s v="Severe"/>
    <n v="4979"/>
    <n v="1028"/>
    <n v="2024"/>
    <n v="5"/>
  </r>
  <r>
    <s v="SHP-31404"/>
    <d v="2024-05-23T00:00:00"/>
    <x v="3"/>
    <s v="Pune"/>
    <x v="2"/>
    <x v="0"/>
    <x v="3"/>
    <s v="Low"/>
    <n v="1"/>
    <n v="2"/>
    <n v="1"/>
    <s v="Yes"/>
    <n v="335"/>
    <n v="1301"/>
    <n v="3600"/>
    <n v="0"/>
    <s v="No"/>
    <s v="Minor"/>
    <n v="3600"/>
    <n v="1301"/>
    <n v="2024"/>
    <n v="5"/>
  </r>
  <r>
    <s v="SHP-31405"/>
    <d v="2024-04-09T00:00:00"/>
    <x v="2"/>
    <s v="Noida"/>
    <x v="2"/>
    <x v="0"/>
    <x v="1"/>
    <s v="Low"/>
    <n v="1"/>
    <n v="5"/>
    <n v="4"/>
    <s v="Yes"/>
    <n v="373"/>
    <n v="9292"/>
    <n v="15140"/>
    <n v="0"/>
    <s v="No"/>
    <s v="Major"/>
    <n v="3785"/>
    <n v="2323"/>
    <n v="2024"/>
    <n v="4"/>
  </r>
  <r>
    <s v="SHP-31406"/>
    <d v="2024-01-30T00:00:00"/>
    <x v="0"/>
    <s v="Chennai"/>
    <x v="2"/>
    <x v="1"/>
    <x v="3"/>
    <s v="Medium"/>
    <n v="2"/>
    <n v="7"/>
    <n v="5"/>
    <s v="Yes"/>
    <n v="166"/>
    <n v="6585"/>
    <n v="10150"/>
    <n v="0"/>
    <s v="No"/>
    <s v="Major"/>
    <n v="2030"/>
    <n v="1317"/>
    <n v="2024"/>
    <n v="1"/>
  </r>
  <r>
    <s v="SHP-31407"/>
    <d v="2024-08-23T00:00:00"/>
    <x v="2"/>
    <s v="Noida"/>
    <x v="0"/>
    <x v="2"/>
    <x v="2"/>
    <s v="High"/>
    <n v="3"/>
    <n v="7"/>
    <n v="4"/>
    <s v="Yes"/>
    <n v="368"/>
    <n v="6956"/>
    <n v="15116"/>
    <n v="0"/>
    <s v="No"/>
    <s v="Major"/>
    <n v="3779"/>
    <n v="1739"/>
    <n v="2024"/>
    <n v="8"/>
  </r>
  <r>
    <s v="SHP-31408"/>
    <d v="2024-01-31T00:00:00"/>
    <x v="3"/>
    <s v="Pune"/>
    <x v="2"/>
    <x v="1"/>
    <x v="2"/>
    <s v="High"/>
    <n v="3"/>
    <n v="6"/>
    <n v="3"/>
    <s v="Yes"/>
    <n v="390"/>
    <n v="5142"/>
    <n v="9339"/>
    <n v="0"/>
    <s v="No"/>
    <s v="Major"/>
    <n v="3113"/>
    <n v="1714"/>
    <n v="2024"/>
    <n v="1"/>
  </r>
  <r>
    <s v="SHP-31409"/>
    <d v="2024-10-04T00:00:00"/>
    <x v="0"/>
    <s v="Chennai"/>
    <x v="0"/>
    <x v="1"/>
    <x v="2"/>
    <s v="Medium"/>
    <n v="2"/>
    <n v="2"/>
    <n v="0"/>
    <s v="No"/>
    <n v="97"/>
    <n v="0"/>
    <n v="0"/>
    <n v="1"/>
    <s v="No"/>
    <s v="On Time"/>
    <n v="0"/>
    <n v="0"/>
    <n v="2024"/>
    <n v="10"/>
  </r>
  <r>
    <s v="SHP-31410"/>
    <d v="2024-06-07T00:00:00"/>
    <x v="0"/>
    <s v="Chennai"/>
    <x v="1"/>
    <x v="2"/>
    <x v="3"/>
    <s v="Low"/>
    <n v="3"/>
    <n v="8"/>
    <n v="5"/>
    <s v="Yes"/>
    <n v="385"/>
    <n v="10450"/>
    <n v="23545"/>
    <n v="0"/>
    <s v="No"/>
    <s v="Major"/>
    <n v="4709"/>
    <n v="2090"/>
    <n v="2024"/>
    <n v="6"/>
  </r>
  <r>
    <s v="SHP-31411"/>
    <d v="2024-07-31T00:00:00"/>
    <x v="0"/>
    <s v="Bengaluru"/>
    <x v="2"/>
    <x v="0"/>
    <x v="4"/>
    <s v="Medium"/>
    <n v="2"/>
    <n v="7"/>
    <n v="5"/>
    <s v="Yes"/>
    <n v="367"/>
    <n v="7820"/>
    <n v="24675"/>
    <n v="0"/>
    <s v="No"/>
    <s v="Major"/>
    <n v="4935"/>
    <n v="1564"/>
    <n v="2024"/>
    <n v="7"/>
  </r>
  <r>
    <s v="SHP-31412"/>
    <d v="2024-12-19T00:00:00"/>
    <x v="3"/>
    <s v="Mumbai"/>
    <x v="0"/>
    <x v="2"/>
    <x v="0"/>
    <s v="Low"/>
    <n v="2"/>
    <n v="7"/>
    <n v="5"/>
    <s v="Yes"/>
    <n v="259"/>
    <n v="12095"/>
    <n v="18295"/>
    <n v="0"/>
    <s v="No"/>
    <s v="Major"/>
    <n v="3659"/>
    <n v="2419"/>
    <n v="2024"/>
    <n v="12"/>
  </r>
  <r>
    <s v="SHP-31413"/>
    <d v="2024-12-17T00:00:00"/>
    <x v="1"/>
    <s v="Bhubaneswar"/>
    <x v="0"/>
    <x v="1"/>
    <x v="3"/>
    <s v="High"/>
    <n v="5"/>
    <n v="11"/>
    <n v="6"/>
    <s v="Yes"/>
    <n v="416"/>
    <n v="11952"/>
    <n v="12948"/>
    <n v="0"/>
    <s v="No"/>
    <s v="Severe"/>
    <n v="2158"/>
    <n v="1992"/>
    <n v="2024"/>
    <n v="12"/>
  </r>
  <r>
    <s v="SHP-31414"/>
    <d v="2024-01-28T00:00:00"/>
    <x v="0"/>
    <s v="Bengaluru"/>
    <x v="2"/>
    <x v="0"/>
    <x v="4"/>
    <s v="High"/>
    <n v="2"/>
    <n v="4"/>
    <n v="2"/>
    <s v="Yes"/>
    <n v="193"/>
    <n v="4906"/>
    <n v="9792"/>
    <n v="0"/>
    <s v="No"/>
    <s v="Minor"/>
    <n v="4896"/>
    <n v="2453"/>
    <n v="2024"/>
    <n v="1"/>
  </r>
  <r>
    <s v="SHP-31415"/>
    <d v="2024-02-14T00:00:00"/>
    <x v="1"/>
    <s v="Kolkata"/>
    <x v="0"/>
    <x v="1"/>
    <x v="2"/>
    <s v="High"/>
    <n v="2"/>
    <n v="9"/>
    <n v="7"/>
    <s v="Yes"/>
    <n v="240"/>
    <n v="8750"/>
    <n v="20461"/>
    <n v="0"/>
    <s v="No"/>
    <s v="Severe"/>
    <n v="2923"/>
    <n v="1250"/>
    <n v="2024"/>
    <n v="2"/>
  </r>
  <r>
    <s v="SHP-31416"/>
    <d v="2024-10-22T00:00:00"/>
    <x v="1"/>
    <s v="Kolkata"/>
    <x v="2"/>
    <x v="1"/>
    <x v="4"/>
    <s v="Low"/>
    <n v="3"/>
    <n v="7"/>
    <n v="4"/>
    <s v="Yes"/>
    <n v="445"/>
    <n v="3892"/>
    <n v="11644"/>
    <n v="0"/>
    <s v="No"/>
    <s v="Major"/>
    <n v="2911"/>
    <n v="973"/>
    <n v="2024"/>
    <n v="10"/>
  </r>
  <r>
    <s v="SHP-31417"/>
    <d v="2024-10-23T00:00:00"/>
    <x v="1"/>
    <s v="Kolkata"/>
    <x v="2"/>
    <x v="2"/>
    <x v="0"/>
    <s v="Medium"/>
    <n v="3"/>
    <n v="7"/>
    <n v="4"/>
    <s v="Yes"/>
    <n v="390"/>
    <n v="9728"/>
    <n v="15576"/>
    <n v="0"/>
    <s v="No"/>
    <s v="Major"/>
    <n v="3894"/>
    <n v="2432"/>
    <n v="2024"/>
    <n v="10"/>
  </r>
  <r>
    <s v="SHP-31418"/>
    <d v="2024-03-25T00:00:00"/>
    <x v="1"/>
    <s v="Bhubaneswar"/>
    <x v="1"/>
    <x v="1"/>
    <x v="1"/>
    <s v="Low"/>
    <n v="2"/>
    <n v="6"/>
    <n v="4"/>
    <s v="Yes"/>
    <n v="156"/>
    <n v="7700"/>
    <n v="9808"/>
    <n v="0"/>
    <s v="No"/>
    <s v="Major"/>
    <n v="2452"/>
    <n v="1925"/>
    <n v="2024"/>
    <n v="3"/>
  </r>
  <r>
    <s v="SHP-31419"/>
    <d v="2024-09-14T00:00:00"/>
    <x v="0"/>
    <s v="Chennai"/>
    <x v="0"/>
    <x v="1"/>
    <x v="1"/>
    <s v="Low"/>
    <n v="1"/>
    <n v="2"/>
    <n v="1"/>
    <s v="Yes"/>
    <n v="479"/>
    <n v="1805"/>
    <n v="1695"/>
    <n v="0"/>
    <s v="No"/>
    <s v="Minor"/>
    <n v="1695"/>
    <n v="1805"/>
    <n v="2024"/>
    <n v="9"/>
  </r>
  <r>
    <s v="SHP-31420"/>
    <d v="2024-05-31T00:00:00"/>
    <x v="2"/>
    <s v="Delhi"/>
    <x v="1"/>
    <x v="2"/>
    <x v="3"/>
    <s v="Low"/>
    <n v="5"/>
    <n v="8"/>
    <n v="3"/>
    <s v="Yes"/>
    <n v="279"/>
    <n v="3789"/>
    <n v="11922"/>
    <n v="0"/>
    <s v="No"/>
    <s v="Major"/>
    <n v="3974"/>
    <n v="1263"/>
    <n v="2024"/>
    <n v="5"/>
  </r>
  <r>
    <s v="SHP-31421"/>
    <d v="2024-08-24T00:00:00"/>
    <x v="1"/>
    <s v="Kolkata"/>
    <x v="0"/>
    <x v="0"/>
    <x v="0"/>
    <s v="High"/>
    <n v="2"/>
    <n v="8"/>
    <n v="6"/>
    <s v="Yes"/>
    <n v="74"/>
    <n v="10986"/>
    <n v="21870"/>
    <n v="0"/>
    <s v="No"/>
    <s v="Severe"/>
    <n v="3645"/>
    <n v="1831"/>
    <n v="2024"/>
    <n v="8"/>
  </r>
  <r>
    <s v="SHP-31422"/>
    <d v="2024-04-16T00:00:00"/>
    <x v="1"/>
    <s v="Kolkata"/>
    <x v="1"/>
    <x v="2"/>
    <x v="4"/>
    <s v="Low"/>
    <n v="1"/>
    <n v="3"/>
    <n v="2"/>
    <s v="Yes"/>
    <n v="429"/>
    <n v="2826"/>
    <n v="9744"/>
    <n v="0"/>
    <s v="No"/>
    <s v="Minor"/>
    <n v="4872"/>
    <n v="1413"/>
    <n v="2024"/>
    <n v="4"/>
  </r>
  <r>
    <s v="SHP-31423"/>
    <d v="2024-03-25T00:00:00"/>
    <x v="3"/>
    <s v="Pune"/>
    <x v="1"/>
    <x v="1"/>
    <x v="4"/>
    <s v="Low"/>
    <n v="3"/>
    <n v="7"/>
    <n v="4"/>
    <s v="Yes"/>
    <n v="60"/>
    <n v="8696"/>
    <n v="8920"/>
    <n v="0"/>
    <s v="No"/>
    <s v="Major"/>
    <n v="2230"/>
    <n v="2174"/>
    <n v="2024"/>
    <n v="3"/>
  </r>
  <r>
    <s v="SHP-31424"/>
    <d v="2024-09-07T00:00:00"/>
    <x v="3"/>
    <s v="Pune"/>
    <x v="0"/>
    <x v="1"/>
    <x v="4"/>
    <s v="Medium"/>
    <n v="5"/>
    <n v="7"/>
    <n v="2"/>
    <s v="Yes"/>
    <n v="425"/>
    <n v="2528"/>
    <n v="9202"/>
    <n v="0"/>
    <s v="No"/>
    <s v="Minor"/>
    <n v="4601"/>
    <n v="1264"/>
    <n v="2024"/>
    <n v="9"/>
  </r>
  <r>
    <s v="SHP-31425"/>
    <d v="2024-02-16T00:00:00"/>
    <x v="1"/>
    <s v="Kolkata"/>
    <x v="2"/>
    <x v="0"/>
    <x v="3"/>
    <s v="High"/>
    <n v="2"/>
    <n v="4"/>
    <n v="2"/>
    <s v="Yes"/>
    <n v="254"/>
    <n v="2064"/>
    <n v="6280"/>
    <n v="0"/>
    <s v="No"/>
    <s v="Minor"/>
    <n v="3140"/>
    <n v="1032"/>
    <n v="2024"/>
    <n v="2"/>
  </r>
  <r>
    <s v="SHP-31426"/>
    <d v="2024-01-02T00:00:00"/>
    <x v="2"/>
    <s v="Noida"/>
    <x v="2"/>
    <x v="0"/>
    <x v="3"/>
    <s v="Low"/>
    <n v="3"/>
    <n v="5"/>
    <n v="2"/>
    <s v="Yes"/>
    <n v="417"/>
    <n v="1710"/>
    <n v="5084"/>
    <n v="0"/>
    <s v="No"/>
    <s v="Minor"/>
    <n v="2542"/>
    <n v="855"/>
    <n v="2024"/>
    <n v="1"/>
  </r>
  <r>
    <s v="SHP-31427"/>
    <d v="2024-10-26T00:00:00"/>
    <x v="1"/>
    <s v="Kolkata"/>
    <x v="2"/>
    <x v="0"/>
    <x v="0"/>
    <s v="Medium"/>
    <n v="2"/>
    <n v="3"/>
    <n v="1"/>
    <s v="Yes"/>
    <n v="114"/>
    <n v="2290"/>
    <n v="2133"/>
    <n v="0"/>
    <s v="No"/>
    <s v="Minor"/>
    <n v="2133"/>
    <n v="2290"/>
    <n v="2024"/>
    <n v="10"/>
  </r>
  <r>
    <s v="SHP-31428"/>
    <d v="2024-02-03T00:00:00"/>
    <x v="2"/>
    <s v="Delhi"/>
    <x v="0"/>
    <x v="1"/>
    <x v="4"/>
    <s v="High"/>
    <n v="1"/>
    <n v="6"/>
    <n v="5"/>
    <s v="Yes"/>
    <n v="280"/>
    <n v="8085"/>
    <n v="13015"/>
    <n v="0"/>
    <s v="No"/>
    <s v="Major"/>
    <n v="2603"/>
    <n v="1617"/>
    <n v="2024"/>
    <n v="2"/>
  </r>
  <r>
    <s v="SHP-31429"/>
    <d v="2024-09-16T00:00:00"/>
    <x v="1"/>
    <s v="Bhubaneswar"/>
    <x v="0"/>
    <x v="1"/>
    <x v="4"/>
    <s v="Medium"/>
    <n v="2"/>
    <n v="5"/>
    <n v="3"/>
    <s v="Yes"/>
    <n v="373"/>
    <n v="2604"/>
    <n v="6306"/>
    <n v="0"/>
    <s v="No"/>
    <s v="Major"/>
    <n v="2102"/>
    <n v="868"/>
    <n v="2024"/>
    <n v="9"/>
  </r>
  <r>
    <s v="SHP-31430"/>
    <d v="2024-12-08T00:00:00"/>
    <x v="2"/>
    <s v="Noida"/>
    <x v="2"/>
    <x v="1"/>
    <x v="0"/>
    <s v="Low"/>
    <n v="5"/>
    <n v="6"/>
    <n v="1"/>
    <s v="Yes"/>
    <n v="57"/>
    <n v="1786"/>
    <n v="1805"/>
    <n v="0"/>
    <s v="No"/>
    <s v="Minor"/>
    <n v="1805"/>
    <n v="1786"/>
    <n v="2024"/>
    <n v="12"/>
  </r>
  <r>
    <s v="SHP-31431"/>
    <d v="2024-06-20T00:00:00"/>
    <x v="1"/>
    <s v="Kolkata"/>
    <x v="2"/>
    <x v="0"/>
    <x v="1"/>
    <s v="Medium"/>
    <n v="2"/>
    <n v="3"/>
    <n v="1"/>
    <s v="Yes"/>
    <n v="193"/>
    <n v="1866"/>
    <n v="2690"/>
    <n v="0"/>
    <s v="No"/>
    <s v="Minor"/>
    <n v="2690"/>
    <n v="1866"/>
    <n v="2024"/>
    <n v="6"/>
  </r>
  <r>
    <s v="SHP-31432"/>
    <d v="2024-02-25T00:00:00"/>
    <x v="1"/>
    <s v="Kolkata"/>
    <x v="1"/>
    <x v="0"/>
    <x v="3"/>
    <s v="Low"/>
    <n v="1"/>
    <n v="2"/>
    <n v="1"/>
    <s v="Yes"/>
    <n v="99"/>
    <n v="1213"/>
    <n v="2759"/>
    <n v="0"/>
    <s v="No"/>
    <s v="Minor"/>
    <n v="2759"/>
    <n v="1213"/>
    <n v="2024"/>
    <n v="2"/>
  </r>
  <r>
    <s v="SHP-31433"/>
    <d v="2024-08-07T00:00:00"/>
    <x v="0"/>
    <s v="Chennai"/>
    <x v="0"/>
    <x v="1"/>
    <x v="3"/>
    <s v="Low"/>
    <n v="2"/>
    <n v="5"/>
    <n v="3"/>
    <s v="Yes"/>
    <n v="414"/>
    <n v="2607"/>
    <n v="6768"/>
    <n v="0"/>
    <s v="No"/>
    <s v="Major"/>
    <n v="2256"/>
    <n v="869"/>
    <n v="2024"/>
    <n v="8"/>
  </r>
  <r>
    <s v="SHP-31434"/>
    <d v="2024-08-11T00:00:00"/>
    <x v="0"/>
    <s v="Bengaluru"/>
    <x v="2"/>
    <x v="2"/>
    <x v="4"/>
    <s v="Medium"/>
    <n v="2"/>
    <n v="4"/>
    <n v="2"/>
    <s v="Yes"/>
    <n v="311"/>
    <n v="4522"/>
    <n v="9880"/>
    <n v="0"/>
    <s v="No"/>
    <s v="Minor"/>
    <n v="4940"/>
    <n v="2261"/>
    <n v="2024"/>
    <n v="8"/>
  </r>
  <r>
    <s v="SHP-31435"/>
    <d v="2024-08-29T00:00:00"/>
    <x v="1"/>
    <s v="Kolkata"/>
    <x v="0"/>
    <x v="1"/>
    <x v="0"/>
    <s v="High"/>
    <n v="1"/>
    <n v="6"/>
    <n v="5"/>
    <s v="Yes"/>
    <n v="365"/>
    <n v="7040"/>
    <n v="24740"/>
    <n v="0"/>
    <s v="No"/>
    <s v="Major"/>
    <n v="4948"/>
    <n v="1408"/>
    <n v="2024"/>
    <n v="8"/>
  </r>
  <r>
    <s v="SHP-31436"/>
    <d v="2024-05-09T00:00:00"/>
    <x v="3"/>
    <s v="Mumbai"/>
    <x v="2"/>
    <x v="2"/>
    <x v="2"/>
    <s v="Medium"/>
    <n v="2"/>
    <n v="5"/>
    <n v="3"/>
    <s v="Yes"/>
    <n v="95"/>
    <n v="3111"/>
    <n v="5427"/>
    <n v="0"/>
    <s v="No"/>
    <s v="Major"/>
    <n v="1809"/>
    <n v="1037"/>
    <n v="2024"/>
    <n v="5"/>
  </r>
  <r>
    <s v="SHP-31437"/>
    <d v="2024-07-05T00:00:00"/>
    <x v="0"/>
    <s v="Bengaluru"/>
    <x v="2"/>
    <x v="0"/>
    <x v="0"/>
    <s v="High"/>
    <n v="3"/>
    <n v="6"/>
    <n v="3"/>
    <s v="Yes"/>
    <n v="310"/>
    <n v="3903"/>
    <n v="6249"/>
    <n v="0"/>
    <s v="No"/>
    <s v="Major"/>
    <n v="2083"/>
    <n v="1301"/>
    <n v="2024"/>
    <n v="7"/>
  </r>
  <r>
    <s v="SHP-31438"/>
    <d v="2024-08-17T00:00:00"/>
    <x v="2"/>
    <s v="Delhi"/>
    <x v="1"/>
    <x v="1"/>
    <x v="1"/>
    <s v="Medium"/>
    <n v="2"/>
    <n v="5"/>
    <n v="3"/>
    <s v="Yes"/>
    <n v="116"/>
    <n v="2730"/>
    <n v="11691"/>
    <n v="0"/>
    <s v="No"/>
    <s v="Major"/>
    <n v="3897"/>
    <n v="910"/>
    <n v="2024"/>
    <n v="8"/>
  </r>
  <r>
    <s v="SHP-31439"/>
    <d v="2024-08-26T00:00:00"/>
    <x v="1"/>
    <s v="Bhubaneswar"/>
    <x v="2"/>
    <x v="2"/>
    <x v="0"/>
    <s v="Low"/>
    <n v="2"/>
    <n v="9"/>
    <n v="7"/>
    <s v="Yes"/>
    <n v="461"/>
    <n v="11921"/>
    <n v="22715"/>
    <n v="0"/>
    <s v="No"/>
    <s v="Severe"/>
    <n v="3245"/>
    <n v="1703"/>
    <n v="2024"/>
    <n v="8"/>
  </r>
  <r>
    <s v="SHP-31440"/>
    <d v="2024-03-17T00:00:00"/>
    <x v="0"/>
    <s v="Chennai"/>
    <x v="0"/>
    <x v="0"/>
    <x v="2"/>
    <s v="Low"/>
    <n v="2"/>
    <n v="5"/>
    <n v="3"/>
    <s v="Yes"/>
    <n v="73"/>
    <n v="2928"/>
    <n v="11910"/>
    <n v="0"/>
    <s v="No"/>
    <s v="Major"/>
    <n v="3970"/>
    <n v="976"/>
    <n v="2024"/>
    <n v="3"/>
  </r>
  <r>
    <s v="SHP-31441"/>
    <d v="2024-07-05T00:00:00"/>
    <x v="1"/>
    <s v="Kolkata"/>
    <x v="1"/>
    <x v="1"/>
    <x v="0"/>
    <s v="High"/>
    <n v="3"/>
    <n v="7"/>
    <n v="4"/>
    <s v="Yes"/>
    <n v="118"/>
    <n v="5112"/>
    <n v="19560"/>
    <n v="0"/>
    <s v="No"/>
    <s v="Major"/>
    <n v="4890"/>
    <n v="1278"/>
    <n v="2024"/>
    <n v="7"/>
  </r>
  <r>
    <s v="SHP-31442"/>
    <d v="2024-03-06T00:00:00"/>
    <x v="3"/>
    <s v="Pune"/>
    <x v="1"/>
    <x v="1"/>
    <x v="0"/>
    <s v="Medium"/>
    <n v="2"/>
    <n v="7"/>
    <n v="5"/>
    <s v="Yes"/>
    <n v="257"/>
    <n v="10515"/>
    <n v="16055"/>
    <n v="0"/>
    <s v="No"/>
    <s v="Major"/>
    <n v="3211"/>
    <n v="2103"/>
    <n v="2024"/>
    <n v="3"/>
  </r>
  <r>
    <s v="SHP-31443"/>
    <d v="2024-04-21T00:00:00"/>
    <x v="2"/>
    <s v="Delhi"/>
    <x v="1"/>
    <x v="1"/>
    <x v="3"/>
    <s v="Low"/>
    <n v="2"/>
    <n v="5"/>
    <n v="3"/>
    <s v="Yes"/>
    <n v="325"/>
    <n v="4074"/>
    <n v="12054"/>
    <n v="0"/>
    <s v="No"/>
    <s v="Major"/>
    <n v="4018"/>
    <n v="1358"/>
    <n v="2024"/>
    <n v="4"/>
  </r>
  <r>
    <s v="SHP-31444"/>
    <d v="2024-01-06T00:00:00"/>
    <x v="0"/>
    <s v="Bengaluru"/>
    <x v="2"/>
    <x v="2"/>
    <x v="3"/>
    <s v="Low"/>
    <n v="3"/>
    <n v="4"/>
    <n v="1"/>
    <s v="Yes"/>
    <n v="370"/>
    <n v="1100"/>
    <n v="4236"/>
    <n v="0"/>
    <s v="No"/>
    <s v="Minor"/>
    <n v="4236"/>
    <n v="1100"/>
    <n v="2024"/>
    <n v="1"/>
  </r>
  <r>
    <s v="SHP-31445"/>
    <d v="2024-12-30T00:00:00"/>
    <x v="2"/>
    <s v="Noida"/>
    <x v="1"/>
    <x v="0"/>
    <x v="1"/>
    <s v="Low"/>
    <n v="2"/>
    <n v="3"/>
    <n v="1"/>
    <s v="Yes"/>
    <n v="172"/>
    <n v="1124"/>
    <n v="2815"/>
    <n v="0"/>
    <s v="No"/>
    <s v="Minor"/>
    <n v="2815"/>
    <n v="1124"/>
    <n v="2024"/>
    <n v="12"/>
  </r>
  <r>
    <s v="SHP-31446"/>
    <d v="2024-10-24T00:00:00"/>
    <x v="0"/>
    <s v="Bengaluru"/>
    <x v="0"/>
    <x v="1"/>
    <x v="3"/>
    <s v="Medium"/>
    <n v="1"/>
    <n v="1"/>
    <n v="0"/>
    <s v="No"/>
    <n v="70"/>
    <n v="0"/>
    <n v="0"/>
    <n v="1"/>
    <s v="No"/>
    <s v="On Time"/>
    <n v="0"/>
    <n v="0"/>
    <n v="2024"/>
    <n v="10"/>
  </r>
  <r>
    <s v="SHP-31447"/>
    <d v="2024-05-02T00:00:00"/>
    <x v="2"/>
    <s v="Delhi"/>
    <x v="2"/>
    <x v="1"/>
    <x v="0"/>
    <s v="Low"/>
    <n v="2"/>
    <n v="4"/>
    <n v="2"/>
    <s v="Yes"/>
    <n v="346"/>
    <n v="2934"/>
    <n v="6330"/>
    <n v="0"/>
    <s v="No"/>
    <s v="Minor"/>
    <n v="3165"/>
    <n v="1467"/>
    <n v="2024"/>
    <n v="5"/>
  </r>
  <r>
    <s v="SHP-31448"/>
    <d v="2024-06-22T00:00:00"/>
    <x v="1"/>
    <s v="Kolkata"/>
    <x v="0"/>
    <x v="1"/>
    <x v="3"/>
    <s v="Medium"/>
    <n v="1"/>
    <n v="6"/>
    <n v="5"/>
    <s v="Yes"/>
    <n v="117"/>
    <n v="11885"/>
    <n v="8695"/>
    <n v="0"/>
    <s v="No"/>
    <s v="Major"/>
    <n v="1739"/>
    <n v="2377"/>
    <n v="2024"/>
    <n v="6"/>
  </r>
  <r>
    <s v="SHP-31449"/>
    <d v="2024-12-27T00:00:00"/>
    <x v="0"/>
    <s v="Bengaluru"/>
    <x v="0"/>
    <x v="0"/>
    <x v="3"/>
    <s v="Medium"/>
    <n v="2"/>
    <n v="7"/>
    <n v="5"/>
    <s v="Yes"/>
    <n v="391"/>
    <n v="4890"/>
    <n v="23280"/>
    <n v="0"/>
    <s v="No"/>
    <s v="Major"/>
    <n v="4656"/>
    <n v="978"/>
    <n v="2024"/>
    <n v="12"/>
  </r>
  <r>
    <s v="SHP-31450"/>
    <d v="2024-11-13T00:00:00"/>
    <x v="1"/>
    <s v="Kolkata"/>
    <x v="1"/>
    <x v="0"/>
    <x v="4"/>
    <s v="Medium"/>
    <n v="3"/>
    <n v="7"/>
    <n v="4"/>
    <s v="Yes"/>
    <n v="135"/>
    <n v="7728"/>
    <n v="19692"/>
    <n v="0"/>
    <s v="No"/>
    <s v="Major"/>
    <n v="4923"/>
    <n v="1932"/>
    <n v="2024"/>
    <n v="11"/>
  </r>
  <r>
    <s v="SHP-31451"/>
    <d v="2024-12-14T00:00:00"/>
    <x v="2"/>
    <s v="Noida"/>
    <x v="0"/>
    <x v="0"/>
    <x v="0"/>
    <s v="Medium"/>
    <n v="1"/>
    <n v="2"/>
    <n v="1"/>
    <s v="Yes"/>
    <n v="286"/>
    <n v="1692"/>
    <n v="4101"/>
    <n v="0"/>
    <s v="No"/>
    <s v="Minor"/>
    <n v="4101"/>
    <n v="1692"/>
    <n v="2024"/>
    <n v="12"/>
  </r>
  <r>
    <s v="SHP-31452"/>
    <d v="2024-07-27T00:00:00"/>
    <x v="3"/>
    <s v="Mumbai"/>
    <x v="0"/>
    <x v="2"/>
    <x v="0"/>
    <s v="Low"/>
    <n v="1"/>
    <n v="8"/>
    <n v="7"/>
    <s v="Yes"/>
    <n v="387"/>
    <n v="11627"/>
    <n v="28105"/>
    <n v="0"/>
    <s v="No"/>
    <s v="Severe"/>
    <n v="4015"/>
    <n v="1661"/>
    <n v="2024"/>
    <n v="7"/>
  </r>
  <r>
    <s v="SHP-31453"/>
    <d v="2024-08-09T00:00:00"/>
    <x v="1"/>
    <s v="Kolkata"/>
    <x v="2"/>
    <x v="0"/>
    <x v="4"/>
    <s v="Low"/>
    <n v="5"/>
    <n v="6"/>
    <n v="1"/>
    <s v="Yes"/>
    <n v="192"/>
    <n v="843"/>
    <n v="3270"/>
    <n v="0"/>
    <s v="No"/>
    <s v="Minor"/>
    <n v="3270"/>
    <n v="843"/>
    <n v="2024"/>
    <n v="8"/>
  </r>
  <r>
    <s v="SHP-31454"/>
    <d v="2024-08-27T00:00:00"/>
    <x v="1"/>
    <s v="Bhubaneswar"/>
    <x v="1"/>
    <x v="2"/>
    <x v="4"/>
    <s v="Low"/>
    <n v="3"/>
    <n v="9"/>
    <n v="6"/>
    <s v="Yes"/>
    <n v="181"/>
    <n v="8238"/>
    <n v="21174"/>
    <n v="0"/>
    <s v="No"/>
    <s v="Severe"/>
    <n v="3529"/>
    <n v="1373"/>
    <n v="2024"/>
    <n v="8"/>
  </r>
  <r>
    <s v="SHP-31455"/>
    <d v="2024-10-01T00:00:00"/>
    <x v="1"/>
    <s v="Bhubaneswar"/>
    <x v="2"/>
    <x v="1"/>
    <x v="0"/>
    <s v="Low"/>
    <n v="1"/>
    <n v="2"/>
    <n v="1"/>
    <s v="Yes"/>
    <n v="180"/>
    <n v="1924"/>
    <n v="3094"/>
    <n v="0"/>
    <s v="No"/>
    <s v="Minor"/>
    <n v="3094"/>
    <n v="1924"/>
    <n v="2024"/>
    <n v="10"/>
  </r>
  <r>
    <s v="SHP-31456"/>
    <d v="2024-04-22T00:00:00"/>
    <x v="2"/>
    <s v="Noida"/>
    <x v="1"/>
    <x v="1"/>
    <x v="3"/>
    <s v="Low"/>
    <n v="2"/>
    <n v="4"/>
    <n v="2"/>
    <s v="Yes"/>
    <n v="352"/>
    <n v="2918"/>
    <n v="3948"/>
    <n v="0"/>
    <s v="No"/>
    <s v="Minor"/>
    <n v="1974"/>
    <n v="1459"/>
    <n v="2024"/>
    <n v="4"/>
  </r>
  <r>
    <s v="SHP-31457"/>
    <d v="2024-03-11T00:00:00"/>
    <x v="1"/>
    <s v="Kolkata"/>
    <x v="2"/>
    <x v="1"/>
    <x v="4"/>
    <s v="Low"/>
    <n v="1"/>
    <n v="6"/>
    <n v="5"/>
    <s v="Yes"/>
    <n v="204"/>
    <n v="10320"/>
    <n v="13460"/>
    <n v="0"/>
    <s v="No"/>
    <s v="Major"/>
    <n v="2692"/>
    <n v="2064"/>
    <n v="2024"/>
    <n v="3"/>
  </r>
  <r>
    <s v="SHP-31458"/>
    <d v="2024-08-31T00:00:00"/>
    <x v="2"/>
    <s v="Noida"/>
    <x v="2"/>
    <x v="1"/>
    <x v="1"/>
    <s v="Low"/>
    <n v="5"/>
    <n v="9"/>
    <n v="4"/>
    <s v="Yes"/>
    <n v="52"/>
    <n v="3668"/>
    <n v="19516"/>
    <n v="0"/>
    <s v="No"/>
    <s v="Major"/>
    <n v="4879"/>
    <n v="917"/>
    <n v="2024"/>
    <n v="8"/>
  </r>
  <r>
    <s v="SHP-31459"/>
    <d v="2024-03-01T00:00:00"/>
    <x v="3"/>
    <s v="Pune"/>
    <x v="0"/>
    <x v="0"/>
    <x v="4"/>
    <s v="High"/>
    <n v="2"/>
    <n v="10"/>
    <n v="8"/>
    <s v="Yes"/>
    <n v="474"/>
    <n v="7888"/>
    <n v="18936"/>
    <n v="0"/>
    <s v="No"/>
    <s v="Severe"/>
    <n v="2367"/>
    <n v="986"/>
    <n v="2024"/>
    <n v="3"/>
  </r>
  <r>
    <s v="SHP-31460"/>
    <d v="2024-05-25T00:00:00"/>
    <x v="0"/>
    <s v="Bengaluru"/>
    <x v="1"/>
    <x v="2"/>
    <x v="2"/>
    <s v="Medium"/>
    <n v="2"/>
    <n v="4"/>
    <n v="2"/>
    <s v="Yes"/>
    <n v="73"/>
    <n v="4996"/>
    <n v="3830"/>
    <n v="0"/>
    <s v="No"/>
    <s v="Minor"/>
    <n v="1915"/>
    <n v="2498"/>
    <n v="2024"/>
    <n v="5"/>
  </r>
  <r>
    <s v="SHP-31461"/>
    <d v="2024-09-26T00:00:00"/>
    <x v="0"/>
    <s v="Bengaluru"/>
    <x v="1"/>
    <x v="1"/>
    <x v="4"/>
    <s v="Medium"/>
    <n v="3"/>
    <n v="5"/>
    <n v="2"/>
    <s v="Yes"/>
    <n v="68"/>
    <n v="2242"/>
    <n v="9752"/>
    <n v="0"/>
    <s v="No"/>
    <s v="Minor"/>
    <n v="4876"/>
    <n v="1121"/>
    <n v="2024"/>
    <n v="9"/>
  </r>
  <r>
    <s v="SHP-31462"/>
    <d v="2024-03-29T00:00:00"/>
    <x v="2"/>
    <s v="Delhi"/>
    <x v="1"/>
    <x v="1"/>
    <x v="4"/>
    <s v="Low"/>
    <n v="5"/>
    <n v="5"/>
    <n v="0"/>
    <s v="No"/>
    <n v="185"/>
    <n v="0"/>
    <n v="0"/>
    <n v="1"/>
    <s v="No"/>
    <s v="On Time"/>
    <n v="0"/>
    <n v="0"/>
    <n v="2024"/>
    <n v="3"/>
  </r>
  <r>
    <s v="SHP-31463"/>
    <d v="2024-01-14T00:00:00"/>
    <x v="1"/>
    <s v="Kolkata"/>
    <x v="1"/>
    <x v="1"/>
    <x v="2"/>
    <s v="Low"/>
    <n v="5"/>
    <n v="6"/>
    <n v="1"/>
    <s v="Yes"/>
    <n v="413"/>
    <n v="1508"/>
    <n v="3190"/>
    <n v="0"/>
    <s v="No"/>
    <s v="Minor"/>
    <n v="3190"/>
    <n v="1508"/>
    <n v="2024"/>
    <n v="1"/>
  </r>
  <r>
    <s v="SHP-31464"/>
    <d v="2024-10-27T00:00:00"/>
    <x v="0"/>
    <s v="Chennai"/>
    <x v="2"/>
    <x v="1"/>
    <x v="2"/>
    <s v="Low"/>
    <n v="5"/>
    <n v="10"/>
    <n v="5"/>
    <s v="Yes"/>
    <n v="196"/>
    <n v="5330"/>
    <n v="10095"/>
    <n v="0"/>
    <s v="No"/>
    <s v="Major"/>
    <n v="2019"/>
    <n v="1066"/>
    <n v="2024"/>
    <n v="10"/>
  </r>
  <r>
    <s v="SHP-31465"/>
    <d v="2024-12-28T00:00:00"/>
    <x v="3"/>
    <s v="Mumbai"/>
    <x v="2"/>
    <x v="1"/>
    <x v="3"/>
    <s v="Low"/>
    <n v="2"/>
    <n v="2"/>
    <n v="0"/>
    <s v="No"/>
    <n v="344"/>
    <n v="0"/>
    <n v="0"/>
    <n v="1"/>
    <s v="No"/>
    <s v="On Time"/>
    <n v="0"/>
    <n v="0"/>
    <n v="2024"/>
    <n v="12"/>
  </r>
  <r>
    <s v="SHP-31466"/>
    <d v="2024-09-03T00:00:00"/>
    <x v="1"/>
    <s v="Kolkata"/>
    <x v="2"/>
    <x v="0"/>
    <x v="1"/>
    <s v="Low"/>
    <n v="5"/>
    <n v="9"/>
    <n v="4"/>
    <s v="Yes"/>
    <n v="446"/>
    <n v="7764"/>
    <n v="8428"/>
    <n v="0"/>
    <s v="No"/>
    <s v="Major"/>
    <n v="2107"/>
    <n v="1941"/>
    <n v="2024"/>
    <n v="9"/>
  </r>
  <r>
    <s v="SHP-31467"/>
    <d v="2024-02-18T00:00:00"/>
    <x v="2"/>
    <s v="Noida"/>
    <x v="0"/>
    <x v="2"/>
    <x v="0"/>
    <s v="Medium"/>
    <n v="1"/>
    <n v="4"/>
    <n v="3"/>
    <s v="Yes"/>
    <n v="249"/>
    <n v="3408"/>
    <n v="6501"/>
    <n v="0"/>
    <s v="No"/>
    <s v="Major"/>
    <n v="2167"/>
    <n v="1136"/>
    <n v="2024"/>
    <n v="2"/>
  </r>
  <r>
    <s v="SHP-31468"/>
    <d v="2024-08-10T00:00:00"/>
    <x v="2"/>
    <s v="Delhi"/>
    <x v="2"/>
    <x v="1"/>
    <x v="3"/>
    <s v="Medium"/>
    <n v="2"/>
    <n v="4"/>
    <n v="2"/>
    <s v="Yes"/>
    <n v="442"/>
    <n v="3362"/>
    <n v="3178"/>
    <n v="0"/>
    <s v="No"/>
    <s v="Minor"/>
    <n v="1589"/>
    <n v="1681"/>
    <n v="2024"/>
    <n v="8"/>
  </r>
  <r>
    <s v="SHP-31469"/>
    <d v="2024-01-26T00:00:00"/>
    <x v="2"/>
    <s v="Delhi"/>
    <x v="1"/>
    <x v="0"/>
    <x v="4"/>
    <s v="Medium"/>
    <n v="5"/>
    <n v="7"/>
    <n v="2"/>
    <s v="Yes"/>
    <n v="251"/>
    <n v="3532"/>
    <n v="5540"/>
    <n v="0"/>
    <s v="No"/>
    <s v="Minor"/>
    <n v="2770"/>
    <n v="1766"/>
    <n v="2024"/>
    <n v="1"/>
  </r>
  <r>
    <s v="SHP-31470"/>
    <d v="2024-02-16T00:00:00"/>
    <x v="1"/>
    <s v="Kolkata"/>
    <x v="0"/>
    <x v="1"/>
    <x v="3"/>
    <s v="Medium"/>
    <n v="1"/>
    <n v="5"/>
    <n v="4"/>
    <s v="Yes"/>
    <n v="202"/>
    <n v="5632"/>
    <n v="13952"/>
    <n v="0"/>
    <s v="No"/>
    <s v="Major"/>
    <n v="3488"/>
    <n v="1408"/>
    <n v="2024"/>
    <n v="2"/>
  </r>
  <r>
    <s v="SHP-31471"/>
    <d v="2024-11-21T00:00:00"/>
    <x v="0"/>
    <s v="Bengaluru"/>
    <x v="2"/>
    <x v="1"/>
    <x v="0"/>
    <s v="High"/>
    <n v="1"/>
    <n v="9"/>
    <n v="8"/>
    <s v="Yes"/>
    <n v="433"/>
    <n v="19352"/>
    <n v="39904"/>
    <n v="0"/>
    <s v="No"/>
    <s v="Severe"/>
    <n v="4988"/>
    <n v="2419"/>
    <n v="2024"/>
    <n v="11"/>
  </r>
  <r>
    <s v="SHP-31472"/>
    <d v="2024-11-24T00:00:00"/>
    <x v="1"/>
    <s v="Bhubaneswar"/>
    <x v="2"/>
    <x v="1"/>
    <x v="1"/>
    <s v="High"/>
    <n v="2"/>
    <n v="7"/>
    <n v="5"/>
    <s v="Yes"/>
    <n v="286"/>
    <n v="9065"/>
    <n v="15885"/>
    <n v="0"/>
    <s v="No"/>
    <s v="Major"/>
    <n v="3177"/>
    <n v="1813"/>
    <n v="2024"/>
    <n v="11"/>
  </r>
  <r>
    <s v="SHP-31473"/>
    <d v="2024-05-29T00:00:00"/>
    <x v="0"/>
    <s v="Chennai"/>
    <x v="1"/>
    <x v="1"/>
    <x v="0"/>
    <s v="Medium"/>
    <n v="1"/>
    <n v="3"/>
    <n v="2"/>
    <s v="Yes"/>
    <n v="179"/>
    <n v="4104"/>
    <n v="8140"/>
    <n v="0"/>
    <s v="No"/>
    <s v="Minor"/>
    <n v="4070"/>
    <n v="2052"/>
    <n v="2024"/>
    <n v="5"/>
  </r>
  <r>
    <s v="SHP-31474"/>
    <d v="2024-12-03T00:00:00"/>
    <x v="1"/>
    <s v="Kolkata"/>
    <x v="1"/>
    <x v="1"/>
    <x v="3"/>
    <s v="Medium"/>
    <n v="1"/>
    <n v="1"/>
    <n v="0"/>
    <s v="No"/>
    <n v="353"/>
    <n v="0"/>
    <n v="0"/>
    <n v="1"/>
    <s v="No"/>
    <s v="On Time"/>
    <n v="0"/>
    <n v="0"/>
    <n v="2024"/>
    <n v="12"/>
  </r>
  <r>
    <s v="SHP-31475"/>
    <d v="2024-05-05T00:00:00"/>
    <x v="0"/>
    <s v="Bengaluru"/>
    <x v="1"/>
    <x v="1"/>
    <x v="2"/>
    <s v="Low"/>
    <n v="2"/>
    <n v="6"/>
    <n v="4"/>
    <s v="Yes"/>
    <n v="466"/>
    <n v="3876"/>
    <n v="7692"/>
    <n v="0"/>
    <s v="No"/>
    <s v="Major"/>
    <n v="1923"/>
    <n v="969"/>
    <n v="2024"/>
    <n v="5"/>
  </r>
  <r>
    <s v="SHP-31476"/>
    <d v="2024-10-08T00:00:00"/>
    <x v="1"/>
    <s v="Bhubaneswar"/>
    <x v="0"/>
    <x v="0"/>
    <x v="3"/>
    <s v="Low"/>
    <n v="3"/>
    <n v="6"/>
    <n v="3"/>
    <s v="Yes"/>
    <n v="274"/>
    <n v="4947"/>
    <n v="10320"/>
    <n v="0"/>
    <s v="No"/>
    <s v="Major"/>
    <n v="3440"/>
    <n v="1649"/>
    <n v="2024"/>
    <n v="10"/>
  </r>
  <r>
    <s v="SHP-31477"/>
    <d v="2024-04-20T00:00:00"/>
    <x v="0"/>
    <s v="Chennai"/>
    <x v="2"/>
    <x v="1"/>
    <x v="3"/>
    <s v="Low"/>
    <n v="1"/>
    <n v="2"/>
    <n v="1"/>
    <s v="Yes"/>
    <n v="58"/>
    <n v="861"/>
    <n v="3109"/>
    <n v="0"/>
    <s v="No"/>
    <s v="Minor"/>
    <n v="3109"/>
    <n v="861"/>
    <n v="2024"/>
    <n v="4"/>
  </r>
  <r>
    <s v="SHP-31478"/>
    <d v="2024-11-07T00:00:00"/>
    <x v="0"/>
    <s v="Chennai"/>
    <x v="1"/>
    <x v="1"/>
    <x v="1"/>
    <s v="Medium"/>
    <n v="2"/>
    <n v="2"/>
    <n v="0"/>
    <s v="No"/>
    <n v="282"/>
    <n v="0"/>
    <n v="0"/>
    <n v="1"/>
    <s v="No"/>
    <s v="On Time"/>
    <n v="0"/>
    <n v="0"/>
    <n v="2024"/>
    <n v="11"/>
  </r>
  <r>
    <s v="SHP-31479"/>
    <d v="2024-07-24T00:00:00"/>
    <x v="1"/>
    <s v="Kolkata"/>
    <x v="2"/>
    <x v="0"/>
    <x v="4"/>
    <s v="Low"/>
    <n v="1"/>
    <n v="5"/>
    <n v="4"/>
    <s v="Yes"/>
    <n v="452"/>
    <n v="3408"/>
    <n v="11880"/>
    <n v="0"/>
    <s v="No"/>
    <s v="Major"/>
    <n v="2970"/>
    <n v="852"/>
    <n v="2024"/>
    <n v="7"/>
  </r>
  <r>
    <s v="SHP-31480"/>
    <d v="2024-06-14T00:00:00"/>
    <x v="3"/>
    <s v="Pune"/>
    <x v="0"/>
    <x v="1"/>
    <x v="0"/>
    <s v="Low"/>
    <n v="2"/>
    <n v="2"/>
    <n v="0"/>
    <s v="No"/>
    <n v="112"/>
    <n v="0"/>
    <n v="0"/>
    <n v="1"/>
    <s v="No"/>
    <s v="On Time"/>
    <n v="0"/>
    <n v="0"/>
    <n v="2024"/>
    <n v="6"/>
  </r>
  <r>
    <s v="SHP-31481"/>
    <d v="2024-12-13T00:00:00"/>
    <x v="3"/>
    <s v="Mumbai"/>
    <x v="1"/>
    <x v="2"/>
    <x v="4"/>
    <s v="Medium"/>
    <n v="1"/>
    <n v="7"/>
    <n v="6"/>
    <s v="Yes"/>
    <n v="228"/>
    <n v="9744"/>
    <n v="23244"/>
    <n v="0"/>
    <s v="No"/>
    <s v="Severe"/>
    <n v="3874"/>
    <n v="1624"/>
    <n v="2024"/>
    <n v="12"/>
  </r>
  <r>
    <s v="SHP-31482"/>
    <d v="2024-03-14T00:00:00"/>
    <x v="2"/>
    <s v="Delhi"/>
    <x v="1"/>
    <x v="0"/>
    <x v="3"/>
    <s v="Medium"/>
    <n v="2"/>
    <n v="2"/>
    <n v="0"/>
    <s v="No"/>
    <n v="69"/>
    <n v="0"/>
    <n v="0"/>
    <n v="1"/>
    <s v="No"/>
    <s v="On Time"/>
    <n v="0"/>
    <n v="0"/>
    <n v="2024"/>
    <n v="3"/>
  </r>
  <r>
    <s v="SHP-31483"/>
    <d v="2024-09-13T00:00:00"/>
    <x v="0"/>
    <s v="Bengaluru"/>
    <x v="2"/>
    <x v="0"/>
    <x v="1"/>
    <s v="Medium"/>
    <n v="1"/>
    <n v="1"/>
    <n v="0"/>
    <s v="No"/>
    <n v="311"/>
    <n v="0"/>
    <n v="0"/>
    <n v="1"/>
    <s v="No"/>
    <s v="On Time"/>
    <n v="0"/>
    <n v="0"/>
    <n v="2024"/>
    <n v="9"/>
  </r>
  <r>
    <s v="SHP-31484"/>
    <d v="2024-12-01T00:00:00"/>
    <x v="2"/>
    <s v="Noida"/>
    <x v="2"/>
    <x v="1"/>
    <x v="0"/>
    <s v="High"/>
    <n v="5"/>
    <n v="8"/>
    <n v="3"/>
    <s v="Yes"/>
    <n v="443"/>
    <n v="3828"/>
    <n v="5046"/>
    <n v="0"/>
    <s v="No"/>
    <s v="Major"/>
    <n v="1682"/>
    <n v="1276"/>
    <n v="2024"/>
    <n v="12"/>
  </r>
  <r>
    <s v="SHP-31485"/>
    <d v="2024-01-07T00:00:00"/>
    <x v="3"/>
    <s v="Pune"/>
    <x v="0"/>
    <x v="1"/>
    <x v="4"/>
    <s v="Medium"/>
    <n v="5"/>
    <n v="9"/>
    <n v="4"/>
    <s v="Yes"/>
    <n v="434"/>
    <n v="6168"/>
    <n v="12220"/>
    <n v="0"/>
    <s v="No"/>
    <s v="Major"/>
    <n v="3055"/>
    <n v="1542"/>
    <n v="2024"/>
    <n v="1"/>
  </r>
  <r>
    <s v="SHP-31486"/>
    <d v="2024-05-20T00:00:00"/>
    <x v="2"/>
    <s v="Noida"/>
    <x v="2"/>
    <x v="1"/>
    <x v="0"/>
    <s v="Medium"/>
    <n v="2"/>
    <n v="7"/>
    <n v="5"/>
    <s v="Yes"/>
    <n v="442"/>
    <n v="8930"/>
    <n v="11525"/>
    <n v="0"/>
    <s v="No"/>
    <s v="Major"/>
    <n v="2305"/>
    <n v="1786"/>
    <n v="2024"/>
    <n v="5"/>
  </r>
  <r>
    <s v="SHP-31487"/>
    <d v="2024-01-22T00:00:00"/>
    <x v="2"/>
    <s v="Noida"/>
    <x v="2"/>
    <x v="1"/>
    <x v="4"/>
    <s v="Medium"/>
    <n v="1"/>
    <n v="2"/>
    <n v="1"/>
    <s v="Yes"/>
    <n v="81"/>
    <n v="1246"/>
    <n v="2157"/>
    <n v="0"/>
    <s v="No"/>
    <s v="Minor"/>
    <n v="2157"/>
    <n v="1246"/>
    <n v="2024"/>
    <n v="1"/>
  </r>
  <r>
    <s v="SHP-31488"/>
    <d v="2024-03-10T00:00:00"/>
    <x v="0"/>
    <s v="Bengaluru"/>
    <x v="0"/>
    <x v="2"/>
    <x v="2"/>
    <s v="Medium"/>
    <n v="1"/>
    <n v="6"/>
    <n v="5"/>
    <s v="Yes"/>
    <n v="427"/>
    <n v="8910"/>
    <n v="16715"/>
    <n v="0"/>
    <s v="No"/>
    <s v="Major"/>
    <n v="3343"/>
    <n v="1782"/>
    <n v="2024"/>
    <n v="3"/>
  </r>
  <r>
    <s v="SHP-31489"/>
    <d v="2024-07-19T00:00:00"/>
    <x v="2"/>
    <s v="Delhi"/>
    <x v="2"/>
    <x v="0"/>
    <x v="2"/>
    <s v="Low"/>
    <n v="3"/>
    <n v="8"/>
    <n v="5"/>
    <s v="Yes"/>
    <n v="199"/>
    <n v="7885"/>
    <n v="22585"/>
    <n v="0"/>
    <s v="No"/>
    <s v="Major"/>
    <n v="4517"/>
    <n v="1577"/>
    <n v="2024"/>
    <n v="7"/>
  </r>
  <r>
    <s v="SHP-31490"/>
    <d v="2024-01-28T00:00:00"/>
    <x v="2"/>
    <s v="Noida"/>
    <x v="0"/>
    <x v="1"/>
    <x v="0"/>
    <s v="Low"/>
    <n v="3"/>
    <n v="6"/>
    <n v="3"/>
    <s v="Yes"/>
    <n v="261"/>
    <n v="6396"/>
    <n v="6372"/>
    <n v="0"/>
    <s v="No"/>
    <s v="Major"/>
    <n v="2124"/>
    <n v="2132"/>
    <n v="2024"/>
    <n v="1"/>
  </r>
  <r>
    <s v="SHP-31491"/>
    <d v="2024-09-27T00:00:00"/>
    <x v="3"/>
    <s v="Pune"/>
    <x v="2"/>
    <x v="2"/>
    <x v="3"/>
    <s v="Medium"/>
    <n v="2"/>
    <n v="7"/>
    <n v="5"/>
    <s v="Yes"/>
    <n v="269"/>
    <n v="7190"/>
    <n v="18420"/>
    <n v="0"/>
    <s v="No"/>
    <s v="Major"/>
    <n v="3684"/>
    <n v="1438"/>
    <n v="2024"/>
    <n v="9"/>
  </r>
  <r>
    <s v="SHP-31492"/>
    <d v="2024-12-03T00:00:00"/>
    <x v="2"/>
    <s v="Delhi"/>
    <x v="0"/>
    <x v="2"/>
    <x v="0"/>
    <s v="High"/>
    <n v="5"/>
    <n v="13"/>
    <n v="8"/>
    <s v="Yes"/>
    <n v="244"/>
    <n v="19112"/>
    <n v="24200"/>
    <n v="0"/>
    <s v="No"/>
    <s v="Severe"/>
    <n v="3025"/>
    <n v="2389"/>
    <n v="2024"/>
    <n v="12"/>
  </r>
  <r>
    <s v="SHP-31493"/>
    <d v="2024-10-06T00:00:00"/>
    <x v="3"/>
    <s v="Mumbai"/>
    <x v="2"/>
    <x v="0"/>
    <x v="2"/>
    <s v="High"/>
    <n v="2"/>
    <n v="4"/>
    <n v="2"/>
    <s v="Yes"/>
    <n v="433"/>
    <n v="1722"/>
    <n v="5270"/>
    <n v="0"/>
    <s v="No"/>
    <s v="Minor"/>
    <n v="2635"/>
    <n v="861"/>
    <n v="2024"/>
    <n v="10"/>
  </r>
  <r>
    <s v="SHP-31494"/>
    <d v="2024-06-22T00:00:00"/>
    <x v="3"/>
    <s v="Mumbai"/>
    <x v="0"/>
    <x v="2"/>
    <x v="4"/>
    <s v="Medium"/>
    <n v="2"/>
    <n v="4"/>
    <n v="2"/>
    <s v="Yes"/>
    <n v="229"/>
    <n v="4032"/>
    <n v="8246"/>
    <n v="0"/>
    <s v="No"/>
    <s v="Minor"/>
    <n v="4123"/>
    <n v="2016"/>
    <n v="2024"/>
    <n v="6"/>
  </r>
  <r>
    <s v="SHP-31495"/>
    <d v="2024-01-15T00:00:00"/>
    <x v="1"/>
    <s v="Bhubaneswar"/>
    <x v="1"/>
    <x v="1"/>
    <x v="0"/>
    <s v="High"/>
    <n v="2"/>
    <n v="7"/>
    <n v="5"/>
    <s v="Yes"/>
    <n v="438"/>
    <n v="9140"/>
    <n v="16305"/>
    <n v="0"/>
    <s v="No"/>
    <s v="Major"/>
    <n v="3261"/>
    <n v="1828"/>
    <n v="2024"/>
    <n v="1"/>
  </r>
  <r>
    <s v="SHP-31496"/>
    <d v="2024-04-10T00:00:00"/>
    <x v="3"/>
    <s v="Pune"/>
    <x v="0"/>
    <x v="1"/>
    <x v="2"/>
    <s v="Medium"/>
    <n v="1"/>
    <n v="3"/>
    <n v="2"/>
    <s v="Yes"/>
    <n v="284"/>
    <n v="2350"/>
    <n v="6202"/>
    <n v="0"/>
    <s v="No"/>
    <s v="Minor"/>
    <n v="3101"/>
    <n v="1175"/>
    <n v="2024"/>
    <n v="4"/>
  </r>
  <r>
    <s v="SHP-31497"/>
    <d v="2024-05-04T00:00:00"/>
    <x v="0"/>
    <s v="Chennai"/>
    <x v="1"/>
    <x v="1"/>
    <x v="3"/>
    <s v="Medium"/>
    <n v="2"/>
    <n v="5"/>
    <n v="3"/>
    <s v="Yes"/>
    <n v="227"/>
    <n v="5091"/>
    <n v="14277"/>
    <n v="0"/>
    <s v="No"/>
    <s v="Major"/>
    <n v="4759"/>
    <n v="1697"/>
    <n v="2024"/>
    <n v="5"/>
  </r>
  <r>
    <s v="SHP-31498"/>
    <d v="2024-02-16T00:00:00"/>
    <x v="1"/>
    <s v="Kolkata"/>
    <x v="0"/>
    <x v="1"/>
    <x v="3"/>
    <s v="Low"/>
    <n v="2"/>
    <n v="2"/>
    <n v="0"/>
    <s v="No"/>
    <n v="58"/>
    <n v="0"/>
    <n v="0"/>
    <n v="1"/>
    <s v="No"/>
    <s v="On Time"/>
    <n v="0"/>
    <n v="0"/>
    <n v="2024"/>
    <n v="2"/>
  </r>
  <r>
    <s v="SHP-31499"/>
    <d v="2024-05-03T00:00:00"/>
    <x v="3"/>
    <s v="Mumbai"/>
    <x v="1"/>
    <x v="0"/>
    <x v="4"/>
    <s v="Low"/>
    <n v="2"/>
    <n v="5"/>
    <n v="3"/>
    <s v="Yes"/>
    <n v="441"/>
    <n v="6735"/>
    <n v="10281"/>
    <n v="0"/>
    <s v="No"/>
    <s v="Major"/>
    <n v="3427"/>
    <n v="2245"/>
    <n v="2024"/>
    <n v="5"/>
  </r>
  <r>
    <s v="SHP-31500"/>
    <d v="2024-07-09T00:00:00"/>
    <x v="0"/>
    <s v="Bengaluru"/>
    <x v="1"/>
    <x v="1"/>
    <x v="1"/>
    <s v="Medium"/>
    <n v="2"/>
    <n v="3"/>
    <n v="1"/>
    <s v="Yes"/>
    <n v="112"/>
    <n v="1248"/>
    <n v="4749"/>
    <n v="0"/>
    <s v="No"/>
    <s v="Minor"/>
    <n v="4749"/>
    <n v="1248"/>
    <n v="2024"/>
    <n v="7"/>
  </r>
  <r>
    <s v="SHP-31501"/>
    <d v="2024-02-25T00:00:00"/>
    <x v="3"/>
    <s v="Mumbai"/>
    <x v="2"/>
    <x v="1"/>
    <x v="4"/>
    <s v="Medium"/>
    <n v="1"/>
    <n v="6"/>
    <n v="5"/>
    <s v="Yes"/>
    <n v="142"/>
    <n v="8670"/>
    <n v="17965"/>
    <n v="0"/>
    <s v="No"/>
    <s v="Major"/>
    <n v="3593"/>
    <n v="1734"/>
    <n v="2024"/>
    <n v="2"/>
  </r>
  <r>
    <s v="SHP-31502"/>
    <d v="2024-07-18T00:00:00"/>
    <x v="0"/>
    <s v="Chennai"/>
    <x v="0"/>
    <x v="2"/>
    <x v="1"/>
    <s v="High"/>
    <n v="2"/>
    <n v="5"/>
    <n v="3"/>
    <s v="Yes"/>
    <n v="278"/>
    <n v="3978"/>
    <n v="7920"/>
    <n v="0"/>
    <s v="No"/>
    <s v="Major"/>
    <n v="2640"/>
    <n v="1326"/>
    <n v="2024"/>
    <n v="7"/>
  </r>
  <r>
    <s v="SHP-31503"/>
    <d v="2024-09-20T00:00:00"/>
    <x v="2"/>
    <s v="Delhi"/>
    <x v="1"/>
    <x v="2"/>
    <x v="0"/>
    <s v="Medium"/>
    <n v="2"/>
    <n v="7"/>
    <n v="5"/>
    <s v="Yes"/>
    <n v="254"/>
    <n v="12145"/>
    <n v="16025"/>
    <n v="0"/>
    <s v="No"/>
    <s v="Major"/>
    <n v="3205"/>
    <n v="2429"/>
    <n v="2024"/>
    <n v="9"/>
  </r>
  <r>
    <s v="SHP-31504"/>
    <d v="2024-06-23T00:00:00"/>
    <x v="0"/>
    <s v="Bengaluru"/>
    <x v="2"/>
    <x v="2"/>
    <x v="2"/>
    <s v="Low"/>
    <n v="2"/>
    <n v="4"/>
    <n v="2"/>
    <s v="Yes"/>
    <n v="278"/>
    <n v="3550"/>
    <n v="9644"/>
    <n v="0"/>
    <s v="No"/>
    <s v="Minor"/>
    <n v="4822"/>
    <n v="1775"/>
    <n v="2024"/>
    <n v="6"/>
  </r>
  <r>
    <s v="SHP-31505"/>
    <d v="2024-01-04T00:00:00"/>
    <x v="1"/>
    <s v="Bhubaneswar"/>
    <x v="0"/>
    <x v="2"/>
    <x v="1"/>
    <s v="Medium"/>
    <n v="1"/>
    <n v="5"/>
    <n v="4"/>
    <s v="Yes"/>
    <n v="247"/>
    <n v="6128"/>
    <n v="10060"/>
    <n v="0"/>
    <s v="No"/>
    <s v="Major"/>
    <n v="2515"/>
    <n v="1532"/>
    <n v="2024"/>
    <n v="1"/>
  </r>
  <r>
    <s v="SHP-31506"/>
    <d v="2024-12-28T00:00:00"/>
    <x v="0"/>
    <s v="Bengaluru"/>
    <x v="2"/>
    <x v="1"/>
    <x v="4"/>
    <s v="Medium"/>
    <n v="1"/>
    <n v="6"/>
    <n v="5"/>
    <s v="Yes"/>
    <n v="459"/>
    <n v="11755"/>
    <n v="21750"/>
    <n v="0"/>
    <s v="No"/>
    <s v="Major"/>
    <n v="4350"/>
    <n v="2351"/>
    <n v="2024"/>
    <n v="12"/>
  </r>
  <r>
    <s v="SHP-31507"/>
    <d v="2024-07-20T00:00:00"/>
    <x v="2"/>
    <s v="Delhi"/>
    <x v="1"/>
    <x v="1"/>
    <x v="2"/>
    <s v="Medium"/>
    <n v="1"/>
    <n v="6"/>
    <n v="5"/>
    <s v="Yes"/>
    <n v="253"/>
    <n v="9855"/>
    <n v="17040"/>
    <n v="0"/>
    <s v="No"/>
    <s v="Major"/>
    <n v="3408"/>
    <n v="1971"/>
    <n v="2024"/>
    <n v="7"/>
  </r>
  <r>
    <s v="SHP-31508"/>
    <d v="2024-01-27T00:00:00"/>
    <x v="2"/>
    <s v="Delhi"/>
    <x v="2"/>
    <x v="1"/>
    <x v="4"/>
    <s v="High"/>
    <n v="2"/>
    <n v="5"/>
    <n v="3"/>
    <s v="Yes"/>
    <n v="262"/>
    <n v="2424"/>
    <n v="8580"/>
    <n v="0"/>
    <s v="No"/>
    <s v="Major"/>
    <n v="2860"/>
    <n v="808"/>
    <n v="2024"/>
    <n v="1"/>
  </r>
  <r>
    <s v="SHP-31509"/>
    <d v="2024-05-07T00:00:00"/>
    <x v="2"/>
    <s v="Noida"/>
    <x v="2"/>
    <x v="1"/>
    <x v="4"/>
    <s v="Medium"/>
    <n v="2"/>
    <n v="5"/>
    <n v="3"/>
    <s v="Yes"/>
    <n v="164"/>
    <n v="5262"/>
    <n v="9090"/>
    <n v="0"/>
    <s v="No"/>
    <s v="Major"/>
    <n v="3030"/>
    <n v="1754"/>
    <n v="2024"/>
    <n v="5"/>
  </r>
  <r>
    <s v="SHP-31510"/>
    <d v="2024-08-20T00:00:00"/>
    <x v="0"/>
    <s v="Chennai"/>
    <x v="2"/>
    <x v="1"/>
    <x v="4"/>
    <s v="Low"/>
    <n v="3"/>
    <n v="7"/>
    <n v="4"/>
    <s v="Yes"/>
    <n v="187"/>
    <n v="4184"/>
    <n v="15028"/>
    <n v="0"/>
    <s v="No"/>
    <s v="Major"/>
    <n v="3757"/>
    <n v="1046"/>
    <n v="2024"/>
    <n v="8"/>
  </r>
  <r>
    <s v="SHP-31511"/>
    <d v="2024-01-15T00:00:00"/>
    <x v="2"/>
    <s v="Noida"/>
    <x v="0"/>
    <x v="2"/>
    <x v="2"/>
    <s v="Medium"/>
    <n v="2"/>
    <n v="3"/>
    <n v="1"/>
    <s v="Yes"/>
    <n v="481"/>
    <n v="1074"/>
    <n v="3521"/>
    <n v="0"/>
    <s v="No"/>
    <s v="Minor"/>
    <n v="3521"/>
    <n v="1074"/>
    <n v="2024"/>
    <n v="1"/>
  </r>
  <r>
    <s v="SHP-31512"/>
    <d v="2024-02-05T00:00:00"/>
    <x v="1"/>
    <s v="Bhubaneswar"/>
    <x v="2"/>
    <x v="1"/>
    <x v="4"/>
    <s v="Low"/>
    <n v="2"/>
    <n v="7"/>
    <n v="5"/>
    <s v="Yes"/>
    <n v="142"/>
    <n v="6570"/>
    <n v="20805"/>
    <n v="0"/>
    <s v="No"/>
    <s v="Major"/>
    <n v="4161"/>
    <n v="1314"/>
    <n v="2024"/>
    <n v="2"/>
  </r>
  <r>
    <s v="SHP-31513"/>
    <d v="2024-02-05T00:00:00"/>
    <x v="1"/>
    <s v="Bhubaneswar"/>
    <x v="1"/>
    <x v="0"/>
    <x v="3"/>
    <s v="Low"/>
    <n v="2"/>
    <n v="6"/>
    <n v="4"/>
    <s v="Yes"/>
    <n v="297"/>
    <n v="5900"/>
    <n v="10224"/>
    <n v="0"/>
    <s v="No"/>
    <s v="Major"/>
    <n v="2556"/>
    <n v="1475"/>
    <n v="2024"/>
    <n v="2"/>
  </r>
  <r>
    <s v="SHP-31514"/>
    <d v="2024-05-16T00:00:00"/>
    <x v="2"/>
    <s v="Noida"/>
    <x v="0"/>
    <x v="1"/>
    <x v="1"/>
    <s v="Medium"/>
    <n v="2"/>
    <n v="2"/>
    <n v="0"/>
    <s v="No"/>
    <n v="188"/>
    <n v="0"/>
    <n v="0"/>
    <n v="1"/>
    <s v="No"/>
    <s v="On Time"/>
    <n v="0"/>
    <n v="0"/>
    <n v="2024"/>
    <n v="5"/>
  </r>
  <r>
    <s v="SHP-31515"/>
    <d v="2024-03-15T00:00:00"/>
    <x v="2"/>
    <s v="Noida"/>
    <x v="0"/>
    <x v="1"/>
    <x v="2"/>
    <s v="High"/>
    <n v="2"/>
    <n v="7"/>
    <n v="5"/>
    <s v="Yes"/>
    <n v="366"/>
    <n v="7595"/>
    <n v="19305"/>
    <n v="0"/>
    <s v="No"/>
    <s v="Major"/>
    <n v="3861"/>
    <n v="1519"/>
    <n v="2024"/>
    <n v="3"/>
  </r>
  <r>
    <s v="SHP-31516"/>
    <d v="2024-12-12T00:00:00"/>
    <x v="3"/>
    <s v="Pune"/>
    <x v="0"/>
    <x v="1"/>
    <x v="0"/>
    <s v="High"/>
    <n v="2"/>
    <n v="5"/>
    <n v="3"/>
    <s v="Yes"/>
    <n v="50"/>
    <n v="7029"/>
    <n v="4698"/>
    <n v="0"/>
    <s v="No"/>
    <s v="Major"/>
    <n v="1566"/>
    <n v="2343"/>
    <n v="2024"/>
    <n v="12"/>
  </r>
  <r>
    <s v="SHP-31517"/>
    <d v="2024-11-24T00:00:00"/>
    <x v="0"/>
    <s v="Bengaluru"/>
    <x v="0"/>
    <x v="0"/>
    <x v="3"/>
    <s v="Low"/>
    <n v="1"/>
    <n v="2"/>
    <n v="1"/>
    <s v="Yes"/>
    <n v="101"/>
    <n v="1523"/>
    <n v="3968"/>
    <n v="0"/>
    <s v="No"/>
    <s v="Minor"/>
    <n v="3968"/>
    <n v="1523"/>
    <n v="2024"/>
    <n v="11"/>
  </r>
  <r>
    <s v="SHP-31518"/>
    <d v="2024-07-22T00:00:00"/>
    <x v="2"/>
    <s v="Noida"/>
    <x v="2"/>
    <x v="1"/>
    <x v="3"/>
    <s v="Low"/>
    <n v="3"/>
    <n v="5"/>
    <n v="2"/>
    <s v="Yes"/>
    <n v="199"/>
    <n v="2910"/>
    <n v="9956"/>
    <n v="0"/>
    <s v="No"/>
    <s v="Minor"/>
    <n v="4978"/>
    <n v="1455"/>
    <n v="2024"/>
    <n v="7"/>
  </r>
  <r>
    <s v="SHP-31519"/>
    <d v="2024-03-06T00:00:00"/>
    <x v="2"/>
    <s v="Delhi"/>
    <x v="2"/>
    <x v="1"/>
    <x v="4"/>
    <s v="High"/>
    <n v="2"/>
    <n v="6"/>
    <n v="4"/>
    <s v="Yes"/>
    <n v="166"/>
    <n v="5460"/>
    <n v="8312"/>
    <n v="0"/>
    <s v="No"/>
    <s v="Major"/>
    <n v="2078"/>
    <n v="1365"/>
    <n v="2024"/>
    <n v="3"/>
  </r>
  <r>
    <s v="SHP-31520"/>
    <d v="2024-10-18T00:00:00"/>
    <x v="0"/>
    <s v="Bengaluru"/>
    <x v="2"/>
    <x v="1"/>
    <x v="1"/>
    <s v="Medium"/>
    <n v="3"/>
    <n v="6"/>
    <n v="3"/>
    <s v="Yes"/>
    <n v="102"/>
    <n v="4509"/>
    <n v="7245"/>
    <n v="0"/>
    <s v="No"/>
    <s v="Major"/>
    <n v="2415"/>
    <n v="1503"/>
    <n v="2024"/>
    <n v="10"/>
  </r>
  <r>
    <s v="SHP-31521"/>
    <d v="2024-03-13T00:00:00"/>
    <x v="1"/>
    <s v="Bhubaneswar"/>
    <x v="2"/>
    <x v="2"/>
    <x v="0"/>
    <s v="Low"/>
    <n v="2"/>
    <n v="6"/>
    <n v="4"/>
    <s v="Yes"/>
    <n v="269"/>
    <n v="7436"/>
    <n v="15568"/>
    <n v="0"/>
    <s v="No"/>
    <s v="Major"/>
    <n v="3892"/>
    <n v="1859"/>
    <n v="2024"/>
    <n v="3"/>
  </r>
  <r>
    <s v="SHP-31522"/>
    <d v="2024-10-19T00:00:00"/>
    <x v="3"/>
    <s v="Pune"/>
    <x v="0"/>
    <x v="1"/>
    <x v="0"/>
    <s v="Low"/>
    <n v="2"/>
    <n v="4"/>
    <n v="2"/>
    <s v="Yes"/>
    <n v="132"/>
    <n v="3198"/>
    <n v="6912"/>
    <n v="0"/>
    <s v="No"/>
    <s v="Minor"/>
    <n v="3456"/>
    <n v="1599"/>
    <n v="2024"/>
    <n v="10"/>
  </r>
  <r>
    <s v="SHP-31523"/>
    <d v="2024-07-21T00:00:00"/>
    <x v="3"/>
    <s v="Mumbai"/>
    <x v="0"/>
    <x v="0"/>
    <x v="4"/>
    <s v="Low"/>
    <n v="2"/>
    <n v="3"/>
    <n v="1"/>
    <s v="Yes"/>
    <n v="151"/>
    <n v="1905"/>
    <n v="2167"/>
    <n v="0"/>
    <s v="No"/>
    <s v="Minor"/>
    <n v="2167"/>
    <n v="1905"/>
    <n v="2024"/>
    <n v="7"/>
  </r>
  <r>
    <s v="SHP-31524"/>
    <d v="2024-09-30T00:00:00"/>
    <x v="1"/>
    <s v="Bhubaneswar"/>
    <x v="2"/>
    <x v="2"/>
    <x v="0"/>
    <s v="Low"/>
    <n v="2"/>
    <n v="5"/>
    <n v="3"/>
    <s v="Yes"/>
    <n v="232"/>
    <n v="4845"/>
    <n v="8028"/>
    <n v="0"/>
    <s v="No"/>
    <s v="Major"/>
    <n v="2676"/>
    <n v="1615"/>
    <n v="2024"/>
    <n v="9"/>
  </r>
  <r>
    <s v="SHP-31525"/>
    <d v="2024-10-12T00:00:00"/>
    <x v="0"/>
    <s v="Chennai"/>
    <x v="0"/>
    <x v="2"/>
    <x v="0"/>
    <s v="Medium"/>
    <n v="2"/>
    <n v="6"/>
    <n v="4"/>
    <s v="Yes"/>
    <n v="462"/>
    <n v="9136"/>
    <n v="15260"/>
    <n v="0"/>
    <s v="No"/>
    <s v="Major"/>
    <n v="3815"/>
    <n v="2284"/>
    <n v="2024"/>
    <n v="10"/>
  </r>
  <r>
    <s v="SHP-31526"/>
    <d v="2024-02-15T00:00:00"/>
    <x v="2"/>
    <s v="Noida"/>
    <x v="2"/>
    <x v="1"/>
    <x v="2"/>
    <s v="High"/>
    <n v="2"/>
    <n v="6"/>
    <n v="4"/>
    <s v="Yes"/>
    <n v="243"/>
    <n v="3644"/>
    <n v="6704"/>
    <n v="0"/>
    <s v="No"/>
    <s v="Major"/>
    <n v="1676"/>
    <n v="911"/>
    <n v="2024"/>
    <n v="2"/>
  </r>
  <r>
    <s v="SHP-31527"/>
    <d v="2024-03-05T00:00:00"/>
    <x v="2"/>
    <s v="Delhi"/>
    <x v="2"/>
    <x v="1"/>
    <x v="4"/>
    <s v="Medium"/>
    <n v="1"/>
    <n v="4"/>
    <n v="3"/>
    <s v="Yes"/>
    <n v="278"/>
    <n v="3006"/>
    <n v="5877"/>
    <n v="0"/>
    <s v="No"/>
    <s v="Major"/>
    <n v="1959"/>
    <n v="1002"/>
    <n v="2024"/>
    <n v="3"/>
  </r>
  <r>
    <s v="SHP-31528"/>
    <d v="2024-03-13T00:00:00"/>
    <x v="0"/>
    <s v="Bengaluru"/>
    <x v="1"/>
    <x v="2"/>
    <x v="3"/>
    <s v="Low"/>
    <n v="5"/>
    <n v="11"/>
    <n v="6"/>
    <s v="Yes"/>
    <n v="346"/>
    <n v="7572"/>
    <n v="13248"/>
    <n v="0"/>
    <s v="No"/>
    <s v="Severe"/>
    <n v="2208"/>
    <n v="1262"/>
    <n v="2024"/>
    <n v="3"/>
  </r>
  <r>
    <s v="SHP-31529"/>
    <d v="2024-06-11T00:00:00"/>
    <x v="0"/>
    <s v="Bengaluru"/>
    <x v="0"/>
    <x v="1"/>
    <x v="0"/>
    <s v="Low"/>
    <n v="3"/>
    <n v="8"/>
    <n v="5"/>
    <s v="Yes"/>
    <n v="482"/>
    <n v="5195"/>
    <n v="20280"/>
    <n v="0"/>
    <s v="No"/>
    <s v="Major"/>
    <n v="4056"/>
    <n v="1039"/>
    <n v="2024"/>
    <n v="6"/>
  </r>
  <r>
    <s v="SHP-31530"/>
    <d v="2024-12-07T00:00:00"/>
    <x v="2"/>
    <s v="Noida"/>
    <x v="0"/>
    <x v="0"/>
    <x v="2"/>
    <s v="Low"/>
    <n v="2"/>
    <n v="2"/>
    <n v="0"/>
    <s v="No"/>
    <n v="327"/>
    <n v="0"/>
    <n v="0"/>
    <n v="1"/>
    <s v="No"/>
    <s v="On Time"/>
    <n v="0"/>
    <n v="0"/>
    <n v="2024"/>
    <n v="12"/>
  </r>
  <r>
    <s v="SHP-31531"/>
    <d v="2024-08-14T00:00:00"/>
    <x v="3"/>
    <s v="Pune"/>
    <x v="0"/>
    <x v="1"/>
    <x v="4"/>
    <s v="Medium"/>
    <n v="1"/>
    <n v="5"/>
    <n v="4"/>
    <s v="Yes"/>
    <n v="77"/>
    <n v="3624"/>
    <n v="14064"/>
    <n v="0"/>
    <s v="No"/>
    <s v="Major"/>
    <n v="3516"/>
    <n v="906"/>
    <n v="2024"/>
    <n v="8"/>
  </r>
  <r>
    <s v="SHP-31532"/>
    <d v="2024-01-04T00:00:00"/>
    <x v="0"/>
    <s v="Bengaluru"/>
    <x v="2"/>
    <x v="2"/>
    <x v="4"/>
    <s v="Medium"/>
    <n v="1"/>
    <n v="6"/>
    <n v="5"/>
    <s v="Yes"/>
    <n v="426"/>
    <n v="7915"/>
    <n v="17320"/>
    <n v="0"/>
    <s v="No"/>
    <s v="Major"/>
    <n v="3464"/>
    <n v="1583"/>
    <n v="2024"/>
    <n v="1"/>
  </r>
  <r>
    <s v="SHP-31533"/>
    <d v="2024-11-09T00:00:00"/>
    <x v="3"/>
    <s v="Mumbai"/>
    <x v="0"/>
    <x v="1"/>
    <x v="2"/>
    <s v="Low"/>
    <n v="2"/>
    <n v="3"/>
    <n v="1"/>
    <s v="Yes"/>
    <n v="297"/>
    <n v="1484"/>
    <n v="1794"/>
    <n v="0"/>
    <s v="No"/>
    <s v="Minor"/>
    <n v="1794"/>
    <n v="1484"/>
    <n v="2024"/>
    <n v="11"/>
  </r>
  <r>
    <s v="SHP-31534"/>
    <d v="2024-02-15T00:00:00"/>
    <x v="1"/>
    <s v="Kolkata"/>
    <x v="2"/>
    <x v="1"/>
    <x v="3"/>
    <s v="High"/>
    <n v="2"/>
    <n v="9"/>
    <n v="7"/>
    <s v="Yes"/>
    <n v="125"/>
    <n v="10031"/>
    <n v="18277"/>
    <n v="0"/>
    <s v="No"/>
    <s v="Severe"/>
    <n v="2611"/>
    <n v="1433"/>
    <n v="2024"/>
    <n v="2"/>
  </r>
  <r>
    <s v="SHP-31535"/>
    <d v="2024-05-02T00:00:00"/>
    <x v="0"/>
    <s v="Bengaluru"/>
    <x v="1"/>
    <x v="2"/>
    <x v="1"/>
    <s v="High"/>
    <n v="1"/>
    <n v="5"/>
    <n v="4"/>
    <s v="Yes"/>
    <n v="343"/>
    <n v="3236"/>
    <n v="9968"/>
    <n v="0"/>
    <s v="No"/>
    <s v="Major"/>
    <n v="2492"/>
    <n v="809"/>
    <n v="2024"/>
    <n v="5"/>
  </r>
  <r>
    <s v="SHP-31536"/>
    <d v="2024-11-02T00:00:00"/>
    <x v="1"/>
    <s v="Kolkata"/>
    <x v="0"/>
    <x v="1"/>
    <x v="4"/>
    <s v="High"/>
    <n v="1"/>
    <n v="7"/>
    <n v="6"/>
    <s v="Yes"/>
    <n v="279"/>
    <n v="11844"/>
    <n v="29808"/>
    <n v="0"/>
    <s v="No"/>
    <s v="Severe"/>
    <n v="4968"/>
    <n v="1974"/>
    <n v="2024"/>
    <n v="11"/>
  </r>
  <r>
    <s v="SHP-31537"/>
    <d v="2024-07-06T00:00:00"/>
    <x v="0"/>
    <s v="Bengaluru"/>
    <x v="2"/>
    <x v="1"/>
    <x v="2"/>
    <s v="High"/>
    <n v="1"/>
    <n v="4"/>
    <n v="3"/>
    <s v="Yes"/>
    <n v="453"/>
    <n v="4701"/>
    <n v="14547"/>
    <n v="0"/>
    <s v="No"/>
    <s v="Major"/>
    <n v="4849"/>
    <n v="1567"/>
    <n v="2024"/>
    <n v="7"/>
  </r>
  <r>
    <s v="SHP-31538"/>
    <d v="2024-10-02T00:00:00"/>
    <x v="2"/>
    <s v="Delhi"/>
    <x v="1"/>
    <x v="0"/>
    <x v="3"/>
    <s v="Low"/>
    <n v="1"/>
    <n v="3"/>
    <n v="2"/>
    <s v="Yes"/>
    <n v="398"/>
    <n v="4130"/>
    <n v="4214"/>
    <n v="0"/>
    <s v="No"/>
    <s v="Minor"/>
    <n v="2107"/>
    <n v="2065"/>
    <n v="2024"/>
    <n v="10"/>
  </r>
  <r>
    <s v="SHP-31539"/>
    <d v="2024-02-14T00:00:00"/>
    <x v="1"/>
    <s v="Kolkata"/>
    <x v="0"/>
    <x v="1"/>
    <x v="3"/>
    <s v="High"/>
    <n v="2"/>
    <n v="7"/>
    <n v="5"/>
    <s v="Yes"/>
    <n v="184"/>
    <n v="10445"/>
    <n v="7535"/>
    <n v="0"/>
    <s v="No"/>
    <s v="Major"/>
    <n v="1507"/>
    <n v="2089"/>
    <n v="2024"/>
    <n v="2"/>
  </r>
  <r>
    <s v="SHP-31540"/>
    <d v="2024-02-05T00:00:00"/>
    <x v="0"/>
    <s v="Chennai"/>
    <x v="2"/>
    <x v="1"/>
    <x v="2"/>
    <s v="Low"/>
    <n v="1"/>
    <n v="2"/>
    <n v="1"/>
    <s v="Yes"/>
    <n v="304"/>
    <n v="1483"/>
    <n v="1563"/>
    <n v="0"/>
    <s v="No"/>
    <s v="Minor"/>
    <n v="1563"/>
    <n v="1483"/>
    <n v="2024"/>
    <n v="2"/>
  </r>
  <r>
    <s v="SHP-31541"/>
    <d v="2024-10-20T00:00:00"/>
    <x v="3"/>
    <s v="Mumbai"/>
    <x v="2"/>
    <x v="0"/>
    <x v="0"/>
    <s v="High"/>
    <n v="2"/>
    <n v="9"/>
    <n v="7"/>
    <s v="Yes"/>
    <n v="410"/>
    <n v="15232"/>
    <n v="20790"/>
    <n v="0"/>
    <s v="No"/>
    <s v="Severe"/>
    <n v="2970"/>
    <n v="2176"/>
    <n v="2024"/>
    <n v="10"/>
  </r>
  <r>
    <s v="SHP-31542"/>
    <d v="2024-07-03T00:00:00"/>
    <x v="3"/>
    <s v="Mumbai"/>
    <x v="2"/>
    <x v="1"/>
    <x v="2"/>
    <s v="Low"/>
    <n v="5"/>
    <n v="5"/>
    <n v="0"/>
    <s v="No"/>
    <n v="330"/>
    <n v="0"/>
    <n v="0"/>
    <n v="1"/>
    <s v="No"/>
    <s v="On Time"/>
    <n v="0"/>
    <n v="0"/>
    <n v="2024"/>
    <n v="7"/>
  </r>
  <r>
    <s v="SHP-31543"/>
    <d v="2024-08-08T00:00:00"/>
    <x v="2"/>
    <s v="Noida"/>
    <x v="2"/>
    <x v="1"/>
    <x v="1"/>
    <s v="Low"/>
    <n v="3"/>
    <n v="5"/>
    <n v="2"/>
    <s v="Yes"/>
    <n v="387"/>
    <n v="4368"/>
    <n v="5106"/>
    <n v="0"/>
    <s v="No"/>
    <s v="Minor"/>
    <n v="2553"/>
    <n v="2184"/>
    <n v="2024"/>
    <n v="8"/>
  </r>
  <r>
    <s v="SHP-31544"/>
    <d v="2024-03-25T00:00:00"/>
    <x v="3"/>
    <s v="Mumbai"/>
    <x v="0"/>
    <x v="1"/>
    <x v="4"/>
    <s v="Low"/>
    <n v="2"/>
    <n v="2"/>
    <n v="0"/>
    <s v="No"/>
    <n v="239"/>
    <n v="0"/>
    <n v="0"/>
    <n v="1"/>
    <s v="No"/>
    <s v="On Time"/>
    <n v="0"/>
    <n v="0"/>
    <n v="2024"/>
    <n v="3"/>
  </r>
  <r>
    <s v="SHP-31545"/>
    <d v="2024-10-07T00:00:00"/>
    <x v="3"/>
    <s v="Pune"/>
    <x v="0"/>
    <x v="1"/>
    <x v="4"/>
    <s v="Low"/>
    <n v="2"/>
    <n v="6"/>
    <n v="4"/>
    <s v="Yes"/>
    <n v="328"/>
    <n v="3928"/>
    <n v="17040"/>
    <n v="0"/>
    <s v="No"/>
    <s v="Major"/>
    <n v="4260"/>
    <n v="982"/>
    <n v="2024"/>
    <n v="10"/>
  </r>
  <r>
    <s v="SHP-31546"/>
    <d v="2024-09-16T00:00:00"/>
    <x v="2"/>
    <s v="Noida"/>
    <x v="0"/>
    <x v="0"/>
    <x v="1"/>
    <s v="Low"/>
    <n v="2"/>
    <n v="4"/>
    <n v="2"/>
    <s v="Yes"/>
    <n v="220"/>
    <n v="2464"/>
    <n v="9674"/>
    <n v="0"/>
    <s v="No"/>
    <s v="Minor"/>
    <n v="4837"/>
    <n v="1232"/>
    <n v="2024"/>
    <n v="9"/>
  </r>
  <r>
    <s v="SHP-31547"/>
    <d v="2024-08-04T00:00:00"/>
    <x v="0"/>
    <s v="Bengaluru"/>
    <x v="1"/>
    <x v="1"/>
    <x v="1"/>
    <s v="Low"/>
    <n v="2"/>
    <n v="2"/>
    <n v="0"/>
    <s v="No"/>
    <n v="426"/>
    <n v="0"/>
    <n v="0"/>
    <n v="1"/>
    <s v="No"/>
    <s v="On Time"/>
    <n v="0"/>
    <n v="0"/>
    <n v="2024"/>
    <n v="8"/>
  </r>
  <r>
    <s v="SHP-31548"/>
    <d v="2024-12-12T00:00:00"/>
    <x v="0"/>
    <s v="Bengaluru"/>
    <x v="0"/>
    <x v="2"/>
    <x v="2"/>
    <s v="Medium"/>
    <n v="1"/>
    <n v="7"/>
    <n v="6"/>
    <s v="Yes"/>
    <n v="447"/>
    <n v="5658"/>
    <n v="25314"/>
    <n v="0"/>
    <s v="No"/>
    <s v="Severe"/>
    <n v="4219"/>
    <n v="943"/>
    <n v="2024"/>
    <n v="12"/>
  </r>
  <r>
    <s v="SHP-31549"/>
    <d v="2024-06-25T00:00:00"/>
    <x v="3"/>
    <s v="Pune"/>
    <x v="1"/>
    <x v="1"/>
    <x v="0"/>
    <s v="Low"/>
    <n v="2"/>
    <n v="7"/>
    <n v="5"/>
    <s v="Yes"/>
    <n v="165"/>
    <n v="6460"/>
    <n v="13570"/>
    <n v="0"/>
    <s v="No"/>
    <s v="Major"/>
    <n v="2714"/>
    <n v="1292"/>
    <n v="2024"/>
    <n v="6"/>
  </r>
  <r>
    <s v="SHP-31550"/>
    <d v="2024-10-10T00:00:00"/>
    <x v="3"/>
    <s v="Mumbai"/>
    <x v="1"/>
    <x v="1"/>
    <x v="4"/>
    <s v="Medium"/>
    <n v="1"/>
    <n v="2"/>
    <n v="1"/>
    <s v="Yes"/>
    <n v="183"/>
    <n v="1948"/>
    <n v="2631"/>
    <n v="0"/>
    <s v="No"/>
    <s v="Minor"/>
    <n v="2631"/>
    <n v="1948"/>
    <n v="2024"/>
    <n v="10"/>
  </r>
  <r>
    <s v="SHP-31551"/>
    <d v="2024-04-25T00:00:00"/>
    <x v="3"/>
    <s v="Pune"/>
    <x v="1"/>
    <x v="2"/>
    <x v="0"/>
    <s v="Medium"/>
    <n v="3"/>
    <n v="7"/>
    <n v="4"/>
    <s v="Yes"/>
    <n v="218"/>
    <n v="9712"/>
    <n v="6320"/>
    <n v="0"/>
    <s v="No"/>
    <s v="Major"/>
    <n v="1580"/>
    <n v="2428"/>
    <n v="2024"/>
    <n v="4"/>
  </r>
  <r>
    <s v="SHP-31552"/>
    <d v="2024-07-21T00:00:00"/>
    <x v="0"/>
    <s v="Chennai"/>
    <x v="0"/>
    <x v="0"/>
    <x v="4"/>
    <s v="Low"/>
    <n v="2"/>
    <n v="3"/>
    <n v="1"/>
    <s v="Yes"/>
    <n v="223"/>
    <n v="1633"/>
    <n v="1517"/>
    <n v="0"/>
    <s v="No"/>
    <s v="Minor"/>
    <n v="1517"/>
    <n v="1633"/>
    <n v="2024"/>
    <n v="7"/>
  </r>
  <r>
    <s v="SHP-31553"/>
    <d v="2024-10-04T00:00:00"/>
    <x v="3"/>
    <s v="Mumbai"/>
    <x v="2"/>
    <x v="1"/>
    <x v="0"/>
    <s v="High"/>
    <n v="3"/>
    <n v="10"/>
    <n v="7"/>
    <s v="Yes"/>
    <n v="87"/>
    <n v="15162"/>
    <n v="28462"/>
    <n v="0"/>
    <s v="No"/>
    <s v="Severe"/>
    <n v="4066"/>
    <n v="2166"/>
    <n v="2024"/>
    <n v="10"/>
  </r>
  <r>
    <s v="SHP-31554"/>
    <d v="2024-09-13T00:00:00"/>
    <x v="2"/>
    <s v="Noida"/>
    <x v="0"/>
    <x v="0"/>
    <x v="2"/>
    <s v="Low"/>
    <n v="3"/>
    <n v="6"/>
    <n v="3"/>
    <s v="Yes"/>
    <n v="241"/>
    <n v="3822"/>
    <n v="10797"/>
    <n v="0"/>
    <s v="No"/>
    <s v="Major"/>
    <n v="3599"/>
    <n v="1274"/>
    <n v="2024"/>
    <n v="9"/>
  </r>
  <r>
    <s v="SHP-31555"/>
    <d v="2024-04-11T00:00:00"/>
    <x v="0"/>
    <s v="Bengaluru"/>
    <x v="1"/>
    <x v="0"/>
    <x v="0"/>
    <s v="High"/>
    <n v="2"/>
    <n v="6"/>
    <n v="4"/>
    <s v="Yes"/>
    <n v="193"/>
    <n v="6060"/>
    <n v="11036"/>
    <n v="0"/>
    <s v="No"/>
    <s v="Major"/>
    <n v="2759"/>
    <n v="1515"/>
    <n v="2024"/>
    <n v="4"/>
  </r>
  <r>
    <s v="SHP-31556"/>
    <d v="2024-10-07T00:00:00"/>
    <x v="1"/>
    <s v="Bhubaneswar"/>
    <x v="2"/>
    <x v="1"/>
    <x v="4"/>
    <s v="High"/>
    <n v="2"/>
    <n v="9"/>
    <n v="7"/>
    <s v="Yes"/>
    <n v="286"/>
    <n v="17199"/>
    <n v="16597"/>
    <n v="0"/>
    <s v="No"/>
    <s v="Severe"/>
    <n v="2371"/>
    <n v="2457"/>
    <n v="2024"/>
    <n v="10"/>
  </r>
  <r>
    <s v="SHP-31557"/>
    <d v="2024-07-17T00:00:00"/>
    <x v="1"/>
    <s v="Kolkata"/>
    <x v="2"/>
    <x v="0"/>
    <x v="2"/>
    <s v="Low"/>
    <n v="3"/>
    <n v="6"/>
    <n v="3"/>
    <s v="Yes"/>
    <n v="131"/>
    <n v="5727"/>
    <n v="6963"/>
    <n v="0"/>
    <s v="No"/>
    <s v="Major"/>
    <n v="2321"/>
    <n v="1909"/>
    <n v="2024"/>
    <n v="7"/>
  </r>
  <r>
    <s v="SHP-31558"/>
    <d v="2024-07-23T00:00:00"/>
    <x v="2"/>
    <s v="Noida"/>
    <x v="0"/>
    <x v="1"/>
    <x v="3"/>
    <s v="Low"/>
    <n v="1"/>
    <n v="3"/>
    <n v="2"/>
    <s v="Yes"/>
    <n v="182"/>
    <n v="4360"/>
    <n v="5434"/>
    <n v="0"/>
    <s v="No"/>
    <s v="Minor"/>
    <n v="2717"/>
    <n v="2180"/>
    <n v="2024"/>
    <n v="7"/>
  </r>
  <r>
    <s v="SHP-31559"/>
    <d v="2024-08-19T00:00:00"/>
    <x v="3"/>
    <s v="Pune"/>
    <x v="2"/>
    <x v="1"/>
    <x v="3"/>
    <s v="Low"/>
    <n v="3"/>
    <n v="8"/>
    <n v="5"/>
    <s v="Yes"/>
    <n v="230"/>
    <n v="11670"/>
    <n v="23020"/>
    <n v="0"/>
    <s v="No"/>
    <s v="Major"/>
    <n v="4604"/>
    <n v="2334"/>
    <n v="2024"/>
    <n v="8"/>
  </r>
  <r>
    <s v="SHP-31560"/>
    <d v="2024-05-21T00:00:00"/>
    <x v="3"/>
    <s v="Mumbai"/>
    <x v="0"/>
    <x v="0"/>
    <x v="4"/>
    <s v="Medium"/>
    <n v="3"/>
    <n v="3"/>
    <n v="0"/>
    <s v="No"/>
    <n v="171"/>
    <n v="0"/>
    <n v="0"/>
    <n v="1"/>
    <s v="No"/>
    <s v="On Time"/>
    <n v="0"/>
    <n v="0"/>
    <n v="2024"/>
    <n v="5"/>
  </r>
  <r>
    <s v="SHP-31561"/>
    <d v="2024-04-25T00:00:00"/>
    <x v="1"/>
    <s v="Kolkata"/>
    <x v="1"/>
    <x v="0"/>
    <x v="4"/>
    <s v="Low"/>
    <n v="1"/>
    <n v="6"/>
    <n v="5"/>
    <s v="Yes"/>
    <n v="256"/>
    <n v="9565"/>
    <n v="8660"/>
    <n v="0"/>
    <s v="No"/>
    <s v="Major"/>
    <n v="1732"/>
    <n v="1913"/>
    <n v="2024"/>
    <n v="4"/>
  </r>
  <r>
    <s v="SHP-31562"/>
    <d v="2024-09-30T00:00:00"/>
    <x v="1"/>
    <s v="Kolkata"/>
    <x v="2"/>
    <x v="1"/>
    <x v="4"/>
    <s v="Low"/>
    <n v="1"/>
    <n v="1"/>
    <n v="0"/>
    <s v="No"/>
    <n v="426"/>
    <n v="0"/>
    <n v="0"/>
    <n v="1"/>
    <s v="No"/>
    <s v="On Time"/>
    <n v="0"/>
    <n v="0"/>
    <n v="2024"/>
    <n v="9"/>
  </r>
  <r>
    <s v="SHP-31563"/>
    <d v="2024-03-17T00:00:00"/>
    <x v="2"/>
    <s v="Noida"/>
    <x v="0"/>
    <x v="0"/>
    <x v="0"/>
    <s v="Low"/>
    <n v="2"/>
    <n v="4"/>
    <n v="2"/>
    <s v="Yes"/>
    <n v="76"/>
    <n v="4576"/>
    <n v="5864"/>
    <n v="0"/>
    <s v="No"/>
    <s v="Minor"/>
    <n v="2932"/>
    <n v="2288"/>
    <n v="2024"/>
    <n v="3"/>
  </r>
  <r>
    <s v="SHP-31564"/>
    <d v="2024-12-25T00:00:00"/>
    <x v="3"/>
    <s v="Mumbai"/>
    <x v="1"/>
    <x v="1"/>
    <x v="0"/>
    <s v="Low"/>
    <n v="1"/>
    <n v="6"/>
    <n v="5"/>
    <s v="Yes"/>
    <n v="212"/>
    <n v="4180"/>
    <n v="23700"/>
    <n v="0"/>
    <s v="No"/>
    <s v="Major"/>
    <n v="4740"/>
    <n v="836"/>
    <n v="2024"/>
    <n v="12"/>
  </r>
  <r>
    <s v="SHP-31565"/>
    <d v="2024-01-23T00:00:00"/>
    <x v="1"/>
    <s v="Bhubaneswar"/>
    <x v="2"/>
    <x v="1"/>
    <x v="1"/>
    <s v="Low"/>
    <n v="1"/>
    <n v="1"/>
    <n v="0"/>
    <s v="No"/>
    <n v="466"/>
    <n v="0"/>
    <n v="0"/>
    <n v="1"/>
    <s v="No"/>
    <s v="On Time"/>
    <n v="0"/>
    <n v="0"/>
    <n v="2024"/>
    <n v="1"/>
  </r>
  <r>
    <s v="SHP-31566"/>
    <d v="2024-05-22T00:00:00"/>
    <x v="3"/>
    <s v="Mumbai"/>
    <x v="2"/>
    <x v="1"/>
    <x v="4"/>
    <s v="Low"/>
    <n v="2"/>
    <n v="3"/>
    <n v="1"/>
    <s v="Yes"/>
    <n v="56"/>
    <n v="1278"/>
    <n v="2565"/>
    <n v="0"/>
    <s v="No"/>
    <s v="Minor"/>
    <n v="2565"/>
    <n v="1278"/>
    <n v="2024"/>
    <n v="5"/>
  </r>
  <r>
    <s v="SHP-31567"/>
    <d v="2024-04-28T00:00:00"/>
    <x v="2"/>
    <s v="Noida"/>
    <x v="1"/>
    <x v="1"/>
    <x v="2"/>
    <s v="Medium"/>
    <n v="3"/>
    <n v="8"/>
    <n v="5"/>
    <s v="Yes"/>
    <n v="380"/>
    <n v="11625"/>
    <n v="15285"/>
    <n v="0"/>
    <s v="No"/>
    <s v="Major"/>
    <n v="3057"/>
    <n v="2325"/>
    <n v="2024"/>
    <n v="4"/>
  </r>
  <r>
    <s v="SHP-31568"/>
    <d v="2024-02-21T00:00:00"/>
    <x v="0"/>
    <s v="Chennai"/>
    <x v="2"/>
    <x v="2"/>
    <x v="4"/>
    <s v="Medium"/>
    <n v="1"/>
    <n v="3"/>
    <n v="2"/>
    <s v="Yes"/>
    <n v="477"/>
    <n v="4226"/>
    <n v="4844"/>
    <n v="0"/>
    <s v="No"/>
    <s v="Minor"/>
    <n v="2422"/>
    <n v="2113"/>
    <n v="2024"/>
    <n v="2"/>
  </r>
  <r>
    <s v="SHP-31569"/>
    <d v="2024-12-03T00:00:00"/>
    <x v="0"/>
    <s v="Chennai"/>
    <x v="2"/>
    <x v="1"/>
    <x v="1"/>
    <s v="Medium"/>
    <n v="3"/>
    <n v="7"/>
    <n v="4"/>
    <s v="Yes"/>
    <n v="239"/>
    <n v="7036"/>
    <n v="15152"/>
    <n v="0"/>
    <s v="No"/>
    <s v="Major"/>
    <n v="3788"/>
    <n v="1759"/>
    <n v="2024"/>
    <n v="12"/>
  </r>
  <r>
    <s v="SHP-31570"/>
    <d v="2024-06-15T00:00:00"/>
    <x v="1"/>
    <s v="Kolkata"/>
    <x v="0"/>
    <x v="1"/>
    <x v="4"/>
    <s v="Low"/>
    <n v="2"/>
    <n v="2"/>
    <n v="0"/>
    <s v="No"/>
    <n v="118"/>
    <n v="0"/>
    <n v="0"/>
    <n v="1"/>
    <s v="No"/>
    <s v="On Time"/>
    <n v="0"/>
    <n v="0"/>
    <n v="2024"/>
    <n v="6"/>
  </r>
  <r>
    <s v="SHP-31571"/>
    <d v="2024-09-02T00:00:00"/>
    <x v="2"/>
    <s v="Noida"/>
    <x v="0"/>
    <x v="1"/>
    <x v="0"/>
    <s v="Medium"/>
    <n v="2"/>
    <n v="7"/>
    <n v="5"/>
    <s v="Yes"/>
    <n v="81"/>
    <n v="4990"/>
    <n v="7765"/>
    <n v="0"/>
    <s v="No"/>
    <s v="Major"/>
    <n v="1553"/>
    <n v="998"/>
    <n v="2024"/>
    <n v="9"/>
  </r>
  <r>
    <s v="SHP-31572"/>
    <d v="2024-10-18T00:00:00"/>
    <x v="3"/>
    <s v="Mumbai"/>
    <x v="1"/>
    <x v="0"/>
    <x v="0"/>
    <s v="Low"/>
    <n v="1"/>
    <n v="5"/>
    <n v="4"/>
    <s v="Yes"/>
    <n v="194"/>
    <n v="9416"/>
    <n v="16160"/>
    <n v="0"/>
    <s v="No"/>
    <s v="Major"/>
    <n v="4040"/>
    <n v="2354"/>
    <n v="2024"/>
    <n v="10"/>
  </r>
  <r>
    <s v="SHP-31573"/>
    <d v="2024-11-13T00:00:00"/>
    <x v="1"/>
    <s v="Bhubaneswar"/>
    <x v="0"/>
    <x v="1"/>
    <x v="2"/>
    <s v="Low"/>
    <n v="2"/>
    <n v="7"/>
    <n v="5"/>
    <s v="Yes"/>
    <n v="409"/>
    <n v="5975"/>
    <n v="19210"/>
    <n v="0"/>
    <s v="No"/>
    <s v="Major"/>
    <n v="3842"/>
    <n v="1195"/>
    <n v="2024"/>
    <n v="11"/>
  </r>
  <r>
    <s v="SHP-31574"/>
    <d v="2024-03-21T00:00:00"/>
    <x v="2"/>
    <s v="Noida"/>
    <x v="1"/>
    <x v="0"/>
    <x v="4"/>
    <s v="Low"/>
    <n v="1"/>
    <n v="1"/>
    <n v="0"/>
    <s v="No"/>
    <n v="55"/>
    <n v="0"/>
    <n v="0"/>
    <n v="1"/>
    <s v="No"/>
    <s v="On Time"/>
    <n v="0"/>
    <n v="0"/>
    <n v="2024"/>
    <n v="3"/>
  </r>
  <r>
    <s v="SHP-31575"/>
    <d v="2024-11-07T00:00:00"/>
    <x v="1"/>
    <s v="Kolkata"/>
    <x v="1"/>
    <x v="1"/>
    <x v="0"/>
    <s v="Medium"/>
    <n v="1"/>
    <n v="3"/>
    <n v="2"/>
    <s v="Yes"/>
    <n v="435"/>
    <n v="2500"/>
    <n v="9584"/>
    <n v="0"/>
    <s v="No"/>
    <s v="Minor"/>
    <n v="4792"/>
    <n v="1250"/>
    <n v="2024"/>
    <n v="11"/>
  </r>
  <r>
    <s v="SHP-31576"/>
    <d v="2024-06-29T00:00:00"/>
    <x v="1"/>
    <s v="Bhubaneswar"/>
    <x v="2"/>
    <x v="0"/>
    <x v="3"/>
    <s v="Low"/>
    <n v="1"/>
    <n v="2"/>
    <n v="1"/>
    <s v="Yes"/>
    <n v="264"/>
    <n v="966"/>
    <n v="3801"/>
    <n v="0"/>
    <s v="No"/>
    <s v="Minor"/>
    <n v="3801"/>
    <n v="966"/>
    <n v="2024"/>
    <n v="6"/>
  </r>
  <r>
    <s v="SHP-31577"/>
    <d v="2024-06-18T00:00:00"/>
    <x v="1"/>
    <s v="Kolkata"/>
    <x v="1"/>
    <x v="0"/>
    <x v="3"/>
    <s v="Low"/>
    <n v="1"/>
    <n v="5"/>
    <n v="4"/>
    <s v="Yes"/>
    <n v="343"/>
    <n v="7180"/>
    <n v="7144"/>
    <n v="0"/>
    <s v="No"/>
    <s v="Major"/>
    <n v="1786"/>
    <n v="1795"/>
    <n v="2024"/>
    <n v="6"/>
  </r>
  <r>
    <s v="SHP-31578"/>
    <d v="2024-11-09T00:00:00"/>
    <x v="3"/>
    <s v="Mumbai"/>
    <x v="0"/>
    <x v="1"/>
    <x v="1"/>
    <s v="Low"/>
    <n v="2"/>
    <n v="7"/>
    <n v="5"/>
    <s v="Yes"/>
    <n v="257"/>
    <n v="6880"/>
    <n v="12830"/>
    <n v="0"/>
    <s v="No"/>
    <s v="Major"/>
    <n v="2566"/>
    <n v="1376"/>
    <n v="2024"/>
    <n v="11"/>
  </r>
  <r>
    <s v="SHP-31579"/>
    <d v="2024-04-05T00:00:00"/>
    <x v="3"/>
    <s v="Pune"/>
    <x v="0"/>
    <x v="1"/>
    <x v="2"/>
    <s v="Medium"/>
    <n v="1"/>
    <n v="4"/>
    <n v="3"/>
    <s v="Yes"/>
    <n v="120"/>
    <n v="3201"/>
    <n v="7992"/>
    <n v="0"/>
    <s v="No"/>
    <s v="Major"/>
    <n v="2664"/>
    <n v="1067"/>
    <n v="2024"/>
    <n v="4"/>
  </r>
  <r>
    <s v="SHP-31580"/>
    <d v="2024-05-23T00:00:00"/>
    <x v="1"/>
    <s v="Kolkata"/>
    <x v="2"/>
    <x v="1"/>
    <x v="2"/>
    <s v="Medium"/>
    <n v="1"/>
    <n v="4"/>
    <n v="3"/>
    <s v="Yes"/>
    <n v="176"/>
    <n v="6831"/>
    <n v="7686"/>
    <n v="0"/>
    <s v="No"/>
    <s v="Major"/>
    <n v="2562"/>
    <n v="2277"/>
    <n v="2024"/>
    <n v="5"/>
  </r>
  <r>
    <s v="SHP-31581"/>
    <d v="2024-12-21T00:00:00"/>
    <x v="3"/>
    <s v="Pune"/>
    <x v="1"/>
    <x v="0"/>
    <x v="1"/>
    <s v="Medium"/>
    <n v="1"/>
    <n v="1"/>
    <n v="0"/>
    <s v="No"/>
    <n v="82"/>
    <n v="0"/>
    <n v="0"/>
    <n v="1"/>
    <s v="No"/>
    <s v="On Time"/>
    <n v="0"/>
    <n v="0"/>
    <n v="2024"/>
    <n v="12"/>
  </r>
  <r>
    <s v="SHP-31582"/>
    <d v="2024-01-07T00:00:00"/>
    <x v="1"/>
    <s v="Kolkata"/>
    <x v="2"/>
    <x v="0"/>
    <x v="2"/>
    <s v="Low"/>
    <n v="2"/>
    <n v="3"/>
    <n v="1"/>
    <s v="Yes"/>
    <n v="216"/>
    <n v="838"/>
    <n v="2321"/>
    <n v="0"/>
    <s v="No"/>
    <s v="Minor"/>
    <n v="2321"/>
    <n v="838"/>
    <n v="2024"/>
    <n v="1"/>
  </r>
  <r>
    <s v="SHP-31583"/>
    <d v="2024-06-29T00:00:00"/>
    <x v="2"/>
    <s v="Noida"/>
    <x v="1"/>
    <x v="1"/>
    <x v="4"/>
    <s v="High"/>
    <n v="3"/>
    <n v="6"/>
    <n v="3"/>
    <s v="Yes"/>
    <n v="272"/>
    <n v="4923"/>
    <n v="11829"/>
    <n v="0"/>
    <s v="No"/>
    <s v="Major"/>
    <n v="3943"/>
    <n v="1641"/>
    <n v="2024"/>
    <n v="6"/>
  </r>
  <r>
    <s v="SHP-31584"/>
    <d v="2024-08-27T00:00:00"/>
    <x v="1"/>
    <s v="Kolkata"/>
    <x v="2"/>
    <x v="1"/>
    <x v="1"/>
    <s v="Medium"/>
    <n v="1"/>
    <n v="5"/>
    <n v="4"/>
    <s v="Yes"/>
    <n v="430"/>
    <n v="4208"/>
    <n v="10928"/>
    <n v="0"/>
    <s v="No"/>
    <s v="Major"/>
    <n v="2732"/>
    <n v="1052"/>
    <n v="2024"/>
    <n v="8"/>
  </r>
  <r>
    <s v="SHP-31585"/>
    <d v="2024-07-14T00:00:00"/>
    <x v="2"/>
    <s v="Noida"/>
    <x v="1"/>
    <x v="0"/>
    <x v="4"/>
    <s v="Low"/>
    <n v="1"/>
    <n v="3"/>
    <n v="2"/>
    <s v="Yes"/>
    <n v="168"/>
    <n v="4564"/>
    <n v="8940"/>
    <n v="0"/>
    <s v="No"/>
    <s v="Minor"/>
    <n v="4470"/>
    <n v="2282"/>
    <n v="2024"/>
    <n v="7"/>
  </r>
  <r>
    <s v="SHP-31586"/>
    <d v="2024-11-24T00:00:00"/>
    <x v="1"/>
    <s v="Bhubaneswar"/>
    <x v="1"/>
    <x v="1"/>
    <x v="4"/>
    <s v="Low"/>
    <n v="2"/>
    <n v="7"/>
    <n v="5"/>
    <s v="Yes"/>
    <n v="162"/>
    <n v="5935"/>
    <n v="18050"/>
    <n v="0"/>
    <s v="No"/>
    <s v="Major"/>
    <n v="3610"/>
    <n v="1187"/>
    <n v="2024"/>
    <n v="11"/>
  </r>
  <r>
    <s v="SHP-31587"/>
    <d v="2024-08-28T00:00:00"/>
    <x v="2"/>
    <s v="Noida"/>
    <x v="2"/>
    <x v="1"/>
    <x v="0"/>
    <s v="High"/>
    <n v="3"/>
    <n v="10"/>
    <n v="7"/>
    <s v="Yes"/>
    <n v="433"/>
    <n v="6727"/>
    <n v="34286"/>
    <n v="0"/>
    <s v="No"/>
    <s v="Severe"/>
    <n v="4898"/>
    <n v="961"/>
    <n v="2024"/>
    <n v="8"/>
  </r>
  <r>
    <s v="SHP-31588"/>
    <d v="2024-09-11T00:00:00"/>
    <x v="2"/>
    <s v="Noida"/>
    <x v="2"/>
    <x v="1"/>
    <x v="2"/>
    <s v="Medium"/>
    <n v="2"/>
    <n v="6"/>
    <n v="4"/>
    <s v="Yes"/>
    <n v="417"/>
    <n v="7280"/>
    <n v="15132"/>
    <n v="0"/>
    <s v="No"/>
    <s v="Major"/>
    <n v="3783"/>
    <n v="1820"/>
    <n v="2024"/>
    <n v="9"/>
  </r>
  <r>
    <s v="SHP-31589"/>
    <d v="2024-09-20T00:00:00"/>
    <x v="2"/>
    <s v="Noida"/>
    <x v="2"/>
    <x v="2"/>
    <x v="0"/>
    <s v="Medium"/>
    <n v="3"/>
    <n v="5"/>
    <n v="2"/>
    <s v="Yes"/>
    <n v="93"/>
    <n v="2446"/>
    <n v="8768"/>
    <n v="0"/>
    <s v="No"/>
    <s v="Minor"/>
    <n v="4384"/>
    <n v="1223"/>
    <n v="2024"/>
    <n v="9"/>
  </r>
  <r>
    <s v="SHP-31590"/>
    <d v="2024-08-09T00:00:00"/>
    <x v="0"/>
    <s v="Chennai"/>
    <x v="2"/>
    <x v="1"/>
    <x v="3"/>
    <s v="High"/>
    <n v="1"/>
    <n v="8"/>
    <n v="7"/>
    <s v="Yes"/>
    <n v="68"/>
    <n v="13727"/>
    <n v="23870"/>
    <n v="0"/>
    <s v="No"/>
    <s v="Severe"/>
    <n v="3410"/>
    <n v="1961"/>
    <n v="2024"/>
    <n v="8"/>
  </r>
  <r>
    <s v="SHP-31591"/>
    <d v="2024-01-18T00:00:00"/>
    <x v="3"/>
    <s v="Mumbai"/>
    <x v="1"/>
    <x v="0"/>
    <x v="4"/>
    <s v="Low"/>
    <n v="2"/>
    <n v="3"/>
    <n v="1"/>
    <s v="Yes"/>
    <n v="60"/>
    <n v="2311"/>
    <n v="4607"/>
    <n v="0"/>
    <s v="No"/>
    <s v="Minor"/>
    <n v="4607"/>
    <n v="2311"/>
    <n v="2024"/>
    <n v="1"/>
  </r>
  <r>
    <s v="SHP-31592"/>
    <d v="2024-08-20T00:00:00"/>
    <x v="2"/>
    <s v="Delhi"/>
    <x v="1"/>
    <x v="0"/>
    <x v="1"/>
    <s v="Low"/>
    <n v="2"/>
    <n v="4"/>
    <n v="2"/>
    <s v="Yes"/>
    <n v="311"/>
    <n v="2052"/>
    <n v="8642"/>
    <n v="0"/>
    <s v="No"/>
    <s v="Minor"/>
    <n v="4321"/>
    <n v="1026"/>
    <n v="2024"/>
    <n v="8"/>
  </r>
  <r>
    <s v="SHP-31593"/>
    <d v="2024-05-04T00:00:00"/>
    <x v="0"/>
    <s v="Bengaluru"/>
    <x v="1"/>
    <x v="0"/>
    <x v="0"/>
    <s v="Low"/>
    <n v="3"/>
    <n v="3"/>
    <n v="0"/>
    <s v="No"/>
    <n v="414"/>
    <n v="0"/>
    <n v="0"/>
    <n v="1"/>
    <s v="No"/>
    <s v="On Time"/>
    <n v="0"/>
    <n v="0"/>
    <n v="2024"/>
    <n v="5"/>
  </r>
  <r>
    <s v="SHP-31594"/>
    <d v="2024-12-24T00:00:00"/>
    <x v="0"/>
    <s v="Chennai"/>
    <x v="2"/>
    <x v="0"/>
    <x v="4"/>
    <s v="Medium"/>
    <n v="3"/>
    <n v="4"/>
    <n v="1"/>
    <s v="Yes"/>
    <n v="210"/>
    <n v="1576"/>
    <n v="4505"/>
    <n v="0"/>
    <s v="No"/>
    <s v="Minor"/>
    <n v="4505"/>
    <n v="1576"/>
    <n v="2024"/>
    <n v="12"/>
  </r>
  <r>
    <s v="SHP-31595"/>
    <d v="2024-04-26T00:00:00"/>
    <x v="0"/>
    <s v="Bengaluru"/>
    <x v="2"/>
    <x v="1"/>
    <x v="4"/>
    <s v="Medium"/>
    <n v="1"/>
    <n v="6"/>
    <n v="5"/>
    <s v="Yes"/>
    <n v="335"/>
    <n v="8805"/>
    <n v="15840"/>
    <n v="0"/>
    <s v="No"/>
    <s v="Major"/>
    <n v="3168"/>
    <n v="1761"/>
    <n v="2024"/>
    <n v="4"/>
  </r>
  <r>
    <s v="SHP-31596"/>
    <d v="2024-10-03T00:00:00"/>
    <x v="2"/>
    <s v="Delhi"/>
    <x v="0"/>
    <x v="1"/>
    <x v="4"/>
    <s v="Low"/>
    <n v="3"/>
    <n v="8"/>
    <n v="5"/>
    <s v="Yes"/>
    <n v="232"/>
    <n v="5260"/>
    <n v="14180"/>
    <n v="0"/>
    <s v="No"/>
    <s v="Major"/>
    <n v="2836"/>
    <n v="1052"/>
    <n v="2024"/>
    <n v="10"/>
  </r>
  <r>
    <s v="SHP-31597"/>
    <d v="2024-06-22T00:00:00"/>
    <x v="2"/>
    <s v="Noida"/>
    <x v="0"/>
    <x v="0"/>
    <x v="0"/>
    <s v="Low"/>
    <n v="2"/>
    <n v="7"/>
    <n v="5"/>
    <s v="Yes"/>
    <n v="292"/>
    <n v="11865"/>
    <n v="12640"/>
    <n v="0"/>
    <s v="No"/>
    <s v="Major"/>
    <n v="2528"/>
    <n v="2373"/>
    <n v="2024"/>
    <n v="6"/>
  </r>
  <r>
    <s v="SHP-31598"/>
    <d v="2024-11-22T00:00:00"/>
    <x v="1"/>
    <s v="Kolkata"/>
    <x v="2"/>
    <x v="0"/>
    <x v="1"/>
    <s v="Low"/>
    <n v="1"/>
    <n v="5"/>
    <n v="4"/>
    <s v="Yes"/>
    <n v="305"/>
    <n v="8360"/>
    <n v="11532"/>
    <n v="0"/>
    <s v="No"/>
    <s v="Major"/>
    <n v="2883"/>
    <n v="2090"/>
    <n v="2024"/>
    <n v="11"/>
  </r>
  <r>
    <s v="SHP-31599"/>
    <d v="2024-06-14T00:00:00"/>
    <x v="0"/>
    <s v="Bengaluru"/>
    <x v="0"/>
    <x v="2"/>
    <x v="1"/>
    <s v="Medium"/>
    <n v="2"/>
    <n v="7"/>
    <n v="5"/>
    <s v="Yes"/>
    <n v="346"/>
    <n v="6115"/>
    <n v="7925"/>
    <n v="0"/>
    <s v="No"/>
    <s v="Major"/>
    <n v="1585"/>
    <n v="1223"/>
    <n v="2024"/>
    <n v="6"/>
  </r>
  <r>
    <s v="SHP-31600"/>
    <d v="2024-12-04T00:00:00"/>
    <x v="3"/>
    <s v="Mumbai"/>
    <x v="0"/>
    <x v="1"/>
    <x v="4"/>
    <s v="Low"/>
    <n v="2"/>
    <n v="5"/>
    <n v="3"/>
    <s v="Yes"/>
    <n v="465"/>
    <n v="4509"/>
    <n v="13503"/>
    <n v="0"/>
    <s v="No"/>
    <s v="Major"/>
    <n v="4501"/>
    <n v="1503"/>
    <n v="2024"/>
    <n v="12"/>
  </r>
  <r>
    <s v="SHP-31601"/>
    <d v="2024-12-30T00:00:00"/>
    <x v="1"/>
    <s v="Kolkata"/>
    <x v="1"/>
    <x v="0"/>
    <x v="3"/>
    <s v="Medium"/>
    <n v="5"/>
    <n v="7"/>
    <n v="2"/>
    <s v="Yes"/>
    <n v="109"/>
    <n v="3412"/>
    <n v="9220"/>
    <n v="0"/>
    <s v="No"/>
    <s v="Minor"/>
    <n v="4610"/>
    <n v="1706"/>
    <n v="2024"/>
    <n v="12"/>
  </r>
  <r>
    <s v="SHP-31602"/>
    <d v="2024-09-16T00:00:00"/>
    <x v="1"/>
    <s v="Bhubaneswar"/>
    <x v="0"/>
    <x v="1"/>
    <x v="0"/>
    <s v="Medium"/>
    <n v="2"/>
    <n v="4"/>
    <n v="2"/>
    <s v="Yes"/>
    <n v="101"/>
    <n v="3114"/>
    <n v="5494"/>
    <n v="0"/>
    <s v="No"/>
    <s v="Minor"/>
    <n v="2747"/>
    <n v="1557"/>
    <n v="2024"/>
    <n v="9"/>
  </r>
  <r>
    <s v="SHP-31603"/>
    <d v="2024-11-04T00:00:00"/>
    <x v="3"/>
    <s v="Mumbai"/>
    <x v="0"/>
    <x v="0"/>
    <x v="2"/>
    <s v="Medium"/>
    <n v="2"/>
    <n v="3"/>
    <n v="1"/>
    <s v="Yes"/>
    <n v="288"/>
    <n v="1646"/>
    <n v="4760"/>
    <n v="0"/>
    <s v="No"/>
    <s v="Minor"/>
    <n v="4760"/>
    <n v="1646"/>
    <n v="2024"/>
    <n v="11"/>
  </r>
  <r>
    <s v="SHP-31604"/>
    <d v="2024-05-31T00:00:00"/>
    <x v="2"/>
    <s v="Delhi"/>
    <x v="1"/>
    <x v="1"/>
    <x v="3"/>
    <s v="Medium"/>
    <n v="3"/>
    <n v="7"/>
    <n v="4"/>
    <s v="Yes"/>
    <n v="115"/>
    <n v="4704"/>
    <n v="9440"/>
    <n v="0"/>
    <s v="No"/>
    <s v="Major"/>
    <n v="2360"/>
    <n v="1176"/>
    <n v="2024"/>
    <n v="5"/>
  </r>
  <r>
    <s v="SHP-31605"/>
    <d v="2024-02-26T00:00:00"/>
    <x v="1"/>
    <s v="Bhubaneswar"/>
    <x v="1"/>
    <x v="0"/>
    <x v="4"/>
    <s v="Medium"/>
    <n v="2"/>
    <n v="5"/>
    <n v="3"/>
    <s v="Yes"/>
    <n v="424"/>
    <n v="3438"/>
    <n v="14091"/>
    <n v="0"/>
    <s v="No"/>
    <s v="Major"/>
    <n v="4697"/>
    <n v="1146"/>
    <n v="2024"/>
    <n v="2"/>
  </r>
  <r>
    <s v="SHP-31606"/>
    <d v="2024-08-22T00:00:00"/>
    <x v="1"/>
    <s v="Bhubaneswar"/>
    <x v="1"/>
    <x v="1"/>
    <x v="0"/>
    <s v="Low"/>
    <n v="1"/>
    <n v="2"/>
    <n v="1"/>
    <s v="Yes"/>
    <n v="206"/>
    <n v="1045"/>
    <n v="3543"/>
    <n v="0"/>
    <s v="No"/>
    <s v="Minor"/>
    <n v="3543"/>
    <n v="1045"/>
    <n v="2024"/>
    <n v="8"/>
  </r>
  <r>
    <s v="SHP-31607"/>
    <d v="2024-04-24T00:00:00"/>
    <x v="0"/>
    <s v="Bengaluru"/>
    <x v="0"/>
    <x v="1"/>
    <x v="3"/>
    <s v="Low"/>
    <n v="5"/>
    <n v="10"/>
    <n v="5"/>
    <s v="Yes"/>
    <n v="244"/>
    <n v="10180"/>
    <n v="16285"/>
    <n v="0"/>
    <s v="No"/>
    <s v="Major"/>
    <n v="3257"/>
    <n v="2036"/>
    <n v="2024"/>
    <n v="4"/>
  </r>
  <r>
    <s v="SHP-31608"/>
    <d v="2024-09-30T00:00:00"/>
    <x v="0"/>
    <s v="Bengaluru"/>
    <x v="0"/>
    <x v="2"/>
    <x v="3"/>
    <s v="High"/>
    <n v="1"/>
    <n v="9"/>
    <n v="8"/>
    <s v="Yes"/>
    <n v="301"/>
    <n v="9936"/>
    <n v="22968"/>
    <n v="0"/>
    <s v="No"/>
    <s v="Severe"/>
    <n v="2871"/>
    <n v="1242"/>
    <n v="2024"/>
    <n v="9"/>
  </r>
  <r>
    <s v="SHP-31609"/>
    <d v="2024-04-24T00:00:00"/>
    <x v="3"/>
    <s v="Mumbai"/>
    <x v="1"/>
    <x v="0"/>
    <x v="4"/>
    <s v="Medium"/>
    <n v="3"/>
    <n v="5"/>
    <n v="2"/>
    <s v="Yes"/>
    <n v="167"/>
    <n v="2104"/>
    <n v="5588"/>
    <n v="0"/>
    <s v="No"/>
    <s v="Minor"/>
    <n v="2794"/>
    <n v="1052"/>
    <n v="2024"/>
    <n v="4"/>
  </r>
  <r>
    <s v="SHP-31610"/>
    <d v="2024-04-18T00:00:00"/>
    <x v="0"/>
    <s v="Chennai"/>
    <x v="2"/>
    <x v="0"/>
    <x v="4"/>
    <s v="Low"/>
    <n v="3"/>
    <n v="3"/>
    <n v="0"/>
    <s v="No"/>
    <n v="316"/>
    <n v="0"/>
    <n v="0"/>
    <n v="1"/>
    <s v="No"/>
    <s v="On Time"/>
    <n v="0"/>
    <n v="0"/>
    <n v="2024"/>
    <n v="4"/>
  </r>
  <r>
    <s v="SHP-31611"/>
    <d v="2024-03-09T00:00:00"/>
    <x v="0"/>
    <s v="Bengaluru"/>
    <x v="2"/>
    <x v="0"/>
    <x v="2"/>
    <s v="Medium"/>
    <n v="2"/>
    <n v="6"/>
    <n v="4"/>
    <s v="Yes"/>
    <n v="198"/>
    <n v="6252"/>
    <n v="14084"/>
    <n v="0"/>
    <s v="No"/>
    <s v="Major"/>
    <n v="3521"/>
    <n v="1563"/>
    <n v="2024"/>
    <n v="3"/>
  </r>
  <r>
    <s v="SHP-31612"/>
    <d v="2024-07-25T00:00:00"/>
    <x v="0"/>
    <s v="Bengaluru"/>
    <x v="1"/>
    <x v="0"/>
    <x v="2"/>
    <s v="Medium"/>
    <n v="1"/>
    <n v="1"/>
    <n v="0"/>
    <s v="No"/>
    <n v="373"/>
    <n v="0"/>
    <n v="0"/>
    <n v="1"/>
    <s v="No"/>
    <s v="On Time"/>
    <n v="0"/>
    <n v="0"/>
    <n v="2024"/>
    <n v="7"/>
  </r>
  <r>
    <s v="SHP-31613"/>
    <d v="2024-05-19T00:00:00"/>
    <x v="3"/>
    <s v="Pune"/>
    <x v="2"/>
    <x v="0"/>
    <x v="1"/>
    <s v="Medium"/>
    <n v="2"/>
    <n v="4"/>
    <n v="2"/>
    <s v="Yes"/>
    <n v="272"/>
    <n v="2560"/>
    <n v="8332"/>
    <n v="0"/>
    <s v="No"/>
    <s v="Minor"/>
    <n v="4166"/>
    <n v="1280"/>
    <n v="2024"/>
    <n v="5"/>
  </r>
  <r>
    <s v="SHP-31614"/>
    <d v="2024-08-04T00:00:00"/>
    <x v="3"/>
    <s v="Mumbai"/>
    <x v="0"/>
    <x v="1"/>
    <x v="3"/>
    <s v="Medium"/>
    <n v="3"/>
    <n v="6"/>
    <n v="3"/>
    <s v="Yes"/>
    <n v="246"/>
    <n v="3132"/>
    <n v="11805"/>
    <n v="0"/>
    <s v="No"/>
    <s v="Major"/>
    <n v="3935"/>
    <n v="1044"/>
    <n v="2024"/>
    <n v="8"/>
  </r>
  <r>
    <s v="SHP-31615"/>
    <d v="2024-11-07T00:00:00"/>
    <x v="3"/>
    <s v="Pune"/>
    <x v="1"/>
    <x v="2"/>
    <x v="0"/>
    <s v="Medium"/>
    <n v="1"/>
    <n v="4"/>
    <n v="3"/>
    <s v="Yes"/>
    <n v="146"/>
    <n v="5004"/>
    <n v="10830"/>
    <n v="0"/>
    <s v="No"/>
    <s v="Major"/>
    <n v="3610"/>
    <n v="1668"/>
    <n v="2024"/>
    <n v="11"/>
  </r>
  <r>
    <s v="SHP-31616"/>
    <d v="2024-01-07T00:00:00"/>
    <x v="1"/>
    <s v="Kolkata"/>
    <x v="2"/>
    <x v="2"/>
    <x v="2"/>
    <s v="Medium"/>
    <n v="2"/>
    <n v="9"/>
    <n v="7"/>
    <s v="Yes"/>
    <n v="177"/>
    <n v="13076"/>
    <n v="33061"/>
    <n v="0"/>
    <s v="No"/>
    <s v="Severe"/>
    <n v="4723"/>
    <n v="1868"/>
    <n v="2024"/>
    <n v="1"/>
  </r>
  <r>
    <s v="SHP-31617"/>
    <d v="2024-12-23T00:00:00"/>
    <x v="1"/>
    <s v="Bhubaneswar"/>
    <x v="2"/>
    <x v="1"/>
    <x v="1"/>
    <s v="Medium"/>
    <n v="1"/>
    <n v="3"/>
    <n v="2"/>
    <s v="Yes"/>
    <n v="294"/>
    <n v="3038"/>
    <n v="4016"/>
    <n v="0"/>
    <s v="No"/>
    <s v="Minor"/>
    <n v="2008"/>
    <n v="1519"/>
    <n v="2024"/>
    <n v="12"/>
  </r>
  <r>
    <s v="SHP-31618"/>
    <d v="2024-10-18T00:00:00"/>
    <x v="2"/>
    <s v="Noida"/>
    <x v="1"/>
    <x v="1"/>
    <x v="2"/>
    <s v="Low"/>
    <n v="1"/>
    <n v="2"/>
    <n v="1"/>
    <s v="Yes"/>
    <n v="499"/>
    <n v="1349"/>
    <n v="3345"/>
    <n v="0"/>
    <s v="No"/>
    <s v="Minor"/>
    <n v="3345"/>
    <n v="1349"/>
    <n v="2024"/>
    <n v="10"/>
  </r>
  <r>
    <s v="SHP-31619"/>
    <d v="2024-04-28T00:00:00"/>
    <x v="2"/>
    <s v="Noida"/>
    <x v="2"/>
    <x v="0"/>
    <x v="0"/>
    <s v="Low"/>
    <n v="2"/>
    <n v="6"/>
    <n v="4"/>
    <s v="Yes"/>
    <n v="441"/>
    <n v="6920"/>
    <n v="16136"/>
    <n v="0"/>
    <s v="No"/>
    <s v="Major"/>
    <n v="4034"/>
    <n v="1730"/>
    <n v="2024"/>
    <n v="4"/>
  </r>
  <r>
    <s v="SHP-31620"/>
    <d v="2024-03-07T00:00:00"/>
    <x v="0"/>
    <s v="Chennai"/>
    <x v="1"/>
    <x v="0"/>
    <x v="3"/>
    <s v="High"/>
    <n v="1"/>
    <n v="9"/>
    <n v="8"/>
    <s v="Yes"/>
    <n v="377"/>
    <n v="6936"/>
    <n v="22256"/>
    <n v="0"/>
    <s v="No"/>
    <s v="Severe"/>
    <n v="2782"/>
    <n v="867"/>
    <n v="2024"/>
    <n v="3"/>
  </r>
  <r>
    <s v="SHP-31621"/>
    <d v="2024-03-13T00:00:00"/>
    <x v="3"/>
    <s v="Mumbai"/>
    <x v="0"/>
    <x v="2"/>
    <x v="1"/>
    <s v="Medium"/>
    <n v="1"/>
    <n v="6"/>
    <n v="5"/>
    <s v="Yes"/>
    <n v="407"/>
    <n v="11640"/>
    <n v="20255"/>
    <n v="0"/>
    <s v="No"/>
    <s v="Major"/>
    <n v="4051"/>
    <n v="2328"/>
    <n v="2024"/>
    <n v="3"/>
  </r>
  <r>
    <s v="SHP-31622"/>
    <d v="2024-09-29T00:00:00"/>
    <x v="1"/>
    <s v="Bhubaneswar"/>
    <x v="1"/>
    <x v="2"/>
    <x v="0"/>
    <s v="High"/>
    <n v="3"/>
    <n v="7"/>
    <n v="4"/>
    <s v="Yes"/>
    <n v="243"/>
    <n v="3404"/>
    <n v="9440"/>
    <n v="0"/>
    <s v="No"/>
    <s v="Major"/>
    <n v="2360"/>
    <n v="851"/>
    <n v="2024"/>
    <n v="9"/>
  </r>
  <r>
    <s v="SHP-31623"/>
    <d v="2024-09-12T00:00:00"/>
    <x v="0"/>
    <s v="Chennai"/>
    <x v="1"/>
    <x v="0"/>
    <x v="0"/>
    <s v="Low"/>
    <n v="3"/>
    <n v="6"/>
    <n v="3"/>
    <s v="Yes"/>
    <n v="271"/>
    <n v="6963"/>
    <n v="7116"/>
    <n v="0"/>
    <s v="No"/>
    <s v="Major"/>
    <n v="2372"/>
    <n v="2321"/>
    <n v="2024"/>
    <n v="9"/>
  </r>
  <r>
    <s v="SHP-31624"/>
    <d v="2024-09-11T00:00:00"/>
    <x v="2"/>
    <s v="Noida"/>
    <x v="2"/>
    <x v="1"/>
    <x v="3"/>
    <s v="Medium"/>
    <n v="2"/>
    <n v="4"/>
    <n v="2"/>
    <s v="Yes"/>
    <n v="296"/>
    <n v="4822"/>
    <n v="4384"/>
    <n v="0"/>
    <s v="No"/>
    <s v="Minor"/>
    <n v="2192"/>
    <n v="2411"/>
    <n v="2024"/>
    <n v="9"/>
  </r>
  <r>
    <s v="SHP-31625"/>
    <d v="2024-10-05T00:00:00"/>
    <x v="0"/>
    <s v="Chennai"/>
    <x v="0"/>
    <x v="1"/>
    <x v="3"/>
    <s v="Medium"/>
    <n v="1"/>
    <n v="6"/>
    <n v="5"/>
    <s v="Yes"/>
    <n v="410"/>
    <n v="12145"/>
    <n v="13005"/>
    <n v="0"/>
    <s v="No"/>
    <s v="Major"/>
    <n v="2601"/>
    <n v="2429"/>
    <n v="2024"/>
    <n v="10"/>
  </r>
  <r>
    <s v="SHP-31626"/>
    <d v="2024-02-05T00:00:00"/>
    <x v="1"/>
    <s v="Bhubaneswar"/>
    <x v="2"/>
    <x v="0"/>
    <x v="0"/>
    <s v="Low"/>
    <n v="1"/>
    <n v="5"/>
    <n v="4"/>
    <s v="Yes"/>
    <n v="479"/>
    <n v="5512"/>
    <n v="10196"/>
    <n v="0"/>
    <s v="No"/>
    <s v="Major"/>
    <n v="2549"/>
    <n v="1378"/>
    <n v="2024"/>
    <n v="2"/>
  </r>
  <r>
    <s v="SHP-31627"/>
    <d v="2024-08-15T00:00:00"/>
    <x v="2"/>
    <s v="Noida"/>
    <x v="2"/>
    <x v="1"/>
    <x v="0"/>
    <s v="Medium"/>
    <n v="5"/>
    <n v="5"/>
    <n v="0"/>
    <s v="No"/>
    <n v="495"/>
    <n v="0"/>
    <n v="0"/>
    <n v="1"/>
    <s v="No"/>
    <s v="On Time"/>
    <n v="0"/>
    <n v="0"/>
    <n v="2024"/>
    <n v="8"/>
  </r>
  <r>
    <s v="SHP-31628"/>
    <d v="2024-01-30T00:00:00"/>
    <x v="3"/>
    <s v="Pune"/>
    <x v="2"/>
    <x v="1"/>
    <x v="0"/>
    <s v="Medium"/>
    <n v="1"/>
    <n v="2"/>
    <n v="1"/>
    <s v="Yes"/>
    <n v="425"/>
    <n v="1575"/>
    <n v="2661"/>
    <n v="0"/>
    <s v="No"/>
    <s v="Minor"/>
    <n v="2661"/>
    <n v="1575"/>
    <n v="2024"/>
    <n v="1"/>
  </r>
  <r>
    <s v="SHP-31629"/>
    <d v="2024-09-21T00:00:00"/>
    <x v="3"/>
    <s v="Pune"/>
    <x v="2"/>
    <x v="2"/>
    <x v="4"/>
    <s v="Low"/>
    <n v="2"/>
    <n v="4"/>
    <n v="2"/>
    <s v="Yes"/>
    <n v="206"/>
    <n v="2742"/>
    <n v="9730"/>
    <n v="0"/>
    <s v="No"/>
    <s v="Minor"/>
    <n v="4865"/>
    <n v="1371"/>
    <n v="2024"/>
    <n v="9"/>
  </r>
  <r>
    <s v="SHP-31630"/>
    <d v="2024-06-28T00:00:00"/>
    <x v="3"/>
    <s v="Mumbai"/>
    <x v="1"/>
    <x v="2"/>
    <x v="0"/>
    <s v="Low"/>
    <n v="1"/>
    <n v="8"/>
    <n v="7"/>
    <s v="Yes"/>
    <n v="104"/>
    <n v="17010"/>
    <n v="21630"/>
    <n v="0"/>
    <s v="No"/>
    <s v="Severe"/>
    <n v="3090"/>
    <n v="2430"/>
    <n v="2024"/>
    <n v="6"/>
  </r>
  <r>
    <s v="SHP-31631"/>
    <d v="2024-02-21T00:00:00"/>
    <x v="0"/>
    <s v="Chennai"/>
    <x v="1"/>
    <x v="1"/>
    <x v="0"/>
    <s v="Medium"/>
    <n v="1"/>
    <n v="6"/>
    <n v="5"/>
    <s v="Yes"/>
    <n v="193"/>
    <n v="9475"/>
    <n v="8875"/>
    <n v="0"/>
    <s v="No"/>
    <s v="Major"/>
    <n v="1775"/>
    <n v="1895"/>
    <n v="2024"/>
    <n v="2"/>
  </r>
  <r>
    <s v="SHP-31632"/>
    <d v="2024-03-23T00:00:00"/>
    <x v="0"/>
    <s v="Bengaluru"/>
    <x v="1"/>
    <x v="1"/>
    <x v="4"/>
    <s v="Medium"/>
    <n v="1"/>
    <n v="5"/>
    <n v="4"/>
    <s v="Yes"/>
    <n v="347"/>
    <n v="6000"/>
    <n v="14724"/>
    <n v="0"/>
    <s v="No"/>
    <s v="Major"/>
    <n v="3681"/>
    <n v="1500"/>
    <n v="2024"/>
    <n v="3"/>
  </r>
  <r>
    <s v="SHP-31633"/>
    <d v="2024-07-23T00:00:00"/>
    <x v="3"/>
    <s v="Pune"/>
    <x v="1"/>
    <x v="1"/>
    <x v="3"/>
    <s v="Medium"/>
    <n v="2"/>
    <n v="6"/>
    <n v="4"/>
    <s v="Yes"/>
    <n v="299"/>
    <n v="4212"/>
    <n v="11200"/>
    <n v="0"/>
    <s v="No"/>
    <s v="Major"/>
    <n v="2800"/>
    <n v="1053"/>
    <n v="2024"/>
    <n v="7"/>
  </r>
  <r>
    <s v="SHP-31634"/>
    <d v="2024-12-05T00:00:00"/>
    <x v="2"/>
    <s v="Delhi"/>
    <x v="0"/>
    <x v="2"/>
    <x v="1"/>
    <s v="Low"/>
    <n v="1"/>
    <n v="7"/>
    <n v="6"/>
    <s v="Yes"/>
    <n v="474"/>
    <n v="12012"/>
    <n v="25632"/>
    <n v="0"/>
    <s v="No"/>
    <s v="Severe"/>
    <n v="4272"/>
    <n v="2002"/>
    <n v="2024"/>
    <n v="12"/>
  </r>
  <r>
    <s v="SHP-31635"/>
    <d v="2024-05-08T00:00:00"/>
    <x v="2"/>
    <s v="Delhi"/>
    <x v="1"/>
    <x v="1"/>
    <x v="0"/>
    <s v="High"/>
    <n v="3"/>
    <n v="6"/>
    <n v="3"/>
    <s v="Yes"/>
    <n v="348"/>
    <n v="4275"/>
    <n v="7959"/>
    <n v="0"/>
    <s v="No"/>
    <s v="Major"/>
    <n v="2653"/>
    <n v="1425"/>
    <n v="2024"/>
    <n v="5"/>
  </r>
  <r>
    <s v="SHP-31636"/>
    <d v="2024-05-24T00:00:00"/>
    <x v="1"/>
    <s v="Bhubaneswar"/>
    <x v="1"/>
    <x v="1"/>
    <x v="4"/>
    <s v="High"/>
    <n v="3"/>
    <n v="6"/>
    <n v="3"/>
    <s v="Yes"/>
    <n v="161"/>
    <n v="3384"/>
    <n v="7560"/>
    <n v="0"/>
    <s v="No"/>
    <s v="Major"/>
    <n v="2520"/>
    <n v="1128"/>
    <n v="2024"/>
    <n v="5"/>
  </r>
  <r>
    <s v="SHP-31637"/>
    <d v="2024-12-29T00:00:00"/>
    <x v="3"/>
    <s v="Pune"/>
    <x v="0"/>
    <x v="2"/>
    <x v="0"/>
    <s v="Low"/>
    <n v="5"/>
    <n v="8"/>
    <n v="3"/>
    <s v="Yes"/>
    <n v="235"/>
    <n v="4746"/>
    <n v="11853"/>
    <n v="0"/>
    <s v="No"/>
    <s v="Major"/>
    <n v="3951"/>
    <n v="1582"/>
    <n v="2024"/>
    <n v="12"/>
  </r>
  <r>
    <s v="SHP-31638"/>
    <d v="2024-12-23T00:00:00"/>
    <x v="0"/>
    <s v="Bengaluru"/>
    <x v="2"/>
    <x v="1"/>
    <x v="1"/>
    <s v="Low"/>
    <n v="1"/>
    <n v="4"/>
    <n v="3"/>
    <s v="Yes"/>
    <n v="82"/>
    <n v="2880"/>
    <n v="12732"/>
    <n v="0"/>
    <s v="No"/>
    <s v="Major"/>
    <n v="4244"/>
    <n v="960"/>
    <n v="2024"/>
    <n v="12"/>
  </r>
  <r>
    <s v="SHP-31639"/>
    <d v="2024-08-12T00:00:00"/>
    <x v="3"/>
    <s v="Pune"/>
    <x v="1"/>
    <x v="0"/>
    <x v="2"/>
    <s v="Low"/>
    <n v="3"/>
    <n v="8"/>
    <n v="5"/>
    <s v="Yes"/>
    <n v="76"/>
    <n v="9450"/>
    <n v="13660"/>
    <n v="0"/>
    <s v="No"/>
    <s v="Major"/>
    <n v="2732"/>
    <n v="1890"/>
    <n v="2024"/>
    <n v="8"/>
  </r>
  <r>
    <s v="SHP-31640"/>
    <d v="2024-08-16T00:00:00"/>
    <x v="0"/>
    <s v="Chennai"/>
    <x v="2"/>
    <x v="0"/>
    <x v="3"/>
    <s v="Low"/>
    <n v="2"/>
    <n v="5"/>
    <n v="3"/>
    <s v="Yes"/>
    <n v="370"/>
    <n v="3465"/>
    <n v="11316"/>
    <n v="0"/>
    <s v="No"/>
    <s v="Major"/>
    <n v="3772"/>
    <n v="1155"/>
    <n v="2024"/>
    <n v="8"/>
  </r>
  <r>
    <s v="SHP-31641"/>
    <d v="2024-01-11T00:00:00"/>
    <x v="0"/>
    <s v="Bengaluru"/>
    <x v="2"/>
    <x v="2"/>
    <x v="2"/>
    <s v="Low"/>
    <n v="3"/>
    <n v="8"/>
    <n v="5"/>
    <s v="Yes"/>
    <n v="78"/>
    <n v="5600"/>
    <n v="16685"/>
    <n v="0"/>
    <s v="No"/>
    <s v="Major"/>
    <n v="3337"/>
    <n v="1120"/>
    <n v="2024"/>
    <n v="1"/>
  </r>
  <r>
    <s v="SHP-31642"/>
    <d v="2024-07-17T00:00:00"/>
    <x v="0"/>
    <s v="Bengaluru"/>
    <x v="1"/>
    <x v="1"/>
    <x v="2"/>
    <s v="Medium"/>
    <n v="2"/>
    <n v="3"/>
    <n v="1"/>
    <s v="Yes"/>
    <n v="452"/>
    <n v="1711"/>
    <n v="1532"/>
    <n v="0"/>
    <s v="No"/>
    <s v="Minor"/>
    <n v="1532"/>
    <n v="1711"/>
    <n v="2024"/>
    <n v="7"/>
  </r>
  <r>
    <s v="SHP-31643"/>
    <d v="2024-01-23T00:00:00"/>
    <x v="3"/>
    <s v="Mumbai"/>
    <x v="0"/>
    <x v="0"/>
    <x v="2"/>
    <s v="Low"/>
    <n v="5"/>
    <n v="7"/>
    <n v="2"/>
    <s v="Yes"/>
    <n v="422"/>
    <n v="2710"/>
    <n v="3490"/>
    <n v="0"/>
    <s v="No"/>
    <s v="Minor"/>
    <n v="1745"/>
    <n v="1355"/>
    <n v="2024"/>
    <n v="1"/>
  </r>
  <r>
    <s v="SHP-31644"/>
    <d v="2024-06-13T00:00:00"/>
    <x v="0"/>
    <s v="Chennai"/>
    <x v="1"/>
    <x v="1"/>
    <x v="1"/>
    <s v="Medium"/>
    <n v="3"/>
    <n v="5"/>
    <n v="2"/>
    <s v="Yes"/>
    <n v="316"/>
    <n v="2078"/>
    <n v="8580"/>
    <n v="0"/>
    <s v="No"/>
    <s v="Minor"/>
    <n v="4290"/>
    <n v="1039"/>
    <n v="2024"/>
    <n v="6"/>
  </r>
  <r>
    <s v="SHP-31645"/>
    <d v="2024-05-17T00:00:00"/>
    <x v="0"/>
    <s v="Bengaluru"/>
    <x v="2"/>
    <x v="0"/>
    <x v="3"/>
    <s v="High"/>
    <n v="5"/>
    <n v="12"/>
    <n v="7"/>
    <s v="Yes"/>
    <n v="256"/>
    <n v="15064"/>
    <n v="25137"/>
    <n v="0"/>
    <s v="No"/>
    <s v="Severe"/>
    <n v="3591"/>
    <n v="2152"/>
    <n v="2024"/>
    <n v="5"/>
  </r>
  <r>
    <s v="SHP-31646"/>
    <d v="2024-02-29T00:00:00"/>
    <x v="2"/>
    <s v="Delhi"/>
    <x v="2"/>
    <x v="0"/>
    <x v="3"/>
    <s v="High"/>
    <n v="1"/>
    <n v="4"/>
    <n v="3"/>
    <s v="Yes"/>
    <n v="428"/>
    <n v="4539"/>
    <n v="10632"/>
    <n v="0"/>
    <s v="No"/>
    <s v="Major"/>
    <n v="3544"/>
    <n v="1513"/>
    <n v="2024"/>
    <n v="2"/>
  </r>
  <r>
    <s v="SHP-31647"/>
    <d v="2024-08-23T00:00:00"/>
    <x v="2"/>
    <s v="Noida"/>
    <x v="1"/>
    <x v="1"/>
    <x v="2"/>
    <s v="Low"/>
    <n v="2"/>
    <n v="7"/>
    <n v="5"/>
    <s v="Yes"/>
    <n v="76"/>
    <n v="4935"/>
    <n v="14610"/>
    <n v="0"/>
    <s v="No"/>
    <s v="Major"/>
    <n v="2922"/>
    <n v="987"/>
    <n v="2024"/>
    <n v="8"/>
  </r>
  <r>
    <s v="SHP-31648"/>
    <d v="2024-04-14T00:00:00"/>
    <x v="2"/>
    <s v="Noida"/>
    <x v="1"/>
    <x v="0"/>
    <x v="1"/>
    <s v="High"/>
    <n v="2"/>
    <n v="5"/>
    <n v="3"/>
    <s v="Yes"/>
    <n v="427"/>
    <n v="7140"/>
    <n v="14991"/>
    <n v="0"/>
    <s v="No"/>
    <s v="Major"/>
    <n v="4997"/>
    <n v="2380"/>
    <n v="2024"/>
    <n v="4"/>
  </r>
  <r>
    <s v="SHP-31649"/>
    <d v="2024-02-22T00:00:00"/>
    <x v="1"/>
    <s v="Kolkata"/>
    <x v="2"/>
    <x v="0"/>
    <x v="2"/>
    <s v="High"/>
    <n v="2"/>
    <n v="7"/>
    <n v="5"/>
    <s v="Yes"/>
    <n v="375"/>
    <n v="9135"/>
    <n v="21955"/>
    <n v="0"/>
    <s v="No"/>
    <s v="Major"/>
    <n v="4391"/>
    <n v="1827"/>
    <n v="2024"/>
    <n v="2"/>
  </r>
  <r>
    <s v="SHP-31650"/>
    <d v="2024-01-19T00:00:00"/>
    <x v="1"/>
    <s v="Kolkata"/>
    <x v="0"/>
    <x v="0"/>
    <x v="3"/>
    <s v="High"/>
    <n v="5"/>
    <n v="11"/>
    <n v="6"/>
    <s v="Yes"/>
    <n v="280"/>
    <n v="10206"/>
    <n v="18246"/>
    <n v="0"/>
    <s v="No"/>
    <s v="Severe"/>
    <n v="3041"/>
    <n v="1701"/>
    <n v="2024"/>
    <n v="1"/>
  </r>
  <r>
    <s v="SHP-31651"/>
    <d v="2024-09-28T00:00:00"/>
    <x v="3"/>
    <s v="Pune"/>
    <x v="2"/>
    <x v="0"/>
    <x v="0"/>
    <s v="High"/>
    <n v="2"/>
    <n v="8"/>
    <n v="6"/>
    <s v="Yes"/>
    <n v="290"/>
    <n v="6192"/>
    <n v="14280"/>
    <n v="0"/>
    <s v="No"/>
    <s v="Severe"/>
    <n v="2380"/>
    <n v="1032"/>
    <n v="2024"/>
    <n v="9"/>
  </r>
  <r>
    <s v="SHP-31652"/>
    <d v="2024-07-11T00:00:00"/>
    <x v="0"/>
    <s v="Bengaluru"/>
    <x v="0"/>
    <x v="1"/>
    <x v="0"/>
    <s v="Medium"/>
    <n v="1"/>
    <n v="2"/>
    <n v="1"/>
    <s v="Yes"/>
    <n v="404"/>
    <n v="1584"/>
    <n v="3995"/>
    <n v="0"/>
    <s v="No"/>
    <s v="Minor"/>
    <n v="3995"/>
    <n v="1584"/>
    <n v="2024"/>
    <n v="7"/>
  </r>
  <r>
    <s v="SHP-31653"/>
    <d v="2024-12-25T00:00:00"/>
    <x v="0"/>
    <s v="Bengaluru"/>
    <x v="0"/>
    <x v="0"/>
    <x v="4"/>
    <s v="Medium"/>
    <n v="1"/>
    <n v="4"/>
    <n v="3"/>
    <s v="Yes"/>
    <n v="416"/>
    <n v="4200"/>
    <n v="14463"/>
    <n v="0"/>
    <s v="No"/>
    <s v="Major"/>
    <n v="4821"/>
    <n v="1400"/>
    <n v="2024"/>
    <n v="12"/>
  </r>
  <r>
    <s v="SHP-31654"/>
    <d v="2024-10-28T00:00:00"/>
    <x v="3"/>
    <s v="Mumbai"/>
    <x v="2"/>
    <x v="1"/>
    <x v="2"/>
    <s v="Medium"/>
    <n v="2"/>
    <n v="2"/>
    <n v="0"/>
    <s v="No"/>
    <n v="142"/>
    <n v="0"/>
    <n v="0"/>
    <n v="1"/>
    <s v="No"/>
    <s v="On Time"/>
    <n v="0"/>
    <n v="0"/>
    <n v="2024"/>
    <n v="10"/>
  </r>
  <r>
    <s v="SHP-31655"/>
    <d v="2024-08-10T00:00:00"/>
    <x v="2"/>
    <s v="Delhi"/>
    <x v="0"/>
    <x v="2"/>
    <x v="2"/>
    <s v="Low"/>
    <n v="1"/>
    <n v="4"/>
    <n v="3"/>
    <s v="Yes"/>
    <n v="301"/>
    <n v="2643"/>
    <n v="14829"/>
    <n v="0"/>
    <s v="No"/>
    <s v="Major"/>
    <n v="4943"/>
    <n v="881"/>
    <n v="2024"/>
    <n v="8"/>
  </r>
  <r>
    <s v="SHP-31656"/>
    <d v="2024-05-13T00:00:00"/>
    <x v="3"/>
    <s v="Mumbai"/>
    <x v="1"/>
    <x v="1"/>
    <x v="4"/>
    <s v="Medium"/>
    <n v="2"/>
    <n v="3"/>
    <n v="1"/>
    <s v="Yes"/>
    <n v="267"/>
    <n v="1871"/>
    <n v="1940"/>
    <n v="0"/>
    <s v="No"/>
    <s v="Minor"/>
    <n v="1940"/>
    <n v="1871"/>
    <n v="2024"/>
    <n v="5"/>
  </r>
  <r>
    <s v="SHP-31657"/>
    <d v="2024-05-05T00:00:00"/>
    <x v="3"/>
    <s v="Pune"/>
    <x v="2"/>
    <x v="2"/>
    <x v="4"/>
    <s v="Medium"/>
    <n v="3"/>
    <n v="6"/>
    <n v="3"/>
    <s v="Yes"/>
    <n v="257"/>
    <n v="4095"/>
    <n v="8892"/>
    <n v="0"/>
    <s v="No"/>
    <s v="Major"/>
    <n v="2964"/>
    <n v="1365"/>
    <n v="2024"/>
    <n v="5"/>
  </r>
  <r>
    <s v="SHP-31658"/>
    <d v="2024-02-08T00:00:00"/>
    <x v="1"/>
    <s v="Kolkata"/>
    <x v="2"/>
    <x v="2"/>
    <x v="0"/>
    <s v="Medium"/>
    <n v="3"/>
    <n v="9"/>
    <n v="6"/>
    <s v="Yes"/>
    <n v="312"/>
    <n v="13782"/>
    <n v="12234"/>
    <n v="0"/>
    <s v="No"/>
    <s v="Severe"/>
    <n v="2039"/>
    <n v="2297"/>
    <n v="2024"/>
    <n v="2"/>
  </r>
  <r>
    <s v="SHP-31659"/>
    <d v="2024-11-23T00:00:00"/>
    <x v="2"/>
    <s v="Delhi"/>
    <x v="0"/>
    <x v="1"/>
    <x v="3"/>
    <s v="Medium"/>
    <n v="3"/>
    <n v="3"/>
    <n v="0"/>
    <s v="No"/>
    <n v="134"/>
    <n v="0"/>
    <n v="0"/>
    <n v="1"/>
    <s v="No"/>
    <s v="On Time"/>
    <n v="0"/>
    <n v="0"/>
    <n v="2024"/>
    <n v="11"/>
  </r>
  <r>
    <s v="SHP-31660"/>
    <d v="2024-07-12T00:00:00"/>
    <x v="2"/>
    <s v="Noida"/>
    <x v="0"/>
    <x v="2"/>
    <x v="0"/>
    <s v="High"/>
    <n v="2"/>
    <n v="10"/>
    <n v="8"/>
    <s v="Yes"/>
    <n v="499"/>
    <n v="16864"/>
    <n v="22832"/>
    <n v="0"/>
    <s v="No"/>
    <s v="Severe"/>
    <n v="2854"/>
    <n v="2108"/>
    <n v="2024"/>
    <n v="7"/>
  </r>
  <r>
    <s v="SHP-31661"/>
    <d v="2024-06-15T00:00:00"/>
    <x v="0"/>
    <s v="Bengaluru"/>
    <x v="1"/>
    <x v="0"/>
    <x v="4"/>
    <s v="Medium"/>
    <n v="3"/>
    <n v="6"/>
    <n v="3"/>
    <s v="Yes"/>
    <n v="411"/>
    <n v="2754"/>
    <n v="4644"/>
    <n v="0"/>
    <s v="No"/>
    <s v="Major"/>
    <n v="1548"/>
    <n v="918"/>
    <n v="2024"/>
    <n v="6"/>
  </r>
  <r>
    <s v="SHP-31662"/>
    <d v="2024-05-10T00:00:00"/>
    <x v="3"/>
    <s v="Mumbai"/>
    <x v="1"/>
    <x v="1"/>
    <x v="1"/>
    <s v="Low"/>
    <n v="2"/>
    <n v="6"/>
    <n v="4"/>
    <s v="Yes"/>
    <n v="346"/>
    <n v="4216"/>
    <n v="17284"/>
    <n v="0"/>
    <s v="No"/>
    <s v="Major"/>
    <n v="4321"/>
    <n v="1054"/>
    <n v="2024"/>
    <n v="5"/>
  </r>
  <r>
    <s v="SHP-31663"/>
    <d v="2024-01-15T00:00:00"/>
    <x v="1"/>
    <s v="Kolkata"/>
    <x v="2"/>
    <x v="1"/>
    <x v="3"/>
    <s v="Medium"/>
    <n v="1"/>
    <n v="1"/>
    <n v="0"/>
    <s v="No"/>
    <n v="83"/>
    <n v="0"/>
    <n v="0"/>
    <n v="1"/>
    <s v="No"/>
    <s v="On Time"/>
    <n v="0"/>
    <n v="0"/>
    <n v="2024"/>
    <n v="1"/>
  </r>
  <r>
    <s v="SHP-31664"/>
    <d v="2024-02-10T00:00:00"/>
    <x v="2"/>
    <s v="Noida"/>
    <x v="0"/>
    <x v="2"/>
    <x v="0"/>
    <s v="Low"/>
    <n v="1"/>
    <n v="2"/>
    <n v="1"/>
    <s v="Yes"/>
    <n v="279"/>
    <n v="1179"/>
    <n v="3519"/>
    <n v="0"/>
    <s v="No"/>
    <s v="Minor"/>
    <n v="3519"/>
    <n v="1179"/>
    <n v="2024"/>
    <n v="2"/>
  </r>
  <r>
    <s v="SHP-31665"/>
    <d v="2024-05-22T00:00:00"/>
    <x v="0"/>
    <s v="Chennai"/>
    <x v="1"/>
    <x v="1"/>
    <x v="1"/>
    <s v="High"/>
    <n v="2"/>
    <n v="8"/>
    <n v="6"/>
    <s v="Yes"/>
    <n v="463"/>
    <n v="6762"/>
    <n v="15552"/>
    <n v="0"/>
    <s v="No"/>
    <s v="Severe"/>
    <n v="2592"/>
    <n v="1127"/>
    <n v="2024"/>
    <n v="5"/>
  </r>
  <r>
    <s v="SHP-31666"/>
    <d v="2024-10-20T00:00:00"/>
    <x v="2"/>
    <s v="Noida"/>
    <x v="1"/>
    <x v="0"/>
    <x v="0"/>
    <s v="Low"/>
    <n v="3"/>
    <n v="7"/>
    <n v="4"/>
    <s v="Yes"/>
    <n v="140"/>
    <n v="3352"/>
    <n v="14720"/>
    <n v="0"/>
    <s v="No"/>
    <s v="Major"/>
    <n v="3680"/>
    <n v="838"/>
    <n v="2024"/>
    <n v="10"/>
  </r>
  <r>
    <s v="SHP-31667"/>
    <d v="2024-05-09T00:00:00"/>
    <x v="3"/>
    <s v="Pune"/>
    <x v="2"/>
    <x v="1"/>
    <x v="0"/>
    <s v="Medium"/>
    <n v="1"/>
    <n v="2"/>
    <n v="1"/>
    <s v="Yes"/>
    <n v="385"/>
    <n v="1602"/>
    <n v="1771"/>
    <n v="0"/>
    <s v="No"/>
    <s v="Minor"/>
    <n v="1771"/>
    <n v="1602"/>
    <n v="2024"/>
    <n v="5"/>
  </r>
  <r>
    <s v="SHP-31668"/>
    <d v="2024-01-27T00:00:00"/>
    <x v="0"/>
    <s v="Bengaluru"/>
    <x v="2"/>
    <x v="1"/>
    <x v="2"/>
    <s v="Low"/>
    <n v="1"/>
    <n v="1"/>
    <n v="0"/>
    <s v="No"/>
    <n v="398"/>
    <n v="0"/>
    <n v="0"/>
    <n v="1"/>
    <s v="No"/>
    <s v="On Time"/>
    <n v="0"/>
    <n v="0"/>
    <n v="2024"/>
    <n v="1"/>
  </r>
  <r>
    <s v="SHP-31669"/>
    <d v="2024-09-07T00:00:00"/>
    <x v="0"/>
    <s v="Bengaluru"/>
    <x v="0"/>
    <x v="1"/>
    <x v="2"/>
    <s v="High"/>
    <n v="1"/>
    <n v="4"/>
    <n v="3"/>
    <s v="Yes"/>
    <n v="438"/>
    <n v="5043"/>
    <n v="12252"/>
    <n v="0"/>
    <s v="No"/>
    <s v="Major"/>
    <n v="4084"/>
    <n v="1681"/>
    <n v="2024"/>
    <n v="9"/>
  </r>
  <r>
    <s v="SHP-31670"/>
    <d v="2024-02-11T00:00:00"/>
    <x v="1"/>
    <s v="Bhubaneswar"/>
    <x v="2"/>
    <x v="2"/>
    <x v="0"/>
    <s v="Medium"/>
    <n v="2"/>
    <n v="5"/>
    <n v="3"/>
    <s v="Yes"/>
    <n v="322"/>
    <n v="5277"/>
    <n v="14421"/>
    <n v="0"/>
    <s v="No"/>
    <s v="Major"/>
    <n v="4807"/>
    <n v="1759"/>
    <n v="2024"/>
    <n v="2"/>
  </r>
  <r>
    <s v="SHP-31671"/>
    <d v="2024-07-20T00:00:00"/>
    <x v="2"/>
    <s v="Noida"/>
    <x v="2"/>
    <x v="1"/>
    <x v="1"/>
    <s v="High"/>
    <n v="1"/>
    <n v="9"/>
    <n v="8"/>
    <s v="Yes"/>
    <n v="87"/>
    <n v="13768"/>
    <n v="17704"/>
    <n v="0"/>
    <s v="No"/>
    <s v="Severe"/>
    <n v="2213"/>
    <n v="1721"/>
    <n v="2024"/>
    <n v="7"/>
  </r>
  <r>
    <s v="SHP-31672"/>
    <d v="2024-01-10T00:00:00"/>
    <x v="2"/>
    <s v="Noida"/>
    <x v="0"/>
    <x v="1"/>
    <x v="3"/>
    <s v="High"/>
    <n v="2"/>
    <n v="5"/>
    <n v="3"/>
    <s v="Yes"/>
    <n v="187"/>
    <n v="2433"/>
    <n v="8994"/>
    <n v="0"/>
    <s v="No"/>
    <s v="Major"/>
    <n v="2998"/>
    <n v="811"/>
    <n v="2024"/>
    <n v="1"/>
  </r>
  <r>
    <s v="SHP-31673"/>
    <d v="2024-02-01T00:00:00"/>
    <x v="1"/>
    <s v="Kolkata"/>
    <x v="1"/>
    <x v="1"/>
    <x v="0"/>
    <s v="High"/>
    <n v="2"/>
    <n v="4"/>
    <n v="2"/>
    <s v="Yes"/>
    <n v="455"/>
    <n v="2100"/>
    <n v="7466"/>
    <n v="0"/>
    <s v="No"/>
    <s v="Minor"/>
    <n v="3733"/>
    <n v="1050"/>
    <n v="2024"/>
    <n v="2"/>
  </r>
  <r>
    <s v="SHP-31674"/>
    <d v="2024-08-30T00:00:00"/>
    <x v="3"/>
    <s v="Pune"/>
    <x v="0"/>
    <x v="1"/>
    <x v="2"/>
    <s v="Low"/>
    <n v="2"/>
    <n v="7"/>
    <n v="5"/>
    <s v="Yes"/>
    <n v="141"/>
    <n v="8780"/>
    <n v="9035"/>
    <n v="0"/>
    <s v="No"/>
    <s v="Major"/>
    <n v="1807"/>
    <n v="1756"/>
    <n v="2024"/>
    <n v="8"/>
  </r>
  <r>
    <s v="SHP-31675"/>
    <d v="2024-11-13T00:00:00"/>
    <x v="0"/>
    <s v="Bengaluru"/>
    <x v="1"/>
    <x v="1"/>
    <x v="2"/>
    <s v="Low"/>
    <n v="3"/>
    <n v="8"/>
    <n v="5"/>
    <s v="Yes"/>
    <n v="351"/>
    <n v="6610"/>
    <n v="19835"/>
    <n v="0"/>
    <s v="No"/>
    <s v="Major"/>
    <n v="3967"/>
    <n v="1322"/>
    <n v="2024"/>
    <n v="11"/>
  </r>
  <r>
    <s v="SHP-31676"/>
    <d v="2024-09-02T00:00:00"/>
    <x v="3"/>
    <s v="Pune"/>
    <x v="0"/>
    <x v="1"/>
    <x v="2"/>
    <s v="Low"/>
    <n v="2"/>
    <n v="2"/>
    <n v="0"/>
    <s v="No"/>
    <n v="305"/>
    <n v="0"/>
    <n v="0"/>
    <n v="1"/>
    <s v="No"/>
    <s v="On Time"/>
    <n v="0"/>
    <n v="0"/>
    <n v="2024"/>
    <n v="9"/>
  </r>
  <r>
    <s v="SHP-31677"/>
    <d v="2024-11-27T00:00:00"/>
    <x v="0"/>
    <s v="Chennai"/>
    <x v="0"/>
    <x v="1"/>
    <x v="3"/>
    <s v="Medium"/>
    <n v="3"/>
    <n v="7"/>
    <n v="4"/>
    <s v="Yes"/>
    <n v="413"/>
    <n v="6728"/>
    <n v="18680"/>
    <n v="0"/>
    <s v="No"/>
    <s v="Major"/>
    <n v="4670"/>
    <n v="1682"/>
    <n v="2024"/>
    <n v="11"/>
  </r>
  <r>
    <s v="SHP-31678"/>
    <d v="2024-08-27T00:00:00"/>
    <x v="0"/>
    <s v="Bengaluru"/>
    <x v="2"/>
    <x v="1"/>
    <x v="4"/>
    <s v="Low"/>
    <n v="2"/>
    <n v="4"/>
    <n v="2"/>
    <s v="Yes"/>
    <n v="165"/>
    <n v="4360"/>
    <n v="9866"/>
    <n v="0"/>
    <s v="No"/>
    <s v="Minor"/>
    <n v="4933"/>
    <n v="2180"/>
    <n v="2024"/>
    <n v="8"/>
  </r>
  <r>
    <s v="SHP-31679"/>
    <d v="2024-12-24T00:00:00"/>
    <x v="3"/>
    <s v="Mumbai"/>
    <x v="0"/>
    <x v="1"/>
    <x v="0"/>
    <s v="Low"/>
    <n v="2"/>
    <n v="6"/>
    <n v="4"/>
    <s v="Yes"/>
    <n v="376"/>
    <n v="7480"/>
    <n v="13052"/>
    <n v="0"/>
    <s v="No"/>
    <s v="Major"/>
    <n v="3263"/>
    <n v="1870"/>
    <n v="2024"/>
    <n v="12"/>
  </r>
  <r>
    <s v="SHP-31680"/>
    <d v="2024-12-13T00:00:00"/>
    <x v="3"/>
    <s v="Pune"/>
    <x v="2"/>
    <x v="1"/>
    <x v="2"/>
    <s v="Low"/>
    <n v="1"/>
    <n v="6"/>
    <n v="5"/>
    <s v="Yes"/>
    <n v="469"/>
    <n v="6885"/>
    <n v="15320"/>
    <n v="0"/>
    <s v="No"/>
    <s v="Major"/>
    <n v="3064"/>
    <n v="1377"/>
    <n v="2024"/>
    <n v="12"/>
  </r>
  <r>
    <s v="SHP-31681"/>
    <d v="2024-06-07T00:00:00"/>
    <x v="2"/>
    <s v="Noida"/>
    <x v="1"/>
    <x v="0"/>
    <x v="4"/>
    <s v="Medium"/>
    <n v="3"/>
    <n v="6"/>
    <n v="3"/>
    <s v="Yes"/>
    <n v="84"/>
    <n v="3681"/>
    <n v="14277"/>
    <n v="0"/>
    <s v="No"/>
    <s v="Major"/>
    <n v="4759"/>
    <n v="1227"/>
    <n v="2024"/>
    <n v="6"/>
  </r>
  <r>
    <s v="SHP-31682"/>
    <d v="2024-05-31T00:00:00"/>
    <x v="0"/>
    <s v="Bengaluru"/>
    <x v="0"/>
    <x v="0"/>
    <x v="1"/>
    <s v="Low"/>
    <n v="2"/>
    <n v="7"/>
    <n v="5"/>
    <s v="Yes"/>
    <n v="155"/>
    <n v="7545"/>
    <n v="21980"/>
    <n v="0"/>
    <s v="No"/>
    <s v="Major"/>
    <n v="4396"/>
    <n v="1509"/>
    <n v="2024"/>
    <n v="5"/>
  </r>
  <r>
    <s v="SHP-31683"/>
    <d v="2024-07-29T00:00:00"/>
    <x v="1"/>
    <s v="Kolkata"/>
    <x v="0"/>
    <x v="2"/>
    <x v="4"/>
    <s v="Low"/>
    <n v="3"/>
    <n v="8"/>
    <n v="5"/>
    <s v="Yes"/>
    <n v="467"/>
    <n v="8190"/>
    <n v="24525"/>
    <n v="0"/>
    <s v="No"/>
    <s v="Major"/>
    <n v="4905"/>
    <n v="1638"/>
    <n v="2024"/>
    <n v="7"/>
  </r>
  <r>
    <s v="SHP-31684"/>
    <d v="2024-07-01T00:00:00"/>
    <x v="0"/>
    <s v="Chennai"/>
    <x v="0"/>
    <x v="2"/>
    <x v="3"/>
    <s v="Medium"/>
    <n v="2"/>
    <n v="7"/>
    <n v="5"/>
    <s v="Yes"/>
    <n v="271"/>
    <n v="10490"/>
    <n v="22570"/>
    <n v="0"/>
    <s v="No"/>
    <s v="Major"/>
    <n v="4514"/>
    <n v="2098"/>
    <n v="2024"/>
    <n v="7"/>
  </r>
  <r>
    <s v="SHP-31685"/>
    <d v="2024-10-03T00:00:00"/>
    <x v="3"/>
    <s v="Pune"/>
    <x v="1"/>
    <x v="1"/>
    <x v="2"/>
    <s v="Low"/>
    <n v="1"/>
    <n v="4"/>
    <n v="3"/>
    <s v="Yes"/>
    <n v="444"/>
    <n v="4719"/>
    <n v="14310"/>
    <n v="0"/>
    <s v="No"/>
    <s v="Major"/>
    <n v="4770"/>
    <n v="1573"/>
    <n v="2024"/>
    <n v="10"/>
  </r>
  <r>
    <s v="SHP-31686"/>
    <d v="2024-11-08T00:00:00"/>
    <x v="0"/>
    <s v="Chennai"/>
    <x v="2"/>
    <x v="0"/>
    <x v="1"/>
    <s v="High"/>
    <n v="2"/>
    <n v="10"/>
    <n v="8"/>
    <s v="Yes"/>
    <n v="137"/>
    <n v="12144"/>
    <n v="14344"/>
    <n v="0"/>
    <s v="No"/>
    <s v="Severe"/>
    <n v="1793"/>
    <n v="1518"/>
    <n v="2024"/>
    <n v="11"/>
  </r>
  <r>
    <s v="SHP-31687"/>
    <d v="2024-02-06T00:00:00"/>
    <x v="3"/>
    <s v="Pune"/>
    <x v="2"/>
    <x v="1"/>
    <x v="2"/>
    <s v="High"/>
    <n v="2"/>
    <n v="9"/>
    <n v="7"/>
    <s v="Yes"/>
    <n v="92"/>
    <n v="16072"/>
    <n v="23296"/>
    <n v="0"/>
    <s v="No"/>
    <s v="Severe"/>
    <n v="3328"/>
    <n v="2296"/>
    <n v="2024"/>
    <n v="2"/>
  </r>
  <r>
    <s v="SHP-31688"/>
    <d v="2024-09-20T00:00:00"/>
    <x v="3"/>
    <s v="Mumbai"/>
    <x v="2"/>
    <x v="1"/>
    <x v="4"/>
    <s v="High"/>
    <n v="2"/>
    <n v="5"/>
    <n v="3"/>
    <s v="Yes"/>
    <n v="308"/>
    <n v="5766"/>
    <n v="13557"/>
    <n v="0"/>
    <s v="No"/>
    <s v="Major"/>
    <n v="4519"/>
    <n v="1922"/>
    <n v="2024"/>
    <n v="9"/>
  </r>
  <r>
    <s v="SHP-31689"/>
    <d v="2024-05-23T00:00:00"/>
    <x v="3"/>
    <s v="Pune"/>
    <x v="2"/>
    <x v="1"/>
    <x v="4"/>
    <s v="High"/>
    <n v="2"/>
    <n v="5"/>
    <n v="3"/>
    <s v="Yes"/>
    <n v="301"/>
    <n v="4311"/>
    <n v="13968"/>
    <n v="0"/>
    <s v="No"/>
    <s v="Major"/>
    <n v="4656"/>
    <n v="1437"/>
    <n v="2024"/>
    <n v="5"/>
  </r>
  <r>
    <s v="SHP-31690"/>
    <d v="2024-05-13T00:00:00"/>
    <x v="3"/>
    <s v="Pune"/>
    <x v="2"/>
    <x v="1"/>
    <x v="4"/>
    <s v="Medium"/>
    <n v="2"/>
    <n v="3"/>
    <n v="1"/>
    <s v="Yes"/>
    <n v="211"/>
    <n v="1377"/>
    <n v="1972"/>
    <n v="0"/>
    <s v="No"/>
    <s v="Minor"/>
    <n v="1972"/>
    <n v="1377"/>
    <n v="2024"/>
    <n v="5"/>
  </r>
  <r>
    <s v="SHP-31691"/>
    <d v="2024-08-21T00:00:00"/>
    <x v="2"/>
    <s v="Delhi"/>
    <x v="1"/>
    <x v="1"/>
    <x v="4"/>
    <s v="High"/>
    <n v="1"/>
    <n v="5"/>
    <n v="4"/>
    <s v="Yes"/>
    <n v="178"/>
    <n v="3960"/>
    <n v="10292"/>
    <n v="0"/>
    <s v="No"/>
    <s v="Major"/>
    <n v="2573"/>
    <n v="990"/>
    <n v="2024"/>
    <n v="8"/>
  </r>
  <r>
    <s v="SHP-31692"/>
    <d v="2024-03-28T00:00:00"/>
    <x v="0"/>
    <s v="Chennai"/>
    <x v="2"/>
    <x v="1"/>
    <x v="0"/>
    <s v="Medium"/>
    <n v="2"/>
    <n v="3"/>
    <n v="1"/>
    <s v="Yes"/>
    <n v="117"/>
    <n v="2097"/>
    <n v="2214"/>
    <n v="0"/>
    <s v="No"/>
    <s v="Minor"/>
    <n v="2214"/>
    <n v="2097"/>
    <n v="2024"/>
    <n v="3"/>
  </r>
  <r>
    <s v="SHP-31693"/>
    <d v="2024-11-24T00:00:00"/>
    <x v="2"/>
    <s v="Noida"/>
    <x v="0"/>
    <x v="1"/>
    <x v="0"/>
    <s v="Low"/>
    <n v="5"/>
    <n v="9"/>
    <n v="4"/>
    <s v="Yes"/>
    <n v="453"/>
    <n v="5716"/>
    <n v="14136"/>
    <n v="0"/>
    <s v="No"/>
    <s v="Major"/>
    <n v="3534"/>
    <n v="1429"/>
    <n v="2024"/>
    <n v="11"/>
  </r>
  <r>
    <s v="SHP-31694"/>
    <d v="2024-06-17T00:00:00"/>
    <x v="3"/>
    <s v="Mumbai"/>
    <x v="1"/>
    <x v="1"/>
    <x v="4"/>
    <s v="Medium"/>
    <n v="1"/>
    <n v="1"/>
    <n v="0"/>
    <s v="No"/>
    <n v="190"/>
    <n v="0"/>
    <n v="0"/>
    <n v="1"/>
    <s v="No"/>
    <s v="On Time"/>
    <n v="0"/>
    <n v="0"/>
    <n v="2024"/>
    <n v="6"/>
  </r>
  <r>
    <s v="SHP-31695"/>
    <d v="2024-10-12T00:00:00"/>
    <x v="3"/>
    <s v="Mumbai"/>
    <x v="0"/>
    <x v="1"/>
    <x v="0"/>
    <s v="High"/>
    <n v="1"/>
    <n v="8"/>
    <n v="7"/>
    <s v="Yes"/>
    <n v="260"/>
    <n v="9422"/>
    <n v="26670"/>
    <n v="0"/>
    <s v="No"/>
    <s v="Severe"/>
    <n v="3810"/>
    <n v="1346"/>
    <n v="2024"/>
    <n v="10"/>
  </r>
  <r>
    <s v="SHP-31696"/>
    <d v="2024-11-05T00:00:00"/>
    <x v="3"/>
    <s v="Mumbai"/>
    <x v="2"/>
    <x v="1"/>
    <x v="2"/>
    <s v="Low"/>
    <n v="2"/>
    <n v="7"/>
    <n v="5"/>
    <s v="Yes"/>
    <n v="137"/>
    <n v="9545"/>
    <n v="23220"/>
    <n v="0"/>
    <s v="No"/>
    <s v="Major"/>
    <n v="4644"/>
    <n v="1909"/>
    <n v="2024"/>
    <n v="11"/>
  </r>
  <r>
    <s v="SHP-31697"/>
    <d v="2024-08-04T00:00:00"/>
    <x v="3"/>
    <s v="Mumbai"/>
    <x v="0"/>
    <x v="1"/>
    <x v="0"/>
    <s v="Low"/>
    <n v="2"/>
    <n v="2"/>
    <n v="0"/>
    <s v="No"/>
    <n v="283"/>
    <n v="0"/>
    <n v="0"/>
    <n v="1"/>
    <s v="No"/>
    <s v="On Time"/>
    <n v="0"/>
    <n v="0"/>
    <n v="2024"/>
    <n v="8"/>
  </r>
  <r>
    <s v="SHP-31698"/>
    <d v="2024-06-14T00:00:00"/>
    <x v="2"/>
    <s v="Noida"/>
    <x v="0"/>
    <x v="1"/>
    <x v="0"/>
    <s v="Low"/>
    <n v="2"/>
    <n v="3"/>
    <n v="1"/>
    <s v="Yes"/>
    <n v="329"/>
    <n v="1925"/>
    <n v="4466"/>
    <n v="0"/>
    <s v="No"/>
    <s v="Minor"/>
    <n v="4466"/>
    <n v="1925"/>
    <n v="2024"/>
    <n v="6"/>
  </r>
  <r>
    <s v="SHP-31699"/>
    <d v="2024-07-26T00:00:00"/>
    <x v="2"/>
    <s v="Noida"/>
    <x v="2"/>
    <x v="1"/>
    <x v="1"/>
    <s v="High"/>
    <n v="2"/>
    <n v="4"/>
    <n v="2"/>
    <s v="Yes"/>
    <n v="92"/>
    <n v="3958"/>
    <n v="6468"/>
    <n v="0"/>
    <s v="No"/>
    <s v="Minor"/>
    <n v="3234"/>
    <n v="1979"/>
    <n v="2024"/>
    <n v="7"/>
  </r>
  <r>
    <s v="SHP-31700"/>
    <d v="2024-10-14T00:00:00"/>
    <x v="1"/>
    <s v="Bhubaneswar"/>
    <x v="1"/>
    <x v="1"/>
    <x v="1"/>
    <s v="Medium"/>
    <n v="1"/>
    <n v="2"/>
    <n v="1"/>
    <s v="Yes"/>
    <n v="354"/>
    <n v="1481"/>
    <n v="3598"/>
    <n v="0"/>
    <s v="No"/>
    <s v="Minor"/>
    <n v="3598"/>
    <n v="1481"/>
    <n v="2024"/>
    <n v="10"/>
  </r>
  <r>
    <s v="SHP-31701"/>
    <d v="2024-12-06T00:00:00"/>
    <x v="2"/>
    <s v="Delhi"/>
    <x v="0"/>
    <x v="1"/>
    <x v="4"/>
    <s v="Low"/>
    <n v="2"/>
    <n v="5"/>
    <n v="3"/>
    <s v="Yes"/>
    <n v="284"/>
    <n v="3210"/>
    <n v="11685"/>
    <n v="0"/>
    <s v="No"/>
    <s v="Major"/>
    <n v="3895"/>
    <n v="1070"/>
    <n v="2024"/>
    <n v="12"/>
  </r>
  <r>
    <s v="SHP-31702"/>
    <d v="2024-05-05T00:00:00"/>
    <x v="2"/>
    <s v="Delhi"/>
    <x v="0"/>
    <x v="0"/>
    <x v="4"/>
    <s v="High"/>
    <n v="1"/>
    <n v="7"/>
    <n v="6"/>
    <s v="Yes"/>
    <n v="164"/>
    <n v="7362"/>
    <n v="22764"/>
    <n v="0"/>
    <s v="No"/>
    <s v="Severe"/>
    <n v="3794"/>
    <n v="1227"/>
    <n v="2024"/>
    <n v="5"/>
  </r>
  <r>
    <s v="SHP-31703"/>
    <d v="2024-06-08T00:00:00"/>
    <x v="3"/>
    <s v="Pune"/>
    <x v="1"/>
    <x v="1"/>
    <x v="3"/>
    <s v="Medium"/>
    <n v="2"/>
    <n v="3"/>
    <n v="1"/>
    <s v="Yes"/>
    <n v="347"/>
    <n v="1423"/>
    <n v="3605"/>
    <n v="0"/>
    <s v="No"/>
    <s v="Minor"/>
    <n v="3605"/>
    <n v="1423"/>
    <n v="2024"/>
    <n v="6"/>
  </r>
  <r>
    <s v="SHP-31704"/>
    <d v="2024-08-19T00:00:00"/>
    <x v="1"/>
    <s v="Bhubaneswar"/>
    <x v="2"/>
    <x v="0"/>
    <x v="4"/>
    <s v="Low"/>
    <n v="2"/>
    <n v="4"/>
    <n v="2"/>
    <s v="Yes"/>
    <n v="497"/>
    <n v="4470"/>
    <n v="3162"/>
    <n v="0"/>
    <s v="No"/>
    <s v="Minor"/>
    <n v="1581"/>
    <n v="2235"/>
    <n v="2024"/>
    <n v="8"/>
  </r>
  <r>
    <s v="SHP-31705"/>
    <d v="2024-10-19T00:00:00"/>
    <x v="2"/>
    <s v="Delhi"/>
    <x v="0"/>
    <x v="0"/>
    <x v="1"/>
    <s v="High"/>
    <n v="2"/>
    <n v="6"/>
    <n v="4"/>
    <s v="Yes"/>
    <n v="172"/>
    <n v="8240"/>
    <n v="18312"/>
    <n v="0"/>
    <s v="No"/>
    <s v="Major"/>
    <n v="4578"/>
    <n v="2060"/>
    <n v="2024"/>
    <n v="10"/>
  </r>
  <r>
    <s v="SHP-31706"/>
    <d v="2024-09-29T00:00:00"/>
    <x v="3"/>
    <s v="Pune"/>
    <x v="0"/>
    <x v="0"/>
    <x v="0"/>
    <s v="Medium"/>
    <n v="1"/>
    <n v="4"/>
    <n v="3"/>
    <s v="Yes"/>
    <n v="265"/>
    <n v="3123"/>
    <n v="9543"/>
    <n v="0"/>
    <s v="No"/>
    <s v="Major"/>
    <n v="3181"/>
    <n v="1041"/>
    <n v="2024"/>
    <n v="9"/>
  </r>
  <r>
    <s v="SHP-31707"/>
    <d v="2024-08-11T00:00:00"/>
    <x v="1"/>
    <s v="Bhubaneswar"/>
    <x v="2"/>
    <x v="0"/>
    <x v="1"/>
    <s v="High"/>
    <n v="3"/>
    <n v="5"/>
    <n v="2"/>
    <s v="Yes"/>
    <n v="372"/>
    <n v="3988"/>
    <n v="5346"/>
    <n v="0"/>
    <s v="No"/>
    <s v="Minor"/>
    <n v="2673"/>
    <n v="1994"/>
    <n v="2024"/>
    <n v="8"/>
  </r>
  <r>
    <s v="SHP-31708"/>
    <d v="2024-04-20T00:00:00"/>
    <x v="0"/>
    <s v="Chennai"/>
    <x v="1"/>
    <x v="2"/>
    <x v="0"/>
    <s v="Low"/>
    <n v="2"/>
    <n v="8"/>
    <n v="6"/>
    <s v="Yes"/>
    <n v="480"/>
    <n v="10560"/>
    <n v="13728"/>
    <n v="0"/>
    <s v="No"/>
    <s v="Severe"/>
    <n v="2288"/>
    <n v="1760"/>
    <n v="2024"/>
    <n v="4"/>
  </r>
  <r>
    <s v="SHP-31709"/>
    <d v="2024-03-28T00:00:00"/>
    <x v="1"/>
    <s v="Bhubaneswar"/>
    <x v="1"/>
    <x v="2"/>
    <x v="2"/>
    <s v="Low"/>
    <n v="3"/>
    <n v="7"/>
    <n v="4"/>
    <s v="Yes"/>
    <n v="332"/>
    <n v="8292"/>
    <n v="9964"/>
    <n v="0"/>
    <s v="No"/>
    <s v="Major"/>
    <n v="2491"/>
    <n v="2073"/>
    <n v="2024"/>
    <n v="3"/>
  </r>
  <r>
    <s v="SHP-31710"/>
    <d v="2024-09-13T00:00:00"/>
    <x v="1"/>
    <s v="Kolkata"/>
    <x v="1"/>
    <x v="1"/>
    <x v="2"/>
    <s v="Low"/>
    <n v="2"/>
    <n v="5"/>
    <n v="3"/>
    <s v="Yes"/>
    <n v="64"/>
    <n v="5223"/>
    <n v="11454"/>
    <n v="0"/>
    <s v="No"/>
    <s v="Major"/>
    <n v="3818"/>
    <n v="1741"/>
    <n v="2024"/>
    <n v="9"/>
  </r>
  <r>
    <s v="SHP-31711"/>
    <d v="2024-02-14T00:00:00"/>
    <x v="3"/>
    <s v="Mumbai"/>
    <x v="2"/>
    <x v="2"/>
    <x v="2"/>
    <s v="Low"/>
    <n v="2"/>
    <n v="6"/>
    <n v="4"/>
    <s v="Yes"/>
    <n v="164"/>
    <n v="7504"/>
    <n v="9008"/>
    <n v="0"/>
    <s v="No"/>
    <s v="Major"/>
    <n v="2252"/>
    <n v="1876"/>
    <n v="2024"/>
    <n v="2"/>
  </r>
  <r>
    <s v="SHP-31712"/>
    <d v="2024-11-15T00:00:00"/>
    <x v="2"/>
    <s v="Noida"/>
    <x v="2"/>
    <x v="1"/>
    <x v="2"/>
    <s v="Low"/>
    <n v="3"/>
    <n v="5"/>
    <n v="2"/>
    <s v="Yes"/>
    <n v="463"/>
    <n v="2286"/>
    <n v="5476"/>
    <n v="0"/>
    <s v="No"/>
    <s v="Minor"/>
    <n v="2738"/>
    <n v="1143"/>
    <n v="2024"/>
    <n v="11"/>
  </r>
  <r>
    <s v="SHP-31713"/>
    <d v="2024-04-15T00:00:00"/>
    <x v="2"/>
    <s v="Delhi"/>
    <x v="2"/>
    <x v="1"/>
    <x v="3"/>
    <s v="Low"/>
    <n v="2"/>
    <n v="4"/>
    <n v="2"/>
    <s v="Yes"/>
    <n v="359"/>
    <n v="4592"/>
    <n v="6014"/>
    <n v="0"/>
    <s v="No"/>
    <s v="Minor"/>
    <n v="3007"/>
    <n v="2296"/>
    <n v="2024"/>
    <n v="4"/>
  </r>
  <r>
    <s v="SHP-31714"/>
    <d v="2024-10-12T00:00:00"/>
    <x v="1"/>
    <s v="Kolkata"/>
    <x v="1"/>
    <x v="1"/>
    <x v="2"/>
    <s v="Medium"/>
    <n v="3"/>
    <n v="6"/>
    <n v="3"/>
    <s v="Yes"/>
    <n v="316"/>
    <n v="6081"/>
    <n v="8955"/>
    <n v="0"/>
    <s v="No"/>
    <s v="Major"/>
    <n v="2985"/>
    <n v="2027"/>
    <n v="2024"/>
    <n v="10"/>
  </r>
  <r>
    <s v="SHP-31715"/>
    <d v="2024-04-28T00:00:00"/>
    <x v="0"/>
    <s v="Bengaluru"/>
    <x v="0"/>
    <x v="0"/>
    <x v="0"/>
    <s v="High"/>
    <n v="1"/>
    <n v="6"/>
    <n v="5"/>
    <s v="Yes"/>
    <n v="320"/>
    <n v="11650"/>
    <n v="24680"/>
    <n v="0"/>
    <s v="No"/>
    <s v="Major"/>
    <n v="4936"/>
    <n v="2330"/>
    <n v="2024"/>
    <n v="4"/>
  </r>
  <r>
    <s v="SHP-31716"/>
    <d v="2024-08-13T00:00:00"/>
    <x v="0"/>
    <s v="Chennai"/>
    <x v="1"/>
    <x v="0"/>
    <x v="0"/>
    <s v="Low"/>
    <n v="2"/>
    <n v="5"/>
    <n v="3"/>
    <s v="Yes"/>
    <n v="457"/>
    <n v="5091"/>
    <n v="14997"/>
    <n v="0"/>
    <s v="No"/>
    <s v="Major"/>
    <n v="4999"/>
    <n v="1697"/>
    <n v="2024"/>
    <n v="8"/>
  </r>
  <r>
    <s v="SHP-31717"/>
    <d v="2024-04-15T00:00:00"/>
    <x v="2"/>
    <s v="Delhi"/>
    <x v="0"/>
    <x v="0"/>
    <x v="1"/>
    <s v="Medium"/>
    <n v="1"/>
    <n v="6"/>
    <n v="5"/>
    <s v="Yes"/>
    <n v="441"/>
    <n v="6605"/>
    <n v="14790"/>
    <n v="0"/>
    <s v="No"/>
    <s v="Major"/>
    <n v="2958"/>
    <n v="1321"/>
    <n v="2024"/>
    <n v="4"/>
  </r>
  <r>
    <s v="SHP-31718"/>
    <d v="2024-05-19T00:00:00"/>
    <x v="1"/>
    <s v="Kolkata"/>
    <x v="2"/>
    <x v="1"/>
    <x v="4"/>
    <s v="Low"/>
    <n v="3"/>
    <n v="6"/>
    <n v="3"/>
    <s v="Yes"/>
    <n v="485"/>
    <n v="3843"/>
    <n v="6324"/>
    <n v="0"/>
    <s v="No"/>
    <s v="Major"/>
    <n v="2108"/>
    <n v="1281"/>
    <n v="2024"/>
    <n v="5"/>
  </r>
  <r>
    <s v="SHP-31719"/>
    <d v="2024-09-19T00:00:00"/>
    <x v="0"/>
    <s v="Chennai"/>
    <x v="1"/>
    <x v="1"/>
    <x v="3"/>
    <s v="Medium"/>
    <n v="5"/>
    <n v="9"/>
    <n v="4"/>
    <s v="Yes"/>
    <n v="113"/>
    <n v="7316"/>
    <n v="17992"/>
    <n v="0"/>
    <s v="No"/>
    <s v="Major"/>
    <n v="4498"/>
    <n v="1829"/>
    <n v="2024"/>
    <n v="9"/>
  </r>
  <r>
    <s v="SHP-31720"/>
    <d v="2024-11-28T00:00:00"/>
    <x v="3"/>
    <s v="Pune"/>
    <x v="2"/>
    <x v="0"/>
    <x v="4"/>
    <s v="Medium"/>
    <n v="3"/>
    <n v="8"/>
    <n v="5"/>
    <s v="Yes"/>
    <n v="120"/>
    <n v="11175"/>
    <n v="13260"/>
    <n v="0"/>
    <s v="No"/>
    <s v="Major"/>
    <n v="2652"/>
    <n v="2235"/>
    <n v="2024"/>
    <n v="11"/>
  </r>
  <r>
    <s v="SHP-31721"/>
    <d v="2024-09-08T00:00:00"/>
    <x v="0"/>
    <s v="Bengaluru"/>
    <x v="1"/>
    <x v="1"/>
    <x v="1"/>
    <s v="Low"/>
    <n v="1"/>
    <n v="5"/>
    <n v="4"/>
    <s v="Yes"/>
    <n v="332"/>
    <n v="7200"/>
    <n v="13504"/>
    <n v="0"/>
    <s v="No"/>
    <s v="Major"/>
    <n v="3376"/>
    <n v="1800"/>
    <n v="2024"/>
    <n v="9"/>
  </r>
  <r>
    <s v="SHP-31722"/>
    <d v="2024-08-10T00:00:00"/>
    <x v="1"/>
    <s v="Bhubaneswar"/>
    <x v="1"/>
    <x v="1"/>
    <x v="4"/>
    <s v="Medium"/>
    <n v="2"/>
    <n v="4"/>
    <n v="2"/>
    <s v="Yes"/>
    <n v="311"/>
    <n v="2932"/>
    <n v="4000"/>
    <n v="0"/>
    <s v="No"/>
    <s v="Minor"/>
    <n v="2000"/>
    <n v="1466"/>
    <n v="2024"/>
    <n v="8"/>
  </r>
  <r>
    <s v="SHP-31723"/>
    <d v="2024-09-27T00:00:00"/>
    <x v="0"/>
    <s v="Chennai"/>
    <x v="0"/>
    <x v="1"/>
    <x v="4"/>
    <s v="Medium"/>
    <n v="3"/>
    <n v="3"/>
    <n v="0"/>
    <s v="No"/>
    <n v="437"/>
    <n v="0"/>
    <n v="0"/>
    <n v="1"/>
    <s v="No"/>
    <s v="On Time"/>
    <n v="0"/>
    <n v="0"/>
    <n v="2024"/>
    <n v="9"/>
  </r>
  <r>
    <s v="SHP-31724"/>
    <d v="2024-02-29T00:00:00"/>
    <x v="2"/>
    <s v="Noida"/>
    <x v="2"/>
    <x v="0"/>
    <x v="4"/>
    <s v="Medium"/>
    <n v="2"/>
    <n v="4"/>
    <n v="2"/>
    <s v="Yes"/>
    <n v="260"/>
    <n v="2264"/>
    <n v="9804"/>
    <n v="0"/>
    <s v="No"/>
    <s v="Minor"/>
    <n v="4902"/>
    <n v="1132"/>
    <n v="2024"/>
    <n v="2"/>
  </r>
  <r>
    <s v="SHP-31725"/>
    <d v="2024-01-15T00:00:00"/>
    <x v="1"/>
    <s v="Bhubaneswar"/>
    <x v="2"/>
    <x v="0"/>
    <x v="0"/>
    <s v="Medium"/>
    <n v="1"/>
    <n v="6"/>
    <n v="5"/>
    <s v="Yes"/>
    <n v="482"/>
    <n v="8455"/>
    <n v="8210"/>
    <n v="0"/>
    <s v="No"/>
    <s v="Major"/>
    <n v="1642"/>
    <n v="1691"/>
    <n v="2024"/>
    <n v="1"/>
  </r>
  <r>
    <s v="SHP-31726"/>
    <d v="2024-03-24T00:00:00"/>
    <x v="2"/>
    <s v="Delhi"/>
    <x v="0"/>
    <x v="1"/>
    <x v="4"/>
    <s v="Low"/>
    <n v="2"/>
    <n v="2"/>
    <n v="0"/>
    <s v="No"/>
    <n v="415"/>
    <n v="0"/>
    <n v="0"/>
    <n v="1"/>
    <s v="No"/>
    <s v="On Time"/>
    <n v="0"/>
    <n v="0"/>
    <n v="2024"/>
    <n v="3"/>
  </r>
  <r>
    <s v="SHP-31727"/>
    <d v="2024-06-17T00:00:00"/>
    <x v="0"/>
    <s v="Chennai"/>
    <x v="1"/>
    <x v="1"/>
    <x v="0"/>
    <s v="Low"/>
    <n v="3"/>
    <n v="3"/>
    <n v="0"/>
    <s v="No"/>
    <n v="234"/>
    <n v="0"/>
    <n v="0"/>
    <n v="1"/>
    <s v="No"/>
    <s v="On Time"/>
    <n v="0"/>
    <n v="0"/>
    <n v="2024"/>
    <n v="6"/>
  </r>
  <r>
    <s v="SHP-31728"/>
    <d v="2024-12-12T00:00:00"/>
    <x v="3"/>
    <s v="Mumbai"/>
    <x v="0"/>
    <x v="1"/>
    <x v="0"/>
    <s v="Medium"/>
    <n v="2"/>
    <n v="3"/>
    <n v="1"/>
    <s v="Yes"/>
    <n v="172"/>
    <n v="1667"/>
    <n v="3525"/>
    <n v="0"/>
    <s v="No"/>
    <s v="Minor"/>
    <n v="3525"/>
    <n v="1667"/>
    <n v="2024"/>
    <n v="12"/>
  </r>
  <r>
    <s v="SHP-31729"/>
    <d v="2024-05-30T00:00:00"/>
    <x v="3"/>
    <s v="Mumbai"/>
    <x v="2"/>
    <x v="1"/>
    <x v="0"/>
    <s v="Low"/>
    <n v="1"/>
    <n v="4"/>
    <n v="3"/>
    <s v="Yes"/>
    <n v="298"/>
    <n v="5031"/>
    <n v="11763"/>
    <n v="0"/>
    <s v="No"/>
    <s v="Major"/>
    <n v="3921"/>
    <n v="1677"/>
    <n v="2024"/>
    <n v="5"/>
  </r>
  <r>
    <s v="SHP-31730"/>
    <d v="2024-10-22T00:00:00"/>
    <x v="1"/>
    <s v="Kolkata"/>
    <x v="0"/>
    <x v="1"/>
    <x v="2"/>
    <s v="Low"/>
    <n v="3"/>
    <n v="3"/>
    <n v="0"/>
    <s v="No"/>
    <n v="491"/>
    <n v="0"/>
    <n v="0"/>
    <n v="1"/>
    <s v="No"/>
    <s v="On Time"/>
    <n v="0"/>
    <n v="0"/>
    <n v="2024"/>
    <n v="10"/>
  </r>
  <r>
    <s v="SHP-31731"/>
    <d v="2024-07-13T00:00:00"/>
    <x v="2"/>
    <s v="Delhi"/>
    <x v="0"/>
    <x v="0"/>
    <x v="3"/>
    <s v="Low"/>
    <n v="2"/>
    <n v="4"/>
    <n v="2"/>
    <s v="Yes"/>
    <n v="419"/>
    <n v="3466"/>
    <n v="5506"/>
    <n v="0"/>
    <s v="No"/>
    <s v="Minor"/>
    <n v="2753"/>
    <n v="1733"/>
    <n v="2024"/>
    <n v="7"/>
  </r>
  <r>
    <s v="SHP-31732"/>
    <d v="2024-11-24T00:00:00"/>
    <x v="0"/>
    <s v="Chennai"/>
    <x v="0"/>
    <x v="1"/>
    <x v="0"/>
    <s v="High"/>
    <n v="1"/>
    <n v="4"/>
    <n v="3"/>
    <s v="Yes"/>
    <n v="456"/>
    <n v="3744"/>
    <n v="4638"/>
    <n v="0"/>
    <s v="No"/>
    <s v="Major"/>
    <n v="1546"/>
    <n v="1248"/>
    <n v="2024"/>
    <n v="11"/>
  </r>
  <r>
    <s v="SHP-31733"/>
    <d v="2024-04-17T00:00:00"/>
    <x v="1"/>
    <s v="Bhubaneswar"/>
    <x v="0"/>
    <x v="1"/>
    <x v="4"/>
    <s v="High"/>
    <n v="1"/>
    <n v="8"/>
    <n v="7"/>
    <s v="Yes"/>
    <n v="69"/>
    <n v="9765"/>
    <n v="16681"/>
    <n v="0"/>
    <s v="No"/>
    <s v="Severe"/>
    <n v="2383"/>
    <n v="1395"/>
    <n v="2024"/>
    <n v="4"/>
  </r>
  <r>
    <s v="SHP-31734"/>
    <d v="2024-08-06T00:00:00"/>
    <x v="2"/>
    <s v="Delhi"/>
    <x v="2"/>
    <x v="1"/>
    <x v="3"/>
    <s v="Low"/>
    <n v="2"/>
    <n v="2"/>
    <n v="0"/>
    <s v="No"/>
    <n v="114"/>
    <n v="0"/>
    <n v="0"/>
    <n v="1"/>
    <s v="No"/>
    <s v="On Time"/>
    <n v="0"/>
    <n v="0"/>
    <n v="2024"/>
    <n v="8"/>
  </r>
  <r>
    <s v="SHP-31735"/>
    <d v="2024-03-13T00:00:00"/>
    <x v="1"/>
    <s v="Kolkata"/>
    <x v="1"/>
    <x v="1"/>
    <x v="4"/>
    <s v="Low"/>
    <n v="1"/>
    <n v="4"/>
    <n v="3"/>
    <s v="Yes"/>
    <n v="92"/>
    <n v="3459"/>
    <n v="10803"/>
    <n v="0"/>
    <s v="No"/>
    <s v="Major"/>
    <n v="3601"/>
    <n v="1153"/>
    <n v="2024"/>
    <n v="3"/>
  </r>
  <r>
    <s v="SHP-31736"/>
    <d v="2024-01-01T00:00:00"/>
    <x v="3"/>
    <s v="Mumbai"/>
    <x v="2"/>
    <x v="0"/>
    <x v="2"/>
    <s v="Low"/>
    <n v="3"/>
    <n v="7"/>
    <n v="4"/>
    <s v="Yes"/>
    <n v="361"/>
    <n v="6324"/>
    <n v="9144"/>
    <n v="0"/>
    <s v="No"/>
    <s v="Major"/>
    <n v="2286"/>
    <n v="1581"/>
    <n v="2024"/>
    <n v="1"/>
  </r>
  <r>
    <s v="SHP-31737"/>
    <d v="2024-04-26T00:00:00"/>
    <x v="3"/>
    <s v="Mumbai"/>
    <x v="2"/>
    <x v="0"/>
    <x v="0"/>
    <s v="High"/>
    <n v="5"/>
    <n v="9"/>
    <n v="4"/>
    <s v="Yes"/>
    <n v="142"/>
    <n v="4844"/>
    <n v="17196"/>
    <n v="0"/>
    <s v="No"/>
    <s v="Major"/>
    <n v="4299"/>
    <n v="1211"/>
    <n v="2024"/>
    <n v="4"/>
  </r>
  <r>
    <s v="SHP-31738"/>
    <d v="2024-09-05T00:00:00"/>
    <x v="0"/>
    <s v="Bengaluru"/>
    <x v="0"/>
    <x v="1"/>
    <x v="4"/>
    <s v="Medium"/>
    <n v="2"/>
    <n v="6"/>
    <n v="4"/>
    <s v="Yes"/>
    <n v="176"/>
    <n v="4340"/>
    <n v="12896"/>
    <n v="0"/>
    <s v="No"/>
    <s v="Major"/>
    <n v="3224"/>
    <n v="1085"/>
    <n v="2024"/>
    <n v="9"/>
  </r>
  <r>
    <s v="SHP-31739"/>
    <d v="2024-01-30T00:00:00"/>
    <x v="2"/>
    <s v="Noida"/>
    <x v="1"/>
    <x v="0"/>
    <x v="4"/>
    <s v="High"/>
    <n v="1"/>
    <n v="4"/>
    <n v="3"/>
    <s v="Yes"/>
    <n v="135"/>
    <n v="5133"/>
    <n v="11439"/>
    <n v="0"/>
    <s v="No"/>
    <s v="Major"/>
    <n v="3813"/>
    <n v="1711"/>
    <n v="2024"/>
    <n v="1"/>
  </r>
  <r>
    <s v="SHP-31740"/>
    <d v="2024-04-14T00:00:00"/>
    <x v="3"/>
    <s v="Pune"/>
    <x v="2"/>
    <x v="1"/>
    <x v="0"/>
    <s v="Medium"/>
    <n v="1"/>
    <n v="1"/>
    <n v="0"/>
    <s v="No"/>
    <n v="183"/>
    <n v="0"/>
    <n v="0"/>
    <n v="1"/>
    <s v="No"/>
    <s v="On Time"/>
    <n v="0"/>
    <n v="0"/>
    <n v="2024"/>
    <n v="4"/>
  </r>
  <r>
    <s v="SHP-31741"/>
    <d v="2024-05-18T00:00:00"/>
    <x v="3"/>
    <s v="Mumbai"/>
    <x v="2"/>
    <x v="1"/>
    <x v="0"/>
    <s v="Low"/>
    <n v="2"/>
    <n v="2"/>
    <n v="0"/>
    <s v="No"/>
    <n v="95"/>
    <n v="0"/>
    <n v="0"/>
    <n v="1"/>
    <s v="No"/>
    <s v="On Time"/>
    <n v="0"/>
    <n v="0"/>
    <n v="2024"/>
    <n v="5"/>
  </r>
  <r>
    <s v="SHP-31742"/>
    <d v="2024-02-02T00:00:00"/>
    <x v="1"/>
    <s v="Kolkata"/>
    <x v="0"/>
    <x v="1"/>
    <x v="3"/>
    <s v="Medium"/>
    <n v="1"/>
    <n v="6"/>
    <n v="5"/>
    <s v="Yes"/>
    <n v="437"/>
    <n v="7855"/>
    <n v="13400"/>
    <n v="0"/>
    <s v="No"/>
    <s v="Major"/>
    <n v="2680"/>
    <n v="1571"/>
    <n v="2024"/>
    <n v="2"/>
  </r>
  <r>
    <s v="SHP-31743"/>
    <d v="2024-04-21T00:00:00"/>
    <x v="1"/>
    <s v="Kolkata"/>
    <x v="2"/>
    <x v="0"/>
    <x v="0"/>
    <s v="High"/>
    <n v="1"/>
    <n v="8"/>
    <n v="7"/>
    <s v="Yes"/>
    <n v="449"/>
    <n v="8603"/>
    <n v="18508"/>
    <n v="0"/>
    <s v="No"/>
    <s v="Severe"/>
    <n v="2644"/>
    <n v="1229"/>
    <n v="2024"/>
    <n v="4"/>
  </r>
  <r>
    <s v="SHP-31744"/>
    <d v="2024-08-19T00:00:00"/>
    <x v="1"/>
    <s v="Kolkata"/>
    <x v="2"/>
    <x v="1"/>
    <x v="0"/>
    <s v="Low"/>
    <n v="1"/>
    <n v="2"/>
    <n v="1"/>
    <s v="Yes"/>
    <n v="141"/>
    <n v="1139"/>
    <n v="1710"/>
    <n v="0"/>
    <s v="No"/>
    <s v="Minor"/>
    <n v="1710"/>
    <n v="1139"/>
    <n v="2024"/>
    <n v="8"/>
  </r>
  <r>
    <s v="SHP-31745"/>
    <d v="2024-08-09T00:00:00"/>
    <x v="2"/>
    <s v="Noida"/>
    <x v="2"/>
    <x v="1"/>
    <x v="3"/>
    <s v="High"/>
    <n v="2"/>
    <n v="5"/>
    <n v="3"/>
    <s v="Yes"/>
    <n v="472"/>
    <n v="5589"/>
    <n v="13968"/>
    <n v="0"/>
    <s v="No"/>
    <s v="Major"/>
    <n v="4656"/>
    <n v="1863"/>
    <n v="2024"/>
    <n v="8"/>
  </r>
  <r>
    <s v="SHP-31746"/>
    <d v="2024-10-25T00:00:00"/>
    <x v="0"/>
    <s v="Chennai"/>
    <x v="2"/>
    <x v="0"/>
    <x v="3"/>
    <s v="Medium"/>
    <n v="3"/>
    <n v="3"/>
    <n v="0"/>
    <s v="No"/>
    <n v="420"/>
    <n v="0"/>
    <n v="0"/>
    <n v="1"/>
    <s v="No"/>
    <s v="On Time"/>
    <n v="0"/>
    <n v="0"/>
    <n v="2024"/>
    <n v="10"/>
  </r>
  <r>
    <s v="SHP-31747"/>
    <d v="2024-10-09T00:00:00"/>
    <x v="2"/>
    <s v="Noida"/>
    <x v="2"/>
    <x v="1"/>
    <x v="1"/>
    <s v="Medium"/>
    <n v="2"/>
    <n v="5"/>
    <n v="3"/>
    <s v="Yes"/>
    <n v="281"/>
    <n v="4098"/>
    <n v="14457"/>
    <n v="0"/>
    <s v="No"/>
    <s v="Major"/>
    <n v="4819"/>
    <n v="1366"/>
    <n v="2024"/>
    <n v="10"/>
  </r>
  <r>
    <s v="SHP-31748"/>
    <d v="2024-02-03T00:00:00"/>
    <x v="3"/>
    <s v="Pune"/>
    <x v="1"/>
    <x v="0"/>
    <x v="1"/>
    <s v="Low"/>
    <n v="1"/>
    <n v="6"/>
    <n v="5"/>
    <s v="Yes"/>
    <n v="155"/>
    <n v="5325"/>
    <n v="23745"/>
    <n v="0"/>
    <s v="No"/>
    <s v="Major"/>
    <n v="4749"/>
    <n v="1065"/>
    <n v="2024"/>
    <n v="2"/>
  </r>
  <r>
    <s v="SHP-31749"/>
    <d v="2024-07-09T00:00:00"/>
    <x v="3"/>
    <s v="Pune"/>
    <x v="2"/>
    <x v="0"/>
    <x v="2"/>
    <s v="Medium"/>
    <n v="1"/>
    <n v="3"/>
    <n v="2"/>
    <s v="Yes"/>
    <n v="462"/>
    <n v="1624"/>
    <n v="9986"/>
    <n v="0"/>
    <s v="No"/>
    <s v="Minor"/>
    <n v="4993"/>
    <n v="812"/>
    <n v="2024"/>
    <n v="7"/>
  </r>
  <r>
    <s v="SHP-31750"/>
    <d v="2024-06-11T00:00:00"/>
    <x v="0"/>
    <s v="Bengaluru"/>
    <x v="2"/>
    <x v="1"/>
    <x v="0"/>
    <s v="Medium"/>
    <n v="1"/>
    <n v="5"/>
    <n v="4"/>
    <s v="Yes"/>
    <n v="204"/>
    <n v="8176"/>
    <n v="15944"/>
    <n v="0"/>
    <s v="No"/>
    <s v="Major"/>
    <n v="3986"/>
    <n v="2044"/>
    <n v="2024"/>
    <n v="6"/>
  </r>
  <r>
    <s v="SHP-31751"/>
    <d v="2024-01-02T00:00:00"/>
    <x v="3"/>
    <s v="Pune"/>
    <x v="1"/>
    <x v="1"/>
    <x v="0"/>
    <s v="Medium"/>
    <n v="3"/>
    <n v="7"/>
    <n v="4"/>
    <s v="Yes"/>
    <n v="191"/>
    <n v="5340"/>
    <n v="13876"/>
    <n v="0"/>
    <s v="No"/>
    <s v="Major"/>
    <n v="3469"/>
    <n v="1335"/>
    <n v="2024"/>
    <n v="1"/>
  </r>
  <r>
    <s v="SHP-31752"/>
    <d v="2024-06-03T00:00:00"/>
    <x v="3"/>
    <s v="Mumbai"/>
    <x v="1"/>
    <x v="1"/>
    <x v="3"/>
    <s v="Medium"/>
    <n v="2"/>
    <n v="6"/>
    <n v="4"/>
    <s v="Yes"/>
    <n v="185"/>
    <n v="8844"/>
    <n v="18816"/>
    <n v="0"/>
    <s v="No"/>
    <s v="Major"/>
    <n v="4704"/>
    <n v="2211"/>
    <n v="2024"/>
    <n v="6"/>
  </r>
  <r>
    <s v="SHP-31753"/>
    <d v="2024-06-08T00:00:00"/>
    <x v="2"/>
    <s v="Delhi"/>
    <x v="0"/>
    <x v="2"/>
    <x v="0"/>
    <s v="High"/>
    <n v="1"/>
    <n v="11"/>
    <n v="10"/>
    <s v="Yes"/>
    <n v="433"/>
    <n v="8400"/>
    <n v="47160"/>
    <n v="0"/>
    <s v="No"/>
    <s v="Severe"/>
    <n v="4716"/>
    <n v="840"/>
    <n v="2024"/>
    <n v="6"/>
  </r>
  <r>
    <s v="SHP-31754"/>
    <d v="2024-10-29T00:00:00"/>
    <x v="3"/>
    <s v="Pune"/>
    <x v="1"/>
    <x v="1"/>
    <x v="4"/>
    <s v="Medium"/>
    <n v="5"/>
    <n v="9"/>
    <n v="4"/>
    <s v="Yes"/>
    <n v="278"/>
    <n v="8112"/>
    <n v="6992"/>
    <n v="0"/>
    <s v="No"/>
    <s v="Major"/>
    <n v="1748"/>
    <n v="2028"/>
    <n v="2024"/>
    <n v="10"/>
  </r>
  <r>
    <s v="SHP-31755"/>
    <d v="2024-05-08T00:00:00"/>
    <x v="2"/>
    <s v="Delhi"/>
    <x v="0"/>
    <x v="2"/>
    <x v="4"/>
    <s v="Medium"/>
    <n v="1"/>
    <n v="3"/>
    <n v="2"/>
    <s v="Yes"/>
    <n v="63"/>
    <n v="1916"/>
    <n v="5544"/>
    <n v="0"/>
    <s v="No"/>
    <s v="Minor"/>
    <n v="2772"/>
    <n v="958"/>
    <n v="2024"/>
    <n v="5"/>
  </r>
  <r>
    <s v="SHP-31756"/>
    <d v="2024-06-24T00:00:00"/>
    <x v="1"/>
    <s v="Bhubaneswar"/>
    <x v="0"/>
    <x v="0"/>
    <x v="0"/>
    <s v="Medium"/>
    <n v="3"/>
    <n v="3"/>
    <n v="0"/>
    <s v="No"/>
    <n v="102"/>
    <n v="0"/>
    <n v="0"/>
    <n v="1"/>
    <s v="No"/>
    <s v="On Time"/>
    <n v="0"/>
    <n v="0"/>
    <n v="2024"/>
    <n v="6"/>
  </r>
  <r>
    <s v="SHP-31757"/>
    <d v="2024-11-04T00:00:00"/>
    <x v="2"/>
    <s v="Noida"/>
    <x v="2"/>
    <x v="1"/>
    <x v="0"/>
    <s v="Low"/>
    <n v="2"/>
    <n v="7"/>
    <n v="5"/>
    <s v="Yes"/>
    <n v="252"/>
    <n v="9705"/>
    <n v="18050"/>
    <n v="0"/>
    <s v="No"/>
    <s v="Major"/>
    <n v="3610"/>
    <n v="1941"/>
    <n v="2024"/>
    <n v="11"/>
  </r>
  <r>
    <s v="SHP-31758"/>
    <d v="2024-06-28T00:00:00"/>
    <x v="0"/>
    <s v="Chennai"/>
    <x v="0"/>
    <x v="1"/>
    <x v="0"/>
    <s v="High"/>
    <n v="2"/>
    <n v="5"/>
    <n v="3"/>
    <s v="Yes"/>
    <n v="421"/>
    <n v="3762"/>
    <n v="10557"/>
    <n v="0"/>
    <s v="No"/>
    <s v="Major"/>
    <n v="3519"/>
    <n v="1254"/>
    <n v="2024"/>
    <n v="6"/>
  </r>
  <r>
    <s v="SHP-31759"/>
    <d v="2024-08-27T00:00:00"/>
    <x v="0"/>
    <s v="Bengaluru"/>
    <x v="0"/>
    <x v="1"/>
    <x v="1"/>
    <s v="Medium"/>
    <n v="1"/>
    <n v="2"/>
    <n v="1"/>
    <s v="Yes"/>
    <n v="402"/>
    <n v="969"/>
    <n v="4016"/>
    <n v="0"/>
    <s v="No"/>
    <s v="Minor"/>
    <n v="4016"/>
    <n v="969"/>
    <n v="2024"/>
    <n v="8"/>
  </r>
  <r>
    <s v="SHP-31760"/>
    <d v="2024-05-07T00:00:00"/>
    <x v="0"/>
    <s v="Chennai"/>
    <x v="2"/>
    <x v="1"/>
    <x v="4"/>
    <s v="High"/>
    <n v="2"/>
    <n v="7"/>
    <n v="5"/>
    <s v="Yes"/>
    <n v="121"/>
    <n v="9510"/>
    <n v="12360"/>
    <n v="0"/>
    <s v="No"/>
    <s v="Major"/>
    <n v="2472"/>
    <n v="1902"/>
    <n v="2024"/>
    <n v="5"/>
  </r>
  <r>
    <s v="SHP-31761"/>
    <d v="2024-05-13T00:00:00"/>
    <x v="3"/>
    <s v="Pune"/>
    <x v="2"/>
    <x v="2"/>
    <x v="0"/>
    <s v="Low"/>
    <n v="3"/>
    <n v="9"/>
    <n v="6"/>
    <s v="Yes"/>
    <n v="189"/>
    <n v="8754"/>
    <n v="26382"/>
    <n v="0"/>
    <s v="No"/>
    <s v="Severe"/>
    <n v="4397"/>
    <n v="1459"/>
    <n v="2024"/>
    <n v="5"/>
  </r>
  <r>
    <s v="SHP-31762"/>
    <d v="2024-05-31T00:00:00"/>
    <x v="2"/>
    <s v="Noida"/>
    <x v="0"/>
    <x v="1"/>
    <x v="0"/>
    <s v="High"/>
    <n v="3"/>
    <n v="7"/>
    <n v="4"/>
    <s v="Yes"/>
    <n v="450"/>
    <n v="3640"/>
    <n v="19460"/>
    <n v="0"/>
    <s v="No"/>
    <s v="Major"/>
    <n v="4865"/>
    <n v="910"/>
    <n v="2024"/>
    <n v="5"/>
  </r>
  <r>
    <s v="SHP-31763"/>
    <d v="2024-02-12T00:00:00"/>
    <x v="0"/>
    <s v="Bengaluru"/>
    <x v="0"/>
    <x v="2"/>
    <x v="1"/>
    <s v="Low"/>
    <n v="1"/>
    <n v="5"/>
    <n v="4"/>
    <s v="Yes"/>
    <n v="415"/>
    <n v="9092"/>
    <n v="12112"/>
    <n v="0"/>
    <s v="No"/>
    <s v="Major"/>
    <n v="3028"/>
    <n v="2273"/>
    <n v="2024"/>
    <n v="2"/>
  </r>
  <r>
    <s v="SHP-31764"/>
    <d v="2024-03-05T00:00:00"/>
    <x v="3"/>
    <s v="Pune"/>
    <x v="2"/>
    <x v="0"/>
    <x v="3"/>
    <s v="Low"/>
    <n v="3"/>
    <n v="4"/>
    <n v="1"/>
    <s v="Yes"/>
    <n v="334"/>
    <n v="1984"/>
    <n v="1814"/>
    <n v="0"/>
    <s v="No"/>
    <s v="Minor"/>
    <n v="1814"/>
    <n v="1984"/>
    <n v="2024"/>
    <n v="3"/>
  </r>
  <r>
    <s v="SHP-31765"/>
    <d v="2024-01-02T00:00:00"/>
    <x v="0"/>
    <s v="Bengaluru"/>
    <x v="0"/>
    <x v="1"/>
    <x v="4"/>
    <s v="Medium"/>
    <n v="5"/>
    <n v="9"/>
    <n v="4"/>
    <s v="Yes"/>
    <n v="191"/>
    <n v="5160"/>
    <n v="14680"/>
    <n v="0"/>
    <s v="No"/>
    <s v="Major"/>
    <n v="3670"/>
    <n v="1290"/>
    <n v="2024"/>
    <n v="1"/>
  </r>
  <r>
    <s v="SHP-31766"/>
    <d v="2024-08-21T00:00:00"/>
    <x v="3"/>
    <s v="Pune"/>
    <x v="0"/>
    <x v="0"/>
    <x v="1"/>
    <s v="High"/>
    <n v="2"/>
    <n v="5"/>
    <n v="3"/>
    <s v="Yes"/>
    <n v="326"/>
    <n v="5325"/>
    <n v="7209"/>
    <n v="0"/>
    <s v="No"/>
    <s v="Major"/>
    <n v="2403"/>
    <n v="1775"/>
    <n v="2024"/>
    <n v="8"/>
  </r>
  <r>
    <s v="SHP-31767"/>
    <d v="2024-11-09T00:00:00"/>
    <x v="2"/>
    <s v="Delhi"/>
    <x v="0"/>
    <x v="1"/>
    <x v="0"/>
    <s v="Medium"/>
    <n v="2"/>
    <n v="5"/>
    <n v="3"/>
    <s v="Yes"/>
    <n v="141"/>
    <n v="2772"/>
    <n v="14331"/>
    <n v="0"/>
    <s v="No"/>
    <s v="Major"/>
    <n v="4777"/>
    <n v="924"/>
    <n v="2024"/>
    <n v="11"/>
  </r>
  <r>
    <s v="SHP-31768"/>
    <d v="2024-04-02T00:00:00"/>
    <x v="0"/>
    <s v="Bengaluru"/>
    <x v="1"/>
    <x v="2"/>
    <x v="4"/>
    <s v="Medium"/>
    <n v="1"/>
    <n v="7"/>
    <n v="6"/>
    <s v="Yes"/>
    <n v="325"/>
    <n v="12048"/>
    <n v="20838"/>
    <n v="0"/>
    <s v="No"/>
    <s v="Severe"/>
    <n v="3473"/>
    <n v="2008"/>
    <n v="2024"/>
    <n v="4"/>
  </r>
  <r>
    <s v="SHP-31769"/>
    <d v="2024-10-21T00:00:00"/>
    <x v="2"/>
    <s v="Delhi"/>
    <x v="2"/>
    <x v="0"/>
    <x v="2"/>
    <s v="Low"/>
    <n v="2"/>
    <n v="7"/>
    <n v="5"/>
    <s v="Yes"/>
    <n v="238"/>
    <n v="5345"/>
    <n v="19195"/>
    <n v="0"/>
    <s v="No"/>
    <s v="Major"/>
    <n v="3839"/>
    <n v="1069"/>
    <n v="2024"/>
    <n v="10"/>
  </r>
  <r>
    <s v="SHP-31770"/>
    <d v="2024-01-20T00:00:00"/>
    <x v="3"/>
    <s v="Mumbai"/>
    <x v="1"/>
    <x v="1"/>
    <x v="0"/>
    <s v="Medium"/>
    <n v="3"/>
    <n v="5"/>
    <n v="2"/>
    <s v="Yes"/>
    <n v="282"/>
    <n v="4802"/>
    <n v="9360"/>
    <n v="0"/>
    <s v="No"/>
    <s v="Minor"/>
    <n v="4680"/>
    <n v="2401"/>
    <n v="2024"/>
    <n v="1"/>
  </r>
  <r>
    <s v="SHP-31771"/>
    <d v="2024-09-30T00:00:00"/>
    <x v="3"/>
    <s v="Mumbai"/>
    <x v="0"/>
    <x v="1"/>
    <x v="4"/>
    <s v="Medium"/>
    <n v="5"/>
    <n v="8"/>
    <n v="3"/>
    <s v="Yes"/>
    <n v="197"/>
    <n v="7401"/>
    <n v="12423"/>
    <n v="0"/>
    <s v="No"/>
    <s v="Major"/>
    <n v="4141"/>
    <n v="2467"/>
    <n v="2024"/>
    <n v="9"/>
  </r>
  <r>
    <s v="SHP-31772"/>
    <d v="2024-06-01T00:00:00"/>
    <x v="3"/>
    <s v="Pune"/>
    <x v="1"/>
    <x v="2"/>
    <x v="4"/>
    <s v="High"/>
    <n v="5"/>
    <n v="12"/>
    <n v="7"/>
    <s v="Yes"/>
    <n v="113"/>
    <n v="6195"/>
    <n v="11732"/>
    <n v="0"/>
    <s v="No"/>
    <s v="Severe"/>
    <n v="1676"/>
    <n v="885"/>
    <n v="2024"/>
    <n v="6"/>
  </r>
  <r>
    <s v="SHP-31773"/>
    <d v="2024-12-12T00:00:00"/>
    <x v="2"/>
    <s v="Delhi"/>
    <x v="1"/>
    <x v="1"/>
    <x v="3"/>
    <s v="High"/>
    <n v="3"/>
    <n v="8"/>
    <n v="5"/>
    <s v="Yes"/>
    <n v="313"/>
    <n v="11610"/>
    <n v="8375"/>
    <n v="0"/>
    <s v="No"/>
    <s v="Major"/>
    <n v="1675"/>
    <n v="2322"/>
    <n v="2024"/>
    <n v="12"/>
  </r>
  <r>
    <s v="SHP-31774"/>
    <d v="2024-12-30T00:00:00"/>
    <x v="2"/>
    <s v="Delhi"/>
    <x v="2"/>
    <x v="1"/>
    <x v="0"/>
    <s v="Low"/>
    <n v="2"/>
    <n v="7"/>
    <n v="5"/>
    <s v="Yes"/>
    <n v="418"/>
    <n v="11790"/>
    <n v="18365"/>
    <n v="0"/>
    <s v="No"/>
    <s v="Major"/>
    <n v="3673"/>
    <n v="2358"/>
    <n v="2024"/>
    <n v="12"/>
  </r>
  <r>
    <s v="SHP-31775"/>
    <d v="2024-05-16T00:00:00"/>
    <x v="1"/>
    <s v="Kolkata"/>
    <x v="2"/>
    <x v="1"/>
    <x v="2"/>
    <s v="High"/>
    <n v="3"/>
    <n v="11"/>
    <n v="8"/>
    <s v="Yes"/>
    <n v="496"/>
    <n v="11640"/>
    <n v="29376"/>
    <n v="0"/>
    <s v="No"/>
    <s v="Severe"/>
    <n v="3672"/>
    <n v="1455"/>
    <n v="2024"/>
    <n v="5"/>
  </r>
  <r>
    <s v="SHP-31776"/>
    <d v="2024-04-04T00:00:00"/>
    <x v="3"/>
    <s v="Mumbai"/>
    <x v="0"/>
    <x v="2"/>
    <x v="2"/>
    <s v="High"/>
    <n v="2"/>
    <n v="11"/>
    <n v="9"/>
    <s v="Yes"/>
    <n v="376"/>
    <n v="14760"/>
    <n v="20916"/>
    <n v="0"/>
    <s v="No"/>
    <s v="Severe"/>
    <n v="2324"/>
    <n v="1640"/>
    <n v="2024"/>
    <n v="4"/>
  </r>
  <r>
    <s v="SHP-31777"/>
    <d v="2024-12-22T00:00:00"/>
    <x v="1"/>
    <s v="Bhubaneswar"/>
    <x v="2"/>
    <x v="2"/>
    <x v="4"/>
    <s v="High"/>
    <n v="2"/>
    <n v="10"/>
    <n v="8"/>
    <s v="Yes"/>
    <n v="154"/>
    <n v="18080"/>
    <n v="24024"/>
    <n v="0"/>
    <s v="No"/>
    <s v="Severe"/>
    <n v="3003"/>
    <n v="2260"/>
    <n v="2024"/>
    <n v="12"/>
  </r>
  <r>
    <s v="SHP-31778"/>
    <d v="2024-05-08T00:00:00"/>
    <x v="1"/>
    <s v="Kolkata"/>
    <x v="0"/>
    <x v="1"/>
    <x v="0"/>
    <s v="Low"/>
    <n v="2"/>
    <n v="5"/>
    <n v="3"/>
    <s v="Yes"/>
    <n v="225"/>
    <n v="5898"/>
    <n v="10611"/>
    <n v="0"/>
    <s v="No"/>
    <s v="Major"/>
    <n v="3537"/>
    <n v="1966"/>
    <n v="2024"/>
    <n v="5"/>
  </r>
  <r>
    <s v="SHP-31779"/>
    <d v="2024-07-04T00:00:00"/>
    <x v="2"/>
    <s v="Delhi"/>
    <x v="2"/>
    <x v="1"/>
    <x v="1"/>
    <s v="Medium"/>
    <n v="2"/>
    <n v="2"/>
    <n v="0"/>
    <s v="No"/>
    <n v="165"/>
    <n v="0"/>
    <n v="0"/>
    <n v="1"/>
    <s v="No"/>
    <s v="On Time"/>
    <n v="0"/>
    <n v="0"/>
    <n v="2024"/>
    <n v="7"/>
  </r>
  <r>
    <s v="SHP-31780"/>
    <d v="2024-10-28T00:00:00"/>
    <x v="2"/>
    <s v="Delhi"/>
    <x v="2"/>
    <x v="1"/>
    <x v="2"/>
    <s v="Medium"/>
    <n v="1"/>
    <n v="4"/>
    <n v="3"/>
    <s v="Yes"/>
    <n v="456"/>
    <n v="3573"/>
    <n v="12363"/>
    <n v="0"/>
    <s v="No"/>
    <s v="Major"/>
    <n v="4121"/>
    <n v="1191"/>
    <n v="2024"/>
    <n v="10"/>
  </r>
  <r>
    <s v="SHP-31781"/>
    <d v="2024-07-20T00:00:00"/>
    <x v="3"/>
    <s v="Mumbai"/>
    <x v="2"/>
    <x v="2"/>
    <x v="1"/>
    <s v="Low"/>
    <n v="1"/>
    <n v="4"/>
    <n v="3"/>
    <s v="Yes"/>
    <n v="155"/>
    <n v="4257"/>
    <n v="14991"/>
    <n v="0"/>
    <s v="No"/>
    <s v="Major"/>
    <n v="4997"/>
    <n v="1419"/>
    <n v="2024"/>
    <n v="7"/>
  </r>
  <r>
    <s v="SHP-31782"/>
    <d v="2024-09-20T00:00:00"/>
    <x v="1"/>
    <s v="Bhubaneswar"/>
    <x v="2"/>
    <x v="2"/>
    <x v="0"/>
    <s v="Low"/>
    <n v="3"/>
    <n v="5"/>
    <n v="2"/>
    <s v="Yes"/>
    <n v="58"/>
    <n v="2974"/>
    <n v="7160"/>
    <n v="0"/>
    <s v="No"/>
    <s v="Minor"/>
    <n v="3580"/>
    <n v="1487"/>
    <n v="2024"/>
    <n v="9"/>
  </r>
  <r>
    <s v="SHP-31783"/>
    <d v="2024-01-07T00:00:00"/>
    <x v="1"/>
    <s v="Kolkata"/>
    <x v="0"/>
    <x v="1"/>
    <x v="0"/>
    <s v="Low"/>
    <n v="1"/>
    <n v="1"/>
    <n v="0"/>
    <s v="No"/>
    <n v="181"/>
    <n v="0"/>
    <n v="0"/>
    <n v="1"/>
    <s v="No"/>
    <s v="On Time"/>
    <n v="0"/>
    <n v="0"/>
    <n v="2024"/>
    <n v="1"/>
  </r>
  <r>
    <s v="SHP-31784"/>
    <d v="2024-03-17T00:00:00"/>
    <x v="3"/>
    <s v="Pune"/>
    <x v="1"/>
    <x v="0"/>
    <x v="0"/>
    <s v="Medium"/>
    <n v="1"/>
    <n v="4"/>
    <n v="3"/>
    <s v="Yes"/>
    <n v="346"/>
    <n v="4344"/>
    <n v="6159"/>
    <n v="0"/>
    <s v="No"/>
    <s v="Major"/>
    <n v="2053"/>
    <n v="1448"/>
    <n v="2024"/>
    <n v="3"/>
  </r>
  <r>
    <s v="SHP-31785"/>
    <d v="2024-05-30T00:00:00"/>
    <x v="3"/>
    <s v="Pune"/>
    <x v="1"/>
    <x v="0"/>
    <x v="2"/>
    <s v="Low"/>
    <n v="2"/>
    <n v="6"/>
    <n v="4"/>
    <s v="Yes"/>
    <n v="399"/>
    <n v="5884"/>
    <n v="16780"/>
    <n v="0"/>
    <s v="No"/>
    <s v="Major"/>
    <n v="4195"/>
    <n v="1471"/>
    <n v="2024"/>
    <n v="5"/>
  </r>
  <r>
    <s v="SHP-31786"/>
    <d v="2024-10-17T00:00:00"/>
    <x v="2"/>
    <s v="Delhi"/>
    <x v="0"/>
    <x v="1"/>
    <x v="2"/>
    <s v="Medium"/>
    <n v="3"/>
    <n v="7"/>
    <n v="4"/>
    <s v="Yes"/>
    <n v="451"/>
    <n v="8500"/>
    <n v="19048"/>
    <n v="0"/>
    <s v="No"/>
    <s v="Major"/>
    <n v="4762"/>
    <n v="2125"/>
    <n v="2024"/>
    <n v="10"/>
  </r>
  <r>
    <s v="SHP-31787"/>
    <d v="2024-09-08T00:00:00"/>
    <x v="1"/>
    <s v="Kolkata"/>
    <x v="2"/>
    <x v="1"/>
    <x v="1"/>
    <s v="Medium"/>
    <n v="2"/>
    <n v="5"/>
    <n v="3"/>
    <s v="Yes"/>
    <n v="379"/>
    <n v="3723"/>
    <n v="5088"/>
    <n v="0"/>
    <s v="No"/>
    <s v="Major"/>
    <n v="1696"/>
    <n v="1241"/>
    <n v="2024"/>
    <n v="9"/>
  </r>
  <r>
    <s v="SHP-31788"/>
    <d v="2024-11-30T00:00:00"/>
    <x v="0"/>
    <s v="Bengaluru"/>
    <x v="1"/>
    <x v="2"/>
    <x v="0"/>
    <s v="Low"/>
    <n v="2"/>
    <n v="5"/>
    <n v="3"/>
    <s v="Yes"/>
    <n v="342"/>
    <n v="5970"/>
    <n v="10956"/>
    <n v="0"/>
    <s v="No"/>
    <s v="Major"/>
    <n v="3652"/>
    <n v="1990"/>
    <n v="2024"/>
    <n v="11"/>
  </r>
  <r>
    <s v="SHP-31789"/>
    <d v="2024-06-13T00:00:00"/>
    <x v="0"/>
    <s v="Chennai"/>
    <x v="0"/>
    <x v="1"/>
    <x v="0"/>
    <s v="Low"/>
    <n v="1"/>
    <n v="3"/>
    <n v="2"/>
    <s v="Yes"/>
    <n v="174"/>
    <n v="2686"/>
    <n v="4402"/>
    <n v="0"/>
    <s v="No"/>
    <s v="Minor"/>
    <n v="2201"/>
    <n v="1343"/>
    <n v="2024"/>
    <n v="6"/>
  </r>
  <r>
    <s v="SHP-31790"/>
    <d v="2024-03-07T00:00:00"/>
    <x v="1"/>
    <s v="Bhubaneswar"/>
    <x v="1"/>
    <x v="0"/>
    <x v="2"/>
    <s v="Medium"/>
    <n v="3"/>
    <n v="7"/>
    <n v="4"/>
    <s v="Yes"/>
    <n v="101"/>
    <n v="5232"/>
    <n v="11360"/>
    <n v="0"/>
    <s v="No"/>
    <s v="Major"/>
    <n v="2840"/>
    <n v="1308"/>
    <n v="2024"/>
    <n v="3"/>
  </r>
  <r>
    <s v="SHP-31791"/>
    <d v="2024-05-29T00:00:00"/>
    <x v="2"/>
    <s v="Noida"/>
    <x v="2"/>
    <x v="0"/>
    <x v="0"/>
    <s v="Low"/>
    <n v="1"/>
    <n v="5"/>
    <n v="4"/>
    <s v="Yes"/>
    <n v="345"/>
    <n v="9688"/>
    <n v="6116"/>
    <n v="0"/>
    <s v="No"/>
    <s v="Major"/>
    <n v="1529"/>
    <n v="2422"/>
    <n v="2024"/>
    <n v="5"/>
  </r>
  <r>
    <s v="SHP-31792"/>
    <d v="2024-02-05T00:00:00"/>
    <x v="2"/>
    <s v="Noida"/>
    <x v="2"/>
    <x v="2"/>
    <x v="0"/>
    <s v="Low"/>
    <n v="3"/>
    <n v="6"/>
    <n v="3"/>
    <s v="Yes"/>
    <n v="138"/>
    <n v="6123"/>
    <n v="11673"/>
    <n v="0"/>
    <s v="No"/>
    <s v="Major"/>
    <n v="3891"/>
    <n v="2041"/>
    <n v="2024"/>
    <n v="2"/>
  </r>
  <r>
    <s v="SHP-31793"/>
    <d v="2024-08-20T00:00:00"/>
    <x v="2"/>
    <s v="Delhi"/>
    <x v="0"/>
    <x v="1"/>
    <x v="4"/>
    <s v="Low"/>
    <n v="2"/>
    <n v="2"/>
    <n v="0"/>
    <s v="No"/>
    <n v="426"/>
    <n v="0"/>
    <n v="0"/>
    <n v="1"/>
    <s v="No"/>
    <s v="On Time"/>
    <n v="0"/>
    <n v="0"/>
    <n v="2024"/>
    <n v="8"/>
  </r>
  <r>
    <s v="SHP-31794"/>
    <d v="2024-07-30T00:00:00"/>
    <x v="3"/>
    <s v="Mumbai"/>
    <x v="2"/>
    <x v="1"/>
    <x v="2"/>
    <s v="Low"/>
    <n v="1"/>
    <n v="1"/>
    <n v="0"/>
    <s v="No"/>
    <n v="357"/>
    <n v="0"/>
    <n v="0"/>
    <n v="1"/>
    <s v="No"/>
    <s v="On Time"/>
    <n v="0"/>
    <n v="0"/>
    <n v="2024"/>
    <n v="7"/>
  </r>
  <r>
    <s v="SHP-31795"/>
    <d v="2024-07-31T00:00:00"/>
    <x v="3"/>
    <s v="Pune"/>
    <x v="2"/>
    <x v="2"/>
    <x v="0"/>
    <s v="Low"/>
    <n v="1"/>
    <n v="5"/>
    <n v="4"/>
    <s v="Yes"/>
    <n v="88"/>
    <n v="3696"/>
    <n v="10292"/>
    <n v="0"/>
    <s v="No"/>
    <s v="Major"/>
    <n v="2573"/>
    <n v="924"/>
    <n v="2024"/>
    <n v="7"/>
  </r>
  <r>
    <s v="SHP-31796"/>
    <d v="2024-04-12T00:00:00"/>
    <x v="1"/>
    <s v="Kolkata"/>
    <x v="0"/>
    <x v="1"/>
    <x v="2"/>
    <s v="Low"/>
    <n v="3"/>
    <n v="4"/>
    <n v="1"/>
    <s v="Yes"/>
    <n v="92"/>
    <n v="834"/>
    <n v="4652"/>
    <n v="0"/>
    <s v="No"/>
    <s v="Minor"/>
    <n v="4652"/>
    <n v="834"/>
    <n v="2024"/>
    <n v="4"/>
  </r>
  <r>
    <s v="SHP-31797"/>
    <d v="2024-03-21T00:00:00"/>
    <x v="0"/>
    <s v="Chennai"/>
    <x v="2"/>
    <x v="2"/>
    <x v="3"/>
    <s v="High"/>
    <n v="2"/>
    <n v="6"/>
    <n v="4"/>
    <s v="Yes"/>
    <n v="374"/>
    <n v="3872"/>
    <n v="15344"/>
    <n v="0"/>
    <s v="No"/>
    <s v="Major"/>
    <n v="3836"/>
    <n v="968"/>
    <n v="2024"/>
    <n v="3"/>
  </r>
  <r>
    <s v="SHP-31798"/>
    <d v="2024-12-25T00:00:00"/>
    <x v="3"/>
    <s v="Pune"/>
    <x v="0"/>
    <x v="0"/>
    <x v="1"/>
    <s v="Medium"/>
    <n v="1"/>
    <n v="3"/>
    <n v="2"/>
    <s v="Yes"/>
    <n v="268"/>
    <n v="3072"/>
    <n v="8508"/>
    <n v="0"/>
    <s v="No"/>
    <s v="Minor"/>
    <n v="4254"/>
    <n v="1536"/>
    <n v="2024"/>
    <n v="12"/>
  </r>
  <r>
    <s v="SHP-31799"/>
    <d v="2024-05-13T00:00:00"/>
    <x v="3"/>
    <s v="Mumbai"/>
    <x v="2"/>
    <x v="1"/>
    <x v="0"/>
    <s v="High"/>
    <n v="2"/>
    <n v="8"/>
    <n v="6"/>
    <s v="Yes"/>
    <n v="470"/>
    <n v="10188"/>
    <n v="21822"/>
    <n v="0"/>
    <s v="No"/>
    <s v="Severe"/>
    <n v="3637"/>
    <n v="1698"/>
    <n v="2024"/>
    <n v="5"/>
  </r>
  <r>
    <s v="SHP-31800"/>
    <d v="2024-08-13T00:00:00"/>
    <x v="2"/>
    <s v="Delhi"/>
    <x v="0"/>
    <x v="0"/>
    <x v="0"/>
    <s v="Medium"/>
    <n v="5"/>
    <n v="5"/>
    <n v="0"/>
    <s v="No"/>
    <n v="345"/>
    <n v="0"/>
    <n v="0"/>
    <n v="1"/>
    <s v="No"/>
    <s v="On Time"/>
    <n v="0"/>
    <n v="0"/>
    <n v="2024"/>
    <n v="8"/>
  </r>
  <r>
    <s v="SHP-31801"/>
    <d v="2024-03-07T00:00:00"/>
    <x v="1"/>
    <s v="Kolkata"/>
    <x v="2"/>
    <x v="0"/>
    <x v="1"/>
    <s v="High"/>
    <n v="5"/>
    <n v="12"/>
    <n v="7"/>
    <s v="Yes"/>
    <n v="57"/>
    <n v="13713"/>
    <n v="20615"/>
    <n v="0"/>
    <s v="No"/>
    <s v="Severe"/>
    <n v="2945"/>
    <n v="1959"/>
    <n v="2024"/>
    <n v="3"/>
  </r>
  <r>
    <s v="SHP-31802"/>
    <d v="2024-10-01T00:00:00"/>
    <x v="3"/>
    <s v="Pune"/>
    <x v="0"/>
    <x v="2"/>
    <x v="4"/>
    <s v="High"/>
    <n v="2"/>
    <n v="11"/>
    <n v="9"/>
    <s v="Yes"/>
    <n v="396"/>
    <n v="16209"/>
    <n v="41310"/>
    <n v="0"/>
    <s v="No"/>
    <s v="Severe"/>
    <n v="4590"/>
    <n v="1801"/>
    <n v="2024"/>
    <n v="10"/>
  </r>
  <r>
    <s v="SHP-31803"/>
    <d v="2024-05-05T00:00:00"/>
    <x v="1"/>
    <s v="Bhubaneswar"/>
    <x v="2"/>
    <x v="1"/>
    <x v="2"/>
    <s v="Medium"/>
    <n v="1"/>
    <n v="6"/>
    <n v="5"/>
    <s v="Yes"/>
    <n v="192"/>
    <n v="8045"/>
    <n v="19400"/>
    <n v="0"/>
    <s v="No"/>
    <s v="Major"/>
    <n v="3880"/>
    <n v="1609"/>
    <n v="2024"/>
    <n v="5"/>
  </r>
  <r>
    <s v="SHP-31804"/>
    <d v="2024-09-27T00:00:00"/>
    <x v="2"/>
    <s v="Noida"/>
    <x v="2"/>
    <x v="2"/>
    <x v="3"/>
    <s v="Medium"/>
    <n v="1"/>
    <n v="3"/>
    <n v="2"/>
    <s v="Yes"/>
    <n v="461"/>
    <n v="3260"/>
    <n v="8166"/>
    <n v="0"/>
    <s v="No"/>
    <s v="Minor"/>
    <n v="4083"/>
    <n v="1630"/>
    <n v="2024"/>
    <n v="9"/>
  </r>
  <r>
    <s v="SHP-31805"/>
    <d v="2024-10-03T00:00:00"/>
    <x v="0"/>
    <s v="Chennai"/>
    <x v="1"/>
    <x v="0"/>
    <x v="3"/>
    <s v="Low"/>
    <n v="3"/>
    <n v="7"/>
    <n v="4"/>
    <s v="Yes"/>
    <n v="201"/>
    <n v="6452"/>
    <n v="17908"/>
    <n v="0"/>
    <s v="No"/>
    <s v="Major"/>
    <n v="4477"/>
    <n v="1613"/>
    <n v="2024"/>
    <n v="10"/>
  </r>
  <r>
    <s v="SHP-31806"/>
    <d v="2024-01-26T00:00:00"/>
    <x v="1"/>
    <s v="Kolkata"/>
    <x v="0"/>
    <x v="1"/>
    <x v="4"/>
    <s v="Low"/>
    <n v="5"/>
    <n v="10"/>
    <n v="5"/>
    <s v="Yes"/>
    <n v="215"/>
    <n v="4050"/>
    <n v="23265"/>
    <n v="0"/>
    <s v="No"/>
    <s v="Major"/>
    <n v="4653"/>
    <n v="810"/>
    <n v="2024"/>
    <n v="1"/>
  </r>
  <r>
    <s v="SHP-31807"/>
    <d v="2024-07-16T00:00:00"/>
    <x v="0"/>
    <s v="Bengaluru"/>
    <x v="1"/>
    <x v="1"/>
    <x v="2"/>
    <s v="Low"/>
    <n v="3"/>
    <n v="8"/>
    <n v="5"/>
    <s v="Yes"/>
    <n v="448"/>
    <n v="8490"/>
    <n v="15285"/>
    <n v="0"/>
    <s v="No"/>
    <s v="Major"/>
    <n v="3057"/>
    <n v="1698"/>
    <n v="2024"/>
    <n v="7"/>
  </r>
  <r>
    <s v="SHP-31808"/>
    <d v="2024-05-02T00:00:00"/>
    <x v="1"/>
    <s v="Kolkata"/>
    <x v="2"/>
    <x v="1"/>
    <x v="1"/>
    <s v="Medium"/>
    <n v="1"/>
    <n v="5"/>
    <n v="4"/>
    <s v="Yes"/>
    <n v="64"/>
    <n v="3440"/>
    <n v="12056"/>
    <n v="0"/>
    <s v="No"/>
    <s v="Major"/>
    <n v="3014"/>
    <n v="860"/>
    <n v="2024"/>
    <n v="5"/>
  </r>
  <r>
    <s v="SHP-31809"/>
    <d v="2024-09-10T00:00:00"/>
    <x v="0"/>
    <s v="Chennai"/>
    <x v="1"/>
    <x v="1"/>
    <x v="3"/>
    <s v="Low"/>
    <n v="2"/>
    <n v="4"/>
    <n v="2"/>
    <s v="Yes"/>
    <n v="146"/>
    <n v="4904"/>
    <n v="4752"/>
    <n v="0"/>
    <s v="No"/>
    <s v="Minor"/>
    <n v="2376"/>
    <n v="2452"/>
    <n v="2024"/>
    <n v="9"/>
  </r>
  <r>
    <s v="SHP-31810"/>
    <d v="2024-06-14T00:00:00"/>
    <x v="2"/>
    <s v="Delhi"/>
    <x v="2"/>
    <x v="2"/>
    <x v="1"/>
    <s v="Medium"/>
    <n v="1"/>
    <n v="4"/>
    <n v="3"/>
    <s v="Yes"/>
    <n v="390"/>
    <n v="5331"/>
    <n v="5211"/>
    <n v="0"/>
    <s v="No"/>
    <s v="Major"/>
    <n v="1737"/>
    <n v="1777"/>
    <n v="2024"/>
    <n v="6"/>
  </r>
  <r>
    <s v="SHP-31811"/>
    <d v="2024-05-02T00:00:00"/>
    <x v="1"/>
    <s v="Bhubaneswar"/>
    <x v="0"/>
    <x v="2"/>
    <x v="2"/>
    <s v="High"/>
    <n v="1"/>
    <n v="7"/>
    <n v="6"/>
    <s v="Yes"/>
    <n v="252"/>
    <n v="11886"/>
    <n v="11976"/>
    <n v="0"/>
    <s v="No"/>
    <s v="Severe"/>
    <n v="1996"/>
    <n v="1981"/>
    <n v="2024"/>
    <n v="5"/>
  </r>
  <r>
    <s v="SHP-31812"/>
    <d v="2024-11-11T00:00:00"/>
    <x v="1"/>
    <s v="Bhubaneswar"/>
    <x v="2"/>
    <x v="1"/>
    <x v="1"/>
    <s v="High"/>
    <n v="5"/>
    <n v="7"/>
    <n v="2"/>
    <s v="Yes"/>
    <n v="167"/>
    <n v="4740"/>
    <n v="7042"/>
    <n v="0"/>
    <s v="No"/>
    <s v="Minor"/>
    <n v="3521"/>
    <n v="2370"/>
    <n v="2024"/>
    <n v="11"/>
  </r>
  <r>
    <s v="SHP-31813"/>
    <d v="2024-01-26T00:00:00"/>
    <x v="1"/>
    <s v="Kolkata"/>
    <x v="2"/>
    <x v="1"/>
    <x v="3"/>
    <s v="Low"/>
    <n v="3"/>
    <n v="7"/>
    <n v="4"/>
    <s v="Yes"/>
    <n v="158"/>
    <n v="4612"/>
    <n v="6308"/>
    <n v="0"/>
    <s v="No"/>
    <s v="Major"/>
    <n v="1577"/>
    <n v="1153"/>
    <n v="2024"/>
    <n v="1"/>
  </r>
  <r>
    <s v="SHP-31814"/>
    <d v="2024-10-28T00:00:00"/>
    <x v="2"/>
    <s v="Delhi"/>
    <x v="1"/>
    <x v="1"/>
    <x v="2"/>
    <s v="Medium"/>
    <n v="3"/>
    <n v="3"/>
    <n v="0"/>
    <s v="No"/>
    <n v="135"/>
    <n v="0"/>
    <n v="0"/>
    <n v="1"/>
    <s v="No"/>
    <s v="On Time"/>
    <n v="0"/>
    <n v="0"/>
    <n v="2024"/>
    <n v="10"/>
  </r>
  <r>
    <s v="SHP-31815"/>
    <d v="2024-08-11T00:00:00"/>
    <x v="3"/>
    <s v="Pune"/>
    <x v="0"/>
    <x v="1"/>
    <x v="2"/>
    <s v="Medium"/>
    <n v="2"/>
    <n v="7"/>
    <n v="5"/>
    <s v="Yes"/>
    <n v="165"/>
    <n v="10085"/>
    <n v="24660"/>
    <n v="0"/>
    <s v="No"/>
    <s v="Major"/>
    <n v="4932"/>
    <n v="2017"/>
    <n v="2024"/>
    <n v="8"/>
  </r>
  <r>
    <s v="SHP-31816"/>
    <d v="2024-03-31T00:00:00"/>
    <x v="3"/>
    <s v="Pune"/>
    <x v="0"/>
    <x v="1"/>
    <x v="4"/>
    <s v="Low"/>
    <n v="3"/>
    <n v="6"/>
    <n v="3"/>
    <s v="Yes"/>
    <n v="397"/>
    <n v="4905"/>
    <n v="8001"/>
    <n v="0"/>
    <s v="No"/>
    <s v="Major"/>
    <n v="2667"/>
    <n v="1635"/>
    <n v="2024"/>
    <n v="3"/>
  </r>
  <r>
    <s v="SHP-31817"/>
    <d v="2024-03-06T00:00:00"/>
    <x v="1"/>
    <s v="Kolkata"/>
    <x v="1"/>
    <x v="1"/>
    <x v="0"/>
    <s v="Medium"/>
    <n v="2"/>
    <n v="3"/>
    <n v="1"/>
    <s v="Yes"/>
    <n v="368"/>
    <n v="1177"/>
    <n v="2248"/>
    <n v="0"/>
    <s v="No"/>
    <s v="Minor"/>
    <n v="2248"/>
    <n v="1177"/>
    <n v="2024"/>
    <n v="3"/>
  </r>
  <r>
    <s v="SHP-31818"/>
    <d v="2024-06-08T00:00:00"/>
    <x v="0"/>
    <s v="Chennai"/>
    <x v="0"/>
    <x v="1"/>
    <x v="0"/>
    <s v="Medium"/>
    <n v="1"/>
    <n v="5"/>
    <n v="4"/>
    <s v="Yes"/>
    <n v="489"/>
    <n v="5784"/>
    <n v="17716"/>
    <n v="0"/>
    <s v="No"/>
    <s v="Major"/>
    <n v="4429"/>
    <n v="1446"/>
    <n v="2024"/>
    <n v="6"/>
  </r>
  <r>
    <s v="SHP-31819"/>
    <d v="2024-12-08T00:00:00"/>
    <x v="0"/>
    <s v="Chennai"/>
    <x v="1"/>
    <x v="0"/>
    <x v="0"/>
    <s v="Low"/>
    <n v="1"/>
    <n v="3"/>
    <n v="2"/>
    <s v="Yes"/>
    <n v="185"/>
    <n v="4030"/>
    <n v="3540"/>
    <n v="0"/>
    <s v="No"/>
    <s v="Minor"/>
    <n v="1770"/>
    <n v="2015"/>
    <n v="2024"/>
    <n v="12"/>
  </r>
  <r>
    <s v="SHP-31820"/>
    <d v="2024-08-01T00:00:00"/>
    <x v="0"/>
    <s v="Chennai"/>
    <x v="2"/>
    <x v="2"/>
    <x v="0"/>
    <s v="High"/>
    <n v="2"/>
    <n v="8"/>
    <n v="6"/>
    <s v="Yes"/>
    <n v="92"/>
    <n v="10698"/>
    <n v="13182"/>
    <n v="0"/>
    <s v="No"/>
    <s v="Severe"/>
    <n v="2197"/>
    <n v="1783"/>
    <n v="2024"/>
    <n v="8"/>
  </r>
  <r>
    <s v="SHP-31821"/>
    <d v="2024-05-15T00:00:00"/>
    <x v="0"/>
    <s v="Bengaluru"/>
    <x v="2"/>
    <x v="1"/>
    <x v="2"/>
    <s v="High"/>
    <n v="1"/>
    <n v="7"/>
    <n v="6"/>
    <s v="Yes"/>
    <n v="146"/>
    <n v="12990"/>
    <n v="25452"/>
    <n v="0"/>
    <s v="No"/>
    <s v="Severe"/>
    <n v="4242"/>
    <n v="2165"/>
    <n v="2024"/>
    <n v="5"/>
  </r>
  <r>
    <s v="SHP-31822"/>
    <d v="2024-10-26T00:00:00"/>
    <x v="2"/>
    <s v="Noida"/>
    <x v="2"/>
    <x v="1"/>
    <x v="4"/>
    <s v="Low"/>
    <n v="5"/>
    <n v="10"/>
    <n v="5"/>
    <s v="Yes"/>
    <n v="411"/>
    <n v="5100"/>
    <n v="17030"/>
    <n v="0"/>
    <s v="No"/>
    <s v="Major"/>
    <n v="3406"/>
    <n v="1020"/>
    <n v="2024"/>
    <n v="10"/>
  </r>
  <r>
    <s v="SHP-31823"/>
    <d v="2024-10-02T00:00:00"/>
    <x v="3"/>
    <s v="Mumbai"/>
    <x v="2"/>
    <x v="1"/>
    <x v="0"/>
    <s v="Medium"/>
    <n v="1"/>
    <n v="4"/>
    <n v="3"/>
    <s v="Yes"/>
    <n v="143"/>
    <n v="5277"/>
    <n v="12459"/>
    <n v="0"/>
    <s v="No"/>
    <s v="Major"/>
    <n v="4153"/>
    <n v="1759"/>
    <n v="2024"/>
    <n v="10"/>
  </r>
  <r>
    <s v="SHP-31824"/>
    <d v="2024-12-29T00:00:00"/>
    <x v="1"/>
    <s v="Kolkata"/>
    <x v="1"/>
    <x v="1"/>
    <x v="4"/>
    <s v="Low"/>
    <n v="1"/>
    <n v="3"/>
    <n v="2"/>
    <s v="Yes"/>
    <n v="67"/>
    <n v="2040"/>
    <n v="3882"/>
    <n v="0"/>
    <s v="No"/>
    <s v="Minor"/>
    <n v="1941"/>
    <n v="1020"/>
    <n v="2024"/>
    <n v="12"/>
  </r>
  <r>
    <s v="SHP-31825"/>
    <d v="2024-03-13T00:00:00"/>
    <x v="3"/>
    <s v="Mumbai"/>
    <x v="1"/>
    <x v="1"/>
    <x v="1"/>
    <s v="High"/>
    <n v="1"/>
    <n v="5"/>
    <n v="4"/>
    <s v="Yes"/>
    <n v="140"/>
    <n v="5440"/>
    <n v="17984"/>
    <n v="0"/>
    <s v="No"/>
    <s v="Major"/>
    <n v="4496"/>
    <n v="1360"/>
    <n v="2024"/>
    <n v="3"/>
  </r>
  <r>
    <s v="SHP-31826"/>
    <d v="2024-07-22T00:00:00"/>
    <x v="3"/>
    <s v="Mumbai"/>
    <x v="0"/>
    <x v="2"/>
    <x v="0"/>
    <s v="Medium"/>
    <n v="1"/>
    <n v="7"/>
    <n v="6"/>
    <s v="Yes"/>
    <n v="254"/>
    <n v="10590"/>
    <n v="25200"/>
    <n v="0"/>
    <s v="No"/>
    <s v="Severe"/>
    <n v="4200"/>
    <n v="1765"/>
    <n v="2024"/>
    <n v="7"/>
  </r>
  <r>
    <s v="SHP-31827"/>
    <d v="2024-09-10T00:00:00"/>
    <x v="2"/>
    <s v="Noida"/>
    <x v="1"/>
    <x v="1"/>
    <x v="3"/>
    <s v="High"/>
    <n v="2"/>
    <n v="5"/>
    <n v="3"/>
    <s v="Yes"/>
    <n v="323"/>
    <n v="4386"/>
    <n v="12825"/>
    <n v="0"/>
    <s v="No"/>
    <s v="Major"/>
    <n v="4275"/>
    <n v="1462"/>
    <n v="2024"/>
    <n v="9"/>
  </r>
  <r>
    <s v="SHP-31828"/>
    <d v="2024-01-10T00:00:00"/>
    <x v="1"/>
    <s v="Kolkata"/>
    <x v="2"/>
    <x v="0"/>
    <x v="4"/>
    <s v="Low"/>
    <n v="2"/>
    <n v="2"/>
    <n v="0"/>
    <s v="No"/>
    <n v="453"/>
    <n v="0"/>
    <n v="0"/>
    <n v="1"/>
    <s v="No"/>
    <s v="On Time"/>
    <n v="0"/>
    <n v="0"/>
    <n v="2024"/>
    <n v="1"/>
  </r>
  <r>
    <s v="SHP-31829"/>
    <d v="2024-08-28T00:00:00"/>
    <x v="0"/>
    <s v="Bengaluru"/>
    <x v="2"/>
    <x v="2"/>
    <x v="4"/>
    <s v="Medium"/>
    <n v="1"/>
    <n v="3"/>
    <n v="2"/>
    <s v="Yes"/>
    <n v="494"/>
    <n v="3126"/>
    <n v="4942"/>
    <n v="0"/>
    <s v="No"/>
    <s v="Minor"/>
    <n v="2471"/>
    <n v="1563"/>
    <n v="2024"/>
    <n v="8"/>
  </r>
  <r>
    <s v="SHP-31830"/>
    <d v="2024-01-31T00:00:00"/>
    <x v="2"/>
    <s v="Delhi"/>
    <x v="2"/>
    <x v="1"/>
    <x v="3"/>
    <s v="Low"/>
    <n v="3"/>
    <n v="4"/>
    <n v="1"/>
    <s v="Yes"/>
    <n v="210"/>
    <n v="2447"/>
    <n v="2015"/>
    <n v="0"/>
    <s v="No"/>
    <s v="Minor"/>
    <n v="2015"/>
    <n v="2447"/>
    <n v="2024"/>
    <n v="1"/>
  </r>
  <r>
    <s v="SHP-31831"/>
    <d v="2024-03-10T00:00:00"/>
    <x v="3"/>
    <s v="Mumbai"/>
    <x v="0"/>
    <x v="1"/>
    <x v="3"/>
    <s v="High"/>
    <n v="5"/>
    <n v="9"/>
    <n v="4"/>
    <s v="Yes"/>
    <n v="344"/>
    <n v="3368"/>
    <n v="15352"/>
    <n v="0"/>
    <s v="No"/>
    <s v="Major"/>
    <n v="3838"/>
    <n v="842"/>
    <n v="2024"/>
    <n v="3"/>
  </r>
  <r>
    <s v="SHP-31832"/>
    <d v="2024-12-13T00:00:00"/>
    <x v="1"/>
    <s v="Kolkata"/>
    <x v="1"/>
    <x v="1"/>
    <x v="0"/>
    <s v="Medium"/>
    <n v="2"/>
    <n v="7"/>
    <n v="5"/>
    <s v="Yes"/>
    <n v="58"/>
    <n v="4545"/>
    <n v="22295"/>
    <n v="0"/>
    <s v="No"/>
    <s v="Major"/>
    <n v="4459"/>
    <n v="909"/>
    <n v="2024"/>
    <n v="12"/>
  </r>
  <r>
    <s v="SHP-31833"/>
    <d v="2024-11-30T00:00:00"/>
    <x v="2"/>
    <s v="Noida"/>
    <x v="1"/>
    <x v="1"/>
    <x v="4"/>
    <s v="Low"/>
    <n v="3"/>
    <n v="8"/>
    <n v="5"/>
    <s v="Yes"/>
    <n v="361"/>
    <n v="8400"/>
    <n v="15680"/>
    <n v="0"/>
    <s v="No"/>
    <s v="Major"/>
    <n v="3136"/>
    <n v="1680"/>
    <n v="2024"/>
    <n v="11"/>
  </r>
  <r>
    <s v="SHP-31834"/>
    <d v="2024-10-18T00:00:00"/>
    <x v="1"/>
    <s v="Bhubaneswar"/>
    <x v="2"/>
    <x v="0"/>
    <x v="1"/>
    <s v="Medium"/>
    <n v="3"/>
    <n v="5"/>
    <n v="2"/>
    <s v="Yes"/>
    <n v="259"/>
    <n v="4516"/>
    <n v="4590"/>
    <n v="0"/>
    <s v="No"/>
    <s v="Minor"/>
    <n v="2295"/>
    <n v="2258"/>
    <n v="2024"/>
    <n v="10"/>
  </r>
  <r>
    <s v="SHP-31835"/>
    <d v="2024-09-01T00:00:00"/>
    <x v="3"/>
    <s v="Pune"/>
    <x v="1"/>
    <x v="1"/>
    <x v="4"/>
    <s v="High"/>
    <n v="1"/>
    <n v="8"/>
    <n v="7"/>
    <s v="Yes"/>
    <n v="371"/>
    <n v="11879"/>
    <n v="26292"/>
    <n v="0"/>
    <s v="No"/>
    <s v="Severe"/>
    <n v="3756"/>
    <n v="1697"/>
    <n v="2024"/>
    <n v="9"/>
  </r>
  <r>
    <s v="SHP-31836"/>
    <d v="2024-09-05T00:00:00"/>
    <x v="2"/>
    <s v="Noida"/>
    <x v="0"/>
    <x v="1"/>
    <x v="2"/>
    <s v="Low"/>
    <n v="2"/>
    <n v="3"/>
    <n v="1"/>
    <s v="Yes"/>
    <n v="486"/>
    <n v="1401"/>
    <n v="2965"/>
    <n v="0"/>
    <s v="No"/>
    <s v="Minor"/>
    <n v="2965"/>
    <n v="1401"/>
    <n v="2024"/>
    <n v="9"/>
  </r>
  <r>
    <s v="SHP-31837"/>
    <d v="2024-05-09T00:00:00"/>
    <x v="0"/>
    <s v="Bengaluru"/>
    <x v="2"/>
    <x v="2"/>
    <x v="2"/>
    <s v="Low"/>
    <n v="1"/>
    <n v="6"/>
    <n v="5"/>
    <s v="Yes"/>
    <n v="266"/>
    <n v="5195"/>
    <n v="9455"/>
    <n v="0"/>
    <s v="No"/>
    <s v="Major"/>
    <n v="1891"/>
    <n v="1039"/>
    <n v="2024"/>
    <n v="5"/>
  </r>
  <r>
    <s v="SHP-31838"/>
    <d v="2024-08-22T00:00:00"/>
    <x v="0"/>
    <s v="Chennai"/>
    <x v="1"/>
    <x v="2"/>
    <x v="4"/>
    <s v="Low"/>
    <n v="3"/>
    <n v="9"/>
    <n v="6"/>
    <s v="Yes"/>
    <n v="110"/>
    <n v="13872"/>
    <n v="22932"/>
    <n v="0"/>
    <s v="No"/>
    <s v="Severe"/>
    <n v="3822"/>
    <n v="2312"/>
    <n v="2024"/>
    <n v="8"/>
  </r>
  <r>
    <s v="SHP-31839"/>
    <d v="2024-09-24T00:00:00"/>
    <x v="2"/>
    <s v="Delhi"/>
    <x v="1"/>
    <x v="0"/>
    <x v="3"/>
    <s v="High"/>
    <n v="2"/>
    <n v="7"/>
    <n v="5"/>
    <s v="Yes"/>
    <n v="493"/>
    <n v="8220"/>
    <n v="17565"/>
    <n v="0"/>
    <s v="No"/>
    <s v="Major"/>
    <n v="3513"/>
    <n v="1644"/>
    <n v="2024"/>
    <n v="9"/>
  </r>
  <r>
    <s v="SHP-31840"/>
    <d v="2024-05-13T00:00:00"/>
    <x v="1"/>
    <s v="Kolkata"/>
    <x v="0"/>
    <x v="1"/>
    <x v="4"/>
    <s v="Low"/>
    <n v="2"/>
    <n v="4"/>
    <n v="2"/>
    <s v="Yes"/>
    <n v="479"/>
    <n v="4700"/>
    <n v="7320"/>
    <n v="0"/>
    <s v="No"/>
    <s v="Minor"/>
    <n v="3660"/>
    <n v="2350"/>
    <n v="2024"/>
    <n v="5"/>
  </r>
  <r>
    <s v="SHP-31841"/>
    <d v="2024-02-02T00:00:00"/>
    <x v="3"/>
    <s v="Pune"/>
    <x v="0"/>
    <x v="1"/>
    <x v="1"/>
    <s v="Low"/>
    <n v="2"/>
    <n v="4"/>
    <n v="2"/>
    <s v="Yes"/>
    <n v="141"/>
    <n v="2180"/>
    <n v="3610"/>
    <n v="0"/>
    <s v="No"/>
    <s v="Minor"/>
    <n v="1805"/>
    <n v="1090"/>
    <n v="2024"/>
    <n v="2"/>
  </r>
  <r>
    <s v="SHP-31842"/>
    <d v="2024-12-08T00:00:00"/>
    <x v="0"/>
    <s v="Chennai"/>
    <x v="1"/>
    <x v="1"/>
    <x v="1"/>
    <s v="Low"/>
    <n v="1"/>
    <n v="5"/>
    <n v="4"/>
    <s v="Yes"/>
    <n v="56"/>
    <n v="9072"/>
    <n v="18064"/>
    <n v="0"/>
    <s v="No"/>
    <s v="Major"/>
    <n v="4516"/>
    <n v="2268"/>
    <n v="2024"/>
    <n v="12"/>
  </r>
  <r>
    <s v="SHP-31843"/>
    <d v="2024-09-20T00:00:00"/>
    <x v="0"/>
    <s v="Bengaluru"/>
    <x v="2"/>
    <x v="1"/>
    <x v="2"/>
    <s v="Low"/>
    <n v="2"/>
    <n v="6"/>
    <n v="4"/>
    <s v="Yes"/>
    <n v="333"/>
    <n v="8720"/>
    <n v="11832"/>
    <n v="0"/>
    <s v="No"/>
    <s v="Major"/>
    <n v="2958"/>
    <n v="2180"/>
    <n v="2024"/>
    <n v="9"/>
  </r>
  <r>
    <s v="SHP-31844"/>
    <d v="2024-08-18T00:00:00"/>
    <x v="1"/>
    <s v="Kolkata"/>
    <x v="2"/>
    <x v="1"/>
    <x v="2"/>
    <s v="High"/>
    <n v="2"/>
    <n v="5"/>
    <n v="3"/>
    <s v="Yes"/>
    <n v="129"/>
    <n v="4194"/>
    <n v="5004"/>
    <n v="0"/>
    <s v="No"/>
    <s v="Major"/>
    <n v="1668"/>
    <n v="1398"/>
    <n v="2024"/>
    <n v="8"/>
  </r>
  <r>
    <s v="SHP-31845"/>
    <d v="2024-05-21T00:00:00"/>
    <x v="0"/>
    <s v="Chennai"/>
    <x v="2"/>
    <x v="1"/>
    <x v="2"/>
    <s v="Low"/>
    <n v="1"/>
    <n v="2"/>
    <n v="1"/>
    <s v="Yes"/>
    <n v="499"/>
    <n v="1698"/>
    <n v="1643"/>
    <n v="0"/>
    <s v="No"/>
    <s v="Minor"/>
    <n v="1643"/>
    <n v="1698"/>
    <n v="2024"/>
    <n v="5"/>
  </r>
  <r>
    <s v="SHP-31846"/>
    <d v="2024-01-09T00:00:00"/>
    <x v="3"/>
    <s v="Mumbai"/>
    <x v="1"/>
    <x v="1"/>
    <x v="4"/>
    <s v="High"/>
    <n v="1"/>
    <n v="6"/>
    <n v="5"/>
    <s v="Yes"/>
    <n v="330"/>
    <n v="5305"/>
    <n v="17020"/>
    <n v="0"/>
    <s v="No"/>
    <s v="Major"/>
    <n v="3404"/>
    <n v="1061"/>
    <n v="2024"/>
    <n v="1"/>
  </r>
  <r>
    <s v="SHP-31847"/>
    <d v="2024-12-18T00:00:00"/>
    <x v="3"/>
    <s v="Pune"/>
    <x v="0"/>
    <x v="0"/>
    <x v="1"/>
    <s v="Low"/>
    <n v="1"/>
    <n v="1"/>
    <n v="0"/>
    <s v="No"/>
    <n v="174"/>
    <n v="0"/>
    <n v="0"/>
    <n v="1"/>
    <s v="No"/>
    <s v="On Time"/>
    <n v="0"/>
    <n v="0"/>
    <n v="2024"/>
    <n v="12"/>
  </r>
  <r>
    <s v="SHP-31848"/>
    <d v="2024-07-02T00:00:00"/>
    <x v="3"/>
    <s v="Pune"/>
    <x v="1"/>
    <x v="1"/>
    <x v="2"/>
    <s v="High"/>
    <n v="2"/>
    <n v="7"/>
    <n v="5"/>
    <s v="Yes"/>
    <n v="431"/>
    <n v="9345"/>
    <n v="17420"/>
    <n v="0"/>
    <s v="No"/>
    <s v="Major"/>
    <n v="3484"/>
    <n v="1869"/>
    <n v="2024"/>
    <n v="7"/>
  </r>
  <r>
    <s v="SHP-31849"/>
    <d v="2024-12-06T00:00:00"/>
    <x v="0"/>
    <s v="Chennai"/>
    <x v="0"/>
    <x v="0"/>
    <x v="2"/>
    <s v="Medium"/>
    <n v="2"/>
    <n v="3"/>
    <n v="1"/>
    <s v="Yes"/>
    <n v="198"/>
    <n v="2188"/>
    <n v="3362"/>
    <n v="0"/>
    <s v="No"/>
    <s v="Minor"/>
    <n v="3362"/>
    <n v="2188"/>
    <n v="2024"/>
    <n v="12"/>
  </r>
  <r>
    <s v="SHP-31850"/>
    <d v="2024-09-01T00:00:00"/>
    <x v="1"/>
    <s v="Kolkata"/>
    <x v="0"/>
    <x v="1"/>
    <x v="4"/>
    <s v="Medium"/>
    <n v="3"/>
    <n v="8"/>
    <n v="5"/>
    <s v="Yes"/>
    <n v="77"/>
    <n v="12465"/>
    <n v="20630"/>
    <n v="0"/>
    <s v="No"/>
    <s v="Major"/>
    <n v="4126"/>
    <n v="2493"/>
    <n v="2024"/>
    <n v="9"/>
  </r>
  <r>
    <s v="SHP-31851"/>
    <d v="2024-09-28T00:00:00"/>
    <x v="3"/>
    <s v="Pune"/>
    <x v="2"/>
    <x v="0"/>
    <x v="3"/>
    <s v="Low"/>
    <n v="2"/>
    <n v="6"/>
    <n v="4"/>
    <s v="Yes"/>
    <n v="71"/>
    <n v="4852"/>
    <n v="11948"/>
    <n v="0"/>
    <s v="No"/>
    <s v="Major"/>
    <n v="2987"/>
    <n v="1213"/>
    <n v="2024"/>
    <n v="9"/>
  </r>
  <r>
    <s v="SHP-31852"/>
    <d v="2024-03-23T00:00:00"/>
    <x v="2"/>
    <s v="Noida"/>
    <x v="2"/>
    <x v="1"/>
    <x v="3"/>
    <s v="Medium"/>
    <n v="3"/>
    <n v="6"/>
    <n v="3"/>
    <s v="Yes"/>
    <n v="366"/>
    <n v="6789"/>
    <n v="5349"/>
    <n v="0"/>
    <s v="No"/>
    <s v="Major"/>
    <n v="1783"/>
    <n v="2263"/>
    <n v="2024"/>
    <n v="3"/>
  </r>
  <r>
    <s v="SHP-31853"/>
    <d v="2024-02-27T00:00:00"/>
    <x v="1"/>
    <s v="Bhubaneswar"/>
    <x v="2"/>
    <x v="2"/>
    <x v="2"/>
    <s v="Low"/>
    <n v="1"/>
    <n v="3"/>
    <n v="2"/>
    <s v="Yes"/>
    <n v="321"/>
    <n v="4814"/>
    <n v="7674"/>
    <n v="0"/>
    <s v="No"/>
    <s v="Minor"/>
    <n v="3837"/>
    <n v="2407"/>
    <n v="2024"/>
    <n v="2"/>
  </r>
  <r>
    <s v="SHP-31854"/>
    <d v="2024-05-20T00:00:00"/>
    <x v="2"/>
    <s v="Noida"/>
    <x v="1"/>
    <x v="1"/>
    <x v="4"/>
    <s v="Medium"/>
    <n v="1"/>
    <n v="3"/>
    <n v="2"/>
    <s v="Yes"/>
    <n v="124"/>
    <n v="3928"/>
    <n v="4872"/>
    <n v="0"/>
    <s v="No"/>
    <s v="Minor"/>
    <n v="2436"/>
    <n v="1964"/>
    <n v="2024"/>
    <n v="5"/>
  </r>
  <r>
    <s v="SHP-31855"/>
    <d v="2024-11-03T00:00:00"/>
    <x v="2"/>
    <s v="Delhi"/>
    <x v="1"/>
    <x v="2"/>
    <x v="0"/>
    <s v="Medium"/>
    <n v="1"/>
    <n v="2"/>
    <n v="1"/>
    <s v="Yes"/>
    <n v="408"/>
    <n v="2418"/>
    <n v="4100"/>
    <n v="0"/>
    <s v="No"/>
    <s v="Minor"/>
    <n v="4100"/>
    <n v="2418"/>
    <n v="2024"/>
    <n v="11"/>
  </r>
  <r>
    <s v="SHP-31856"/>
    <d v="2024-10-10T00:00:00"/>
    <x v="2"/>
    <s v="Noida"/>
    <x v="0"/>
    <x v="0"/>
    <x v="0"/>
    <s v="Low"/>
    <n v="1"/>
    <n v="3"/>
    <n v="2"/>
    <s v="Yes"/>
    <n v="219"/>
    <n v="3042"/>
    <n v="6046"/>
    <n v="0"/>
    <s v="No"/>
    <s v="Minor"/>
    <n v="3023"/>
    <n v="1521"/>
    <n v="2024"/>
    <n v="10"/>
  </r>
  <r>
    <s v="SHP-31857"/>
    <d v="2024-02-21T00:00:00"/>
    <x v="2"/>
    <s v="Noida"/>
    <x v="2"/>
    <x v="1"/>
    <x v="0"/>
    <s v="High"/>
    <n v="1"/>
    <n v="4"/>
    <n v="3"/>
    <s v="Yes"/>
    <n v="469"/>
    <n v="3411"/>
    <n v="6777"/>
    <n v="0"/>
    <s v="No"/>
    <s v="Major"/>
    <n v="2259"/>
    <n v="1137"/>
    <n v="2024"/>
    <n v="2"/>
  </r>
  <r>
    <s v="SHP-31858"/>
    <d v="2024-07-31T00:00:00"/>
    <x v="1"/>
    <s v="Bhubaneswar"/>
    <x v="1"/>
    <x v="1"/>
    <x v="1"/>
    <s v="Low"/>
    <n v="5"/>
    <n v="9"/>
    <n v="4"/>
    <s v="Yes"/>
    <n v="321"/>
    <n v="3848"/>
    <n v="7772"/>
    <n v="0"/>
    <s v="No"/>
    <s v="Major"/>
    <n v="1943"/>
    <n v="962"/>
    <n v="2024"/>
    <n v="7"/>
  </r>
  <r>
    <s v="SHP-31859"/>
    <d v="2024-05-03T00:00:00"/>
    <x v="3"/>
    <s v="Mumbai"/>
    <x v="2"/>
    <x v="0"/>
    <x v="4"/>
    <s v="Low"/>
    <n v="2"/>
    <n v="6"/>
    <n v="4"/>
    <s v="Yes"/>
    <n v="490"/>
    <n v="9388"/>
    <n v="15536"/>
    <n v="0"/>
    <s v="No"/>
    <s v="Major"/>
    <n v="3884"/>
    <n v="2347"/>
    <n v="2024"/>
    <n v="5"/>
  </r>
  <r>
    <s v="SHP-31860"/>
    <d v="2024-09-01T00:00:00"/>
    <x v="1"/>
    <s v="Kolkata"/>
    <x v="2"/>
    <x v="0"/>
    <x v="2"/>
    <s v="Low"/>
    <n v="2"/>
    <n v="6"/>
    <n v="4"/>
    <s v="Yes"/>
    <n v="254"/>
    <n v="3988"/>
    <n v="7832"/>
    <n v="0"/>
    <s v="No"/>
    <s v="Major"/>
    <n v="1958"/>
    <n v="997"/>
    <n v="2024"/>
    <n v="9"/>
  </r>
  <r>
    <s v="SHP-31861"/>
    <d v="2024-07-09T00:00:00"/>
    <x v="3"/>
    <s v="Pune"/>
    <x v="0"/>
    <x v="2"/>
    <x v="0"/>
    <s v="Medium"/>
    <n v="2"/>
    <n v="5"/>
    <n v="3"/>
    <s v="Yes"/>
    <n v="274"/>
    <n v="4431"/>
    <n v="9774"/>
    <n v="0"/>
    <s v="No"/>
    <s v="Major"/>
    <n v="3258"/>
    <n v="1477"/>
    <n v="2024"/>
    <n v="7"/>
  </r>
  <r>
    <s v="SHP-31862"/>
    <d v="2024-01-26T00:00:00"/>
    <x v="0"/>
    <s v="Chennai"/>
    <x v="2"/>
    <x v="1"/>
    <x v="3"/>
    <s v="Medium"/>
    <n v="2"/>
    <n v="2"/>
    <n v="0"/>
    <s v="No"/>
    <n v="156"/>
    <n v="0"/>
    <n v="0"/>
    <n v="1"/>
    <s v="No"/>
    <s v="On Time"/>
    <n v="0"/>
    <n v="0"/>
    <n v="2024"/>
    <n v="1"/>
  </r>
  <r>
    <s v="SHP-31863"/>
    <d v="2024-11-06T00:00:00"/>
    <x v="2"/>
    <s v="Delhi"/>
    <x v="0"/>
    <x v="0"/>
    <x v="0"/>
    <s v="Medium"/>
    <n v="3"/>
    <n v="5"/>
    <n v="2"/>
    <s v="Yes"/>
    <n v="150"/>
    <n v="4636"/>
    <n v="9972"/>
    <n v="0"/>
    <s v="No"/>
    <s v="Minor"/>
    <n v="4986"/>
    <n v="2318"/>
    <n v="2024"/>
    <n v="11"/>
  </r>
  <r>
    <s v="SHP-31864"/>
    <d v="2024-05-07T00:00:00"/>
    <x v="1"/>
    <s v="Bhubaneswar"/>
    <x v="2"/>
    <x v="2"/>
    <x v="3"/>
    <s v="Medium"/>
    <n v="3"/>
    <n v="6"/>
    <n v="3"/>
    <s v="Yes"/>
    <n v="287"/>
    <n v="6753"/>
    <n v="14739"/>
    <n v="0"/>
    <s v="No"/>
    <s v="Major"/>
    <n v="4913"/>
    <n v="2251"/>
    <n v="2024"/>
    <n v="5"/>
  </r>
  <r>
    <s v="SHP-31865"/>
    <d v="2024-09-28T00:00:00"/>
    <x v="3"/>
    <s v="Pune"/>
    <x v="0"/>
    <x v="0"/>
    <x v="3"/>
    <s v="Low"/>
    <n v="2"/>
    <n v="2"/>
    <n v="0"/>
    <s v="No"/>
    <n v="355"/>
    <n v="0"/>
    <n v="0"/>
    <n v="1"/>
    <s v="No"/>
    <s v="On Time"/>
    <n v="0"/>
    <n v="0"/>
    <n v="2024"/>
    <n v="9"/>
  </r>
  <r>
    <s v="SHP-31866"/>
    <d v="2024-12-13T00:00:00"/>
    <x v="1"/>
    <s v="Bhubaneswar"/>
    <x v="0"/>
    <x v="2"/>
    <x v="2"/>
    <s v="Medium"/>
    <n v="1"/>
    <n v="6"/>
    <n v="5"/>
    <s v="Yes"/>
    <n v="293"/>
    <n v="6675"/>
    <n v="13205"/>
    <n v="0"/>
    <s v="No"/>
    <s v="Major"/>
    <n v="2641"/>
    <n v="1335"/>
    <n v="2024"/>
    <n v="12"/>
  </r>
  <r>
    <s v="SHP-31867"/>
    <d v="2024-11-16T00:00:00"/>
    <x v="0"/>
    <s v="Bengaluru"/>
    <x v="0"/>
    <x v="2"/>
    <x v="0"/>
    <s v="High"/>
    <n v="1"/>
    <n v="6"/>
    <n v="5"/>
    <s v="Yes"/>
    <n v="336"/>
    <n v="10045"/>
    <n v="22630"/>
    <n v="0"/>
    <s v="No"/>
    <s v="Major"/>
    <n v="4526"/>
    <n v="2009"/>
    <n v="2024"/>
    <n v="11"/>
  </r>
  <r>
    <s v="SHP-31868"/>
    <d v="2024-08-26T00:00:00"/>
    <x v="2"/>
    <s v="Delhi"/>
    <x v="0"/>
    <x v="2"/>
    <x v="3"/>
    <s v="Low"/>
    <n v="5"/>
    <n v="8"/>
    <n v="3"/>
    <s v="Yes"/>
    <n v="402"/>
    <n v="6468"/>
    <n v="5319"/>
    <n v="0"/>
    <s v="No"/>
    <s v="Major"/>
    <n v="1773"/>
    <n v="2156"/>
    <n v="2024"/>
    <n v="8"/>
  </r>
  <r>
    <s v="SHP-31869"/>
    <d v="2024-02-16T00:00:00"/>
    <x v="0"/>
    <s v="Bengaluru"/>
    <x v="1"/>
    <x v="1"/>
    <x v="0"/>
    <s v="Low"/>
    <n v="2"/>
    <n v="7"/>
    <n v="5"/>
    <s v="Yes"/>
    <n v="370"/>
    <n v="11410"/>
    <n v="12420"/>
    <n v="0"/>
    <s v="No"/>
    <s v="Major"/>
    <n v="2484"/>
    <n v="2282"/>
    <n v="2024"/>
    <n v="2"/>
  </r>
  <r>
    <s v="SHP-31870"/>
    <d v="2024-01-11T00:00:00"/>
    <x v="2"/>
    <s v="Delhi"/>
    <x v="2"/>
    <x v="1"/>
    <x v="1"/>
    <s v="Low"/>
    <n v="2"/>
    <n v="2"/>
    <n v="0"/>
    <s v="No"/>
    <n v="293"/>
    <n v="0"/>
    <n v="0"/>
    <n v="1"/>
    <s v="No"/>
    <s v="On Time"/>
    <n v="0"/>
    <n v="0"/>
    <n v="2024"/>
    <n v="1"/>
  </r>
  <r>
    <s v="SHP-31871"/>
    <d v="2024-12-17T00:00:00"/>
    <x v="2"/>
    <s v="Delhi"/>
    <x v="0"/>
    <x v="0"/>
    <x v="3"/>
    <s v="High"/>
    <n v="2"/>
    <n v="9"/>
    <n v="7"/>
    <s v="Yes"/>
    <n v="113"/>
    <n v="15666"/>
    <n v="16681"/>
    <n v="0"/>
    <s v="No"/>
    <s v="Severe"/>
    <n v="2383"/>
    <n v="2238"/>
    <n v="2024"/>
    <n v="12"/>
  </r>
  <r>
    <s v="SHP-31872"/>
    <d v="2024-07-13T00:00:00"/>
    <x v="1"/>
    <s v="Kolkata"/>
    <x v="2"/>
    <x v="1"/>
    <x v="4"/>
    <s v="Low"/>
    <n v="1"/>
    <n v="6"/>
    <n v="5"/>
    <s v="Yes"/>
    <n v="464"/>
    <n v="4065"/>
    <n v="12590"/>
    <n v="0"/>
    <s v="No"/>
    <s v="Major"/>
    <n v="2518"/>
    <n v="813"/>
    <n v="2024"/>
    <n v="7"/>
  </r>
  <r>
    <s v="SHP-31873"/>
    <d v="2024-01-04T00:00:00"/>
    <x v="1"/>
    <s v="Kolkata"/>
    <x v="1"/>
    <x v="2"/>
    <x v="2"/>
    <s v="High"/>
    <n v="1"/>
    <n v="9"/>
    <n v="8"/>
    <s v="Yes"/>
    <n v="259"/>
    <n v="9488"/>
    <n v="35392"/>
    <n v="0"/>
    <s v="No"/>
    <s v="Severe"/>
    <n v="4424"/>
    <n v="1186"/>
    <n v="2024"/>
    <n v="1"/>
  </r>
  <r>
    <s v="SHP-31874"/>
    <d v="2024-03-31T00:00:00"/>
    <x v="0"/>
    <s v="Bengaluru"/>
    <x v="0"/>
    <x v="0"/>
    <x v="3"/>
    <s v="Low"/>
    <n v="1"/>
    <n v="3"/>
    <n v="2"/>
    <s v="Yes"/>
    <n v="210"/>
    <n v="2480"/>
    <n v="9584"/>
    <n v="0"/>
    <s v="No"/>
    <s v="Minor"/>
    <n v="4792"/>
    <n v="1240"/>
    <n v="2024"/>
    <n v="3"/>
  </r>
  <r>
    <s v="SHP-31875"/>
    <d v="2024-11-06T00:00:00"/>
    <x v="1"/>
    <s v="Bhubaneswar"/>
    <x v="0"/>
    <x v="2"/>
    <x v="3"/>
    <s v="High"/>
    <n v="5"/>
    <n v="13"/>
    <n v="8"/>
    <s v="Yes"/>
    <n v="177"/>
    <n v="17200"/>
    <n v="13432"/>
    <n v="0"/>
    <s v="No"/>
    <s v="Severe"/>
    <n v="1679"/>
    <n v="2150"/>
    <n v="2024"/>
    <n v="11"/>
  </r>
  <r>
    <s v="SHP-31876"/>
    <d v="2024-03-06T00:00:00"/>
    <x v="3"/>
    <s v="Pune"/>
    <x v="2"/>
    <x v="0"/>
    <x v="0"/>
    <s v="Medium"/>
    <n v="3"/>
    <n v="8"/>
    <n v="5"/>
    <s v="Yes"/>
    <n v="446"/>
    <n v="9430"/>
    <n v="22900"/>
    <n v="0"/>
    <s v="No"/>
    <s v="Major"/>
    <n v="4580"/>
    <n v="1886"/>
    <n v="2024"/>
    <n v="3"/>
  </r>
  <r>
    <s v="SHP-31877"/>
    <d v="2024-07-18T00:00:00"/>
    <x v="3"/>
    <s v="Pune"/>
    <x v="2"/>
    <x v="1"/>
    <x v="3"/>
    <s v="Low"/>
    <n v="2"/>
    <n v="7"/>
    <n v="5"/>
    <s v="Yes"/>
    <n v="344"/>
    <n v="11755"/>
    <n v="19345"/>
    <n v="0"/>
    <s v="No"/>
    <s v="Major"/>
    <n v="3869"/>
    <n v="2351"/>
    <n v="2024"/>
    <n v="7"/>
  </r>
  <r>
    <s v="SHP-31878"/>
    <d v="2024-08-30T00:00:00"/>
    <x v="1"/>
    <s v="Kolkata"/>
    <x v="0"/>
    <x v="0"/>
    <x v="0"/>
    <s v="Medium"/>
    <n v="3"/>
    <n v="7"/>
    <n v="4"/>
    <s v="Yes"/>
    <n v="463"/>
    <n v="4492"/>
    <n v="12000"/>
    <n v="0"/>
    <s v="No"/>
    <s v="Major"/>
    <n v="3000"/>
    <n v="1123"/>
    <n v="2024"/>
    <n v="8"/>
  </r>
  <r>
    <s v="SHP-31879"/>
    <d v="2024-12-07T00:00:00"/>
    <x v="1"/>
    <s v="Kolkata"/>
    <x v="1"/>
    <x v="1"/>
    <x v="2"/>
    <s v="Low"/>
    <n v="3"/>
    <n v="4"/>
    <n v="1"/>
    <s v="Yes"/>
    <n v="457"/>
    <n v="1398"/>
    <n v="2127"/>
    <n v="0"/>
    <s v="No"/>
    <s v="Minor"/>
    <n v="2127"/>
    <n v="1398"/>
    <n v="2024"/>
    <n v="12"/>
  </r>
  <r>
    <s v="SHP-31880"/>
    <d v="2024-08-05T00:00:00"/>
    <x v="0"/>
    <s v="Bengaluru"/>
    <x v="1"/>
    <x v="2"/>
    <x v="2"/>
    <s v="Medium"/>
    <n v="1"/>
    <n v="4"/>
    <n v="3"/>
    <s v="Yes"/>
    <n v="494"/>
    <n v="4599"/>
    <n v="10602"/>
    <n v="0"/>
    <s v="No"/>
    <s v="Major"/>
    <n v="3534"/>
    <n v="1533"/>
    <n v="2024"/>
    <n v="8"/>
  </r>
  <r>
    <s v="SHP-31881"/>
    <d v="2024-09-13T00:00:00"/>
    <x v="1"/>
    <s v="Bhubaneswar"/>
    <x v="0"/>
    <x v="2"/>
    <x v="4"/>
    <s v="High"/>
    <n v="1"/>
    <n v="8"/>
    <n v="7"/>
    <s v="Yes"/>
    <n v="263"/>
    <n v="7840"/>
    <n v="19411"/>
    <n v="0"/>
    <s v="No"/>
    <s v="Severe"/>
    <n v="2773"/>
    <n v="1120"/>
    <n v="2024"/>
    <n v="9"/>
  </r>
  <r>
    <s v="SHP-31882"/>
    <d v="2024-09-07T00:00:00"/>
    <x v="1"/>
    <s v="Bhubaneswar"/>
    <x v="1"/>
    <x v="1"/>
    <x v="0"/>
    <s v="Low"/>
    <n v="2"/>
    <n v="2"/>
    <n v="0"/>
    <s v="No"/>
    <n v="64"/>
    <n v="0"/>
    <n v="0"/>
    <n v="1"/>
    <s v="No"/>
    <s v="On Time"/>
    <n v="0"/>
    <n v="0"/>
    <n v="2024"/>
    <n v="9"/>
  </r>
  <r>
    <s v="SHP-31883"/>
    <d v="2024-03-12T00:00:00"/>
    <x v="3"/>
    <s v="Mumbai"/>
    <x v="2"/>
    <x v="2"/>
    <x v="4"/>
    <s v="Medium"/>
    <n v="3"/>
    <n v="5"/>
    <n v="2"/>
    <s v="Yes"/>
    <n v="328"/>
    <n v="4056"/>
    <n v="3500"/>
    <n v="0"/>
    <s v="No"/>
    <s v="Minor"/>
    <n v="1750"/>
    <n v="2028"/>
    <n v="2024"/>
    <n v="3"/>
  </r>
  <r>
    <s v="SHP-31884"/>
    <d v="2024-05-23T00:00:00"/>
    <x v="2"/>
    <s v="Delhi"/>
    <x v="1"/>
    <x v="1"/>
    <x v="0"/>
    <s v="High"/>
    <n v="2"/>
    <n v="10"/>
    <n v="8"/>
    <s v="Yes"/>
    <n v="414"/>
    <n v="18280"/>
    <n v="19112"/>
    <n v="0"/>
    <s v="No"/>
    <s v="Severe"/>
    <n v="2389"/>
    <n v="2285"/>
    <n v="2024"/>
    <n v="5"/>
  </r>
  <r>
    <s v="SHP-31885"/>
    <d v="2024-05-25T00:00:00"/>
    <x v="3"/>
    <s v="Mumbai"/>
    <x v="1"/>
    <x v="0"/>
    <x v="2"/>
    <s v="Low"/>
    <n v="3"/>
    <n v="6"/>
    <n v="3"/>
    <s v="Yes"/>
    <n v="470"/>
    <n v="2403"/>
    <n v="14637"/>
    <n v="0"/>
    <s v="No"/>
    <s v="Major"/>
    <n v="4879"/>
    <n v="801"/>
    <n v="2024"/>
    <n v="5"/>
  </r>
  <r>
    <s v="SHP-31886"/>
    <d v="2024-07-26T00:00:00"/>
    <x v="3"/>
    <s v="Mumbai"/>
    <x v="2"/>
    <x v="0"/>
    <x v="3"/>
    <s v="Low"/>
    <n v="1"/>
    <n v="5"/>
    <n v="4"/>
    <s v="Yes"/>
    <n v="245"/>
    <n v="7980"/>
    <n v="14092"/>
    <n v="0"/>
    <s v="No"/>
    <s v="Major"/>
    <n v="3523"/>
    <n v="1995"/>
    <n v="2024"/>
    <n v="7"/>
  </r>
  <r>
    <s v="SHP-31887"/>
    <d v="2024-11-08T00:00:00"/>
    <x v="1"/>
    <s v="Bhubaneswar"/>
    <x v="0"/>
    <x v="0"/>
    <x v="0"/>
    <s v="Medium"/>
    <n v="2"/>
    <n v="2"/>
    <n v="0"/>
    <s v="No"/>
    <n v="315"/>
    <n v="0"/>
    <n v="0"/>
    <n v="1"/>
    <s v="No"/>
    <s v="On Time"/>
    <n v="0"/>
    <n v="0"/>
    <n v="2024"/>
    <n v="11"/>
  </r>
  <r>
    <s v="SHP-31888"/>
    <d v="2024-04-16T00:00:00"/>
    <x v="3"/>
    <s v="Pune"/>
    <x v="2"/>
    <x v="2"/>
    <x v="3"/>
    <s v="High"/>
    <n v="5"/>
    <n v="14"/>
    <n v="9"/>
    <s v="Yes"/>
    <n v="155"/>
    <n v="7587"/>
    <n v="29358"/>
    <n v="0"/>
    <s v="No"/>
    <s v="Severe"/>
    <n v="3262"/>
    <n v="843"/>
    <n v="2024"/>
    <n v="4"/>
  </r>
  <r>
    <s v="SHP-31889"/>
    <d v="2024-05-12T00:00:00"/>
    <x v="1"/>
    <s v="Kolkata"/>
    <x v="2"/>
    <x v="1"/>
    <x v="4"/>
    <s v="Low"/>
    <n v="3"/>
    <n v="3"/>
    <n v="0"/>
    <s v="No"/>
    <n v="267"/>
    <n v="0"/>
    <n v="0"/>
    <n v="1"/>
    <s v="No"/>
    <s v="On Time"/>
    <n v="0"/>
    <n v="0"/>
    <n v="2024"/>
    <n v="5"/>
  </r>
  <r>
    <s v="SHP-31890"/>
    <d v="2024-08-27T00:00:00"/>
    <x v="2"/>
    <s v="Noida"/>
    <x v="2"/>
    <x v="2"/>
    <x v="4"/>
    <s v="High"/>
    <n v="2"/>
    <n v="12"/>
    <n v="10"/>
    <s v="Yes"/>
    <n v="435"/>
    <n v="20050"/>
    <n v="42600"/>
    <n v="0"/>
    <s v="No"/>
    <s v="Severe"/>
    <n v="4260"/>
    <n v="2005"/>
    <n v="2024"/>
    <n v="8"/>
  </r>
  <r>
    <s v="SHP-31891"/>
    <d v="2024-09-08T00:00:00"/>
    <x v="1"/>
    <s v="Bhubaneswar"/>
    <x v="2"/>
    <x v="1"/>
    <x v="4"/>
    <s v="Low"/>
    <n v="1"/>
    <n v="5"/>
    <n v="4"/>
    <s v="Yes"/>
    <n v="177"/>
    <n v="9736"/>
    <n v="14676"/>
    <n v="0"/>
    <s v="No"/>
    <s v="Major"/>
    <n v="3669"/>
    <n v="2434"/>
    <n v="2024"/>
    <n v="9"/>
  </r>
  <r>
    <s v="SHP-31892"/>
    <d v="2024-10-06T00:00:00"/>
    <x v="3"/>
    <s v="Pune"/>
    <x v="0"/>
    <x v="1"/>
    <x v="0"/>
    <s v="Medium"/>
    <n v="2"/>
    <n v="3"/>
    <n v="1"/>
    <s v="Yes"/>
    <n v="151"/>
    <n v="2465"/>
    <n v="3639"/>
    <n v="0"/>
    <s v="No"/>
    <s v="Minor"/>
    <n v="3639"/>
    <n v="2465"/>
    <n v="2024"/>
    <n v="10"/>
  </r>
  <r>
    <s v="SHP-31893"/>
    <d v="2024-04-02T00:00:00"/>
    <x v="1"/>
    <s v="Kolkata"/>
    <x v="2"/>
    <x v="0"/>
    <x v="3"/>
    <s v="High"/>
    <n v="3"/>
    <n v="9"/>
    <n v="6"/>
    <s v="Yes"/>
    <n v="215"/>
    <n v="5808"/>
    <n v="20712"/>
    <n v="0"/>
    <s v="No"/>
    <s v="Severe"/>
    <n v="3452"/>
    <n v="968"/>
    <n v="2024"/>
    <n v="4"/>
  </r>
  <r>
    <s v="SHP-31894"/>
    <d v="2024-10-30T00:00:00"/>
    <x v="2"/>
    <s v="Noida"/>
    <x v="2"/>
    <x v="0"/>
    <x v="0"/>
    <s v="Medium"/>
    <n v="5"/>
    <n v="7"/>
    <n v="2"/>
    <s v="Yes"/>
    <n v="347"/>
    <n v="3356"/>
    <n v="9056"/>
    <n v="0"/>
    <s v="No"/>
    <s v="Minor"/>
    <n v="4528"/>
    <n v="1678"/>
    <n v="2024"/>
    <n v="10"/>
  </r>
  <r>
    <s v="SHP-31895"/>
    <d v="2024-12-24T00:00:00"/>
    <x v="1"/>
    <s v="Kolkata"/>
    <x v="0"/>
    <x v="0"/>
    <x v="3"/>
    <s v="Low"/>
    <n v="2"/>
    <n v="2"/>
    <n v="0"/>
    <s v="No"/>
    <n v="224"/>
    <n v="0"/>
    <n v="0"/>
    <n v="1"/>
    <s v="No"/>
    <s v="On Time"/>
    <n v="0"/>
    <n v="0"/>
    <n v="2024"/>
    <n v="12"/>
  </r>
  <r>
    <s v="SHP-31896"/>
    <d v="2024-01-29T00:00:00"/>
    <x v="3"/>
    <s v="Mumbai"/>
    <x v="2"/>
    <x v="0"/>
    <x v="2"/>
    <s v="Low"/>
    <n v="2"/>
    <n v="3"/>
    <n v="1"/>
    <s v="Yes"/>
    <n v="286"/>
    <n v="2354"/>
    <n v="2381"/>
    <n v="0"/>
    <s v="No"/>
    <s v="Minor"/>
    <n v="2381"/>
    <n v="2354"/>
    <n v="2024"/>
    <n v="1"/>
  </r>
  <r>
    <s v="SHP-31897"/>
    <d v="2024-06-18T00:00:00"/>
    <x v="3"/>
    <s v="Pune"/>
    <x v="2"/>
    <x v="1"/>
    <x v="4"/>
    <s v="High"/>
    <n v="1"/>
    <n v="7"/>
    <n v="6"/>
    <s v="Yes"/>
    <n v="368"/>
    <n v="5514"/>
    <n v="27948"/>
    <n v="0"/>
    <s v="No"/>
    <s v="Severe"/>
    <n v="4658"/>
    <n v="919"/>
    <n v="2024"/>
    <n v="6"/>
  </r>
  <r>
    <s v="SHP-31898"/>
    <d v="2024-01-14T00:00:00"/>
    <x v="0"/>
    <s v="Bengaluru"/>
    <x v="2"/>
    <x v="2"/>
    <x v="4"/>
    <s v="High"/>
    <n v="2"/>
    <n v="10"/>
    <n v="8"/>
    <s v="Yes"/>
    <n v="499"/>
    <n v="9984"/>
    <n v="12440"/>
    <n v="0"/>
    <s v="No"/>
    <s v="Severe"/>
    <n v="1555"/>
    <n v="1248"/>
    <n v="2024"/>
    <n v="1"/>
  </r>
  <r>
    <s v="SHP-31899"/>
    <d v="2024-04-17T00:00:00"/>
    <x v="0"/>
    <s v="Bengaluru"/>
    <x v="2"/>
    <x v="1"/>
    <x v="4"/>
    <s v="Low"/>
    <n v="1"/>
    <n v="5"/>
    <n v="4"/>
    <s v="Yes"/>
    <n v="139"/>
    <n v="9376"/>
    <n v="9888"/>
    <n v="0"/>
    <s v="No"/>
    <s v="Major"/>
    <n v="2472"/>
    <n v="2344"/>
    <n v="2024"/>
    <n v="4"/>
  </r>
  <r>
    <s v="SHP-31900"/>
    <d v="2024-05-16T00:00:00"/>
    <x v="3"/>
    <s v="Mumbai"/>
    <x v="2"/>
    <x v="1"/>
    <x v="4"/>
    <s v="Low"/>
    <n v="2"/>
    <n v="5"/>
    <n v="3"/>
    <s v="Yes"/>
    <n v="488"/>
    <n v="5322"/>
    <n v="6279"/>
    <n v="0"/>
    <s v="No"/>
    <s v="Major"/>
    <n v="2093"/>
    <n v="1774"/>
    <n v="2024"/>
    <n v="5"/>
  </r>
  <r>
    <s v="SHP-31901"/>
    <d v="2024-12-06T00:00:00"/>
    <x v="0"/>
    <s v="Chennai"/>
    <x v="0"/>
    <x v="1"/>
    <x v="2"/>
    <s v="Medium"/>
    <n v="2"/>
    <n v="5"/>
    <n v="3"/>
    <s v="Yes"/>
    <n v="407"/>
    <n v="5913"/>
    <n v="8295"/>
    <n v="0"/>
    <s v="No"/>
    <s v="Major"/>
    <n v="2765"/>
    <n v="1971"/>
    <n v="2024"/>
    <n v="12"/>
  </r>
  <r>
    <s v="SHP-31902"/>
    <d v="2024-01-27T00:00:00"/>
    <x v="2"/>
    <s v="Noida"/>
    <x v="0"/>
    <x v="1"/>
    <x v="4"/>
    <s v="High"/>
    <n v="2"/>
    <n v="8"/>
    <n v="6"/>
    <s v="Yes"/>
    <n v="181"/>
    <n v="8802"/>
    <n v="19086"/>
    <n v="0"/>
    <s v="No"/>
    <s v="Severe"/>
    <n v="3181"/>
    <n v="1467"/>
    <n v="2024"/>
    <n v="1"/>
  </r>
  <r>
    <s v="SHP-31903"/>
    <d v="2024-10-24T00:00:00"/>
    <x v="3"/>
    <s v="Pune"/>
    <x v="1"/>
    <x v="2"/>
    <x v="3"/>
    <s v="Medium"/>
    <n v="3"/>
    <n v="9"/>
    <n v="6"/>
    <s v="Yes"/>
    <n v="236"/>
    <n v="9786"/>
    <n v="9918"/>
    <n v="0"/>
    <s v="No"/>
    <s v="Severe"/>
    <n v="1653"/>
    <n v="1631"/>
    <n v="2024"/>
    <n v="10"/>
  </r>
  <r>
    <s v="SHP-31904"/>
    <d v="2024-12-17T00:00:00"/>
    <x v="0"/>
    <s v="Chennai"/>
    <x v="0"/>
    <x v="1"/>
    <x v="2"/>
    <s v="Medium"/>
    <n v="3"/>
    <n v="6"/>
    <n v="3"/>
    <s v="Yes"/>
    <n v="301"/>
    <n v="4551"/>
    <n v="9087"/>
    <n v="0"/>
    <s v="No"/>
    <s v="Major"/>
    <n v="3029"/>
    <n v="1517"/>
    <n v="2024"/>
    <n v="12"/>
  </r>
  <r>
    <s v="SHP-31905"/>
    <d v="2024-08-29T00:00:00"/>
    <x v="3"/>
    <s v="Mumbai"/>
    <x v="0"/>
    <x v="1"/>
    <x v="2"/>
    <s v="Low"/>
    <n v="3"/>
    <n v="4"/>
    <n v="1"/>
    <s v="Yes"/>
    <n v="439"/>
    <n v="909"/>
    <n v="2844"/>
    <n v="0"/>
    <s v="No"/>
    <s v="Minor"/>
    <n v="2844"/>
    <n v="909"/>
    <n v="2024"/>
    <n v="8"/>
  </r>
  <r>
    <s v="SHP-31906"/>
    <d v="2024-09-08T00:00:00"/>
    <x v="3"/>
    <s v="Pune"/>
    <x v="1"/>
    <x v="1"/>
    <x v="0"/>
    <s v="Medium"/>
    <n v="5"/>
    <n v="6"/>
    <n v="1"/>
    <s v="Yes"/>
    <n v="265"/>
    <n v="964"/>
    <n v="4728"/>
    <n v="0"/>
    <s v="No"/>
    <s v="Minor"/>
    <n v="4728"/>
    <n v="964"/>
    <n v="2024"/>
    <n v="9"/>
  </r>
  <r>
    <s v="SHP-31907"/>
    <d v="2024-02-28T00:00:00"/>
    <x v="0"/>
    <s v="Chennai"/>
    <x v="2"/>
    <x v="1"/>
    <x v="3"/>
    <s v="Low"/>
    <n v="2"/>
    <n v="2"/>
    <n v="0"/>
    <s v="No"/>
    <n v="440"/>
    <n v="0"/>
    <n v="0"/>
    <n v="1"/>
    <s v="No"/>
    <s v="On Time"/>
    <n v="0"/>
    <n v="0"/>
    <n v="2024"/>
    <n v="2"/>
  </r>
  <r>
    <s v="SHP-31908"/>
    <d v="2024-03-18T00:00:00"/>
    <x v="2"/>
    <s v="Noida"/>
    <x v="2"/>
    <x v="2"/>
    <x v="4"/>
    <s v="Low"/>
    <n v="5"/>
    <n v="11"/>
    <n v="6"/>
    <s v="Yes"/>
    <n v="404"/>
    <n v="12486"/>
    <n v="13746"/>
    <n v="0"/>
    <s v="No"/>
    <s v="Severe"/>
    <n v="2291"/>
    <n v="2081"/>
    <n v="2024"/>
    <n v="3"/>
  </r>
  <r>
    <s v="SHP-31909"/>
    <d v="2024-12-11T00:00:00"/>
    <x v="1"/>
    <s v="Bhubaneswar"/>
    <x v="0"/>
    <x v="1"/>
    <x v="4"/>
    <s v="Low"/>
    <n v="2"/>
    <n v="5"/>
    <n v="3"/>
    <s v="Yes"/>
    <n v="327"/>
    <n v="5823"/>
    <n v="9606"/>
    <n v="0"/>
    <s v="No"/>
    <s v="Major"/>
    <n v="3202"/>
    <n v="1941"/>
    <n v="2024"/>
    <n v="12"/>
  </r>
  <r>
    <s v="SHP-31910"/>
    <d v="2024-09-11T00:00:00"/>
    <x v="1"/>
    <s v="Bhubaneswar"/>
    <x v="2"/>
    <x v="1"/>
    <x v="4"/>
    <s v="Medium"/>
    <n v="1"/>
    <n v="5"/>
    <n v="4"/>
    <s v="Yes"/>
    <n v="185"/>
    <n v="9792"/>
    <n v="17740"/>
    <n v="0"/>
    <s v="No"/>
    <s v="Major"/>
    <n v="4435"/>
    <n v="2448"/>
    <n v="2024"/>
    <n v="9"/>
  </r>
  <r>
    <s v="SHP-31911"/>
    <d v="2024-04-06T00:00:00"/>
    <x v="0"/>
    <s v="Chennai"/>
    <x v="0"/>
    <x v="1"/>
    <x v="2"/>
    <s v="Medium"/>
    <n v="3"/>
    <n v="5"/>
    <n v="2"/>
    <s v="Yes"/>
    <n v="332"/>
    <n v="3994"/>
    <n v="8404"/>
    <n v="0"/>
    <s v="No"/>
    <s v="Minor"/>
    <n v="4202"/>
    <n v="1997"/>
    <n v="2024"/>
    <n v="4"/>
  </r>
  <r>
    <s v="SHP-31912"/>
    <d v="2024-11-09T00:00:00"/>
    <x v="3"/>
    <s v="Pune"/>
    <x v="0"/>
    <x v="1"/>
    <x v="2"/>
    <s v="High"/>
    <n v="2"/>
    <n v="9"/>
    <n v="7"/>
    <s v="Yes"/>
    <n v="192"/>
    <n v="6629"/>
    <n v="25858"/>
    <n v="0"/>
    <s v="No"/>
    <s v="Severe"/>
    <n v="3694"/>
    <n v="947"/>
    <n v="2024"/>
    <n v="11"/>
  </r>
  <r>
    <s v="SHP-31913"/>
    <d v="2024-03-25T00:00:00"/>
    <x v="1"/>
    <s v="Kolkata"/>
    <x v="2"/>
    <x v="0"/>
    <x v="0"/>
    <s v="Low"/>
    <n v="1"/>
    <n v="2"/>
    <n v="1"/>
    <s v="Yes"/>
    <n v="74"/>
    <n v="1819"/>
    <n v="2340"/>
    <n v="0"/>
    <s v="No"/>
    <s v="Minor"/>
    <n v="2340"/>
    <n v="1819"/>
    <n v="2024"/>
    <n v="3"/>
  </r>
  <r>
    <s v="SHP-31914"/>
    <d v="2024-04-24T00:00:00"/>
    <x v="2"/>
    <s v="Noida"/>
    <x v="2"/>
    <x v="0"/>
    <x v="0"/>
    <s v="High"/>
    <n v="1"/>
    <n v="6"/>
    <n v="5"/>
    <s v="Yes"/>
    <n v="277"/>
    <n v="9750"/>
    <n v="15860"/>
    <n v="0"/>
    <s v="No"/>
    <s v="Major"/>
    <n v="3172"/>
    <n v="1950"/>
    <n v="2024"/>
    <n v="4"/>
  </r>
  <r>
    <s v="SHP-31915"/>
    <d v="2024-10-21T00:00:00"/>
    <x v="3"/>
    <s v="Mumbai"/>
    <x v="2"/>
    <x v="0"/>
    <x v="1"/>
    <s v="Low"/>
    <n v="2"/>
    <n v="6"/>
    <n v="4"/>
    <s v="Yes"/>
    <n v="167"/>
    <n v="3368"/>
    <n v="9104"/>
    <n v="0"/>
    <s v="No"/>
    <s v="Major"/>
    <n v="2276"/>
    <n v="842"/>
    <n v="2024"/>
    <n v="10"/>
  </r>
  <r>
    <s v="SHP-31916"/>
    <d v="2024-12-29T00:00:00"/>
    <x v="2"/>
    <s v="Noida"/>
    <x v="2"/>
    <x v="0"/>
    <x v="3"/>
    <s v="Low"/>
    <n v="1"/>
    <n v="5"/>
    <n v="4"/>
    <s v="Yes"/>
    <n v="487"/>
    <n v="3940"/>
    <n v="17208"/>
    <n v="0"/>
    <s v="No"/>
    <s v="Major"/>
    <n v="4302"/>
    <n v="985"/>
    <n v="2024"/>
    <n v="12"/>
  </r>
  <r>
    <s v="SHP-31917"/>
    <d v="2024-12-08T00:00:00"/>
    <x v="2"/>
    <s v="Noida"/>
    <x v="2"/>
    <x v="1"/>
    <x v="2"/>
    <s v="Low"/>
    <n v="2"/>
    <n v="2"/>
    <n v="0"/>
    <s v="No"/>
    <n v="425"/>
    <n v="0"/>
    <n v="0"/>
    <n v="1"/>
    <s v="No"/>
    <s v="On Time"/>
    <n v="0"/>
    <n v="0"/>
    <n v="2024"/>
    <n v="12"/>
  </r>
  <r>
    <s v="SHP-31918"/>
    <d v="2024-09-17T00:00:00"/>
    <x v="3"/>
    <s v="Pune"/>
    <x v="0"/>
    <x v="2"/>
    <x v="1"/>
    <s v="Low"/>
    <n v="2"/>
    <n v="5"/>
    <n v="3"/>
    <s v="Yes"/>
    <n v="130"/>
    <n v="4167"/>
    <n v="13590"/>
    <n v="0"/>
    <s v="No"/>
    <s v="Major"/>
    <n v="4530"/>
    <n v="1389"/>
    <n v="2024"/>
    <n v="9"/>
  </r>
  <r>
    <s v="SHP-31919"/>
    <d v="2024-04-16T00:00:00"/>
    <x v="1"/>
    <s v="Bhubaneswar"/>
    <x v="0"/>
    <x v="1"/>
    <x v="4"/>
    <s v="Medium"/>
    <n v="3"/>
    <n v="8"/>
    <n v="5"/>
    <s v="Yes"/>
    <n v="292"/>
    <n v="10055"/>
    <n v="13900"/>
    <n v="0"/>
    <s v="No"/>
    <s v="Major"/>
    <n v="2780"/>
    <n v="2011"/>
    <n v="2024"/>
    <n v="4"/>
  </r>
  <r>
    <s v="SHP-31920"/>
    <d v="2024-03-29T00:00:00"/>
    <x v="1"/>
    <s v="Kolkata"/>
    <x v="1"/>
    <x v="0"/>
    <x v="3"/>
    <s v="Low"/>
    <n v="2"/>
    <n v="6"/>
    <n v="4"/>
    <s v="Yes"/>
    <n v="192"/>
    <n v="8900"/>
    <n v="8652"/>
    <n v="0"/>
    <s v="No"/>
    <s v="Major"/>
    <n v="2163"/>
    <n v="2225"/>
    <n v="2024"/>
    <n v="3"/>
  </r>
  <r>
    <s v="SHP-31921"/>
    <d v="2024-03-14T00:00:00"/>
    <x v="0"/>
    <s v="Bengaluru"/>
    <x v="2"/>
    <x v="1"/>
    <x v="0"/>
    <s v="High"/>
    <n v="2"/>
    <n v="7"/>
    <n v="5"/>
    <s v="Yes"/>
    <n v="350"/>
    <n v="4010"/>
    <n v="19680"/>
    <n v="0"/>
    <s v="No"/>
    <s v="Major"/>
    <n v="3936"/>
    <n v="802"/>
    <n v="2024"/>
    <n v="3"/>
  </r>
  <r>
    <s v="SHP-31922"/>
    <d v="2024-06-19T00:00:00"/>
    <x v="2"/>
    <s v="Noida"/>
    <x v="1"/>
    <x v="2"/>
    <x v="3"/>
    <s v="High"/>
    <n v="2"/>
    <n v="9"/>
    <n v="7"/>
    <s v="Yes"/>
    <n v="423"/>
    <n v="6769"/>
    <n v="23835"/>
    <n v="0"/>
    <s v="No"/>
    <s v="Severe"/>
    <n v="3405"/>
    <n v="967"/>
    <n v="2024"/>
    <n v="6"/>
  </r>
  <r>
    <s v="SHP-31923"/>
    <d v="2024-01-23T00:00:00"/>
    <x v="2"/>
    <s v="Delhi"/>
    <x v="2"/>
    <x v="0"/>
    <x v="0"/>
    <s v="Low"/>
    <n v="2"/>
    <n v="2"/>
    <n v="0"/>
    <s v="No"/>
    <n v="240"/>
    <n v="0"/>
    <n v="0"/>
    <n v="1"/>
    <s v="No"/>
    <s v="On Time"/>
    <n v="0"/>
    <n v="0"/>
    <n v="2024"/>
    <n v="1"/>
  </r>
  <r>
    <s v="SHP-31924"/>
    <d v="2024-11-14T00:00:00"/>
    <x v="3"/>
    <s v="Mumbai"/>
    <x v="0"/>
    <x v="1"/>
    <x v="3"/>
    <s v="Medium"/>
    <n v="5"/>
    <n v="6"/>
    <n v="1"/>
    <s v="Yes"/>
    <n v="201"/>
    <n v="1975"/>
    <n v="4342"/>
    <n v="0"/>
    <s v="No"/>
    <s v="Minor"/>
    <n v="4342"/>
    <n v="1975"/>
    <n v="2024"/>
    <n v="11"/>
  </r>
  <r>
    <s v="SHP-31925"/>
    <d v="2024-04-19T00:00:00"/>
    <x v="3"/>
    <s v="Mumbai"/>
    <x v="2"/>
    <x v="2"/>
    <x v="2"/>
    <s v="Medium"/>
    <n v="1"/>
    <n v="8"/>
    <n v="7"/>
    <s v="Yes"/>
    <n v="62"/>
    <n v="14252"/>
    <n v="12418"/>
    <n v="0"/>
    <s v="No"/>
    <s v="Severe"/>
    <n v="1774"/>
    <n v="2036"/>
    <n v="2024"/>
    <n v="4"/>
  </r>
  <r>
    <s v="SHP-31926"/>
    <d v="2024-01-13T00:00:00"/>
    <x v="1"/>
    <s v="Kolkata"/>
    <x v="0"/>
    <x v="1"/>
    <x v="3"/>
    <s v="Low"/>
    <n v="5"/>
    <n v="6"/>
    <n v="1"/>
    <s v="Yes"/>
    <n v="321"/>
    <n v="1200"/>
    <n v="2752"/>
    <n v="0"/>
    <s v="No"/>
    <s v="Minor"/>
    <n v="2752"/>
    <n v="1200"/>
    <n v="2024"/>
    <n v="1"/>
  </r>
  <r>
    <s v="SHP-31927"/>
    <d v="2024-10-12T00:00:00"/>
    <x v="2"/>
    <s v="Delhi"/>
    <x v="0"/>
    <x v="1"/>
    <x v="4"/>
    <s v="Medium"/>
    <n v="2"/>
    <n v="7"/>
    <n v="5"/>
    <s v="Yes"/>
    <n v="488"/>
    <n v="10455"/>
    <n v="18885"/>
    <n v="0"/>
    <s v="No"/>
    <s v="Major"/>
    <n v="3777"/>
    <n v="2091"/>
    <n v="2024"/>
    <n v="10"/>
  </r>
  <r>
    <s v="SHP-31928"/>
    <d v="2024-10-17T00:00:00"/>
    <x v="1"/>
    <s v="Bhubaneswar"/>
    <x v="0"/>
    <x v="1"/>
    <x v="0"/>
    <s v="High"/>
    <n v="3"/>
    <n v="10"/>
    <n v="7"/>
    <s v="Yes"/>
    <n v="149"/>
    <n v="7105"/>
    <n v="16359"/>
    <n v="0"/>
    <s v="No"/>
    <s v="Severe"/>
    <n v="2337"/>
    <n v="1015"/>
    <n v="2024"/>
    <n v="10"/>
  </r>
  <r>
    <s v="SHP-31929"/>
    <d v="2024-12-03T00:00:00"/>
    <x v="1"/>
    <s v="Kolkata"/>
    <x v="1"/>
    <x v="0"/>
    <x v="4"/>
    <s v="Low"/>
    <n v="2"/>
    <n v="7"/>
    <n v="5"/>
    <s v="Yes"/>
    <n v="361"/>
    <n v="4770"/>
    <n v="16925"/>
    <n v="0"/>
    <s v="No"/>
    <s v="Major"/>
    <n v="3385"/>
    <n v="954"/>
    <n v="2024"/>
    <n v="12"/>
  </r>
  <r>
    <s v="SHP-31930"/>
    <d v="2024-10-22T00:00:00"/>
    <x v="2"/>
    <s v="Noida"/>
    <x v="0"/>
    <x v="1"/>
    <x v="0"/>
    <s v="Low"/>
    <n v="1"/>
    <n v="1"/>
    <n v="0"/>
    <s v="No"/>
    <n v="346"/>
    <n v="0"/>
    <n v="0"/>
    <n v="1"/>
    <s v="No"/>
    <s v="On Time"/>
    <n v="0"/>
    <n v="0"/>
    <n v="2024"/>
    <n v="10"/>
  </r>
  <r>
    <s v="SHP-31931"/>
    <d v="2024-09-08T00:00:00"/>
    <x v="3"/>
    <s v="Pune"/>
    <x v="1"/>
    <x v="1"/>
    <x v="0"/>
    <s v="Medium"/>
    <n v="2"/>
    <n v="7"/>
    <n v="5"/>
    <s v="Yes"/>
    <n v="268"/>
    <n v="8770"/>
    <n v="12055"/>
    <n v="0"/>
    <s v="No"/>
    <s v="Major"/>
    <n v="2411"/>
    <n v="1754"/>
    <n v="2024"/>
    <n v="9"/>
  </r>
  <r>
    <s v="SHP-31932"/>
    <d v="2024-01-02T00:00:00"/>
    <x v="0"/>
    <s v="Chennai"/>
    <x v="1"/>
    <x v="0"/>
    <x v="2"/>
    <s v="Low"/>
    <n v="3"/>
    <n v="4"/>
    <n v="1"/>
    <s v="Yes"/>
    <n v="336"/>
    <n v="1452"/>
    <n v="3814"/>
    <n v="0"/>
    <s v="No"/>
    <s v="Minor"/>
    <n v="3814"/>
    <n v="1452"/>
    <n v="2024"/>
    <n v="1"/>
  </r>
  <r>
    <s v="SHP-31933"/>
    <d v="2024-04-09T00:00:00"/>
    <x v="1"/>
    <s v="Bhubaneswar"/>
    <x v="0"/>
    <x v="2"/>
    <x v="0"/>
    <s v="Medium"/>
    <n v="2"/>
    <n v="9"/>
    <n v="7"/>
    <s v="Yes"/>
    <n v="141"/>
    <n v="12397"/>
    <n v="23107"/>
    <n v="0"/>
    <s v="No"/>
    <s v="Severe"/>
    <n v="3301"/>
    <n v="1771"/>
    <n v="2024"/>
    <n v="4"/>
  </r>
  <r>
    <s v="SHP-31934"/>
    <d v="2024-11-08T00:00:00"/>
    <x v="0"/>
    <s v="Chennai"/>
    <x v="0"/>
    <x v="0"/>
    <x v="4"/>
    <s v="Low"/>
    <n v="2"/>
    <n v="2"/>
    <n v="0"/>
    <s v="No"/>
    <n v="213"/>
    <n v="0"/>
    <n v="0"/>
    <n v="1"/>
    <s v="No"/>
    <s v="On Time"/>
    <n v="0"/>
    <n v="0"/>
    <n v="2024"/>
    <n v="11"/>
  </r>
  <r>
    <s v="SHP-31935"/>
    <d v="2024-01-04T00:00:00"/>
    <x v="0"/>
    <s v="Bengaluru"/>
    <x v="2"/>
    <x v="0"/>
    <x v="4"/>
    <s v="Low"/>
    <n v="5"/>
    <n v="10"/>
    <n v="5"/>
    <s v="Yes"/>
    <n v="402"/>
    <n v="7940"/>
    <n v="22375"/>
    <n v="0"/>
    <s v="No"/>
    <s v="Major"/>
    <n v="4475"/>
    <n v="1588"/>
    <n v="2024"/>
    <n v="1"/>
  </r>
  <r>
    <s v="SHP-31936"/>
    <d v="2024-11-11T00:00:00"/>
    <x v="0"/>
    <s v="Chennai"/>
    <x v="1"/>
    <x v="0"/>
    <x v="2"/>
    <s v="Low"/>
    <n v="1"/>
    <n v="3"/>
    <n v="2"/>
    <s v="Yes"/>
    <n v="136"/>
    <n v="2900"/>
    <n v="6850"/>
    <n v="0"/>
    <s v="No"/>
    <s v="Minor"/>
    <n v="3425"/>
    <n v="1450"/>
    <n v="2024"/>
    <n v="11"/>
  </r>
  <r>
    <s v="SHP-31937"/>
    <d v="2024-02-20T00:00:00"/>
    <x v="3"/>
    <s v="Mumbai"/>
    <x v="2"/>
    <x v="1"/>
    <x v="4"/>
    <s v="Low"/>
    <n v="2"/>
    <n v="4"/>
    <n v="2"/>
    <s v="Yes"/>
    <n v="275"/>
    <n v="3058"/>
    <n v="7236"/>
    <n v="0"/>
    <s v="No"/>
    <s v="Minor"/>
    <n v="3618"/>
    <n v="1529"/>
    <n v="2024"/>
    <n v="2"/>
  </r>
  <r>
    <s v="SHP-31938"/>
    <d v="2024-05-11T00:00:00"/>
    <x v="1"/>
    <s v="Bhubaneswar"/>
    <x v="2"/>
    <x v="0"/>
    <x v="3"/>
    <s v="Medium"/>
    <n v="1"/>
    <n v="4"/>
    <n v="3"/>
    <s v="Yes"/>
    <n v="475"/>
    <n v="6462"/>
    <n v="9099"/>
    <n v="0"/>
    <s v="No"/>
    <s v="Major"/>
    <n v="3033"/>
    <n v="2154"/>
    <n v="2024"/>
    <n v="5"/>
  </r>
  <r>
    <s v="SHP-31939"/>
    <d v="2024-11-09T00:00:00"/>
    <x v="3"/>
    <s v="Mumbai"/>
    <x v="0"/>
    <x v="1"/>
    <x v="0"/>
    <s v="Medium"/>
    <n v="2"/>
    <n v="3"/>
    <n v="1"/>
    <s v="Yes"/>
    <n v="108"/>
    <n v="1578"/>
    <n v="4529"/>
    <n v="0"/>
    <s v="No"/>
    <s v="Minor"/>
    <n v="4529"/>
    <n v="1578"/>
    <n v="2024"/>
    <n v="11"/>
  </r>
  <r>
    <s v="SHP-31940"/>
    <d v="2024-09-05T00:00:00"/>
    <x v="2"/>
    <s v="Delhi"/>
    <x v="0"/>
    <x v="1"/>
    <x v="0"/>
    <s v="Low"/>
    <n v="3"/>
    <n v="7"/>
    <n v="4"/>
    <s v="Yes"/>
    <n v="465"/>
    <n v="9136"/>
    <n v="17640"/>
    <n v="0"/>
    <s v="No"/>
    <s v="Major"/>
    <n v="4410"/>
    <n v="2284"/>
    <n v="2024"/>
    <n v="9"/>
  </r>
  <r>
    <s v="SHP-31941"/>
    <d v="2024-04-23T00:00:00"/>
    <x v="0"/>
    <s v="Chennai"/>
    <x v="1"/>
    <x v="2"/>
    <x v="3"/>
    <s v="Low"/>
    <n v="1"/>
    <n v="7"/>
    <n v="6"/>
    <s v="Yes"/>
    <n v="159"/>
    <n v="13206"/>
    <n v="13260"/>
    <n v="0"/>
    <s v="No"/>
    <s v="Severe"/>
    <n v="2210"/>
    <n v="2201"/>
    <n v="2024"/>
    <n v="4"/>
  </r>
  <r>
    <s v="SHP-31942"/>
    <d v="2024-06-25T00:00:00"/>
    <x v="2"/>
    <s v="Delhi"/>
    <x v="2"/>
    <x v="1"/>
    <x v="0"/>
    <s v="Low"/>
    <n v="2"/>
    <n v="7"/>
    <n v="5"/>
    <s v="Yes"/>
    <n v="298"/>
    <n v="5370"/>
    <n v="16655"/>
    <n v="0"/>
    <s v="No"/>
    <s v="Major"/>
    <n v="3331"/>
    <n v="1074"/>
    <n v="2024"/>
    <n v="6"/>
  </r>
  <r>
    <s v="SHP-31943"/>
    <d v="2024-10-21T00:00:00"/>
    <x v="0"/>
    <s v="Bengaluru"/>
    <x v="2"/>
    <x v="1"/>
    <x v="1"/>
    <s v="High"/>
    <n v="2"/>
    <n v="5"/>
    <n v="3"/>
    <s v="Yes"/>
    <n v="186"/>
    <n v="6066"/>
    <n v="9309"/>
    <n v="0"/>
    <s v="No"/>
    <s v="Major"/>
    <n v="3103"/>
    <n v="2022"/>
    <n v="2024"/>
    <n v="10"/>
  </r>
  <r>
    <s v="SHP-31944"/>
    <d v="2024-08-03T00:00:00"/>
    <x v="2"/>
    <s v="Noida"/>
    <x v="0"/>
    <x v="2"/>
    <x v="3"/>
    <s v="High"/>
    <n v="1"/>
    <n v="6"/>
    <n v="5"/>
    <s v="Yes"/>
    <n v="98"/>
    <n v="8465"/>
    <n v="24420"/>
    <n v="0"/>
    <s v="No"/>
    <s v="Major"/>
    <n v="4884"/>
    <n v="1693"/>
    <n v="2024"/>
    <n v="8"/>
  </r>
  <r>
    <s v="SHP-31945"/>
    <d v="2024-06-12T00:00:00"/>
    <x v="2"/>
    <s v="Delhi"/>
    <x v="2"/>
    <x v="0"/>
    <x v="2"/>
    <s v="Low"/>
    <n v="2"/>
    <n v="5"/>
    <n v="3"/>
    <s v="Yes"/>
    <n v="187"/>
    <n v="4017"/>
    <n v="14286"/>
    <n v="0"/>
    <s v="No"/>
    <s v="Major"/>
    <n v="4762"/>
    <n v="1339"/>
    <n v="2024"/>
    <n v="6"/>
  </r>
  <r>
    <s v="SHP-31946"/>
    <d v="2024-10-20T00:00:00"/>
    <x v="2"/>
    <s v="Noida"/>
    <x v="1"/>
    <x v="1"/>
    <x v="2"/>
    <s v="Low"/>
    <n v="1"/>
    <n v="3"/>
    <n v="2"/>
    <s v="Yes"/>
    <n v="119"/>
    <n v="4522"/>
    <n v="9386"/>
    <n v="0"/>
    <s v="No"/>
    <s v="Minor"/>
    <n v="4693"/>
    <n v="2261"/>
    <n v="2024"/>
    <n v="10"/>
  </r>
  <r>
    <s v="SHP-31947"/>
    <d v="2024-04-19T00:00:00"/>
    <x v="0"/>
    <s v="Bengaluru"/>
    <x v="2"/>
    <x v="0"/>
    <x v="0"/>
    <s v="High"/>
    <n v="1"/>
    <n v="3"/>
    <n v="2"/>
    <s v="Yes"/>
    <n v="435"/>
    <n v="4418"/>
    <n v="5360"/>
    <n v="0"/>
    <s v="No"/>
    <s v="Minor"/>
    <n v="2680"/>
    <n v="2209"/>
    <n v="2024"/>
    <n v="4"/>
  </r>
  <r>
    <s v="SHP-31948"/>
    <d v="2024-03-23T00:00:00"/>
    <x v="3"/>
    <s v="Mumbai"/>
    <x v="0"/>
    <x v="1"/>
    <x v="3"/>
    <s v="High"/>
    <n v="3"/>
    <n v="9"/>
    <n v="6"/>
    <s v="Yes"/>
    <n v="401"/>
    <n v="13776"/>
    <n v="15726"/>
    <n v="0"/>
    <s v="No"/>
    <s v="Severe"/>
    <n v="2621"/>
    <n v="2296"/>
    <n v="2024"/>
    <n v="3"/>
  </r>
  <r>
    <s v="SHP-31949"/>
    <d v="2024-12-28T00:00:00"/>
    <x v="3"/>
    <s v="Pune"/>
    <x v="0"/>
    <x v="2"/>
    <x v="1"/>
    <s v="Low"/>
    <n v="2"/>
    <n v="9"/>
    <n v="7"/>
    <s v="Yes"/>
    <n v="432"/>
    <n v="10612"/>
    <n v="25221"/>
    <n v="0"/>
    <s v="No"/>
    <s v="Severe"/>
    <n v="3603"/>
    <n v="1516"/>
    <n v="2024"/>
    <n v="12"/>
  </r>
  <r>
    <s v="SHP-31950"/>
    <d v="2024-12-05T00:00:00"/>
    <x v="2"/>
    <s v="Noida"/>
    <x v="0"/>
    <x v="1"/>
    <x v="1"/>
    <s v="Low"/>
    <n v="2"/>
    <n v="5"/>
    <n v="3"/>
    <s v="Yes"/>
    <n v="232"/>
    <n v="6090"/>
    <n v="14487"/>
    <n v="0"/>
    <s v="No"/>
    <s v="Major"/>
    <n v="4829"/>
    <n v="2030"/>
    <n v="2024"/>
    <n v="12"/>
  </r>
  <r>
    <s v="SHP-31951"/>
    <d v="2024-03-09T00:00:00"/>
    <x v="2"/>
    <s v="Noida"/>
    <x v="0"/>
    <x v="1"/>
    <x v="0"/>
    <s v="Low"/>
    <n v="2"/>
    <n v="7"/>
    <n v="5"/>
    <s v="Yes"/>
    <n v="325"/>
    <n v="5050"/>
    <n v="15315"/>
    <n v="0"/>
    <s v="No"/>
    <s v="Major"/>
    <n v="3063"/>
    <n v="1010"/>
    <n v="2024"/>
    <n v="3"/>
  </r>
  <r>
    <s v="SHP-31952"/>
    <d v="2024-05-25T00:00:00"/>
    <x v="0"/>
    <s v="Bengaluru"/>
    <x v="2"/>
    <x v="0"/>
    <x v="3"/>
    <s v="Medium"/>
    <n v="1"/>
    <n v="6"/>
    <n v="5"/>
    <s v="Yes"/>
    <n v="427"/>
    <n v="7855"/>
    <n v="18940"/>
    <n v="0"/>
    <s v="No"/>
    <s v="Major"/>
    <n v="3788"/>
    <n v="1571"/>
    <n v="2024"/>
    <n v="5"/>
  </r>
  <r>
    <s v="SHP-31953"/>
    <d v="2024-02-23T00:00:00"/>
    <x v="1"/>
    <s v="Kolkata"/>
    <x v="1"/>
    <x v="1"/>
    <x v="3"/>
    <s v="Low"/>
    <n v="2"/>
    <n v="5"/>
    <n v="3"/>
    <s v="Yes"/>
    <n v="193"/>
    <n v="7191"/>
    <n v="6651"/>
    <n v="0"/>
    <s v="No"/>
    <s v="Major"/>
    <n v="2217"/>
    <n v="2397"/>
    <n v="2024"/>
    <n v="2"/>
  </r>
  <r>
    <s v="SHP-31954"/>
    <d v="2024-09-28T00:00:00"/>
    <x v="2"/>
    <s v="Delhi"/>
    <x v="2"/>
    <x v="2"/>
    <x v="0"/>
    <s v="High"/>
    <n v="3"/>
    <n v="10"/>
    <n v="7"/>
    <s v="Yes"/>
    <n v="313"/>
    <n v="11130"/>
    <n v="13986"/>
    <n v="0"/>
    <s v="No"/>
    <s v="Severe"/>
    <n v="1998"/>
    <n v="1590"/>
    <n v="2024"/>
    <n v="9"/>
  </r>
  <r>
    <s v="SHP-31955"/>
    <d v="2024-11-28T00:00:00"/>
    <x v="0"/>
    <s v="Bengaluru"/>
    <x v="2"/>
    <x v="0"/>
    <x v="1"/>
    <s v="Medium"/>
    <n v="1"/>
    <n v="6"/>
    <n v="5"/>
    <s v="Yes"/>
    <n v="106"/>
    <n v="10900"/>
    <n v="17210"/>
    <n v="0"/>
    <s v="No"/>
    <s v="Major"/>
    <n v="3442"/>
    <n v="2180"/>
    <n v="2024"/>
    <n v="11"/>
  </r>
  <r>
    <s v="SHP-31956"/>
    <d v="2024-08-30T00:00:00"/>
    <x v="1"/>
    <s v="Bhubaneswar"/>
    <x v="1"/>
    <x v="2"/>
    <x v="1"/>
    <s v="Medium"/>
    <n v="3"/>
    <n v="7"/>
    <n v="4"/>
    <s v="Yes"/>
    <n v="133"/>
    <n v="8580"/>
    <n v="10840"/>
    <n v="0"/>
    <s v="No"/>
    <s v="Major"/>
    <n v="2710"/>
    <n v="2145"/>
    <n v="2024"/>
    <n v="8"/>
  </r>
  <r>
    <s v="SHP-31957"/>
    <d v="2024-04-27T00:00:00"/>
    <x v="0"/>
    <s v="Chennai"/>
    <x v="2"/>
    <x v="0"/>
    <x v="4"/>
    <s v="Medium"/>
    <n v="1"/>
    <n v="5"/>
    <n v="4"/>
    <s v="Yes"/>
    <n v="378"/>
    <n v="5364"/>
    <n v="8304"/>
    <n v="0"/>
    <s v="No"/>
    <s v="Major"/>
    <n v="2076"/>
    <n v="1341"/>
    <n v="2024"/>
    <n v="4"/>
  </r>
  <r>
    <s v="SHP-31958"/>
    <d v="2024-09-10T00:00:00"/>
    <x v="2"/>
    <s v="Delhi"/>
    <x v="1"/>
    <x v="2"/>
    <x v="0"/>
    <s v="Low"/>
    <n v="1"/>
    <n v="5"/>
    <n v="4"/>
    <s v="Yes"/>
    <n v="367"/>
    <n v="9528"/>
    <n v="13012"/>
    <n v="0"/>
    <s v="No"/>
    <s v="Major"/>
    <n v="3253"/>
    <n v="2382"/>
    <n v="2024"/>
    <n v="9"/>
  </r>
  <r>
    <s v="SHP-31959"/>
    <d v="2024-09-12T00:00:00"/>
    <x v="3"/>
    <s v="Pune"/>
    <x v="0"/>
    <x v="0"/>
    <x v="1"/>
    <s v="High"/>
    <n v="1"/>
    <n v="3"/>
    <n v="2"/>
    <s v="Yes"/>
    <n v="448"/>
    <n v="2578"/>
    <n v="8208"/>
    <n v="0"/>
    <s v="No"/>
    <s v="Minor"/>
    <n v="4104"/>
    <n v="1289"/>
    <n v="2024"/>
    <n v="9"/>
  </r>
  <r>
    <s v="SHP-31960"/>
    <d v="2024-11-17T00:00:00"/>
    <x v="3"/>
    <s v="Pune"/>
    <x v="2"/>
    <x v="1"/>
    <x v="0"/>
    <s v="High"/>
    <n v="1"/>
    <n v="5"/>
    <n v="4"/>
    <s v="Yes"/>
    <n v="81"/>
    <n v="3988"/>
    <n v="15752"/>
    <n v="0"/>
    <s v="No"/>
    <s v="Major"/>
    <n v="3938"/>
    <n v="997"/>
    <n v="2024"/>
    <n v="11"/>
  </r>
  <r>
    <s v="SHP-31961"/>
    <d v="2024-03-29T00:00:00"/>
    <x v="3"/>
    <s v="Mumbai"/>
    <x v="1"/>
    <x v="0"/>
    <x v="4"/>
    <s v="Low"/>
    <n v="3"/>
    <n v="7"/>
    <n v="4"/>
    <s v="Yes"/>
    <n v="144"/>
    <n v="7340"/>
    <n v="18560"/>
    <n v="0"/>
    <s v="No"/>
    <s v="Major"/>
    <n v="4640"/>
    <n v="1835"/>
    <n v="2024"/>
    <n v="3"/>
  </r>
  <r>
    <s v="SHP-31962"/>
    <d v="2024-12-12T00:00:00"/>
    <x v="1"/>
    <s v="Kolkata"/>
    <x v="0"/>
    <x v="2"/>
    <x v="2"/>
    <s v="Low"/>
    <n v="3"/>
    <n v="7"/>
    <n v="4"/>
    <s v="Yes"/>
    <n v="376"/>
    <n v="4768"/>
    <n v="7952"/>
    <n v="0"/>
    <s v="No"/>
    <s v="Major"/>
    <n v="1988"/>
    <n v="1192"/>
    <n v="2024"/>
    <n v="12"/>
  </r>
  <r>
    <s v="SHP-31963"/>
    <d v="2024-09-13T00:00:00"/>
    <x v="2"/>
    <s v="Noida"/>
    <x v="0"/>
    <x v="2"/>
    <x v="4"/>
    <s v="Medium"/>
    <n v="2"/>
    <n v="4"/>
    <n v="2"/>
    <s v="Yes"/>
    <n v="267"/>
    <n v="3836"/>
    <n v="9642"/>
    <n v="0"/>
    <s v="No"/>
    <s v="Minor"/>
    <n v="4821"/>
    <n v="1918"/>
    <n v="2024"/>
    <n v="9"/>
  </r>
  <r>
    <s v="SHP-31964"/>
    <d v="2024-07-09T00:00:00"/>
    <x v="1"/>
    <s v="Kolkata"/>
    <x v="1"/>
    <x v="2"/>
    <x v="2"/>
    <s v="High"/>
    <n v="2"/>
    <n v="6"/>
    <n v="4"/>
    <s v="Yes"/>
    <n v="187"/>
    <n v="4296"/>
    <n v="7252"/>
    <n v="0"/>
    <s v="No"/>
    <s v="Major"/>
    <n v="1813"/>
    <n v="1074"/>
    <n v="2024"/>
    <n v="7"/>
  </r>
  <r>
    <s v="SHP-31965"/>
    <d v="2024-02-08T00:00:00"/>
    <x v="0"/>
    <s v="Bengaluru"/>
    <x v="0"/>
    <x v="0"/>
    <x v="4"/>
    <s v="High"/>
    <n v="2"/>
    <n v="6"/>
    <n v="4"/>
    <s v="Yes"/>
    <n v="233"/>
    <n v="5172"/>
    <n v="7828"/>
    <n v="0"/>
    <s v="No"/>
    <s v="Major"/>
    <n v="1957"/>
    <n v="1293"/>
    <n v="2024"/>
    <n v="2"/>
  </r>
  <r>
    <s v="SHP-31966"/>
    <d v="2024-07-25T00:00:00"/>
    <x v="2"/>
    <s v="Noida"/>
    <x v="0"/>
    <x v="0"/>
    <x v="3"/>
    <s v="High"/>
    <n v="1"/>
    <n v="5"/>
    <n v="4"/>
    <s v="Yes"/>
    <n v="118"/>
    <n v="8360"/>
    <n v="13484"/>
    <n v="0"/>
    <s v="No"/>
    <s v="Major"/>
    <n v="3371"/>
    <n v="2090"/>
    <n v="2024"/>
    <n v="7"/>
  </r>
  <r>
    <s v="SHP-31967"/>
    <d v="2024-03-31T00:00:00"/>
    <x v="3"/>
    <s v="Mumbai"/>
    <x v="1"/>
    <x v="1"/>
    <x v="4"/>
    <s v="Low"/>
    <n v="1"/>
    <n v="3"/>
    <n v="2"/>
    <s v="Yes"/>
    <n v="140"/>
    <n v="4214"/>
    <n v="3102"/>
    <n v="0"/>
    <s v="No"/>
    <s v="Minor"/>
    <n v="1551"/>
    <n v="2107"/>
    <n v="2024"/>
    <n v="3"/>
  </r>
  <r>
    <s v="SHP-31968"/>
    <d v="2024-11-28T00:00:00"/>
    <x v="1"/>
    <s v="Bhubaneswar"/>
    <x v="1"/>
    <x v="1"/>
    <x v="4"/>
    <s v="Medium"/>
    <n v="2"/>
    <n v="3"/>
    <n v="1"/>
    <s v="Yes"/>
    <n v="398"/>
    <n v="2460"/>
    <n v="3173"/>
    <n v="0"/>
    <s v="No"/>
    <s v="Minor"/>
    <n v="3173"/>
    <n v="2460"/>
    <n v="2024"/>
    <n v="11"/>
  </r>
  <r>
    <s v="SHP-31969"/>
    <d v="2024-07-27T00:00:00"/>
    <x v="2"/>
    <s v="Noida"/>
    <x v="0"/>
    <x v="2"/>
    <x v="2"/>
    <s v="High"/>
    <n v="2"/>
    <n v="9"/>
    <n v="7"/>
    <s v="Yes"/>
    <n v="303"/>
    <n v="15799"/>
    <n v="20790"/>
    <n v="0"/>
    <s v="No"/>
    <s v="Severe"/>
    <n v="2970"/>
    <n v="2257"/>
    <n v="2024"/>
    <n v="7"/>
  </r>
  <r>
    <s v="SHP-31970"/>
    <d v="2024-11-14T00:00:00"/>
    <x v="2"/>
    <s v="Noida"/>
    <x v="0"/>
    <x v="1"/>
    <x v="0"/>
    <s v="High"/>
    <n v="2"/>
    <n v="9"/>
    <n v="7"/>
    <s v="Yes"/>
    <n v="215"/>
    <n v="11410"/>
    <n v="13482"/>
    <n v="0"/>
    <s v="No"/>
    <s v="Severe"/>
    <n v="1926"/>
    <n v="1630"/>
    <n v="2024"/>
    <n v="11"/>
  </r>
  <r>
    <s v="SHP-31971"/>
    <d v="2024-01-06T00:00:00"/>
    <x v="0"/>
    <s v="Bengaluru"/>
    <x v="0"/>
    <x v="1"/>
    <x v="3"/>
    <s v="Low"/>
    <n v="2"/>
    <n v="2"/>
    <n v="0"/>
    <s v="No"/>
    <n v="388"/>
    <n v="0"/>
    <n v="0"/>
    <n v="1"/>
    <s v="No"/>
    <s v="On Time"/>
    <n v="0"/>
    <n v="0"/>
    <n v="2024"/>
    <n v="1"/>
  </r>
  <r>
    <s v="SHP-31972"/>
    <d v="2024-03-15T00:00:00"/>
    <x v="2"/>
    <s v="Noida"/>
    <x v="1"/>
    <x v="0"/>
    <x v="0"/>
    <s v="Low"/>
    <n v="1"/>
    <n v="6"/>
    <n v="5"/>
    <s v="Yes"/>
    <n v="322"/>
    <n v="5375"/>
    <n v="12710"/>
    <n v="0"/>
    <s v="No"/>
    <s v="Major"/>
    <n v="2542"/>
    <n v="1075"/>
    <n v="2024"/>
    <n v="3"/>
  </r>
  <r>
    <s v="SHP-31973"/>
    <d v="2024-01-14T00:00:00"/>
    <x v="0"/>
    <s v="Chennai"/>
    <x v="2"/>
    <x v="0"/>
    <x v="0"/>
    <s v="Low"/>
    <n v="2"/>
    <n v="2"/>
    <n v="0"/>
    <s v="No"/>
    <n v="325"/>
    <n v="0"/>
    <n v="0"/>
    <n v="1"/>
    <s v="No"/>
    <s v="On Time"/>
    <n v="0"/>
    <n v="0"/>
    <n v="2024"/>
    <n v="1"/>
  </r>
  <r>
    <s v="SHP-31974"/>
    <d v="2024-06-05T00:00:00"/>
    <x v="2"/>
    <s v="Noida"/>
    <x v="1"/>
    <x v="1"/>
    <x v="0"/>
    <s v="Low"/>
    <n v="1"/>
    <n v="3"/>
    <n v="2"/>
    <s v="Yes"/>
    <n v="136"/>
    <n v="3368"/>
    <n v="6844"/>
    <n v="0"/>
    <s v="No"/>
    <s v="Minor"/>
    <n v="3422"/>
    <n v="1684"/>
    <n v="2024"/>
    <n v="6"/>
  </r>
  <r>
    <s v="SHP-31975"/>
    <d v="2024-10-06T00:00:00"/>
    <x v="3"/>
    <s v="Pune"/>
    <x v="0"/>
    <x v="1"/>
    <x v="4"/>
    <s v="Low"/>
    <n v="2"/>
    <n v="7"/>
    <n v="5"/>
    <s v="Yes"/>
    <n v="366"/>
    <n v="7260"/>
    <n v="22500"/>
    <n v="0"/>
    <s v="No"/>
    <s v="Major"/>
    <n v="4500"/>
    <n v="1452"/>
    <n v="2024"/>
    <n v="10"/>
  </r>
  <r>
    <s v="SHP-31976"/>
    <d v="2024-07-20T00:00:00"/>
    <x v="2"/>
    <s v="Noida"/>
    <x v="0"/>
    <x v="0"/>
    <x v="3"/>
    <s v="Low"/>
    <n v="1"/>
    <n v="6"/>
    <n v="5"/>
    <s v="Yes"/>
    <n v="468"/>
    <n v="6210"/>
    <n v="16360"/>
    <n v="0"/>
    <s v="No"/>
    <s v="Major"/>
    <n v="3272"/>
    <n v="1242"/>
    <n v="2024"/>
    <n v="7"/>
  </r>
  <r>
    <s v="SHP-31977"/>
    <d v="2024-02-11T00:00:00"/>
    <x v="1"/>
    <s v="Kolkata"/>
    <x v="0"/>
    <x v="1"/>
    <x v="2"/>
    <s v="Medium"/>
    <n v="3"/>
    <n v="7"/>
    <n v="4"/>
    <s v="Yes"/>
    <n v="60"/>
    <n v="5764"/>
    <n v="8808"/>
    <n v="0"/>
    <s v="No"/>
    <s v="Major"/>
    <n v="2202"/>
    <n v="1441"/>
    <n v="2024"/>
    <n v="2"/>
  </r>
  <r>
    <s v="SHP-31978"/>
    <d v="2024-01-22T00:00:00"/>
    <x v="3"/>
    <s v="Pune"/>
    <x v="2"/>
    <x v="1"/>
    <x v="1"/>
    <s v="Medium"/>
    <n v="3"/>
    <n v="6"/>
    <n v="3"/>
    <s v="Yes"/>
    <n v="127"/>
    <n v="2871"/>
    <n v="10632"/>
    <n v="0"/>
    <s v="No"/>
    <s v="Major"/>
    <n v="3544"/>
    <n v="957"/>
    <n v="2024"/>
    <n v="1"/>
  </r>
  <r>
    <s v="SHP-31979"/>
    <d v="2024-08-07T00:00:00"/>
    <x v="2"/>
    <s v="Delhi"/>
    <x v="0"/>
    <x v="0"/>
    <x v="3"/>
    <s v="Medium"/>
    <n v="2"/>
    <n v="2"/>
    <n v="0"/>
    <s v="No"/>
    <n v="99"/>
    <n v="0"/>
    <n v="0"/>
    <n v="1"/>
    <s v="No"/>
    <s v="On Time"/>
    <n v="0"/>
    <n v="0"/>
    <n v="2024"/>
    <n v="8"/>
  </r>
  <r>
    <s v="SHP-31980"/>
    <d v="2024-12-27T00:00:00"/>
    <x v="1"/>
    <s v="Kolkata"/>
    <x v="2"/>
    <x v="1"/>
    <x v="2"/>
    <s v="Medium"/>
    <n v="1"/>
    <n v="5"/>
    <n v="4"/>
    <s v="Yes"/>
    <n v="440"/>
    <n v="4144"/>
    <n v="8564"/>
    <n v="0"/>
    <s v="No"/>
    <s v="Major"/>
    <n v="2141"/>
    <n v="1036"/>
    <n v="2024"/>
    <n v="12"/>
  </r>
  <r>
    <s v="SHP-31981"/>
    <d v="2024-07-19T00:00:00"/>
    <x v="0"/>
    <s v="Bengaluru"/>
    <x v="1"/>
    <x v="0"/>
    <x v="4"/>
    <s v="Low"/>
    <n v="2"/>
    <n v="7"/>
    <n v="5"/>
    <s v="Yes"/>
    <n v="384"/>
    <n v="5420"/>
    <n v="22880"/>
    <n v="0"/>
    <s v="No"/>
    <s v="Major"/>
    <n v="4576"/>
    <n v="1084"/>
    <n v="2024"/>
    <n v="7"/>
  </r>
  <r>
    <s v="SHP-31982"/>
    <d v="2024-04-09T00:00:00"/>
    <x v="2"/>
    <s v="Delhi"/>
    <x v="2"/>
    <x v="0"/>
    <x v="4"/>
    <s v="Low"/>
    <n v="2"/>
    <n v="7"/>
    <n v="5"/>
    <s v="Yes"/>
    <n v="267"/>
    <n v="7365"/>
    <n v="14020"/>
    <n v="0"/>
    <s v="No"/>
    <s v="Major"/>
    <n v="2804"/>
    <n v="1473"/>
    <n v="2024"/>
    <n v="4"/>
  </r>
  <r>
    <s v="SHP-31983"/>
    <d v="2024-01-09T00:00:00"/>
    <x v="0"/>
    <s v="Bengaluru"/>
    <x v="2"/>
    <x v="2"/>
    <x v="3"/>
    <s v="Medium"/>
    <n v="2"/>
    <n v="8"/>
    <n v="6"/>
    <s v="Yes"/>
    <n v="138"/>
    <n v="10038"/>
    <n v="20736"/>
    <n v="0"/>
    <s v="No"/>
    <s v="Severe"/>
    <n v="3456"/>
    <n v="1673"/>
    <n v="2024"/>
    <n v="1"/>
  </r>
  <r>
    <s v="SHP-31984"/>
    <d v="2024-04-21T00:00:00"/>
    <x v="0"/>
    <s v="Bengaluru"/>
    <x v="1"/>
    <x v="2"/>
    <x v="2"/>
    <s v="Low"/>
    <n v="1"/>
    <n v="3"/>
    <n v="2"/>
    <s v="Yes"/>
    <n v="240"/>
    <n v="3042"/>
    <n v="8508"/>
    <n v="0"/>
    <s v="No"/>
    <s v="Minor"/>
    <n v="4254"/>
    <n v="1521"/>
    <n v="2024"/>
    <n v="4"/>
  </r>
  <r>
    <s v="SHP-31985"/>
    <d v="2024-05-30T00:00:00"/>
    <x v="2"/>
    <s v="Delhi"/>
    <x v="2"/>
    <x v="2"/>
    <x v="3"/>
    <s v="Low"/>
    <n v="1"/>
    <n v="5"/>
    <n v="4"/>
    <s v="Yes"/>
    <n v="420"/>
    <n v="9060"/>
    <n v="14388"/>
    <n v="0"/>
    <s v="No"/>
    <s v="Major"/>
    <n v="3597"/>
    <n v="2265"/>
    <n v="2024"/>
    <n v="5"/>
  </r>
  <r>
    <s v="SHP-31986"/>
    <d v="2024-08-25T00:00:00"/>
    <x v="1"/>
    <s v="Kolkata"/>
    <x v="0"/>
    <x v="1"/>
    <x v="0"/>
    <s v="Low"/>
    <n v="1"/>
    <n v="2"/>
    <n v="1"/>
    <s v="Yes"/>
    <n v="91"/>
    <n v="1128"/>
    <n v="2759"/>
    <n v="0"/>
    <s v="No"/>
    <s v="Minor"/>
    <n v="2759"/>
    <n v="1128"/>
    <n v="2024"/>
    <n v="8"/>
  </r>
  <r>
    <s v="SHP-31987"/>
    <d v="2024-08-08T00:00:00"/>
    <x v="1"/>
    <s v="Bhubaneswar"/>
    <x v="2"/>
    <x v="1"/>
    <x v="0"/>
    <s v="High"/>
    <n v="3"/>
    <n v="7"/>
    <n v="4"/>
    <s v="Yes"/>
    <n v="221"/>
    <n v="8700"/>
    <n v="17972"/>
    <n v="0"/>
    <s v="No"/>
    <s v="Major"/>
    <n v="4493"/>
    <n v="2175"/>
    <n v="2024"/>
    <n v="8"/>
  </r>
  <r>
    <s v="SHP-31988"/>
    <d v="2024-09-22T00:00:00"/>
    <x v="2"/>
    <s v="Delhi"/>
    <x v="1"/>
    <x v="0"/>
    <x v="4"/>
    <s v="Medium"/>
    <n v="1"/>
    <n v="1"/>
    <n v="0"/>
    <s v="No"/>
    <n v="146"/>
    <n v="0"/>
    <n v="0"/>
    <n v="1"/>
    <s v="No"/>
    <s v="On Time"/>
    <n v="0"/>
    <n v="0"/>
    <n v="2024"/>
    <n v="9"/>
  </r>
  <r>
    <s v="SHP-31989"/>
    <d v="2024-05-03T00:00:00"/>
    <x v="3"/>
    <s v="Mumbai"/>
    <x v="2"/>
    <x v="2"/>
    <x v="3"/>
    <s v="Low"/>
    <n v="2"/>
    <n v="7"/>
    <n v="5"/>
    <s v="Yes"/>
    <n v="177"/>
    <n v="9100"/>
    <n v="9405"/>
    <n v="0"/>
    <s v="No"/>
    <s v="Major"/>
    <n v="1881"/>
    <n v="1820"/>
    <n v="2024"/>
    <n v="5"/>
  </r>
  <r>
    <s v="SHP-31990"/>
    <d v="2024-03-01T00:00:00"/>
    <x v="0"/>
    <s v="Bengaluru"/>
    <x v="0"/>
    <x v="1"/>
    <x v="4"/>
    <s v="Medium"/>
    <n v="2"/>
    <n v="4"/>
    <n v="2"/>
    <s v="Yes"/>
    <n v="386"/>
    <n v="2024"/>
    <n v="5856"/>
    <n v="0"/>
    <s v="No"/>
    <s v="Minor"/>
    <n v="2928"/>
    <n v="1012"/>
    <n v="2024"/>
    <n v="3"/>
  </r>
  <r>
    <s v="SHP-31991"/>
    <d v="2024-08-30T00:00:00"/>
    <x v="0"/>
    <s v="Chennai"/>
    <x v="0"/>
    <x v="2"/>
    <x v="2"/>
    <s v="High"/>
    <n v="2"/>
    <n v="10"/>
    <n v="8"/>
    <s v="Yes"/>
    <n v="247"/>
    <n v="11736"/>
    <n v="24304"/>
    <n v="0"/>
    <s v="No"/>
    <s v="Severe"/>
    <n v="3038"/>
    <n v="1467"/>
    <n v="2024"/>
    <n v="8"/>
  </r>
  <r>
    <s v="SHP-31992"/>
    <d v="2024-06-21T00:00:00"/>
    <x v="1"/>
    <s v="Kolkata"/>
    <x v="0"/>
    <x v="1"/>
    <x v="0"/>
    <s v="Low"/>
    <n v="2"/>
    <n v="2"/>
    <n v="0"/>
    <s v="No"/>
    <n v="376"/>
    <n v="0"/>
    <n v="0"/>
    <n v="1"/>
    <s v="No"/>
    <s v="On Time"/>
    <n v="0"/>
    <n v="0"/>
    <n v="2024"/>
    <n v="6"/>
  </r>
  <r>
    <s v="SHP-31993"/>
    <d v="2024-08-13T00:00:00"/>
    <x v="2"/>
    <s v="Noida"/>
    <x v="2"/>
    <x v="0"/>
    <x v="4"/>
    <s v="Medium"/>
    <n v="1"/>
    <n v="5"/>
    <n v="4"/>
    <s v="Yes"/>
    <n v="296"/>
    <n v="7012"/>
    <n v="13536"/>
    <n v="0"/>
    <s v="No"/>
    <s v="Major"/>
    <n v="3384"/>
    <n v="1753"/>
    <n v="2024"/>
    <n v="8"/>
  </r>
  <r>
    <s v="SHP-31994"/>
    <d v="2024-07-13T00:00:00"/>
    <x v="2"/>
    <s v="Noida"/>
    <x v="1"/>
    <x v="1"/>
    <x v="2"/>
    <s v="Medium"/>
    <n v="1"/>
    <n v="5"/>
    <n v="4"/>
    <s v="Yes"/>
    <n v="457"/>
    <n v="3268"/>
    <n v="10504"/>
    <n v="0"/>
    <s v="No"/>
    <s v="Major"/>
    <n v="2626"/>
    <n v="817"/>
    <n v="2024"/>
    <n v="7"/>
  </r>
  <r>
    <s v="SHP-31995"/>
    <d v="2024-05-12T00:00:00"/>
    <x v="2"/>
    <s v="Delhi"/>
    <x v="1"/>
    <x v="2"/>
    <x v="4"/>
    <s v="Medium"/>
    <n v="2"/>
    <n v="3"/>
    <n v="1"/>
    <s v="Yes"/>
    <n v="341"/>
    <n v="1033"/>
    <n v="4870"/>
    <n v="0"/>
    <s v="No"/>
    <s v="Minor"/>
    <n v="4870"/>
    <n v="1033"/>
    <n v="2024"/>
    <n v="5"/>
  </r>
  <r>
    <s v="SHP-31996"/>
    <d v="2024-11-28T00:00:00"/>
    <x v="2"/>
    <s v="Noida"/>
    <x v="1"/>
    <x v="0"/>
    <x v="4"/>
    <s v="Low"/>
    <n v="5"/>
    <n v="8"/>
    <n v="3"/>
    <s v="Yes"/>
    <n v="77"/>
    <n v="4026"/>
    <n v="11817"/>
    <n v="0"/>
    <s v="No"/>
    <s v="Major"/>
    <n v="3939"/>
    <n v="1342"/>
    <n v="2024"/>
    <n v="11"/>
  </r>
  <r>
    <s v="SHP-31997"/>
    <d v="2024-05-15T00:00:00"/>
    <x v="2"/>
    <s v="Noida"/>
    <x v="1"/>
    <x v="1"/>
    <x v="0"/>
    <s v="Medium"/>
    <n v="2"/>
    <n v="5"/>
    <n v="3"/>
    <s v="Yes"/>
    <n v="138"/>
    <n v="7182"/>
    <n v="6399"/>
    <n v="0"/>
    <s v="No"/>
    <s v="Major"/>
    <n v="2133"/>
    <n v="2394"/>
    <n v="2024"/>
    <n v="5"/>
  </r>
  <r>
    <s v="SHP-31998"/>
    <d v="2024-06-17T00:00:00"/>
    <x v="1"/>
    <s v="Kolkata"/>
    <x v="0"/>
    <x v="2"/>
    <x v="4"/>
    <s v="Low"/>
    <n v="2"/>
    <n v="6"/>
    <n v="4"/>
    <s v="Yes"/>
    <n v="456"/>
    <n v="4968"/>
    <n v="16044"/>
    <n v="0"/>
    <s v="No"/>
    <s v="Major"/>
    <n v="4011"/>
    <n v="1242"/>
    <n v="2024"/>
    <n v="6"/>
  </r>
  <r>
    <s v="SHP-31999"/>
    <d v="2024-07-21T00:00:00"/>
    <x v="2"/>
    <s v="Delhi"/>
    <x v="0"/>
    <x v="2"/>
    <x v="4"/>
    <s v="Medium"/>
    <n v="2"/>
    <n v="8"/>
    <n v="6"/>
    <s v="Yes"/>
    <n v="185"/>
    <n v="10368"/>
    <n v="27522"/>
    <n v="0"/>
    <s v="No"/>
    <s v="Severe"/>
    <n v="4587"/>
    <n v="1728"/>
    <n v="2024"/>
    <n v="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90F154B-FB61-40DA-BCDF-A7AAD0AEE341}" name="Ship Type R Risk per Day"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Shipment_Type">
  <location ref="D11:E15" firstHeaderRow="1" firstDataRow="1" firstDataCol="1"/>
  <pivotFields count="22">
    <pivotField showAll="0"/>
    <pivotField numFmtId="14" showAll="0"/>
    <pivotField showAll="0">
      <items count="5">
        <item x="1"/>
        <item x="2"/>
        <item x="0"/>
        <item x="3"/>
        <item t="default"/>
      </items>
    </pivotField>
    <pivotField showAll="0"/>
    <pivotField showAll="0">
      <items count="4">
        <item x="0"/>
        <item x="1"/>
        <item x="2"/>
        <item t="default"/>
      </items>
    </pivotField>
    <pivotField axis="axisRow" showAll="0">
      <items count="4">
        <item x="2"/>
        <item x="0"/>
        <item x="1"/>
        <item t="default"/>
      </items>
    </pivotField>
    <pivotField showAll="0">
      <items count="6">
        <item x="4"/>
        <item x="3"/>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s>
  <rowFields count="1">
    <field x="5"/>
  </rowFields>
  <rowItems count="4">
    <i>
      <x/>
    </i>
    <i>
      <x v="1"/>
    </i>
    <i>
      <x v="2"/>
    </i>
    <i t="grand">
      <x/>
    </i>
  </rowItems>
  <colItems count="1">
    <i/>
  </colItems>
  <dataFields count="1">
    <dataField name="Sum of Revenue_Risk_per _Day" fld="18" baseField="5" baseItem="0" numFmtId="164"/>
  </dataFields>
  <formats count="1">
    <format dxfId="0">
      <pivotArea outline="0" collapsedLevelsAreSubtotals="1" fieldPosition="0"/>
    </format>
  </format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12DD2C6-CE72-4575-8F48-6E85E00CB7D1}" name="Hub Delay Days"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Handling_Hub">
  <location ref="A11:B15" firstHeaderRow="1" firstDataRow="1" firstDataCol="1"/>
  <pivotFields count="22">
    <pivotField showAll="0"/>
    <pivotField numFmtId="14" showAll="0"/>
    <pivotField showAll="0">
      <items count="5">
        <item x="1"/>
        <item x="2"/>
        <item x="0"/>
        <item x="3"/>
        <item t="default"/>
      </items>
    </pivotField>
    <pivotField showAll="0"/>
    <pivotField axis="axisRow" showAll="0">
      <items count="4">
        <item x="0"/>
        <item x="1"/>
        <item x="2"/>
        <item t="default"/>
      </items>
    </pivotField>
    <pivotField showAll="0">
      <items count="4">
        <item x="2"/>
        <item x="0"/>
        <item x="1"/>
        <item t="default"/>
      </items>
    </pivotField>
    <pivotField showAll="0">
      <items count="6">
        <item x="4"/>
        <item x="3"/>
        <item x="2"/>
        <item x="1"/>
        <item x="0"/>
        <item t="default"/>
      </items>
    </pivotField>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Items count="1">
    <i/>
  </colItems>
  <dataFields count="1">
    <dataField name="Average of Delay_Days" fld="10" subtotal="average" baseField="4"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C137E38-7C61-4D1F-9745-C50CA9119184}" name="Ship Type R Risk "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Shipment_Type">
  <location ref="D17:E21" firstHeaderRow="1" firstDataRow="1" firstDataCol="1"/>
  <pivotFields count="22">
    <pivotField showAll="0"/>
    <pivotField numFmtId="14" showAll="0"/>
    <pivotField showAll="0">
      <items count="5">
        <item x="1"/>
        <item x="2"/>
        <item x="0"/>
        <item x="3"/>
        <item t="default"/>
      </items>
    </pivotField>
    <pivotField showAll="0"/>
    <pivotField showAll="0">
      <items count="4">
        <item x="0"/>
        <item x="1"/>
        <item x="2"/>
        <item t="default"/>
      </items>
    </pivotField>
    <pivotField axis="axisRow" showAll="0">
      <items count="4">
        <item x="2"/>
        <item x="0"/>
        <item x="1"/>
        <item t="default"/>
      </items>
    </pivotField>
    <pivotField showAll="0">
      <items count="6">
        <item x="4"/>
        <item x="3"/>
        <item x="2"/>
        <item x="1"/>
        <item x="0"/>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s>
  <rowFields count="1">
    <field x="5"/>
  </rowFields>
  <rowItems count="4">
    <i>
      <x/>
    </i>
    <i>
      <x v="1"/>
    </i>
    <i>
      <x v="2"/>
    </i>
    <i t="grand">
      <x/>
    </i>
  </rowItems>
  <colItems count="1">
    <i/>
  </colItems>
  <dataFields count="1">
    <dataField name="Sum of Revenue_At_Risk" fld="14" baseField="0" baseItem="0" numFmtId="164"/>
  </dataFields>
  <formats count="1">
    <format dxfId="1">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4A4430A-DF85-4853-9F72-0C84F3D39317}" name="SLA_Complaint %"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Delay_Issue_Type">
  <location ref="G13:G14" firstHeaderRow="1" firstDataRow="1" firstDataCol="0"/>
  <pivotFields count="22">
    <pivotField showAll="0"/>
    <pivotField numFmtId="14" showAll="0"/>
    <pivotField showAll="0">
      <items count="5">
        <item x="1"/>
        <item x="2"/>
        <item x="0"/>
        <item x="3"/>
        <item t="default"/>
      </items>
    </pivotField>
    <pivotField showAll="0"/>
    <pivotField showAll="0">
      <items count="4">
        <item x="0"/>
        <item x="1"/>
        <item x="2"/>
        <item t="default"/>
      </items>
    </pivotField>
    <pivotField showAll="0">
      <items count="4">
        <item x="2"/>
        <item x="0"/>
        <item x="1"/>
        <item t="default"/>
      </items>
    </pivotField>
    <pivotField showAll="0">
      <items count="6">
        <item x="4"/>
        <item x="3"/>
        <item x="2"/>
        <item x="1"/>
        <item x="0"/>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s>
  <rowItems count="1">
    <i/>
  </rowItems>
  <colItems count="1">
    <i/>
  </colItems>
  <dataFields count="1">
    <dataField name="Sum of SLA_Complaint" fld="15" baseField="0" baseItem="0"/>
  </dataFields>
  <formats count="2">
    <format dxfId="3">
      <pivotArea outline="0" collapsedLevelsAreSubtotals="1" fieldPosition="0"/>
    </format>
    <format dxfId="2">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F2A916E-950B-485A-AFA7-9149389E80C5}" name="Delay Issue Avg R Risk per Day"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Delay_Issue_Type">
  <location ref="G5:H11" firstHeaderRow="1" firstDataRow="1" firstDataCol="1"/>
  <pivotFields count="22">
    <pivotField showAll="0"/>
    <pivotField numFmtId="14" showAll="0"/>
    <pivotField showAll="0">
      <items count="5">
        <item x="1"/>
        <item x="2"/>
        <item x="0"/>
        <item x="3"/>
        <item t="default"/>
      </items>
    </pivotField>
    <pivotField showAll="0"/>
    <pivotField showAll="0">
      <items count="4">
        <item x="0"/>
        <item x="1"/>
        <item x="2"/>
        <item t="default"/>
      </items>
    </pivotField>
    <pivotField showAll="0">
      <items count="4">
        <item x="2"/>
        <item x="0"/>
        <item x="1"/>
        <item t="default"/>
      </items>
    </pivotField>
    <pivotField axis="axisRow" showAll="0">
      <items count="6">
        <item x="4"/>
        <item x="3"/>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s>
  <rowFields count="1">
    <field x="6"/>
  </rowFields>
  <rowItems count="6">
    <i>
      <x/>
    </i>
    <i>
      <x v="1"/>
    </i>
    <i>
      <x v="2"/>
    </i>
    <i>
      <x v="3"/>
    </i>
    <i>
      <x v="4"/>
    </i>
    <i t="grand">
      <x/>
    </i>
  </rowItems>
  <colItems count="1">
    <i/>
  </colItems>
  <dataFields count="1">
    <dataField name="Average of Revenue_Risk_per _Day" fld="18" subtotal="average" baseField="6" baseItem="0" numFmtId="164"/>
  </dataFields>
  <formats count="1">
    <format dxfId="4">
      <pivotArea outline="0" collapsedLevelsAreSubtotals="1" fieldPosition="0"/>
    </format>
  </format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EA47B3A-9BD1-40D7-B972-F77A64487D00}" name="Hub SLA Breach"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Handling_Hub">
  <location ref="A5:B9" firstHeaderRow="1" firstDataRow="1" firstDataCol="1"/>
  <pivotFields count="22">
    <pivotField showAll="0"/>
    <pivotField numFmtId="14" showAll="0"/>
    <pivotField showAll="0">
      <items count="5">
        <item x="1"/>
        <item x="2"/>
        <item x="0"/>
        <item x="3"/>
        <item t="default"/>
      </items>
    </pivotField>
    <pivotField showAll="0"/>
    <pivotField axis="axisRow" showAll="0">
      <items count="4">
        <item x="0"/>
        <item x="1"/>
        <item x="2"/>
        <item t="default"/>
      </items>
    </pivotField>
    <pivotField showAll="0">
      <items count="4">
        <item x="2"/>
        <item x="0"/>
        <item x="1"/>
        <item t="default"/>
      </items>
    </pivotField>
    <pivotField showAll="0">
      <items count="6">
        <item x="4"/>
        <item x="3"/>
        <item x="2"/>
        <item x="1"/>
        <item x="0"/>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Items count="1">
    <i/>
  </colItems>
  <dataFields count="1">
    <dataField name="Count of SLA_Breached" fld="11" subtotal="count" showDataAs="percentOfTotal" baseField="4" baseItem="0" numFmtId="10"/>
  </dataField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1AF2CAB-C023-4073-8A12-3AD56FDE3B63}" name="Breach %"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16:G17" firstHeaderRow="1" firstDataRow="1" firstDataCol="0"/>
  <pivotFields count="23">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 showAll="0"/>
    <pivotField showAll="0"/>
    <pivotField showAll="0"/>
    <pivotField showAll="0"/>
    <pivotField showAll="0"/>
    <pivotField showAll="0"/>
    <pivotField showAll="0"/>
    <pivotField dataField="1" showAll="0"/>
  </pivotFields>
  <rowItems count="1">
    <i/>
  </rowItems>
  <colItems count="1">
    <i/>
  </colItems>
  <dataFields count="1">
    <dataField name="Sum of Breach_flag" fld="2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053AB69-4612-4DA8-B640-2E751CB50AF6}" name="Ship Type SLA Breach"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Shipment_Type">
  <location ref="D5:E9" firstHeaderRow="1" firstDataRow="1" firstDataCol="1"/>
  <pivotFields count="22">
    <pivotField showAll="0"/>
    <pivotField numFmtId="14" showAll="0"/>
    <pivotField showAll="0">
      <items count="5">
        <item x="1"/>
        <item x="2"/>
        <item x="0"/>
        <item x="3"/>
        <item t="default"/>
      </items>
    </pivotField>
    <pivotField showAll="0"/>
    <pivotField showAll="0">
      <items count="4">
        <item x="0"/>
        <item x="1"/>
        <item x="2"/>
        <item t="default"/>
      </items>
    </pivotField>
    <pivotField axis="axisRow" showAll="0">
      <items count="4">
        <item x="2"/>
        <item x="0"/>
        <item x="1"/>
        <item t="default"/>
      </items>
    </pivotField>
    <pivotField showAll="0">
      <items count="6">
        <item x="4"/>
        <item x="3"/>
        <item x="2"/>
        <item x="1"/>
        <item x="0"/>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s>
  <rowFields count="1">
    <field x="5"/>
  </rowFields>
  <rowItems count="4">
    <i>
      <x/>
    </i>
    <i>
      <x v="1"/>
    </i>
    <i>
      <x v="2"/>
    </i>
    <i t="grand">
      <x/>
    </i>
  </rowItems>
  <colItems count="1">
    <i/>
  </colItems>
  <dataFields count="1">
    <dataField name="Count of SLA_Breached" fld="11" subtotal="count" showDataAs="percentOfTotal" baseField="5" baseItem="0" numFmtId="10"/>
  </dataFields>
  <chartFormats count="4">
    <chartFormat chart="5" format="5" series="1">
      <pivotArea type="data" outline="0" fieldPosition="0">
        <references count="1">
          <reference field="4294967294" count="1" selected="0">
            <x v="0"/>
          </reference>
        </references>
      </pivotArea>
    </chartFormat>
    <chartFormat chart="5" format="6">
      <pivotArea type="data" outline="0" fieldPosition="0">
        <references count="2">
          <reference field="4294967294" count="1" selected="0">
            <x v="0"/>
          </reference>
          <reference field="5" count="1" selected="0">
            <x v="0"/>
          </reference>
        </references>
      </pivotArea>
    </chartFormat>
    <chartFormat chart="5" format="7">
      <pivotArea type="data" outline="0" fieldPosition="0">
        <references count="2">
          <reference field="4294967294" count="1" selected="0">
            <x v="0"/>
          </reference>
          <reference field="5" count="1" selected="0">
            <x v="1"/>
          </reference>
        </references>
      </pivotArea>
    </chartFormat>
    <chartFormat chart="5" format="8">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D474E25-4A49-4E8C-9A9A-5F5F7329620A}" name="PivotTable1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F2" firstHeaderRow="0" firstDataRow="1" firstDataCol="0"/>
  <pivotFields count="22">
    <pivotField dataField="1" showAll="0"/>
    <pivotField numFmtId="14" showAll="0"/>
    <pivotField showAll="0">
      <items count="5">
        <item x="1"/>
        <item x="2"/>
        <item x="0"/>
        <item x="3"/>
        <item t="default"/>
      </items>
    </pivotField>
    <pivotField showAll="0"/>
    <pivotField showAll="0">
      <items count="4">
        <item x="0"/>
        <item x="1"/>
        <item x="2"/>
        <item t="default"/>
      </items>
    </pivotField>
    <pivotField showAll="0">
      <items count="4">
        <item x="2"/>
        <item x="0"/>
        <item x="1"/>
        <item t="default"/>
      </items>
    </pivotField>
    <pivotField showAll="0">
      <items count="6">
        <item x="4"/>
        <item x="3"/>
        <item x="2"/>
        <item x="1"/>
        <item x="0"/>
        <item t="default"/>
      </items>
    </pivotField>
    <pivotField showAll="0"/>
    <pivotField dataField="1" showAll="0"/>
    <pivotField dataField="1" showAll="0"/>
    <pivotField dataField="1" showAll="0"/>
    <pivotField showAll="0"/>
    <pivotField showAll="0"/>
    <pivotField dataField="1" showAll="0"/>
    <pivotField dataField="1" showAll="0"/>
    <pivotField showAll="0"/>
    <pivotField showAll="0"/>
    <pivotField showAll="0"/>
    <pivotField showAll="0"/>
    <pivotField showAll="0"/>
    <pivotField showAll="0"/>
    <pivotField showAll="0"/>
  </pivotFields>
  <rowItems count="1">
    <i/>
  </rowItems>
  <colFields count="1">
    <field x="-2"/>
  </colFields>
  <colItems count="6">
    <i>
      <x/>
    </i>
    <i i="1">
      <x v="1"/>
    </i>
    <i i="2">
      <x v="2"/>
    </i>
    <i i="3">
      <x v="3"/>
    </i>
    <i i="4">
      <x v="4"/>
    </i>
    <i i="5">
      <x v="5"/>
    </i>
  </colItems>
  <dataFields count="6">
    <dataField name="Count of Shipment_ID" fld="0" subtotal="count" baseField="0" baseItem="0"/>
    <dataField name="Sum of Revenue_At_Risk" fld="14" baseField="0" baseItem="0" numFmtId="164"/>
    <dataField name="Sum of Cost_Overrun" fld="13" baseField="0" baseItem="0" numFmtId="164"/>
    <dataField name="Average of Planned_TAT_Days" fld="8" subtotal="average" baseField="0" baseItem="2"/>
    <dataField name="Average of Actual_TAT_Days" fld="9" subtotal="average" baseField="0" baseItem="3"/>
    <dataField name="Average of Delay_Days" fld="10" subtotal="average" baseField="0" baseItem="4"/>
  </dataFields>
  <formats count="2">
    <format dxfId="6">
      <pivotArea outline="0" collapsedLevelsAreSubtotals="1" fieldPosition="0">
        <references count="1">
          <reference field="4294967294" count="1" selected="0">
            <x v="1"/>
          </reference>
        </references>
      </pivotArea>
    </format>
    <format dxfId="5">
      <pivotArea outline="0" collapsedLevelsAreSubtotals="1" fieldPosition="0">
        <references count="1">
          <reference field="4294967294" count="1" selected="0">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AAD9E44-022B-4034-80A7-E7418990D3CD}" name="Hub Backlog Load"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Handling_Hub">
  <location ref="A17:B21" firstHeaderRow="1" firstDataRow="1" firstDataCol="1"/>
  <pivotFields count="22">
    <pivotField showAll="0"/>
    <pivotField numFmtId="14" showAll="0"/>
    <pivotField showAll="0">
      <items count="5">
        <item x="1"/>
        <item x="2"/>
        <item x="0"/>
        <item x="3"/>
        <item t="default"/>
      </items>
    </pivotField>
    <pivotField showAll="0"/>
    <pivotField axis="axisRow" showAll="0">
      <items count="4">
        <item x="0"/>
        <item x="1"/>
        <item x="2"/>
        <item t="default"/>
      </items>
    </pivotField>
    <pivotField showAll="0">
      <items count="4">
        <item x="2"/>
        <item x="0"/>
        <item x="1"/>
        <item t="default"/>
      </items>
    </pivotField>
    <pivotField showAll="0">
      <items count="6">
        <item x="4"/>
        <item x="3"/>
        <item x="2"/>
        <item x="1"/>
        <item x="0"/>
        <item t="default"/>
      </items>
    </pivotField>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Items count="1">
    <i/>
  </colItems>
  <dataFields count="1">
    <dataField name="Sum of Backlog_Load" fld="12" baseField="0" baseItem="0" numFmtId="164"/>
  </dataFields>
  <formats count="1">
    <format dxfId="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411E109D-7818-48B3-AFFD-DD2655240D8C}" sourceName="Region">
  <pivotTables>
    <pivotTable tabId="3" name="PivotTable16"/>
    <pivotTable tabId="3" name="Delay Issue Avg R Risk per Day"/>
    <pivotTable tabId="3" name="Hub Backlog Load"/>
    <pivotTable tabId="3" name="Hub Delay Days"/>
    <pivotTable tabId="3" name="Hub SLA Breach"/>
    <pivotTable tabId="3" name="Ship Type R Risk "/>
    <pivotTable tabId="3" name="Ship Type R Risk per Day"/>
    <pivotTable tabId="3" name="Ship Type SLA Breach"/>
    <pivotTable tabId="3" name="SLA_Complaint %"/>
  </pivotTables>
  <data>
    <tabular pivotCacheId="198891722">
      <items count="4">
        <i x="1" s="1"/>
        <i x="2"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andling_Hub" xr10:uid="{98F042B8-9AB0-473F-BE2D-E215CED1011A}" sourceName="Handling_Hub">
  <pivotTables>
    <pivotTable tabId="3" name="PivotTable16"/>
    <pivotTable tabId="3" name="Delay Issue Avg R Risk per Day"/>
    <pivotTable tabId="3" name="Hub Backlog Load"/>
    <pivotTable tabId="3" name="Hub Delay Days"/>
    <pivotTable tabId="3" name="Hub SLA Breach"/>
    <pivotTable tabId="3" name="Ship Type R Risk "/>
    <pivotTable tabId="3" name="Ship Type R Risk per Day"/>
    <pivotTable tabId="3" name="Ship Type SLA Breach"/>
    <pivotTable tabId="3" name="SLA_Complaint %"/>
  </pivotTables>
  <data>
    <tabular pivotCacheId="198891722">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ment_Type" xr10:uid="{4BE4168A-35A5-4116-98D7-1ECAF5FA7B52}" sourceName="Shipment_Type">
  <pivotTables>
    <pivotTable tabId="3" name="PivotTable16"/>
    <pivotTable tabId="3" name="Delay Issue Avg R Risk per Day"/>
    <pivotTable tabId="3" name="Hub Backlog Load"/>
    <pivotTable tabId="3" name="Hub Delay Days"/>
    <pivotTable tabId="3" name="Hub SLA Breach"/>
    <pivotTable tabId="3" name="Ship Type R Risk "/>
    <pivotTable tabId="3" name="Ship Type R Risk per Day"/>
    <pivotTable tabId="3" name="Ship Type SLA Breach"/>
    <pivotTable tabId="3" name="SLA_Complaint %"/>
  </pivotTables>
  <data>
    <tabular pivotCacheId="198891722">
      <items count="3">
        <i x="2" s="1"/>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lay_Issue_Type" xr10:uid="{09763A17-8D21-4CCB-B8DC-24B49371D3D7}" sourceName="Delay_Issue_Type">
  <pivotTables>
    <pivotTable tabId="3" name="PivotTable16"/>
    <pivotTable tabId="3" name="Delay Issue Avg R Risk per Day"/>
    <pivotTable tabId="3" name="Hub Backlog Load"/>
    <pivotTable tabId="3" name="Hub Delay Days"/>
    <pivotTable tabId="3" name="Hub SLA Breach"/>
    <pivotTable tabId="3" name="Ship Type R Risk "/>
    <pivotTable tabId="3" name="Ship Type R Risk per Day"/>
    <pivotTable tabId="3" name="Ship Type SLA Breach"/>
    <pivotTable tabId="3" name="SLA_Complaint %"/>
  </pivotTables>
  <data>
    <tabular pivotCacheId="198891722">
      <items count="5">
        <i x="4" s="1"/>
        <i x="3" s="1"/>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649DB308-791B-46F4-B112-23A9FE4ABCC1}" cache="Slicer_Region" caption="Region" rowHeight="241300"/>
  <slicer name="Handling_Hub" xr10:uid="{D0BD7AB9-857A-4FBA-A160-85985E54A89D}" cache="Slicer_Handling_Hub" caption="Handling_Hub" rowHeight="241300"/>
  <slicer name="Shipment_Type" xr10:uid="{7A21CBED-6AF6-4B7A-9809-D0A18FD30940}" cache="Slicer_Shipment_Type" caption="Shipment_Type" rowHeight="241300"/>
  <slicer name="Delay_Issue_Type" xr10:uid="{6B4DB808-2D05-45B3-8E6E-6E174FF12096}" cache="Slicer_Delay_Issue_Type" caption="Delay_Issue_Type" rowHeight="241300"/>
</slicer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2001"/>
  <sheetViews>
    <sheetView topLeftCell="J1" zoomScale="62" zoomScaleNormal="115" workbookViewId="0">
      <selection activeCell="AA12" sqref="AA12"/>
    </sheetView>
  </sheetViews>
  <sheetFormatPr defaultRowHeight="14.5"/>
  <cols>
    <col min="1" max="1" width="11.6328125" bestFit="1" customWidth="1"/>
    <col min="2" max="2" width="10.81640625" style="4" bestFit="1" customWidth="1"/>
    <col min="4" max="4" width="12.26953125" bestFit="1" customWidth="1"/>
    <col min="5" max="5" width="13.54296875" bestFit="1" customWidth="1"/>
    <col min="6" max="6" width="14.7265625" bestFit="1" customWidth="1"/>
    <col min="7" max="7" width="16.81640625" bestFit="1" customWidth="1"/>
    <col min="8" max="8" width="13.7265625" bestFit="1" customWidth="1"/>
    <col min="9" max="9" width="17" bestFit="1" customWidth="1"/>
    <col min="10" max="10" width="15.36328125" bestFit="1" customWidth="1"/>
    <col min="11" max="11" width="10.453125" bestFit="1" customWidth="1"/>
    <col min="12" max="12" width="13.453125" bestFit="1" customWidth="1"/>
    <col min="13" max="13" width="13" bestFit="1" customWidth="1"/>
    <col min="14" max="14" width="12.453125" bestFit="1" customWidth="1"/>
    <col min="15" max="15" width="15.36328125" bestFit="1" customWidth="1"/>
    <col min="16" max="16" width="13.7265625" style="13" bestFit="1" customWidth="1"/>
    <col min="17" max="17" width="9.7265625" bestFit="1" customWidth="1"/>
    <col min="18" max="18" width="13.36328125" bestFit="1" customWidth="1"/>
    <col min="19" max="19" width="21.08984375" bestFit="1" customWidth="1"/>
    <col min="20" max="20" width="20.6328125" bestFit="1" customWidth="1"/>
    <col min="21" max="21" width="9.54296875" bestFit="1" customWidth="1"/>
    <col min="22" max="22" width="11.54296875" bestFit="1" customWidth="1"/>
    <col min="23" max="23" width="11.08984375" bestFit="1" customWidth="1"/>
    <col min="29" max="29" width="17.81640625" customWidth="1"/>
  </cols>
  <sheetData>
    <row r="1" spans="1:23">
      <c r="A1" s="1" t="s">
        <v>0</v>
      </c>
      <c r="B1" s="3" t="s">
        <v>1</v>
      </c>
      <c r="C1" s="1" t="s">
        <v>2</v>
      </c>
      <c r="D1" s="1" t="s">
        <v>3</v>
      </c>
      <c r="E1" s="1" t="s">
        <v>4</v>
      </c>
      <c r="F1" s="1" t="s">
        <v>5</v>
      </c>
      <c r="G1" s="1" t="s">
        <v>6</v>
      </c>
      <c r="H1" s="1" t="s">
        <v>7</v>
      </c>
      <c r="I1" s="1" t="s">
        <v>8</v>
      </c>
      <c r="J1" s="1" t="s">
        <v>9</v>
      </c>
      <c r="K1" s="1" t="s">
        <v>10</v>
      </c>
      <c r="L1" s="1" t="s">
        <v>11</v>
      </c>
      <c r="M1" s="1" t="s">
        <v>12</v>
      </c>
      <c r="N1" s="1" t="s">
        <v>13</v>
      </c>
      <c r="O1" s="1" t="s">
        <v>14</v>
      </c>
      <c r="P1" s="12" t="s">
        <v>2043</v>
      </c>
      <c r="Q1" s="2" t="s">
        <v>2044</v>
      </c>
      <c r="R1" s="2" t="s">
        <v>2045</v>
      </c>
      <c r="S1" s="2" t="s">
        <v>2046</v>
      </c>
      <c r="T1" s="2" t="s">
        <v>2047</v>
      </c>
      <c r="U1" s="2" t="s">
        <v>2048</v>
      </c>
      <c r="V1" s="2" t="s">
        <v>2049</v>
      </c>
      <c r="W1" s="2" t="s">
        <v>2104</v>
      </c>
    </row>
    <row r="2" spans="1:23">
      <c r="A2" t="s">
        <v>15</v>
      </c>
      <c r="B2" s="4">
        <v>45533</v>
      </c>
      <c r="C2" t="s">
        <v>2015</v>
      </c>
      <c r="D2" t="s">
        <v>2019</v>
      </c>
      <c r="E2" t="s">
        <v>2027</v>
      </c>
      <c r="F2" t="s">
        <v>2030</v>
      </c>
      <c r="G2" t="s">
        <v>2033</v>
      </c>
      <c r="H2" t="s">
        <v>2038</v>
      </c>
      <c r="I2">
        <v>2</v>
      </c>
      <c r="J2">
        <v>6</v>
      </c>
      <c r="K2">
        <v>4</v>
      </c>
      <c r="L2" t="s">
        <v>2041</v>
      </c>
      <c r="M2">
        <v>367</v>
      </c>
      <c r="N2">
        <v>8308</v>
      </c>
      <c r="O2">
        <v>6932</v>
      </c>
      <c r="P2" s="13">
        <f>IF(L2="Yes",0,1)</f>
        <v>0</v>
      </c>
      <c r="Q2" t="str">
        <f>IF(K2&gt;J2,"Yes","No")</f>
        <v>No</v>
      </c>
      <c r="R2" t="str" cm="1">
        <f t="array" ref="R2">_xlfn.IFS(K2=0,"On Time",K2&lt;=2,"Minor",K2&lt;=5,"Major",K2&gt;5,"Severe")</f>
        <v>Major</v>
      </c>
      <c r="S2">
        <f>IFERROR(O2/K2,0)</f>
        <v>1733</v>
      </c>
      <c r="T2">
        <f>IFERROR(N2/K2,0)</f>
        <v>2077</v>
      </c>
      <c r="U2">
        <f>YEAR(B2)</f>
        <v>2024</v>
      </c>
      <c r="V2">
        <f>MONTH(B2)</f>
        <v>8</v>
      </c>
      <c r="W2">
        <f>IF(L2="Yes",1,0)</f>
        <v>1</v>
      </c>
    </row>
    <row r="3" spans="1:23">
      <c r="A3" t="s">
        <v>16</v>
      </c>
      <c r="B3" s="4">
        <v>45496</v>
      </c>
      <c r="C3" t="s">
        <v>2015</v>
      </c>
      <c r="D3" t="s">
        <v>2020</v>
      </c>
      <c r="E3" t="s">
        <v>2028</v>
      </c>
      <c r="F3" t="s">
        <v>2031</v>
      </c>
      <c r="G3" t="s">
        <v>2033</v>
      </c>
      <c r="H3" t="s">
        <v>2039</v>
      </c>
      <c r="I3">
        <v>3</v>
      </c>
      <c r="J3">
        <v>8</v>
      </c>
      <c r="K3">
        <v>5</v>
      </c>
      <c r="L3" t="s">
        <v>2041</v>
      </c>
      <c r="M3">
        <v>279</v>
      </c>
      <c r="N3">
        <v>5370</v>
      </c>
      <c r="O3">
        <v>14890</v>
      </c>
      <c r="P3" s="13">
        <f t="shared" ref="P3:P66" si="0">IF(L3="Yes",0,1)</f>
        <v>0</v>
      </c>
      <c r="Q3" t="str">
        <f t="shared" ref="Q3:Q66" si="1">IF(K3&gt;J3,"Yes","No")</f>
        <v>No</v>
      </c>
      <c r="R3" t="str" cm="1">
        <f t="array" ref="R3">_xlfn.IFS(K3=0,"On Time",K3&lt;=2,"Minor",K3&lt;=5,"Major",K3&gt;5,"Severe")</f>
        <v>Major</v>
      </c>
      <c r="S3">
        <f t="shared" ref="S3:S66" si="2">IFERROR(O3/K3,0)</f>
        <v>2978</v>
      </c>
      <c r="T3">
        <f t="shared" ref="T3:T66" si="3">IFERROR(N3/K3,0)</f>
        <v>1074</v>
      </c>
      <c r="U3">
        <f t="shared" ref="U3:U66" si="4">YEAR(B3)</f>
        <v>2024</v>
      </c>
      <c r="V3">
        <f t="shared" ref="V3:V66" si="5">MONTH(B3)</f>
        <v>7</v>
      </c>
      <c r="W3" s="11">
        <f t="shared" ref="W3:W66" si="6">IF(L3="Yes",1,0)</f>
        <v>1</v>
      </c>
    </row>
    <row r="4" spans="1:23">
      <c r="A4" t="s">
        <v>17</v>
      </c>
      <c r="B4" s="4">
        <v>45540</v>
      </c>
      <c r="C4" t="s">
        <v>2016</v>
      </c>
      <c r="D4" t="s">
        <v>2021</v>
      </c>
      <c r="E4" t="s">
        <v>2029</v>
      </c>
      <c r="F4" t="s">
        <v>2032</v>
      </c>
      <c r="G4" t="s">
        <v>2034</v>
      </c>
      <c r="H4" t="s">
        <v>2040</v>
      </c>
      <c r="I4">
        <v>1</v>
      </c>
      <c r="J4">
        <v>8</v>
      </c>
      <c r="K4">
        <v>7</v>
      </c>
      <c r="L4" t="s">
        <v>2041</v>
      </c>
      <c r="M4">
        <v>321</v>
      </c>
      <c r="N4">
        <v>16044</v>
      </c>
      <c r="O4">
        <v>16506</v>
      </c>
      <c r="P4" s="13">
        <f t="shared" si="0"/>
        <v>0</v>
      </c>
      <c r="Q4" t="str">
        <f t="shared" si="1"/>
        <v>No</v>
      </c>
      <c r="R4" t="str" cm="1">
        <f t="array" ref="R4">_xlfn.IFS(K4=0,"On Time",K4&lt;=2,"Minor",K4&lt;=5,"Major",K4&gt;5,"Severe")</f>
        <v>Severe</v>
      </c>
      <c r="S4">
        <f t="shared" si="2"/>
        <v>2358</v>
      </c>
      <c r="T4">
        <f t="shared" si="3"/>
        <v>2292</v>
      </c>
      <c r="U4">
        <f t="shared" si="4"/>
        <v>2024</v>
      </c>
      <c r="V4">
        <f t="shared" si="5"/>
        <v>9</v>
      </c>
      <c r="W4" s="11">
        <f t="shared" si="6"/>
        <v>1</v>
      </c>
    </row>
    <row r="5" spans="1:23">
      <c r="A5" t="s">
        <v>18</v>
      </c>
      <c r="B5" s="4">
        <v>45624</v>
      </c>
      <c r="C5" t="s">
        <v>2017</v>
      </c>
      <c r="D5" t="s">
        <v>2022</v>
      </c>
      <c r="E5" t="s">
        <v>2029</v>
      </c>
      <c r="F5" t="s">
        <v>2030</v>
      </c>
      <c r="G5" t="s">
        <v>2033</v>
      </c>
      <c r="H5" t="s">
        <v>2039</v>
      </c>
      <c r="I5">
        <v>2</v>
      </c>
      <c r="J5">
        <v>6</v>
      </c>
      <c r="K5">
        <v>4</v>
      </c>
      <c r="L5" t="s">
        <v>2041</v>
      </c>
      <c r="M5">
        <v>280</v>
      </c>
      <c r="N5">
        <v>6884</v>
      </c>
      <c r="O5">
        <v>11760</v>
      </c>
      <c r="P5" s="13">
        <f t="shared" si="0"/>
        <v>0</v>
      </c>
      <c r="Q5" t="str">
        <f t="shared" si="1"/>
        <v>No</v>
      </c>
      <c r="R5" t="str" cm="1">
        <f t="array" ref="R5">_xlfn.IFS(K5=0,"On Time",K5&lt;=2,"Minor",K5&lt;=5,"Major",K5&gt;5,"Severe")</f>
        <v>Major</v>
      </c>
      <c r="S5">
        <f t="shared" si="2"/>
        <v>2940</v>
      </c>
      <c r="T5">
        <f t="shared" si="3"/>
        <v>1721</v>
      </c>
      <c r="U5">
        <f t="shared" si="4"/>
        <v>2024</v>
      </c>
      <c r="V5">
        <f t="shared" si="5"/>
        <v>11</v>
      </c>
      <c r="W5" s="11">
        <f t="shared" si="6"/>
        <v>1</v>
      </c>
    </row>
    <row r="6" spans="1:23">
      <c r="A6" t="s">
        <v>19</v>
      </c>
      <c r="B6" s="4">
        <v>45614</v>
      </c>
      <c r="C6" t="s">
        <v>2016</v>
      </c>
      <c r="D6" t="s">
        <v>2021</v>
      </c>
      <c r="E6" t="s">
        <v>2028</v>
      </c>
      <c r="F6" t="s">
        <v>2030</v>
      </c>
      <c r="G6" t="s">
        <v>2035</v>
      </c>
      <c r="H6" t="s">
        <v>2039</v>
      </c>
      <c r="I6">
        <v>2</v>
      </c>
      <c r="J6">
        <v>3</v>
      </c>
      <c r="K6">
        <v>1</v>
      </c>
      <c r="L6" t="s">
        <v>2041</v>
      </c>
      <c r="M6">
        <v>58</v>
      </c>
      <c r="N6">
        <v>2394</v>
      </c>
      <c r="O6">
        <v>4163</v>
      </c>
      <c r="P6" s="13">
        <f t="shared" si="0"/>
        <v>0</v>
      </c>
      <c r="Q6" t="str">
        <f t="shared" si="1"/>
        <v>No</v>
      </c>
      <c r="R6" t="str" cm="1">
        <f t="array" ref="R6">_xlfn.IFS(K6=0,"On Time",K6&lt;=2,"Minor",K6&lt;=5,"Major",K6&gt;5,"Severe")</f>
        <v>Minor</v>
      </c>
      <c r="S6">
        <f t="shared" si="2"/>
        <v>4163</v>
      </c>
      <c r="T6">
        <f t="shared" si="3"/>
        <v>2394</v>
      </c>
      <c r="U6">
        <f t="shared" si="4"/>
        <v>2024</v>
      </c>
      <c r="V6">
        <f t="shared" si="5"/>
        <v>11</v>
      </c>
      <c r="W6" s="11">
        <f t="shared" si="6"/>
        <v>1</v>
      </c>
    </row>
    <row r="7" spans="1:23">
      <c r="A7" t="s">
        <v>20</v>
      </c>
      <c r="B7" s="4">
        <v>45297</v>
      </c>
      <c r="C7" t="s">
        <v>2016</v>
      </c>
      <c r="D7" t="s">
        <v>2021</v>
      </c>
      <c r="E7" t="s">
        <v>2027</v>
      </c>
      <c r="F7" t="s">
        <v>2031</v>
      </c>
      <c r="G7" t="s">
        <v>2036</v>
      </c>
      <c r="H7" t="s">
        <v>2038</v>
      </c>
      <c r="I7">
        <v>3</v>
      </c>
      <c r="J7">
        <v>8</v>
      </c>
      <c r="K7">
        <v>5</v>
      </c>
      <c r="L7" t="s">
        <v>2041</v>
      </c>
      <c r="M7">
        <v>304</v>
      </c>
      <c r="N7">
        <v>10880</v>
      </c>
      <c r="O7">
        <v>10720</v>
      </c>
      <c r="P7" s="13">
        <f t="shared" si="0"/>
        <v>0</v>
      </c>
      <c r="Q7" t="str">
        <f t="shared" si="1"/>
        <v>No</v>
      </c>
      <c r="R7" t="str" cm="1">
        <f t="array" ref="R7">_xlfn.IFS(K7=0,"On Time",K7&lt;=2,"Minor",K7&lt;=5,"Major",K7&gt;5,"Severe")</f>
        <v>Major</v>
      </c>
      <c r="S7">
        <f t="shared" si="2"/>
        <v>2144</v>
      </c>
      <c r="T7">
        <f t="shared" si="3"/>
        <v>2176</v>
      </c>
      <c r="U7">
        <f t="shared" si="4"/>
        <v>2024</v>
      </c>
      <c r="V7">
        <f t="shared" si="5"/>
        <v>1</v>
      </c>
      <c r="W7" s="11">
        <f t="shared" si="6"/>
        <v>1</v>
      </c>
    </row>
    <row r="8" spans="1:23">
      <c r="A8" t="s">
        <v>21</v>
      </c>
      <c r="B8" s="4">
        <v>45293</v>
      </c>
      <c r="C8" t="s">
        <v>2016</v>
      </c>
      <c r="D8" t="s">
        <v>2021</v>
      </c>
      <c r="E8" t="s">
        <v>2029</v>
      </c>
      <c r="F8" t="s">
        <v>2032</v>
      </c>
      <c r="G8" t="s">
        <v>2036</v>
      </c>
      <c r="H8" t="s">
        <v>2039</v>
      </c>
      <c r="I8">
        <v>2</v>
      </c>
      <c r="J8">
        <v>4</v>
      </c>
      <c r="K8">
        <v>2</v>
      </c>
      <c r="L8" t="s">
        <v>2041</v>
      </c>
      <c r="M8">
        <v>244</v>
      </c>
      <c r="N8">
        <v>2284</v>
      </c>
      <c r="O8">
        <v>9804</v>
      </c>
      <c r="P8" s="13">
        <f t="shared" si="0"/>
        <v>0</v>
      </c>
      <c r="Q8" t="str">
        <f t="shared" si="1"/>
        <v>No</v>
      </c>
      <c r="R8" t="str" cm="1">
        <f t="array" ref="R8">_xlfn.IFS(K8=0,"On Time",K8&lt;=2,"Minor",K8&lt;=5,"Major",K8&gt;5,"Severe")</f>
        <v>Minor</v>
      </c>
      <c r="S8">
        <f t="shared" si="2"/>
        <v>4902</v>
      </c>
      <c r="T8">
        <f t="shared" si="3"/>
        <v>1142</v>
      </c>
      <c r="U8">
        <f t="shared" si="4"/>
        <v>2024</v>
      </c>
      <c r="V8">
        <f t="shared" si="5"/>
        <v>1</v>
      </c>
      <c r="W8" s="11">
        <f t="shared" si="6"/>
        <v>1</v>
      </c>
    </row>
    <row r="9" spans="1:23">
      <c r="A9" t="s">
        <v>22</v>
      </c>
      <c r="B9" s="4">
        <v>45325</v>
      </c>
      <c r="C9" t="s">
        <v>2015</v>
      </c>
      <c r="D9" t="s">
        <v>2019</v>
      </c>
      <c r="E9" t="s">
        <v>2027</v>
      </c>
      <c r="F9" t="s">
        <v>2032</v>
      </c>
      <c r="G9" t="s">
        <v>2036</v>
      </c>
      <c r="H9" t="s">
        <v>2038</v>
      </c>
      <c r="I9">
        <v>2</v>
      </c>
      <c r="J9">
        <v>8</v>
      </c>
      <c r="K9">
        <v>6</v>
      </c>
      <c r="L9" t="s">
        <v>2041</v>
      </c>
      <c r="M9">
        <v>295</v>
      </c>
      <c r="N9">
        <v>12042</v>
      </c>
      <c r="O9">
        <v>13446</v>
      </c>
      <c r="P9" s="13">
        <f t="shared" si="0"/>
        <v>0</v>
      </c>
      <c r="Q9" t="str">
        <f t="shared" si="1"/>
        <v>No</v>
      </c>
      <c r="R9" t="str" cm="1">
        <f t="array" ref="R9">_xlfn.IFS(K9=0,"On Time",K9&lt;=2,"Minor",K9&lt;=5,"Major",K9&gt;5,"Severe")</f>
        <v>Severe</v>
      </c>
      <c r="S9">
        <f t="shared" si="2"/>
        <v>2241</v>
      </c>
      <c r="T9">
        <f t="shared" si="3"/>
        <v>2007</v>
      </c>
      <c r="U9">
        <f t="shared" si="4"/>
        <v>2024</v>
      </c>
      <c r="V9">
        <f t="shared" si="5"/>
        <v>2</v>
      </c>
      <c r="W9" s="11">
        <f t="shared" si="6"/>
        <v>1</v>
      </c>
    </row>
    <row r="10" spans="1:23">
      <c r="A10" t="s">
        <v>23</v>
      </c>
      <c r="B10" s="4">
        <v>45386</v>
      </c>
      <c r="C10" t="s">
        <v>2017</v>
      </c>
      <c r="D10" t="s">
        <v>2023</v>
      </c>
      <c r="E10" t="s">
        <v>2027</v>
      </c>
      <c r="F10" t="s">
        <v>2031</v>
      </c>
      <c r="G10" t="s">
        <v>2033</v>
      </c>
      <c r="H10" t="s">
        <v>2039</v>
      </c>
      <c r="I10">
        <v>2</v>
      </c>
      <c r="J10">
        <v>6</v>
      </c>
      <c r="K10">
        <v>4</v>
      </c>
      <c r="L10" t="s">
        <v>2041</v>
      </c>
      <c r="M10">
        <v>458</v>
      </c>
      <c r="N10">
        <v>6020</v>
      </c>
      <c r="O10">
        <v>15380</v>
      </c>
      <c r="P10" s="13">
        <f t="shared" si="0"/>
        <v>0</v>
      </c>
      <c r="Q10" t="str">
        <f t="shared" si="1"/>
        <v>No</v>
      </c>
      <c r="R10" t="str" cm="1">
        <f t="array" ref="R10">_xlfn.IFS(K10=0,"On Time",K10&lt;=2,"Minor",K10&lt;=5,"Major",K10&gt;5,"Severe")</f>
        <v>Major</v>
      </c>
      <c r="S10">
        <f t="shared" si="2"/>
        <v>3845</v>
      </c>
      <c r="T10">
        <f t="shared" si="3"/>
        <v>1505</v>
      </c>
      <c r="U10">
        <f t="shared" si="4"/>
        <v>2024</v>
      </c>
      <c r="V10">
        <f t="shared" si="5"/>
        <v>4</v>
      </c>
      <c r="W10" s="11">
        <f t="shared" si="6"/>
        <v>1</v>
      </c>
    </row>
    <row r="11" spans="1:23">
      <c r="A11" t="s">
        <v>24</v>
      </c>
      <c r="B11" s="4">
        <v>45621</v>
      </c>
      <c r="C11" t="s">
        <v>2015</v>
      </c>
      <c r="D11" t="s">
        <v>2020</v>
      </c>
      <c r="E11" t="s">
        <v>2029</v>
      </c>
      <c r="F11" t="s">
        <v>2030</v>
      </c>
      <c r="G11" t="s">
        <v>2034</v>
      </c>
      <c r="H11" t="s">
        <v>2038</v>
      </c>
      <c r="I11">
        <v>1</v>
      </c>
      <c r="J11">
        <v>1</v>
      </c>
      <c r="K11">
        <v>0</v>
      </c>
      <c r="L11" t="s">
        <v>2042</v>
      </c>
      <c r="M11">
        <v>84</v>
      </c>
      <c r="N11">
        <v>0</v>
      </c>
      <c r="O11">
        <v>0</v>
      </c>
      <c r="P11" s="13">
        <f t="shared" si="0"/>
        <v>1</v>
      </c>
      <c r="Q11" t="str">
        <f t="shared" si="1"/>
        <v>No</v>
      </c>
      <c r="R11" t="str" cm="1">
        <f t="array" ref="R11">_xlfn.IFS(K11=0,"On Time",K11&lt;=2,"Minor",K11&lt;=5,"Major",K11&gt;5,"Severe")</f>
        <v>On Time</v>
      </c>
      <c r="S11">
        <f t="shared" si="2"/>
        <v>0</v>
      </c>
      <c r="T11">
        <f t="shared" si="3"/>
        <v>0</v>
      </c>
      <c r="U11">
        <f t="shared" si="4"/>
        <v>2024</v>
      </c>
      <c r="V11">
        <f t="shared" si="5"/>
        <v>11</v>
      </c>
      <c r="W11" s="11">
        <f t="shared" si="6"/>
        <v>0</v>
      </c>
    </row>
    <row r="12" spans="1:23">
      <c r="A12" t="s">
        <v>25</v>
      </c>
      <c r="B12" s="4">
        <v>45473</v>
      </c>
      <c r="C12" t="s">
        <v>2017</v>
      </c>
      <c r="D12" t="s">
        <v>2023</v>
      </c>
      <c r="E12" t="s">
        <v>2029</v>
      </c>
      <c r="F12" t="s">
        <v>2030</v>
      </c>
      <c r="G12" t="s">
        <v>2037</v>
      </c>
      <c r="H12" t="s">
        <v>2038</v>
      </c>
      <c r="I12">
        <v>2</v>
      </c>
      <c r="J12">
        <v>7</v>
      </c>
      <c r="K12">
        <v>5</v>
      </c>
      <c r="L12" t="s">
        <v>2041</v>
      </c>
      <c r="M12">
        <v>313</v>
      </c>
      <c r="N12">
        <v>7360</v>
      </c>
      <c r="O12">
        <v>14340</v>
      </c>
      <c r="P12" s="13">
        <f t="shared" si="0"/>
        <v>0</v>
      </c>
      <c r="Q12" t="str">
        <f t="shared" si="1"/>
        <v>No</v>
      </c>
      <c r="R12" t="str" cm="1">
        <f t="array" ref="R12">_xlfn.IFS(K12=0,"On Time",K12&lt;=2,"Minor",K12&lt;=5,"Major",K12&gt;5,"Severe")</f>
        <v>Major</v>
      </c>
      <c r="S12">
        <f t="shared" si="2"/>
        <v>2868</v>
      </c>
      <c r="T12">
        <f t="shared" si="3"/>
        <v>1472</v>
      </c>
      <c r="U12">
        <f t="shared" si="4"/>
        <v>2024</v>
      </c>
      <c r="V12">
        <f t="shared" si="5"/>
        <v>6</v>
      </c>
      <c r="W12" s="11">
        <f t="shared" si="6"/>
        <v>1</v>
      </c>
    </row>
    <row r="13" spans="1:23">
      <c r="A13" t="s">
        <v>26</v>
      </c>
      <c r="B13" s="4">
        <v>45649</v>
      </c>
      <c r="C13" t="s">
        <v>2015</v>
      </c>
      <c r="D13" t="s">
        <v>2019</v>
      </c>
      <c r="E13" t="s">
        <v>2027</v>
      </c>
      <c r="F13" t="s">
        <v>2032</v>
      </c>
      <c r="G13" t="s">
        <v>2034</v>
      </c>
      <c r="H13" t="s">
        <v>2038</v>
      </c>
      <c r="I13">
        <v>1</v>
      </c>
      <c r="J13">
        <v>5</v>
      </c>
      <c r="K13">
        <v>4</v>
      </c>
      <c r="L13" t="s">
        <v>2041</v>
      </c>
      <c r="M13">
        <v>260</v>
      </c>
      <c r="N13">
        <v>7656</v>
      </c>
      <c r="O13">
        <v>15408</v>
      </c>
      <c r="P13" s="13">
        <f t="shared" si="0"/>
        <v>0</v>
      </c>
      <c r="Q13" t="str">
        <f t="shared" si="1"/>
        <v>No</v>
      </c>
      <c r="R13" t="str" cm="1">
        <f t="array" ref="R13">_xlfn.IFS(K13=0,"On Time",K13&lt;=2,"Minor",K13&lt;=5,"Major",K13&gt;5,"Severe")</f>
        <v>Major</v>
      </c>
      <c r="S13">
        <f t="shared" si="2"/>
        <v>3852</v>
      </c>
      <c r="T13">
        <f t="shared" si="3"/>
        <v>1914</v>
      </c>
      <c r="U13">
        <f t="shared" si="4"/>
        <v>2024</v>
      </c>
      <c r="V13">
        <f t="shared" si="5"/>
        <v>12</v>
      </c>
      <c r="W13" s="11">
        <f t="shared" si="6"/>
        <v>1</v>
      </c>
    </row>
    <row r="14" spans="1:23">
      <c r="A14" t="s">
        <v>27</v>
      </c>
      <c r="B14" s="4">
        <v>45649</v>
      </c>
      <c r="C14" t="s">
        <v>2018</v>
      </c>
      <c r="D14" t="s">
        <v>2024</v>
      </c>
      <c r="E14" t="s">
        <v>2029</v>
      </c>
      <c r="F14" t="s">
        <v>2032</v>
      </c>
      <c r="G14" t="s">
        <v>2036</v>
      </c>
      <c r="H14" t="s">
        <v>2038</v>
      </c>
      <c r="I14">
        <v>1</v>
      </c>
      <c r="J14">
        <v>7</v>
      </c>
      <c r="K14">
        <v>6</v>
      </c>
      <c r="L14" t="s">
        <v>2041</v>
      </c>
      <c r="M14">
        <v>252</v>
      </c>
      <c r="N14">
        <v>6228</v>
      </c>
      <c r="O14">
        <v>27300</v>
      </c>
      <c r="P14" s="13">
        <f t="shared" si="0"/>
        <v>0</v>
      </c>
      <c r="Q14" t="str">
        <f t="shared" si="1"/>
        <v>No</v>
      </c>
      <c r="R14" t="str" cm="1">
        <f t="array" ref="R14">_xlfn.IFS(K14=0,"On Time",K14&lt;=2,"Minor",K14&lt;=5,"Major",K14&gt;5,"Severe")</f>
        <v>Severe</v>
      </c>
      <c r="S14">
        <f t="shared" si="2"/>
        <v>4550</v>
      </c>
      <c r="T14">
        <f t="shared" si="3"/>
        <v>1038</v>
      </c>
      <c r="U14">
        <f t="shared" si="4"/>
        <v>2024</v>
      </c>
      <c r="V14">
        <f t="shared" si="5"/>
        <v>12</v>
      </c>
      <c r="W14" s="11">
        <f t="shared" si="6"/>
        <v>1</v>
      </c>
    </row>
    <row r="15" spans="1:23">
      <c r="A15" t="s">
        <v>28</v>
      </c>
      <c r="B15" s="4">
        <v>45431</v>
      </c>
      <c r="C15" t="s">
        <v>2015</v>
      </c>
      <c r="D15" t="s">
        <v>2020</v>
      </c>
      <c r="E15" t="s">
        <v>2027</v>
      </c>
      <c r="F15" t="s">
        <v>2030</v>
      </c>
      <c r="G15" t="s">
        <v>2036</v>
      </c>
      <c r="H15" t="s">
        <v>2038</v>
      </c>
      <c r="I15">
        <v>5</v>
      </c>
      <c r="J15">
        <v>10</v>
      </c>
      <c r="K15">
        <v>5</v>
      </c>
      <c r="L15" t="s">
        <v>2041</v>
      </c>
      <c r="M15">
        <v>150</v>
      </c>
      <c r="N15">
        <v>5495</v>
      </c>
      <c r="O15">
        <v>23825</v>
      </c>
      <c r="P15" s="13">
        <f t="shared" si="0"/>
        <v>0</v>
      </c>
      <c r="Q15" t="str">
        <f t="shared" si="1"/>
        <v>No</v>
      </c>
      <c r="R15" t="str" cm="1">
        <f t="array" ref="R15">_xlfn.IFS(K15=0,"On Time",K15&lt;=2,"Minor",K15&lt;=5,"Major",K15&gt;5,"Severe")</f>
        <v>Major</v>
      </c>
      <c r="S15">
        <f t="shared" si="2"/>
        <v>4765</v>
      </c>
      <c r="T15">
        <f t="shared" si="3"/>
        <v>1099</v>
      </c>
      <c r="U15">
        <f t="shared" si="4"/>
        <v>2024</v>
      </c>
      <c r="V15">
        <f t="shared" si="5"/>
        <v>5</v>
      </c>
      <c r="W15" s="11">
        <f t="shared" si="6"/>
        <v>1</v>
      </c>
    </row>
    <row r="16" spans="1:23">
      <c r="A16" t="s">
        <v>29</v>
      </c>
      <c r="B16" s="4">
        <v>45412</v>
      </c>
      <c r="C16" t="s">
        <v>2016</v>
      </c>
      <c r="D16" t="s">
        <v>2025</v>
      </c>
      <c r="E16" t="s">
        <v>2028</v>
      </c>
      <c r="F16" t="s">
        <v>2031</v>
      </c>
      <c r="G16" t="s">
        <v>2034</v>
      </c>
      <c r="H16" t="s">
        <v>2039</v>
      </c>
      <c r="I16">
        <v>1</v>
      </c>
      <c r="J16">
        <v>5</v>
      </c>
      <c r="K16">
        <v>4</v>
      </c>
      <c r="L16" t="s">
        <v>2041</v>
      </c>
      <c r="M16">
        <v>483</v>
      </c>
      <c r="N16">
        <v>9676</v>
      </c>
      <c r="O16">
        <v>15652</v>
      </c>
      <c r="P16" s="13">
        <f t="shared" si="0"/>
        <v>0</v>
      </c>
      <c r="Q16" t="str">
        <f t="shared" si="1"/>
        <v>No</v>
      </c>
      <c r="R16" t="str" cm="1">
        <f t="array" ref="R16">_xlfn.IFS(K16=0,"On Time",K16&lt;=2,"Minor",K16&lt;=5,"Major",K16&gt;5,"Severe")</f>
        <v>Major</v>
      </c>
      <c r="S16">
        <f t="shared" si="2"/>
        <v>3913</v>
      </c>
      <c r="T16">
        <f t="shared" si="3"/>
        <v>2419</v>
      </c>
      <c r="U16">
        <f t="shared" si="4"/>
        <v>2024</v>
      </c>
      <c r="V16">
        <f t="shared" si="5"/>
        <v>4</v>
      </c>
      <c r="W16" s="11">
        <f t="shared" si="6"/>
        <v>1</v>
      </c>
    </row>
    <row r="17" spans="1:30">
      <c r="A17" t="s">
        <v>30</v>
      </c>
      <c r="B17" s="4">
        <v>45430</v>
      </c>
      <c r="C17" t="s">
        <v>2018</v>
      </c>
      <c r="D17" t="s">
        <v>2026</v>
      </c>
      <c r="E17" t="s">
        <v>2027</v>
      </c>
      <c r="F17" t="s">
        <v>2030</v>
      </c>
      <c r="G17" t="s">
        <v>2035</v>
      </c>
      <c r="H17" t="s">
        <v>2040</v>
      </c>
      <c r="I17">
        <v>2</v>
      </c>
      <c r="J17">
        <v>8</v>
      </c>
      <c r="K17">
        <v>6</v>
      </c>
      <c r="L17" t="s">
        <v>2041</v>
      </c>
      <c r="M17">
        <v>242</v>
      </c>
      <c r="N17">
        <v>4902</v>
      </c>
      <c r="O17">
        <v>28974</v>
      </c>
      <c r="P17" s="13">
        <f t="shared" si="0"/>
        <v>0</v>
      </c>
      <c r="Q17" t="str">
        <f t="shared" si="1"/>
        <v>No</v>
      </c>
      <c r="R17" t="str" cm="1">
        <f t="array" ref="R17">_xlfn.IFS(K17=0,"On Time",K17&lt;=2,"Minor",K17&lt;=5,"Major",K17&gt;5,"Severe")</f>
        <v>Severe</v>
      </c>
      <c r="S17">
        <f t="shared" si="2"/>
        <v>4829</v>
      </c>
      <c r="T17">
        <f t="shared" si="3"/>
        <v>817</v>
      </c>
      <c r="U17">
        <f t="shared" si="4"/>
        <v>2024</v>
      </c>
      <c r="V17">
        <f t="shared" si="5"/>
        <v>5</v>
      </c>
      <c r="W17" s="11">
        <f t="shared" si="6"/>
        <v>1</v>
      </c>
    </row>
    <row r="18" spans="1:30">
      <c r="A18" t="s">
        <v>31</v>
      </c>
      <c r="B18" s="4">
        <v>45503</v>
      </c>
      <c r="C18" t="s">
        <v>2015</v>
      </c>
      <c r="D18" t="s">
        <v>2020</v>
      </c>
      <c r="E18" t="s">
        <v>2029</v>
      </c>
      <c r="F18" t="s">
        <v>2031</v>
      </c>
      <c r="G18" t="s">
        <v>2036</v>
      </c>
      <c r="H18" t="s">
        <v>2039</v>
      </c>
      <c r="I18">
        <v>2</v>
      </c>
      <c r="J18">
        <v>5</v>
      </c>
      <c r="K18">
        <v>3</v>
      </c>
      <c r="L18" t="s">
        <v>2041</v>
      </c>
      <c r="M18">
        <v>345</v>
      </c>
      <c r="N18">
        <v>5691</v>
      </c>
      <c r="O18">
        <v>5631</v>
      </c>
      <c r="P18" s="13">
        <f t="shared" si="0"/>
        <v>0</v>
      </c>
      <c r="Q18" t="str">
        <f t="shared" si="1"/>
        <v>No</v>
      </c>
      <c r="R18" t="str" cm="1">
        <f t="array" ref="R18">_xlfn.IFS(K18=0,"On Time",K18&lt;=2,"Minor",K18&lt;=5,"Major",K18&gt;5,"Severe")</f>
        <v>Major</v>
      </c>
      <c r="S18">
        <f t="shared" si="2"/>
        <v>1877</v>
      </c>
      <c r="T18">
        <f t="shared" si="3"/>
        <v>1897</v>
      </c>
      <c r="U18">
        <f t="shared" si="4"/>
        <v>2024</v>
      </c>
      <c r="V18">
        <f t="shared" si="5"/>
        <v>7</v>
      </c>
      <c r="W18" s="11">
        <f t="shared" si="6"/>
        <v>1</v>
      </c>
    </row>
    <row r="19" spans="1:30">
      <c r="A19" t="s">
        <v>32</v>
      </c>
      <c r="B19" s="4">
        <v>45393</v>
      </c>
      <c r="C19" t="s">
        <v>2017</v>
      </c>
      <c r="D19" t="s">
        <v>2023</v>
      </c>
      <c r="E19" t="s">
        <v>2027</v>
      </c>
      <c r="F19" t="s">
        <v>2031</v>
      </c>
      <c r="G19" t="s">
        <v>2035</v>
      </c>
      <c r="H19" t="s">
        <v>2038</v>
      </c>
      <c r="I19">
        <v>1</v>
      </c>
      <c r="J19">
        <v>2</v>
      </c>
      <c r="K19">
        <v>1</v>
      </c>
      <c r="L19" t="s">
        <v>2041</v>
      </c>
      <c r="M19">
        <v>394</v>
      </c>
      <c r="N19">
        <v>1003</v>
      </c>
      <c r="O19">
        <v>2609</v>
      </c>
      <c r="P19" s="13">
        <f t="shared" si="0"/>
        <v>0</v>
      </c>
      <c r="Q19" t="str">
        <f t="shared" si="1"/>
        <v>No</v>
      </c>
      <c r="R19" t="str" cm="1">
        <f t="array" ref="R19">_xlfn.IFS(K19=0,"On Time",K19&lt;=2,"Minor",K19&lt;=5,"Major",K19&gt;5,"Severe")</f>
        <v>Minor</v>
      </c>
      <c r="S19">
        <f t="shared" si="2"/>
        <v>2609</v>
      </c>
      <c r="T19">
        <f t="shared" si="3"/>
        <v>1003</v>
      </c>
      <c r="U19">
        <f t="shared" si="4"/>
        <v>2024</v>
      </c>
      <c r="V19">
        <f t="shared" si="5"/>
        <v>4</v>
      </c>
      <c r="W19" s="11">
        <f t="shared" si="6"/>
        <v>1</v>
      </c>
    </row>
    <row r="20" spans="1:30">
      <c r="A20" t="s">
        <v>33</v>
      </c>
      <c r="B20" s="4">
        <v>45421</v>
      </c>
      <c r="C20" t="s">
        <v>2016</v>
      </c>
      <c r="D20" t="s">
        <v>2025</v>
      </c>
      <c r="E20" t="s">
        <v>2027</v>
      </c>
      <c r="F20" t="s">
        <v>2031</v>
      </c>
      <c r="G20" t="s">
        <v>2035</v>
      </c>
      <c r="H20" t="s">
        <v>2038</v>
      </c>
      <c r="I20">
        <v>2</v>
      </c>
      <c r="J20">
        <v>4</v>
      </c>
      <c r="K20">
        <v>2</v>
      </c>
      <c r="L20" t="s">
        <v>2041</v>
      </c>
      <c r="M20">
        <v>198</v>
      </c>
      <c r="N20">
        <v>3546</v>
      </c>
      <c r="O20">
        <v>3440</v>
      </c>
      <c r="P20" s="13">
        <f t="shared" si="0"/>
        <v>0</v>
      </c>
      <c r="Q20" t="str">
        <f t="shared" si="1"/>
        <v>No</v>
      </c>
      <c r="R20" t="str" cm="1">
        <f t="array" ref="R20">_xlfn.IFS(K20=0,"On Time",K20&lt;=2,"Minor",K20&lt;=5,"Major",K20&gt;5,"Severe")</f>
        <v>Minor</v>
      </c>
      <c r="S20">
        <f t="shared" si="2"/>
        <v>1720</v>
      </c>
      <c r="T20">
        <f t="shared" si="3"/>
        <v>1773</v>
      </c>
      <c r="U20">
        <f t="shared" si="4"/>
        <v>2024</v>
      </c>
      <c r="V20">
        <f t="shared" si="5"/>
        <v>5</v>
      </c>
      <c r="W20" s="11">
        <f t="shared" si="6"/>
        <v>1</v>
      </c>
    </row>
    <row r="21" spans="1:30">
      <c r="A21" t="s">
        <v>34</v>
      </c>
      <c r="B21" s="4">
        <v>45346</v>
      </c>
      <c r="C21" t="s">
        <v>2018</v>
      </c>
      <c r="D21" t="s">
        <v>2026</v>
      </c>
      <c r="E21" t="s">
        <v>2028</v>
      </c>
      <c r="F21" t="s">
        <v>2031</v>
      </c>
      <c r="G21" t="s">
        <v>2036</v>
      </c>
      <c r="H21" t="s">
        <v>2040</v>
      </c>
      <c r="I21">
        <v>5</v>
      </c>
      <c r="J21">
        <v>8</v>
      </c>
      <c r="K21">
        <v>3</v>
      </c>
      <c r="L21" t="s">
        <v>2041</v>
      </c>
      <c r="M21">
        <v>123</v>
      </c>
      <c r="N21">
        <v>6765</v>
      </c>
      <c r="O21">
        <v>14151</v>
      </c>
      <c r="P21" s="13">
        <f t="shared" si="0"/>
        <v>0</v>
      </c>
      <c r="Q21" t="str">
        <f t="shared" si="1"/>
        <v>No</v>
      </c>
      <c r="R21" t="str" cm="1">
        <f t="array" ref="R21">_xlfn.IFS(K21=0,"On Time",K21&lt;=2,"Minor",K21&lt;=5,"Major",K21&gt;5,"Severe")</f>
        <v>Major</v>
      </c>
      <c r="S21">
        <f t="shared" si="2"/>
        <v>4717</v>
      </c>
      <c r="T21">
        <f t="shared" si="3"/>
        <v>2255</v>
      </c>
      <c r="U21">
        <f t="shared" si="4"/>
        <v>2024</v>
      </c>
      <c r="V21">
        <f t="shared" si="5"/>
        <v>2</v>
      </c>
      <c r="W21" s="11">
        <f t="shared" si="6"/>
        <v>1</v>
      </c>
    </row>
    <row r="22" spans="1:30">
      <c r="A22" t="s">
        <v>35</v>
      </c>
      <c r="B22" s="4">
        <v>45594</v>
      </c>
      <c r="C22" t="s">
        <v>2017</v>
      </c>
      <c r="D22" t="s">
        <v>2023</v>
      </c>
      <c r="E22" t="s">
        <v>2027</v>
      </c>
      <c r="F22" t="s">
        <v>2032</v>
      </c>
      <c r="G22" t="s">
        <v>2036</v>
      </c>
      <c r="H22" t="s">
        <v>2038</v>
      </c>
      <c r="I22">
        <v>1</v>
      </c>
      <c r="J22">
        <v>3</v>
      </c>
      <c r="K22">
        <v>2</v>
      </c>
      <c r="L22" t="s">
        <v>2041</v>
      </c>
      <c r="M22">
        <v>382</v>
      </c>
      <c r="N22">
        <v>4590</v>
      </c>
      <c r="O22">
        <v>9860</v>
      </c>
      <c r="P22" s="13">
        <f t="shared" si="0"/>
        <v>0</v>
      </c>
      <c r="Q22" t="str">
        <f t="shared" si="1"/>
        <v>No</v>
      </c>
      <c r="R22" t="str" cm="1">
        <f t="array" ref="R22">_xlfn.IFS(K22=0,"On Time",K22&lt;=2,"Minor",K22&lt;=5,"Major",K22&gt;5,"Severe")</f>
        <v>Minor</v>
      </c>
      <c r="S22">
        <f t="shared" si="2"/>
        <v>4930</v>
      </c>
      <c r="T22">
        <f t="shared" si="3"/>
        <v>2295</v>
      </c>
      <c r="U22">
        <f t="shared" si="4"/>
        <v>2024</v>
      </c>
      <c r="V22">
        <f t="shared" si="5"/>
        <v>10</v>
      </c>
      <c r="W22" s="11">
        <f t="shared" si="6"/>
        <v>1</v>
      </c>
    </row>
    <row r="23" spans="1:30">
      <c r="A23" t="s">
        <v>36</v>
      </c>
      <c r="B23" s="4">
        <v>45313</v>
      </c>
      <c r="C23" t="s">
        <v>2015</v>
      </c>
      <c r="D23" t="s">
        <v>2019</v>
      </c>
      <c r="E23" t="s">
        <v>2028</v>
      </c>
      <c r="F23" t="s">
        <v>2032</v>
      </c>
      <c r="G23" t="s">
        <v>2035</v>
      </c>
      <c r="H23" t="s">
        <v>2038</v>
      </c>
      <c r="I23">
        <v>2</v>
      </c>
      <c r="J23">
        <v>8</v>
      </c>
      <c r="K23">
        <v>6</v>
      </c>
      <c r="L23" t="s">
        <v>2041</v>
      </c>
      <c r="M23">
        <v>69</v>
      </c>
      <c r="N23">
        <v>8328</v>
      </c>
      <c r="O23">
        <v>10182</v>
      </c>
      <c r="P23" s="13">
        <f t="shared" si="0"/>
        <v>0</v>
      </c>
      <c r="Q23" t="str">
        <f t="shared" si="1"/>
        <v>No</v>
      </c>
      <c r="R23" t="str" cm="1">
        <f t="array" ref="R23">_xlfn.IFS(K23=0,"On Time",K23&lt;=2,"Minor",K23&lt;=5,"Major",K23&gt;5,"Severe")</f>
        <v>Severe</v>
      </c>
      <c r="S23">
        <f t="shared" si="2"/>
        <v>1697</v>
      </c>
      <c r="T23">
        <f t="shared" si="3"/>
        <v>1388</v>
      </c>
      <c r="U23">
        <f t="shared" si="4"/>
        <v>2024</v>
      </c>
      <c r="V23">
        <f t="shared" si="5"/>
        <v>1</v>
      </c>
      <c r="W23" s="11">
        <f t="shared" si="6"/>
        <v>1</v>
      </c>
      <c r="AD23" s="22"/>
    </row>
    <row r="24" spans="1:30">
      <c r="A24" t="s">
        <v>37</v>
      </c>
      <c r="B24" s="4">
        <v>45474</v>
      </c>
      <c r="C24" t="s">
        <v>2018</v>
      </c>
      <c r="D24" t="s">
        <v>2024</v>
      </c>
      <c r="E24" t="s">
        <v>2027</v>
      </c>
      <c r="F24" t="s">
        <v>2031</v>
      </c>
      <c r="G24" t="s">
        <v>2037</v>
      </c>
      <c r="H24" t="s">
        <v>2038</v>
      </c>
      <c r="I24">
        <v>1</v>
      </c>
      <c r="J24">
        <v>4</v>
      </c>
      <c r="K24">
        <v>3</v>
      </c>
      <c r="L24" t="s">
        <v>2041</v>
      </c>
      <c r="M24">
        <v>172</v>
      </c>
      <c r="N24">
        <v>2889</v>
      </c>
      <c r="O24">
        <v>14880</v>
      </c>
      <c r="P24" s="13">
        <f t="shared" si="0"/>
        <v>0</v>
      </c>
      <c r="Q24" t="str">
        <f t="shared" si="1"/>
        <v>No</v>
      </c>
      <c r="R24" t="str" cm="1">
        <f t="array" ref="R24">_xlfn.IFS(K24=0,"On Time",K24&lt;=2,"Minor",K24&lt;=5,"Major",K24&gt;5,"Severe")</f>
        <v>Major</v>
      </c>
      <c r="S24">
        <f t="shared" si="2"/>
        <v>4960</v>
      </c>
      <c r="T24">
        <f t="shared" si="3"/>
        <v>963</v>
      </c>
      <c r="U24">
        <f t="shared" si="4"/>
        <v>2024</v>
      </c>
      <c r="V24">
        <f t="shared" si="5"/>
        <v>7</v>
      </c>
      <c r="W24" s="11">
        <f t="shared" si="6"/>
        <v>1</v>
      </c>
    </row>
    <row r="25" spans="1:30">
      <c r="A25" t="s">
        <v>38</v>
      </c>
      <c r="B25" s="4">
        <v>45397</v>
      </c>
      <c r="C25" t="s">
        <v>2016</v>
      </c>
      <c r="D25" t="s">
        <v>2021</v>
      </c>
      <c r="E25" t="s">
        <v>2029</v>
      </c>
      <c r="F25" t="s">
        <v>2031</v>
      </c>
      <c r="G25" t="s">
        <v>2036</v>
      </c>
      <c r="H25" t="s">
        <v>2038</v>
      </c>
      <c r="I25">
        <v>2</v>
      </c>
      <c r="J25">
        <v>3</v>
      </c>
      <c r="K25">
        <v>1</v>
      </c>
      <c r="L25" t="s">
        <v>2041</v>
      </c>
      <c r="M25">
        <v>268</v>
      </c>
      <c r="N25">
        <v>2172</v>
      </c>
      <c r="O25">
        <v>4872</v>
      </c>
      <c r="P25" s="13">
        <f t="shared" si="0"/>
        <v>0</v>
      </c>
      <c r="Q25" t="str">
        <f t="shared" si="1"/>
        <v>No</v>
      </c>
      <c r="R25" t="str" cm="1">
        <f t="array" ref="R25">_xlfn.IFS(K25=0,"On Time",K25&lt;=2,"Minor",K25&lt;=5,"Major",K25&gt;5,"Severe")</f>
        <v>Minor</v>
      </c>
      <c r="S25">
        <f t="shared" si="2"/>
        <v>4872</v>
      </c>
      <c r="T25">
        <f t="shared" si="3"/>
        <v>2172</v>
      </c>
      <c r="U25">
        <f t="shared" si="4"/>
        <v>2024</v>
      </c>
      <c r="V25">
        <f t="shared" si="5"/>
        <v>4</v>
      </c>
      <c r="W25" s="11">
        <f t="shared" si="6"/>
        <v>1</v>
      </c>
    </row>
    <row r="26" spans="1:30">
      <c r="A26" t="s">
        <v>39</v>
      </c>
      <c r="B26" s="4">
        <v>45323</v>
      </c>
      <c r="C26" t="s">
        <v>2015</v>
      </c>
      <c r="D26" t="s">
        <v>2020</v>
      </c>
      <c r="E26" t="s">
        <v>2028</v>
      </c>
      <c r="F26" t="s">
        <v>2030</v>
      </c>
      <c r="G26" t="s">
        <v>2033</v>
      </c>
      <c r="H26" t="s">
        <v>2038</v>
      </c>
      <c r="I26">
        <v>2</v>
      </c>
      <c r="J26">
        <v>2</v>
      </c>
      <c r="K26">
        <v>0</v>
      </c>
      <c r="L26" t="s">
        <v>2042</v>
      </c>
      <c r="M26">
        <v>479</v>
      </c>
      <c r="N26">
        <v>0</v>
      </c>
      <c r="O26">
        <v>0</v>
      </c>
      <c r="P26" s="13">
        <f t="shared" si="0"/>
        <v>1</v>
      </c>
      <c r="Q26" t="str">
        <f t="shared" si="1"/>
        <v>No</v>
      </c>
      <c r="R26" t="str" cm="1">
        <f t="array" ref="R26">_xlfn.IFS(K26=0,"On Time",K26&lt;=2,"Minor",K26&lt;=5,"Major",K26&gt;5,"Severe")</f>
        <v>On Time</v>
      </c>
      <c r="S26">
        <f t="shared" si="2"/>
        <v>0</v>
      </c>
      <c r="T26">
        <f t="shared" si="3"/>
        <v>0</v>
      </c>
      <c r="U26">
        <f t="shared" si="4"/>
        <v>2024</v>
      </c>
      <c r="V26">
        <f t="shared" si="5"/>
        <v>2</v>
      </c>
      <c r="W26" s="11">
        <f t="shared" si="6"/>
        <v>0</v>
      </c>
    </row>
    <row r="27" spans="1:30">
      <c r="A27" t="s">
        <v>40</v>
      </c>
      <c r="B27" s="4">
        <v>45574</v>
      </c>
      <c r="C27" t="s">
        <v>2018</v>
      </c>
      <c r="D27" t="s">
        <v>2026</v>
      </c>
      <c r="E27" t="s">
        <v>2028</v>
      </c>
      <c r="F27" t="s">
        <v>2031</v>
      </c>
      <c r="G27" t="s">
        <v>2037</v>
      </c>
      <c r="H27" t="s">
        <v>2039</v>
      </c>
      <c r="I27">
        <v>1</v>
      </c>
      <c r="J27">
        <v>1</v>
      </c>
      <c r="K27">
        <v>0</v>
      </c>
      <c r="L27" t="s">
        <v>2042</v>
      </c>
      <c r="M27">
        <v>207</v>
      </c>
      <c r="N27">
        <v>0</v>
      </c>
      <c r="O27">
        <v>0</v>
      </c>
      <c r="P27" s="13">
        <f t="shared" si="0"/>
        <v>1</v>
      </c>
      <c r="Q27" t="str">
        <f t="shared" si="1"/>
        <v>No</v>
      </c>
      <c r="R27" t="str" cm="1">
        <f t="array" ref="R27">_xlfn.IFS(K27=0,"On Time",K27&lt;=2,"Minor",K27&lt;=5,"Major",K27&gt;5,"Severe")</f>
        <v>On Time</v>
      </c>
      <c r="S27">
        <f t="shared" si="2"/>
        <v>0</v>
      </c>
      <c r="T27">
        <f t="shared" si="3"/>
        <v>0</v>
      </c>
      <c r="U27">
        <f t="shared" si="4"/>
        <v>2024</v>
      </c>
      <c r="V27">
        <f t="shared" si="5"/>
        <v>10</v>
      </c>
      <c r="W27" s="11">
        <f t="shared" si="6"/>
        <v>0</v>
      </c>
    </row>
    <row r="28" spans="1:30">
      <c r="A28" t="s">
        <v>41</v>
      </c>
      <c r="B28" s="4">
        <v>45580</v>
      </c>
      <c r="C28" t="s">
        <v>2015</v>
      </c>
      <c r="D28" t="s">
        <v>2019</v>
      </c>
      <c r="E28" t="s">
        <v>2027</v>
      </c>
      <c r="F28" t="s">
        <v>2032</v>
      </c>
      <c r="G28" t="s">
        <v>2034</v>
      </c>
      <c r="H28" t="s">
        <v>2040</v>
      </c>
      <c r="I28">
        <v>2</v>
      </c>
      <c r="J28">
        <v>7</v>
      </c>
      <c r="K28">
        <v>5</v>
      </c>
      <c r="L28" t="s">
        <v>2041</v>
      </c>
      <c r="M28">
        <v>238</v>
      </c>
      <c r="N28">
        <v>9550</v>
      </c>
      <c r="O28">
        <v>20660</v>
      </c>
      <c r="P28" s="13">
        <f t="shared" si="0"/>
        <v>0</v>
      </c>
      <c r="Q28" t="str">
        <f t="shared" si="1"/>
        <v>No</v>
      </c>
      <c r="R28" t="str" cm="1">
        <f t="array" ref="R28">_xlfn.IFS(K28=0,"On Time",K28&lt;=2,"Minor",K28&lt;=5,"Major",K28&gt;5,"Severe")</f>
        <v>Major</v>
      </c>
      <c r="S28">
        <f t="shared" si="2"/>
        <v>4132</v>
      </c>
      <c r="T28">
        <f t="shared" si="3"/>
        <v>1910</v>
      </c>
      <c r="U28">
        <f t="shared" si="4"/>
        <v>2024</v>
      </c>
      <c r="V28">
        <f t="shared" si="5"/>
        <v>10</v>
      </c>
      <c r="W28" s="11">
        <f t="shared" si="6"/>
        <v>1</v>
      </c>
    </row>
    <row r="29" spans="1:30">
      <c r="A29" t="s">
        <v>42</v>
      </c>
      <c r="B29" s="4">
        <v>45617</v>
      </c>
      <c r="C29" t="s">
        <v>2017</v>
      </c>
      <c r="D29" t="s">
        <v>2023</v>
      </c>
      <c r="E29" t="s">
        <v>2028</v>
      </c>
      <c r="F29" t="s">
        <v>2030</v>
      </c>
      <c r="G29" t="s">
        <v>2034</v>
      </c>
      <c r="H29" t="s">
        <v>2039</v>
      </c>
      <c r="I29">
        <v>1</v>
      </c>
      <c r="J29">
        <v>4</v>
      </c>
      <c r="K29">
        <v>3</v>
      </c>
      <c r="L29" t="s">
        <v>2041</v>
      </c>
      <c r="M29">
        <v>201</v>
      </c>
      <c r="N29">
        <v>6954</v>
      </c>
      <c r="O29">
        <v>11721</v>
      </c>
      <c r="P29" s="13">
        <f t="shared" si="0"/>
        <v>0</v>
      </c>
      <c r="Q29" t="str">
        <f t="shared" si="1"/>
        <v>No</v>
      </c>
      <c r="R29" t="str" cm="1">
        <f t="array" ref="R29">_xlfn.IFS(K29=0,"On Time",K29&lt;=2,"Minor",K29&lt;=5,"Major",K29&gt;5,"Severe")</f>
        <v>Major</v>
      </c>
      <c r="S29">
        <f t="shared" si="2"/>
        <v>3907</v>
      </c>
      <c r="T29">
        <f t="shared" si="3"/>
        <v>2318</v>
      </c>
      <c r="U29">
        <f t="shared" si="4"/>
        <v>2024</v>
      </c>
      <c r="V29">
        <f t="shared" si="5"/>
        <v>11</v>
      </c>
      <c r="W29" s="11">
        <f t="shared" si="6"/>
        <v>1</v>
      </c>
    </row>
    <row r="30" spans="1:30">
      <c r="A30" t="s">
        <v>43</v>
      </c>
      <c r="B30" s="4">
        <v>45297</v>
      </c>
      <c r="C30" t="s">
        <v>2015</v>
      </c>
      <c r="D30" t="s">
        <v>2019</v>
      </c>
      <c r="E30" t="s">
        <v>2029</v>
      </c>
      <c r="F30" t="s">
        <v>2030</v>
      </c>
      <c r="G30" t="s">
        <v>2033</v>
      </c>
      <c r="H30" t="s">
        <v>2038</v>
      </c>
      <c r="I30">
        <v>2</v>
      </c>
      <c r="J30">
        <v>2</v>
      </c>
      <c r="K30">
        <v>0</v>
      </c>
      <c r="L30" t="s">
        <v>2042</v>
      </c>
      <c r="M30">
        <v>384</v>
      </c>
      <c r="N30">
        <v>0</v>
      </c>
      <c r="O30">
        <v>0</v>
      </c>
      <c r="P30" s="13">
        <f t="shared" si="0"/>
        <v>1</v>
      </c>
      <c r="Q30" t="str">
        <f t="shared" si="1"/>
        <v>No</v>
      </c>
      <c r="R30" t="str" cm="1">
        <f t="array" ref="R30">_xlfn.IFS(K30=0,"On Time",K30&lt;=2,"Minor",K30&lt;=5,"Major",K30&gt;5,"Severe")</f>
        <v>On Time</v>
      </c>
      <c r="S30">
        <f t="shared" si="2"/>
        <v>0</v>
      </c>
      <c r="T30">
        <f t="shared" si="3"/>
        <v>0</v>
      </c>
      <c r="U30">
        <f t="shared" si="4"/>
        <v>2024</v>
      </c>
      <c r="V30">
        <f t="shared" si="5"/>
        <v>1</v>
      </c>
      <c r="W30" s="11">
        <f t="shared" si="6"/>
        <v>0</v>
      </c>
    </row>
    <row r="31" spans="1:30">
      <c r="A31" t="s">
        <v>44</v>
      </c>
      <c r="B31" s="4">
        <v>45484</v>
      </c>
      <c r="C31" t="s">
        <v>2018</v>
      </c>
      <c r="D31" t="s">
        <v>2024</v>
      </c>
      <c r="E31" t="s">
        <v>2029</v>
      </c>
      <c r="F31" t="s">
        <v>2031</v>
      </c>
      <c r="G31" t="s">
        <v>2033</v>
      </c>
      <c r="H31" t="s">
        <v>2039</v>
      </c>
      <c r="I31">
        <v>1</v>
      </c>
      <c r="J31">
        <v>5</v>
      </c>
      <c r="K31">
        <v>4</v>
      </c>
      <c r="L31" t="s">
        <v>2041</v>
      </c>
      <c r="M31">
        <v>417</v>
      </c>
      <c r="N31">
        <v>9352</v>
      </c>
      <c r="O31">
        <v>10920</v>
      </c>
      <c r="P31" s="13">
        <f t="shared" si="0"/>
        <v>0</v>
      </c>
      <c r="Q31" t="str">
        <f t="shared" si="1"/>
        <v>No</v>
      </c>
      <c r="R31" t="str" cm="1">
        <f t="array" ref="R31">_xlfn.IFS(K31=0,"On Time",K31&lt;=2,"Minor",K31&lt;=5,"Major",K31&gt;5,"Severe")</f>
        <v>Major</v>
      </c>
      <c r="S31">
        <f t="shared" si="2"/>
        <v>2730</v>
      </c>
      <c r="T31">
        <f t="shared" si="3"/>
        <v>2338</v>
      </c>
      <c r="U31">
        <f t="shared" si="4"/>
        <v>2024</v>
      </c>
      <c r="V31">
        <f t="shared" si="5"/>
        <v>7</v>
      </c>
      <c r="W31" s="11">
        <f t="shared" si="6"/>
        <v>1</v>
      </c>
    </row>
    <row r="32" spans="1:30">
      <c r="A32" t="s">
        <v>45</v>
      </c>
      <c r="B32" s="4">
        <v>45616</v>
      </c>
      <c r="C32" t="s">
        <v>2018</v>
      </c>
      <c r="D32" t="s">
        <v>2024</v>
      </c>
      <c r="E32" t="s">
        <v>2029</v>
      </c>
      <c r="F32" t="s">
        <v>2030</v>
      </c>
      <c r="G32" t="s">
        <v>2037</v>
      </c>
      <c r="H32" t="s">
        <v>2039</v>
      </c>
      <c r="I32">
        <v>1</v>
      </c>
      <c r="J32">
        <v>6</v>
      </c>
      <c r="K32">
        <v>5</v>
      </c>
      <c r="L32" t="s">
        <v>2041</v>
      </c>
      <c r="M32">
        <v>229</v>
      </c>
      <c r="N32">
        <v>10745</v>
      </c>
      <c r="O32">
        <v>7820</v>
      </c>
      <c r="P32" s="13">
        <f t="shared" si="0"/>
        <v>0</v>
      </c>
      <c r="Q32" t="str">
        <f t="shared" si="1"/>
        <v>No</v>
      </c>
      <c r="R32" t="str" cm="1">
        <f t="array" ref="R32">_xlfn.IFS(K32=0,"On Time",K32&lt;=2,"Minor",K32&lt;=5,"Major",K32&gt;5,"Severe")</f>
        <v>Major</v>
      </c>
      <c r="S32">
        <f t="shared" si="2"/>
        <v>1564</v>
      </c>
      <c r="T32">
        <f t="shared" si="3"/>
        <v>2149</v>
      </c>
      <c r="U32">
        <f t="shared" si="4"/>
        <v>2024</v>
      </c>
      <c r="V32">
        <f t="shared" si="5"/>
        <v>11</v>
      </c>
      <c r="W32" s="11">
        <f t="shared" si="6"/>
        <v>1</v>
      </c>
    </row>
    <row r="33" spans="1:23">
      <c r="A33" t="s">
        <v>46</v>
      </c>
      <c r="B33" s="4">
        <v>45339</v>
      </c>
      <c r="C33" t="s">
        <v>2016</v>
      </c>
      <c r="D33" t="s">
        <v>2025</v>
      </c>
      <c r="E33" t="s">
        <v>2029</v>
      </c>
      <c r="F33" t="s">
        <v>2030</v>
      </c>
      <c r="G33" t="s">
        <v>2035</v>
      </c>
      <c r="H33" t="s">
        <v>2038</v>
      </c>
      <c r="I33">
        <v>2</v>
      </c>
      <c r="J33">
        <v>5</v>
      </c>
      <c r="K33">
        <v>3</v>
      </c>
      <c r="L33" t="s">
        <v>2041</v>
      </c>
      <c r="M33">
        <v>221</v>
      </c>
      <c r="N33">
        <v>5715</v>
      </c>
      <c r="O33">
        <v>11727</v>
      </c>
      <c r="P33" s="13">
        <f t="shared" si="0"/>
        <v>0</v>
      </c>
      <c r="Q33" t="str">
        <f t="shared" si="1"/>
        <v>No</v>
      </c>
      <c r="R33" t="str" cm="1">
        <f t="array" ref="R33">_xlfn.IFS(K33=0,"On Time",K33&lt;=2,"Minor",K33&lt;=5,"Major",K33&gt;5,"Severe")</f>
        <v>Major</v>
      </c>
      <c r="S33">
        <f t="shared" si="2"/>
        <v>3909</v>
      </c>
      <c r="T33">
        <f t="shared" si="3"/>
        <v>1905</v>
      </c>
      <c r="U33">
        <f t="shared" si="4"/>
        <v>2024</v>
      </c>
      <c r="V33">
        <f t="shared" si="5"/>
        <v>2</v>
      </c>
      <c r="W33" s="11">
        <f t="shared" si="6"/>
        <v>1</v>
      </c>
    </row>
    <row r="34" spans="1:23">
      <c r="A34" t="s">
        <v>47</v>
      </c>
      <c r="B34" s="4">
        <v>45332</v>
      </c>
      <c r="C34" t="s">
        <v>2015</v>
      </c>
      <c r="D34" t="s">
        <v>2019</v>
      </c>
      <c r="E34" t="s">
        <v>2027</v>
      </c>
      <c r="F34" t="s">
        <v>2030</v>
      </c>
      <c r="G34" t="s">
        <v>2037</v>
      </c>
      <c r="H34" t="s">
        <v>2039</v>
      </c>
      <c r="I34">
        <v>1</v>
      </c>
      <c r="J34">
        <v>1</v>
      </c>
      <c r="K34">
        <v>0</v>
      </c>
      <c r="L34" t="s">
        <v>2042</v>
      </c>
      <c r="M34">
        <v>193</v>
      </c>
      <c r="N34">
        <v>0</v>
      </c>
      <c r="O34">
        <v>0</v>
      </c>
      <c r="P34" s="13">
        <f t="shared" si="0"/>
        <v>1</v>
      </c>
      <c r="Q34" t="str">
        <f t="shared" si="1"/>
        <v>No</v>
      </c>
      <c r="R34" t="str" cm="1">
        <f t="array" ref="R34">_xlfn.IFS(K34=0,"On Time",K34&lt;=2,"Minor",K34&lt;=5,"Major",K34&gt;5,"Severe")</f>
        <v>On Time</v>
      </c>
      <c r="S34">
        <f t="shared" si="2"/>
        <v>0</v>
      </c>
      <c r="T34">
        <f t="shared" si="3"/>
        <v>0</v>
      </c>
      <c r="U34">
        <f t="shared" si="4"/>
        <v>2024</v>
      </c>
      <c r="V34">
        <f t="shared" si="5"/>
        <v>2</v>
      </c>
      <c r="W34" s="11">
        <f t="shared" si="6"/>
        <v>0</v>
      </c>
    </row>
    <row r="35" spans="1:23">
      <c r="A35" t="s">
        <v>48</v>
      </c>
      <c r="B35" s="4">
        <v>45530</v>
      </c>
      <c r="C35" t="s">
        <v>2017</v>
      </c>
      <c r="D35" t="s">
        <v>2022</v>
      </c>
      <c r="E35" t="s">
        <v>2028</v>
      </c>
      <c r="F35" t="s">
        <v>2031</v>
      </c>
      <c r="G35" t="s">
        <v>2033</v>
      </c>
      <c r="H35" t="s">
        <v>2039</v>
      </c>
      <c r="I35">
        <v>1</v>
      </c>
      <c r="J35">
        <v>5</v>
      </c>
      <c r="K35">
        <v>4</v>
      </c>
      <c r="L35" t="s">
        <v>2041</v>
      </c>
      <c r="M35">
        <v>316</v>
      </c>
      <c r="N35">
        <v>6800</v>
      </c>
      <c r="O35">
        <v>6392</v>
      </c>
      <c r="P35" s="13">
        <f t="shared" si="0"/>
        <v>0</v>
      </c>
      <c r="Q35" t="str">
        <f t="shared" si="1"/>
        <v>No</v>
      </c>
      <c r="R35" t="str" cm="1">
        <f t="array" ref="R35">_xlfn.IFS(K35=0,"On Time",K35&lt;=2,"Minor",K35&lt;=5,"Major",K35&gt;5,"Severe")</f>
        <v>Major</v>
      </c>
      <c r="S35">
        <f t="shared" si="2"/>
        <v>1598</v>
      </c>
      <c r="T35">
        <f t="shared" si="3"/>
        <v>1700</v>
      </c>
      <c r="U35">
        <f t="shared" si="4"/>
        <v>2024</v>
      </c>
      <c r="V35">
        <f t="shared" si="5"/>
        <v>8</v>
      </c>
      <c r="W35" s="11">
        <f t="shared" si="6"/>
        <v>1</v>
      </c>
    </row>
    <row r="36" spans="1:23">
      <c r="A36" t="s">
        <v>49</v>
      </c>
      <c r="B36" s="4">
        <v>45340</v>
      </c>
      <c r="C36" t="s">
        <v>2015</v>
      </c>
      <c r="D36" t="s">
        <v>2020</v>
      </c>
      <c r="E36" t="s">
        <v>2029</v>
      </c>
      <c r="F36" t="s">
        <v>2030</v>
      </c>
      <c r="G36" t="s">
        <v>2037</v>
      </c>
      <c r="H36" t="s">
        <v>2040</v>
      </c>
      <c r="I36">
        <v>3</v>
      </c>
      <c r="J36">
        <v>8</v>
      </c>
      <c r="K36">
        <v>5</v>
      </c>
      <c r="L36" t="s">
        <v>2041</v>
      </c>
      <c r="M36">
        <v>352</v>
      </c>
      <c r="N36">
        <v>12250</v>
      </c>
      <c r="O36">
        <v>17535</v>
      </c>
      <c r="P36" s="13">
        <f t="shared" si="0"/>
        <v>0</v>
      </c>
      <c r="Q36" t="str">
        <f t="shared" si="1"/>
        <v>No</v>
      </c>
      <c r="R36" t="str" cm="1">
        <f t="array" ref="R36">_xlfn.IFS(K36=0,"On Time",K36&lt;=2,"Minor",K36&lt;=5,"Major",K36&gt;5,"Severe")</f>
        <v>Major</v>
      </c>
      <c r="S36">
        <f t="shared" si="2"/>
        <v>3507</v>
      </c>
      <c r="T36">
        <f t="shared" si="3"/>
        <v>2450</v>
      </c>
      <c r="U36">
        <f t="shared" si="4"/>
        <v>2024</v>
      </c>
      <c r="V36">
        <f t="shared" si="5"/>
        <v>2</v>
      </c>
      <c r="W36" s="11">
        <f t="shared" si="6"/>
        <v>1</v>
      </c>
    </row>
    <row r="37" spans="1:23">
      <c r="A37" t="s">
        <v>50</v>
      </c>
      <c r="B37" s="4">
        <v>45323</v>
      </c>
      <c r="C37" t="s">
        <v>2018</v>
      </c>
      <c r="D37" t="s">
        <v>2024</v>
      </c>
      <c r="E37" t="s">
        <v>2028</v>
      </c>
      <c r="F37" t="s">
        <v>2030</v>
      </c>
      <c r="G37" t="s">
        <v>2037</v>
      </c>
      <c r="H37" t="s">
        <v>2039</v>
      </c>
      <c r="I37">
        <v>1</v>
      </c>
      <c r="J37">
        <v>2</v>
      </c>
      <c r="K37">
        <v>1</v>
      </c>
      <c r="L37" t="s">
        <v>2041</v>
      </c>
      <c r="M37">
        <v>311</v>
      </c>
      <c r="N37">
        <v>977</v>
      </c>
      <c r="O37">
        <v>2622</v>
      </c>
      <c r="P37" s="13">
        <f t="shared" si="0"/>
        <v>0</v>
      </c>
      <c r="Q37" t="str">
        <f t="shared" si="1"/>
        <v>No</v>
      </c>
      <c r="R37" t="str" cm="1">
        <f t="array" ref="R37">_xlfn.IFS(K37=0,"On Time",K37&lt;=2,"Minor",K37&lt;=5,"Major",K37&gt;5,"Severe")</f>
        <v>Minor</v>
      </c>
      <c r="S37">
        <f t="shared" si="2"/>
        <v>2622</v>
      </c>
      <c r="T37">
        <f t="shared" si="3"/>
        <v>977</v>
      </c>
      <c r="U37">
        <f t="shared" si="4"/>
        <v>2024</v>
      </c>
      <c r="V37">
        <f t="shared" si="5"/>
        <v>2</v>
      </c>
      <c r="W37" s="11">
        <f t="shared" si="6"/>
        <v>1</v>
      </c>
    </row>
    <row r="38" spans="1:23">
      <c r="A38" t="s">
        <v>51</v>
      </c>
      <c r="B38" s="4">
        <v>45409</v>
      </c>
      <c r="C38" t="s">
        <v>2018</v>
      </c>
      <c r="D38" t="s">
        <v>2026</v>
      </c>
      <c r="E38" t="s">
        <v>2029</v>
      </c>
      <c r="F38" t="s">
        <v>2031</v>
      </c>
      <c r="G38" t="s">
        <v>2037</v>
      </c>
      <c r="H38" t="s">
        <v>2038</v>
      </c>
      <c r="I38">
        <v>1</v>
      </c>
      <c r="J38">
        <v>4</v>
      </c>
      <c r="K38">
        <v>3</v>
      </c>
      <c r="L38" t="s">
        <v>2041</v>
      </c>
      <c r="M38">
        <v>155</v>
      </c>
      <c r="N38">
        <v>6852</v>
      </c>
      <c r="O38">
        <v>8940</v>
      </c>
      <c r="P38" s="13">
        <f t="shared" si="0"/>
        <v>0</v>
      </c>
      <c r="Q38" t="str">
        <f t="shared" si="1"/>
        <v>No</v>
      </c>
      <c r="R38" t="str" cm="1">
        <f t="array" ref="R38">_xlfn.IFS(K38=0,"On Time",K38&lt;=2,"Minor",K38&lt;=5,"Major",K38&gt;5,"Severe")</f>
        <v>Major</v>
      </c>
      <c r="S38">
        <f t="shared" si="2"/>
        <v>2980</v>
      </c>
      <c r="T38">
        <f t="shared" si="3"/>
        <v>2284</v>
      </c>
      <c r="U38">
        <f t="shared" si="4"/>
        <v>2024</v>
      </c>
      <c r="V38">
        <f t="shared" si="5"/>
        <v>4</v>
      </c>
      <c r="W38" s="11">
        <f t="shared" si="6"/>
        <v>1</v>
      </c>
    </row>
    <row r="39" spans="1:23">
      <c r="A39" t="s">
        <v>52</v>
      </c>
      <c r="B39" s="4">
        <v>45312</v>
      </c>
      <c r="C39" t="s">
        <v>2015</v>
      </c>
      <c r="D39" t="s">
        <v>2020</v>
      </c>
      <c r="E39" t="s">
        <v>2029</v>
      </c>
      <c r="F39" t="s">
        <v>2031</v>
      </c>
      <c r="G39" t="s">
        <v>2033</v>
      </c>
      <c r="H39" t="s">
        <v>2038</v>
      </c>
      <c r="I39">
        <v>1</v>
      </c>
      <c r="J39">
        <v>5</v>
      </c>
      <c r="K39">
        <v>4</v>
      </c>
      <c r="L39" t="s">
        <v>2041</v>
      </c>
      <c r="M39">
        <v>471</v>
      </c>
      <c r="N39">
        <v>5892</v>
      </c>
      <c r="O39">
        <v>15604</v>
      </c>
      <c r="P39" s="13">
        <f t="shared" si="0"/>
        <v>0</v>
      </c>
      <c r="Q39" t="str">
        <f t="shared" si="1"/>
        <v>No</v>
      </c>
      <c r="R39" t="str" cm="1">
        <f t="array" ref="R39">_xlfn.IFS(K39=0,"On Time",K39&lt;=2,"Minor",K39&lt;=5,"Major",K39&gt;5,"Severe")</f>
        <v>Major</v>
      </c>
      <c r="S39">
        <f t="shared" si="2"/>
        <v>3901</v>
      </c>
      <c r="T39">
        <f t="shared" si="3"/>
        <v>1473</v>
      </c>
      <c r="U39">
        <f t="shared" si="4"/>
        <v>2024</v>
      </c>
      <c r="V39">
        <f t="shared" si="5"/>
        <v>1</v>
      </c>
      <c r="W39" s="11">
        <f t="shared" si="6"/>
        <v>1</v>
      </c>
    </row>
    <row r="40" spans="1:23">
      <c r="A40" t="s">
        <v>53</v>
      </c>
      <c r="B40" s="4">
        <v>45535</v>
      </c>
      <c r="C40" t="s">
        <v>2015</v>
      </c>
      <c r="D40" t="s">
        <v>2019</v>
      </c>
      <c r="E40" t="s">
        <v>2027</v>
      </c>
      <c r="F40" t="s">
        <v>2030</v>
      </c>
      <c r="G40" t="s">
        <v>2033</v>
      </c>
      <c r="H40" t="s">
        <v>2038</v>
      </c>
      <c r="I40">
        <v>5</v>
      </c>
      <c r="J40">
        <v>5</v>
      </c>
      <c r="K40">
        <v>0</v>
      </c>
      <c r="L40" t="s">
        <v>2042</v>
      </c>
      <c r="M40">
        <v>391</v>
      </c>
      <c r="N40">
        <v>0</v>
      </c>
      <c r="O40">
        <v>0</v>
      </c>
      <c r="P40" s="13">
        <f t="shared" si="0"/>
        <v>1</v>
      </c>
      <c r="Q40" t="str">
        <f t="shared" si="1"/>
        <v>No</v>
      </c>
      <c r="R40" t="str" cm="1">
        <f t="array" ref="R40">_xlfn.IFS(K40=0,"On Time",K40&lt;=2,"Minor",K40&lt;=5,"Major",K40&gt;5,"Severe")</f>
        <v>On Time</v>
      </c>
      <c r="S40">
        <f t="shared" si="2"/>
        <v>0</v>
      </c>
      <c r="T40">
        <f t="shared" si="3"/>
        <v>0</v>
      </c>
      <c r="U40">
        <f t="shared" si="4"/>
        <v>2024</v>
      </c>
      <c r="V40">
        <f t="shared" si="5"/>
        <v>8</v>
      </c>
      <c r="W40" s="11">
        <f t="shared" si="6"/>
        <v>0</v>
      </c>
    </row>
    <row r="41" spans="1:23">
      <c r="A41" t="s">
        <v>54</v>
      </c>
      <c r="B41" s="4">
        <v>45536</v>
      </c>
      <c r="C41" t="s">
        <v>2015</v>
      </c>
      <c r="D41" t="s">
        <v>2019</v>
      </c>
      <c r="E41" t="s">
        <v>2028</v>
      </c>
      <c r="F41" t="s">
        <v>2030</v>
      </c>
      <c r="G41" t="s">
        <v>2033</v>
      </c>
      <c r="H41" t="s">
        <v>2039</v>
      </c>
      <c r="I41">
        <v>1</v>
      </c>
      <c r="J41">
        <v>4</v>
      </c>
      <c r="K41">
        <v>3</v>
      </c>
      <c r="L41" t="s">
        <v>2041</v>
      </c>
      <c r="M41">
        <v>323</v>
      </c>
      <c r="N41">
        <v>5844</v>
      </c>
      <c r="O41">
        <v>12129</v>
      </c>
      <c r="P41" s="13">
        <f t="shared" si="0"/>
        <v>0</v>
      </c>
      <c r="Q41" t="str">
        <f t="shared" si="1"/>
        <v>No</v>
      </c>
      <c r="R41" t="str" cm="1">
        <f t="array" ref="R41">_xlfn.IFS(K41=0,"On Time",K41&lt;=2,"Minor",K41&lt;=5,"Major",K41&gt;5,"Severe")</f>
        <v>Major</v>
      </c>
      <c r="S41">
        <f t="shared" si="2"/>
        <v>4043</v>
      </c>
      <c r="T41">
        <f t="shared" si="3"/>
        <v>1948</v>
      </c>
      <c r="U41">
        <f t="shared" si="4"/>
        <v>2024</v>
      </c>
      <c r="V41">
        <f t="shared" si="5"/>
        <v>9</v>
      </c>
      <c r="W41" s="11">
        <f t="shared" si="6"/>
        <v>1</v>
      </c>
    </row>
    <row r="42" spans="1:23">
      <c r="A42" t="s">
        <v>55</v>
      </c>
      <c r="B42" s="4">
        <v>45622</v>
      </c>
      <c r="C42" t="s">
        <v>2016</v>
      </c>
      <c r="D42" t="s">
        <v>2021</v>
      </c>
      <c r="E42" t="s">
        <v>2027</v>
      </c>
      <c r="F42" t="s">
        <v>2032</v>
      </c>
      <c r="G42" t="s">
        <v>2034</v>
      </c>
      <c r="H42" t="s">
        <v>2040</v>
      </c>
      <c r="I42">
        <v>3</v>
      </c>
      <c r="J42">
        <v>9</v>
      </c>
      <c r="K42">
        <v>6</v>
      </c>
      <c r="L42" t="s">
        <v>2041</v>
      </c>
      <c r="M42">
        <v>481</v>
      </c>
      <c r="N42">
        <v>13422</v>
      </c>
      <c r="O42">
        <v>13776</v>
      </c>
      <c r="P42" s="13">
        <f t="shared" si="0"/>
        <v>0</v>
      </c>
      <c r="Q42" t="str">
        <f t="shared" si="1"/>
        <v>No</v>
      </c>
      <c r="R42" t="str" cm="1">
        <f t="array" ref="R42">_xlfn.IFS(K42=0,"On Time",K42&lt;=2,"Minor",K42&lt;=5,"Major",K42&gt;5,"Severe")</f>
        <v>Severe</v>
      </c>
      <c r="S42">
        <f t="shared" si="2"/>
        <v>2296</v>
      </c>
      <c r="T42">
        <f t="shared" si="3"/>
        <v>2237</v>
      </c>
      <c r="U42">
        <f t="shared" si="4"/>
        <v>2024</v>
      </c>
      <c r="V42">
        <f t="shared" si="5"/>
        <v>11</v>
      </c>
      <c r="W42" s="11">
        <f t="shared" si="6"/>
        <v>1</v>
      </c>
    </row>
    <row r="43" spans="1:23">
      <c r="A43" t="s">
        <v>56</v>
      </c>
      <c r="B43" s="4">
        <v>45506</v>
      </c>
      <c r="C43" t="s">
        <v>2018</v>
      </c>
      <c r="D43" t="s">
        <v>2024</v>
      </c>
      <c r="E43" t="s">
        <v>2028</v>
      </c>
      <c r="F43" t="s">
        <v>2031</v>
      </c>
      <c r="G43" t="s">
        <v>2037</v>
      </c>
      <c r="H43" t="s">
        <v>2039</v>
      </c>
      <c r="I43">
        <v>5</v>
      </c>
      <c r="J43">
        <v>6</v>
      </c>
      <c r="K43">
        <v>1</v>
      </c>
      <c r="L43" t="s">
        <v>2041</v>
      </c>
      <c r="M43">
        <v>419</v>
      </c>
      <c r="N43">
        <v>1279</v>
      </c>
      <c r="O43">
        <v>1848</v>
      </c>
      <c r="P43" s="13">
        <f t="shared" si="0"/>
        <v>0</v>
      </c>
      <c r="Q43" t="str">
        <f t="shared" si="1"/>
        <v>No</v>
      </c>
      <c r="R43" t="str" cm="1">
        <f t="array" ref="R43">_xlfn.IFS(K43=0,"On Time",K43&lt;=2,"Minor",K43&lt;=5,"Major",K43&gt;5,"Severe")</f>
        <v>Minor</v>
      </c>
      <c r="S43">
        <f t="shared" si="2"/>
        <v>1848</v>
      </c>
      <c r="T43">
        <f t="shared" si="3"/>
        <v>1279</v>
      </c>
      <c r="U43">
        <f t="shared" si="4"/>
        <v>2024</v>
      </c>
      <c r="V43">
        <f t="shared" si="5"/>
        <v>8</v>
      </c>
      <c r="W43" s="11">
        <f t="shared" si="6"/>
        <v>1</v>
      </c>
    </row>
    <row r="44" spans="1:23">
      <c r="A44" t="s">
        <v>57</v>
      </c>
      <c r="B44" s="4">
        <v>45527</v>
      </c>
      <c r="C44" t="s">
        <v>2015</v>
      </c>
      <c r="D44" t="s">
        <v>2020</v>
      </c>
      <c r="E44" t="s">
        <v>2028</v>
      </c>
      <c r="F44" t="s">
        <v>2030</v>
      </c>
      <c r="G44" t="s">
        <v>2034</v>
      </c>
      <c r="H44" t="s">
        <v>2040</v>
      </c>
      <c r="I44">
        <v>1</v>
      </c>
      <c r="J44">
        <v>3</v>
      </c>
      <c r="K44">
        <v>2</v>
      </c>
      <c r="L44" t="s">
        <v>2041</v>
      </c>
      <c r="M44">
        <v>290</v>
      </c>
      <c r="N44">
        <v>2902</v>
      </c>
      <c r="O44">
        <v>6922</v>
      </c>
      <c r="P44" s="13">
        <f t="shared" si="0"/>
        <v>0</v>
      </c>
      <c r="Q44" t="str">
        <f t="shared" si="1"/>
        <v>No</v>
      </c>
      <c r="R44" t="str" cm="1">
        <f t="array" ref="R44">_xlfn.IFS(K44=0,"On Time",K44&lt;=2,"Minor",K44&lt;=5,"Major",K44&gt;5,"Severe")</f>
        <v>Minor</v>
      </c>
      <c r="S44">
        <f t="shared" si="2"/>
        <v>3461</v>
      </c>
      <c r="T44">
        <f t="shared" si="3"/>
        <v>1451</v>
      </c>
      <c r="U44">
        <f t="shared" si="4"/>
        <v>2024</v>
      </c>
      <c r="V44">
        <f t="shared" si="5"/>
        <v>8</v>
      </c>
      <c r="W44" s="11">
        <f t="shared" si="6"/>
        <v>1</v>
      </c>
    </row>
    <row r="45" spans="1:23">
      <c r="A45" t="s">
        <v>58</v>
      </c>
      <c r="B45" s="4">
        <v>45656</v>
      </c>
      <c r="C45" t="s">
        <v>2018</v>
      </c>
      <c r="D45" t="s">
        <v>2026</v>
      </c>
      <c r="E45" t="s">
        <v>2027</v>
      </c>
      <c r="F45" t="s">
        <v>2030</v>
      </c>
      <c r="G45" t="s">
        <v>2035</v>
      </c>
      <c r="H45" t="s">
        <v>2038</v>
      </c>
      <c r="I45">
        <v>1</v>
      </c>
      <c r="J45">
        <v>6</v>
      </c>
      <c r="K45">
        <v>5</v>
      </c>
      <c r="L45" t="s">
        <v>2041</v>
      </c>
      <c r="M45">
        <v>200</v>
      </c>
      <c r="N45">
        <v>6120</v>
      </c>
      <c r="O45">
        <v>16210</v>
      </c>
      <c r="P45" s="13">
        <f t="shared" si="0"/>
        <v>0</v>
      </c>
      <c r="Q45" t="str">
        <f t="shared" si="1"/>
        <v>No</v>
      </c>
      <c r="R45" t="str" cm="1">
        <f t="array" ref="R45">_xlfn.IFS(K45=0,"On Time",K45&lt;=2,"Minor",K45&lt;=5,"Major",K45&gt;5,"Severe")</f>
        <v>Major</v>
      </c>
      <c r="S45">
        <f t="shared" si="2"/>
        <v>3242</v>
      </c>
      <c r="T45">
        <f t="shared" si="3"/>
        <v>1224</v>
      </c>
      <c r="U45">
        <f t="shared" si="4"/>
        <v>2024</v>
      </c>
      <c r="V45">
        <f t="shared" si="5"/>
        <v>12</v>
      </c>
      <c r="W45" s="11">
        <f t="shared" si="6"/>
        <v>1</v>
      </c>
    </row>
    <row r="46" spans="1:23">
      <c r="A46" t="s">
        <v>59</v>
      </c>
      <c r="B46" s="4">
        <v>45446</v>
      </c>
      <c r="C46" t="s">
        <v>2018</v>
      </c>
      <c r="D46" t="s">
        <v>2024</v>
      </c>
      <c r="E46" t="s">
        <v>2027</v>
      </c>
      <c r="F46" t="s">
        <v>2031</v>
      </c>
      <c r="G46" t="s">
        <v>2037</v>
      </c>
      <c r="H46" t="s">
        <v>2038</v>
      </c>
      <c r="I46">
        <v>1</v>
      </c>
      <c r="J46">
        <v>1</v>
      </c>
      <c r="K46">
        <v>0</v>
      </c>
      <c r="L46" t="s">
        <v>2042</v>
      </c>
      <c r="M46">
        <v>231</v>
      </c>
      <c r="N46">
        <v>0</v>
      </c>
      <c r="O46">
        <v>0</v>
      </c>
      <c r="P46" s="13">
        <f t="shared" si="0"/>
        <v>1</v>
      </c>
      <c r="Q46" t="str">
        <f t="shared" si="1"/>
        <v>No</v>
      </c>
      <c r="R46" t="str" cm="1">
        <f t="array" ref="R46">_xlfn.IFS(K46=0,"On Time",K46&lt;=2,"Minor",K46&lt;=5,"Major",K46&gt;5,"Severe")</f>
        <v>On Time</v>
      </c>
      <c r="S46">
        <f t="shared" si="2"/>
        <v>0</v>
      </c>
      <c r="T46">
        <f t="shared" si="3"/>
        <v>0</v>
      </c>
      <c r="U46">
        <f t="shared" si="4"/>
        <v>2024</v>
      </c>
      <c r="V46">
        <f t="shared" si="5"/>
        <v>6</v>
      </c>
      <c r="W46" s="11">
        <f t="shared" si="6"/>
        <v>0</v>
      </c>
    </row>
    <row r="47" spans="1:23">
      <c r="A47" t="s">
        <v>60</v>
      </c>
      <c r="B47" s="4">
        <v>45537</v>
      </c>
      <c r="C47" t="s">
        <v>2018</v>
      </c>
      <c r="D47" t="s">
        <v>2026</v>
      </c>
      <c r="E47" t="s">
        <v>2028</v>
      </c>
      <c r="F47" t="s">
        <v>2030</v>
      </c>
      <c r="G47" t="s">
        <v>2034</v>
      </c>
      <c r="H47" t="s">
        <v>2040</v>
      </c>
      <c r="I47">
        <v>2</v>
      </c>
      <c r="J47">
        <v>9</v>
      </c>
      <c r="K47">
        <v>7</v>
      </c>
      <c r="L47" t="s">
        <v>2041</v>
      </c>
      <c r="M47">
        <v>208</v>
      </c>
      <c r="N47">
        <v>10843</v>
      </c>
      <c r="O47">
        <v>21378</v>
      </c>
      <c r="P47" s="13">
        <f t="shared" si="0"/>
        <v>0</v>
      </c>
      <c r="Q47" t="str">
        <f t="shared" si="1"/>
        <v>No</v>
      </c>
      <c r="R47" t="str" cm="1">
        <f t="array" ref="R47">_xlfn.IFS(K47=0,"On Time",K47&lt;=2,"Minor",K47&lt;=5,"Major",K47&gt;5,"Severe")</f>
        <v>Severe</v>
      </c>
      <c r="S47">
        <f t="shared" si="2"/>
        <v>3054</v>
      </c>
      <c r="T47">
        <f t="shared" si="3"/>
        <v>1549</v>
      </c>
      <c r="U47">
        <f t="shared" si="4"/>
        <v>2024</v>
      </c>
      <c r="V47">
        <f t="shared" si="5"/>
        <v>9</v>
      </c>
      <c r="W47" s="11">
        <f t="shared" si="6"/>
        <v>1</v>
      </c>
    </row>
    <row r="48" spans="1:23">
      <c r="A48" t="s">
        <v>61</v>
      </c>
      <c r="B48" s="4">
        <v>45410</v>
      </c>
      <c r="C48" t="s">
        <v>2015</v>
      </c>
      <c r="D48" t="s">
        <v>2020</v>
      </c>
      <c r="E48" t="s">
        <v>2027</v>
      </c>
      <c r="F48" t="s">
        <v>2031</v>
      </c>
      <c r="G48" t="s">
        <v>2035</v>
      </c>
      <c r="H48" t="s">
        <v>2038</v>
      </c>
      <c r="I48">
        <v>3</v>
      </c>
      <c r="J48">
        <v>3</v>
      </c>
      <c r="K48">
        <v>0</v>
      </c>
      <c r="L48" t="s">
        <v>2042</v>
      </c>
      <c r="M48">
        <v>405</v>
      </c>
      <c r="N48">
        <v>0</v>
      </c>
      <c r="O48">
        <v>0</v>
      </c>
      <c r="P48" s="13">
        <f t="shared" si="0"/>
        <v>1</v>
      </c>
      <c r="Q48" t="str">
        <f t="shared" si="1"/>
        <v>No</v>
      </c>
      <c r="R48" t="str" cm="1">
        <f t="array" ref="R48">_xlfn.IFS(K48=0,"On Time",K48&lt;=2,"Minor",K48&lt;=5,"Major",K48&gt;5,"Severe")</f>
        <v>On Time</v>
      </c>
      <c r="S48">
        <f t="shared" si="2"/>
        <v>0</v>
      </c>
      <c r="T48">
        <f t="shared" si="3"/>
        <v>0</v>
      </c>
      <c r="U48">
        <f t="shared" si="4"/>
        <v>2024</v>
      </c>
      <c r="V48">
        <f t="shared" si="5"/>
        <v>4</v>
      </c>
      <c r="W48" s="11">
        <f t="shared" si="6"/>
        <v>0</v>
      </c>
    </row>
    <row r="49" spans="1:23">
      <c r="A49" t="s">
        <v>62</v>
      </c>
      <c r="B49" s="4">
        <v>45305</v>
      </c>
      <c r="C49" t="s">
        <v>2018</v>
      </c>
      <c r="D49" t="s">
        <v>2026</v>
      </c>
      <c r="E49" t="s">
        <v>2028</v>
      </c>
      <c r="F49" t="s">
        <v>2031</v>
      </c>
      <c r="G49" t="s">
        <v>2033</v>
      </c>
      <c r="H49" t="s">
        <v>2038</v>
      </c>
      <c r="I49">
        <v>5</v>
      </c>
      <c r="J49">
        <v>6</v>
      </c>
      <c r="K49">
        <v>1</v>
      </c>
      <c r="L49" t="s">
        <v>2041</v>
      </c>
      <c r="M49">
        <v>228</v>
      </c>
      <c r="N49">
        <v>1769</v>
      </c>
      <c r="O49">
        <v>3887</v>
      </c>
      <c r="P49" s="13">
        <f t="shared" si="0"/>
        <v>0</v>
      </c>
      <c r="Q49" t="str">
        <f t="shared" si="1"/>
        <v>No</v>
      </c>
      <c r="R49" t="str" cm="1">
        <f t="array" ref="R49">_xlfn.IFS(K49=0,"On Time",K49&lt;=2,"Minor",K49&lt;=5,"Major",K49&gt;5,"Severe")</f>
        <v>Minor</v>
      </c>
      <c r="S49">
        <f t="shared" si="2"/>
        <v>3887</v>
      </c>
      <c r="T49">
        <f t="shared" si="3"/>
        <v>1769</v>
      </c>
      <c r="U49">
        <f t="shared" si="4"/>
        <v>2024</v>
      </c>
      <c r="V49">
        <f t="shared" si="5"/>
        <v>1</v>
      </c>
      <c r="W49" s="11">
        <f t="shared" si="6"/>
        <v>1</v>
      </c>
    </row>
    <row r="50" spans="1:23">
      <c r="A50" t="s">
        <v>63</v>
      </c>
      <c r="B50" s="4">
        <v>45465</v>
      </c>
      <c r="C50" t="s">
        <v>2017</v>
      </c>
      <c r="D50" t="s">
        <v>2022</v>
      </c>
      <c r="E50" t="s">
        <v>2029</v>
      </c>
      <c r="F50" t="s">
        <v>2031</v>
      </c>
      <c r="G50" t="s">
        <v>2035</v>
      </c>
      <c r="H50" t="s">
        <v>2040</v>
      </c>
      <c r="I50">
        <v>2</v>
      </c>
      <c r="J50">
        <v>10</v>
      </c>
      <c r="K50">
        <v>8</v>
      </c>
      <c r="L50" t="s">
        <v>2041</v>
      </c>
      <c r="M50">
        <v>390</v>
      </c>
      <c r="N50">
        <v>9112</v>
      </c>
      <c r="O50">
        <v>24704</v>
      </c>
      <c r="P50" s="13">
        <f t="shared" si="0"/>
        <v>0</v>
      </c>
      <c r="Q50" t="str">
        <f t="shared" si="1"/>
        <v>No</v>
      </c>
      <c r="R50" t="str" cm="1">
        <f t="array" ref="R50">_xlfn.IFS(K50=0,"On Time",K50&lt;=2,"Minor",K50&lt;=5,"Major",K50&gt;5,"Severe")</f>
        <v>Severe</v>
      </c>
      <c r="S50">
        <f t="shared" si="2"/>
        <v>3088</v>
      </c>
      <c r="T50">
        <f t="shared" si="3"/>
        <v>1139</v>
      </c>
      <c r="U50">
        <f t="shared" si="4"/>
        <v>2024</v>
      </c>
      <c r="V50">
        <f t="shared" si="5"/>
        <v>6</v>
      </c>
      <c r="W50" s="11">
        <f t="shared" si="6"/>
        <v>1</v>
      </c>
    </row>
    <row r="51" spans="1:23">
      <c r="A51" t="s">
        <v>64</v>
      </c>
      <c r="B51" s="4">
        <v>45302</v>
      </c>
      <c r="C51" t="s">
        <v>2017</v>
      </c>
      <c r="D51" t="s">
        <v>2023</v>
      </c>
      <c r="E51" t="s">
        <v>2027</v>
      </c>
      <c r="F51" t="s">
        <v>2031</v>
      </c>
      <c r="G51" t="s">
        <v>2036</v>
      </c>
      <c r="H51" t="s">
        <v>2040</v>
      </c>
      <c r="I51">
        <v>1</v>
      </c>
      <c r="J51">
        <v>4</v>
      </c>
      <c r="K51">
        <v>3</v>
      </c>
      <c r="L51" t="s">
        <v>2041</v>
      </c>
      <c r="M51">
        <v>480</v>
      </c>
      <c r="N51">
        <v>3267</v>
      </c>
      <c r="O51">
        <v>5055</v>
      </c>
      <c r="P51" s="13">
        <f t="shared" si="0"/>
        <v>0</v>
      </c>
      <c r="Q51" t="str">
        <f t="shared" si="1"/>
        <v>No</v>
      </c>
      <c r="R51" t="str" cm="1">
        <f t="array" ref="R51">_xlfn.IFS(K51=0,"On Time",K51&lt;=2,"Minor",K51&lt;=5,"Major",K51&gt;5,"Severe")</f>
        <v>Major</v>
      </c>
      <c r="S51">
        <f t="shared" si="2"/>
        <v>1685</v>
      </c>
      <c r="T51">
        <f t="shared" si="3"/>
        <v>1089</v>
      </c>
      <c r="U51">
        <f t="shared" si="4"/>
        <v>2024</v>
      </c>
      <c r="V51">
        <f t="shared" si="5"/>
        <v>1</v>
      </c>
      <c r="W51" s="11">
        <f t="shared" si="6"/>
        <v>1</v>
      </c>
    </row>
    <row r="52" spans="1:23">
      <c r="A52" t="s">
        <v>65</v>
      </c>
      <c r="B52" s="4">
        <v>45496</v>
      </c>
      <c r="C52" t="s">
        <v>2015</v>
      </c>
      <c r="D52" t="s">
        <v>2019</v>
      </c>
      <c r="E52" t="s">
        <v>2029</v>
      </c>
      <c r="F52" t="s">
        <v>2031</v>
      </c>
      <c r="G52" t="s">
        <v>2037</v>
      </c>
      <c r="H52" t="s">
        <v>2039</v>
      </c>
      <c r="I52">
        <v>3</v>
      </c>
      <c r="J52">
        <v>5</v>
      </c>
      <c r="K52">
        <v>2</v>
      </c>
      <c r="L52" t="s">
        <v>2041</v>
      </c>
      <c r="M52">
        <v>256</v>
      </c>
      <c r="N52">
        <v>4054</v>
      </c>
      <c r="O52">
        <v>3308</v>
      </c>
      <c r="P52" s="13">
        <f t="shared" si="0"/>
        <v>0</v>
      </c>
      <c r="Q52" t="str">
        <f t="shared" si="1"/>
        <v>No</v>
      </c>
      <c r="R52" t="str" cm="1">
        <f t="array" ref="R52">_xlfn.IFS(K52=0,"On Time",K52&lt;=2,"Minor",K52&lt;=5,"Major",K52&gt;5,"Severe")</f>
        <v>Minor</v>
      </c>
      <c r="S52">
        <f t="shared" si="2"/>
        <v>1654</v>
      </c>
      <c r="T52">
        <f t="shared" si="3"/>
        <v>2027</v>
      </c>
      <c r="U52">
        <f t="shared" si="4"/>
        <v>2024</v>
      </c>
      <c r="V52">
        <f t="shared" si="5"/>
        <v>7</v>
      </c>
      <c r="W52" s="11">
        <f t="shared" si="6"/>
        <v>1</v>
      </c>
    </row>
    <row r="53" spans="1:23">
      <c r="A53" t="s">
        <v>66</v>
      </c>
      <c r="B53" s="4">
        <v>45401</v>
      </c>
      <c r="C53" t="s">
        <v>2016</v>
      </c>
      <c r="D53" t="s">
        <v>2021</v>
      </c>
      <c r="E53" t="s">
        <v>2029</v>
      </c>
      <c r="F53" t="s">
        <v>2031</v>
      </c>
      <c r="G53" t="s">
        <v>2036</v>
      </c>
      <c r="H53" t="s">
        <v>2039</v>
      </c>
      <c r="I53">
        <v>5</v>
      </c>
      <c r="J53">
        <v>5</v>
      </c>
      <c r="K53">
        <v>0</v>
      </c>
      <c r="L53" t="s">
        <v>2042</v>
      </c>
      <c r="M53">
        <v>308</v>
      </c>
      <c r="N53">
        <v>0</v>
      </c>
      <c r="O53">
        <v>0</v>
      </c>
      <c r="P53" s="13">
        <f t="shared" si="0"/>
        <v>1</v>
      </c>
      <c r="Q53" t="str">
        <f t="shared" si="1"/>
        <v>No</v>
      </c>
      <c r="R53" t="str" cm="1">
        <f t="array" ref="R53">_xlfn.IFS(K53=0,"On Time",K53&lt;=2,"Minor",K53&lt;=5,"Major",K53&gt;5,"Severe")</f>
        <v>On Time</v>
      </c>
      <c r="S53">
        <f t="shared" si="2"/>
        <v>0</v>
      </c>
      <c r="T53">
        <f t="shared" si="3"/>
        <v>0</v>
      </c>
      <c r="U53">
        <f t="shared" si="4"/>
        <v>2024</v>
      </c>
      <c r="V53">
        <f t="shared" si="5"/>
        <v>4</v>
      </c>
      <c r="W53" s="11">
        <f t="shared" si="6"/>
        <v>0</v>
      </c>
    </row>
    <row r="54" spans="1:23">
      <c r="A54" t="s">
        <v>67</v>
      </c>
      <c r="B54" s="4">
        <v>45392</v>
      </c>
      <c r="C54" t="s">
        <v>2017</v>
      </c>
      <c r="D54" t="s">
        <v>2023</v>
      </c>
      <c r="E54" t="s">
        <v>2028</v>
      </c>
      <c r="F54" t="s">
        <v>2030</v>
      </c>
      <c r="G54" t="s">
        <v>2034</v>
      </c>
      <c r="H54" t="s">
        <v>2038</v>
      </c>
      <c r="I54">
        <v>1</v>
      </c>
      <c r="J54">
        <v>3</v>
      </c>
      <c r="K54">
        <v>2</v>
      </c>
      <c r="L54" t="s">
        <v>2041</v>
      </c>
      <c r="M54">
        <v>474</v>
      </c>
      <c r="N54">
        <v>3032</v>
      </c>
      <c r="O54">
        <v>6858</v>
      </c>
      <c r="P54" s="13">
        <f t="shared" si="0"/>
        <v>0</v>
      </c>
      <c r="Q54" t="str">
        <f t="shared" si="1"/>
        <v>No</v>
      </c>
      <c r="R54" t="str" cm="1">
        <f t="array" ref="R54">_xlfn.IFS(K54=0,"On Time",K54&lt;=2,"Minor",K54&lt;=5,"Major",K54&gt;5,"Severe")</f>
        <v>Minor</v>
      </c>
      <c r="S54">
        <f t="shared" si="2"/>
        <v>3429</v>
      </c>
      <c r="T54">
        <f t="shared" si="3"/>
        <v>1516</v>
      </c>
      <c r="U54">
        <f t="shared" si="4"/>
        <v>2024</v>
      </c>
      <c r="V54">
        <f t="shared" si="5"/>
        <v>4</v>
      </c>
      <c r="W54" s="11">
        <f t="shared" si="6"/>
        <v>1</v>
      </c>
    </row>
    <row r="55" spans="1:23">
      <c r="A55" t="s">
        <v>68</v>
      </c>
      <c r="B55" s="4">
        <v>45531</v>
      </c>
      <c r="C55" t="s">
        <v>2018</v>
      </c>
      <c r="D55" t="s">
        <v>2026</v>
      </c>
      <c r="E55" t="s">
        <v>2028</v>
      </c>
      <c r="F55" t="s">
        <v>2032</v>
      </c>
      <c r="G55" t="s">
        <v>2036</v>
      </c>
      <c r="H55" t="s">
        <v>2038</v>
      </c>
      <c r="I55">
        <v>5</v>
      </c>
      <c r="J55">
        <v>8</v>
      </c>
      <c r="K55">
        <v>3</v>
      </c>
      <c r="L55" t="s">
        <v>2041</v>
      </c>
      <c r="M55">
        <v>225</v>
      </c>
      <c r="N55">
        <v>6054</v>
      </c>
      <c r="O55">
        <v>6375</v>
      </c>
      <c r="P55" s="13">
        <f t="shared" si="0"/>
        <v>0</v>
      </c>
      <c r="Q55" t="str">
        <f t="shared" si="1"/>
        <v>No</v>
      </c>
      <c r="R55" t="str" cm="1">
        <f t="array" ref="R55">_xlfn.IFS(K55=0,"On Time",K55&lt;=2,"Minor",K55&lt;=5,"Major",K55&gt;5,"Severe")</f>
        <v>Major</v>
      </c>
      <c r="S55">
        <f t="shared" si="2"/>
        <v>2125</v>
      </c>
      <c r="T55">
        <f t="shared" si="3"/>
        <v>2018</v>
      </c>
      <c r="U55">
        <f t="shared" si="4"/>
        <v>2024</v>
      </c>
      <c r="V55">
        <f t="shared" si="5"/>
        <v>8</v>
      </c>
      <c r="W55" s="11">
        <f t="shared" si="6"/>
        <v>1</v>
      </c>
    </row>
    <row r="56" spans="1:23">
      <c r="A56" t="s">
        <v>69</v>
      </c>
      <c r="B56" s="4">
        <v>45520</v>
      </c>
      <c r="C56" t="s">
        <v>2017</v>
      </c>
      <c r="D56" t="s">
        <v>2023</v>
      </c>
      <c r="E56" t="s">
        <v>2029</v>
      </c>
      <c r="F56" t="s">
        <v>2030</v>
      </c>
      <c r="G56" t="s">
        <v>2037</v>
      </c>
      <c r="H56" t="s">
        <v>2038</v>
      </c>
      <c r="I56">
        <v>1</v>
      </c>
      <c r="J56">
        <v>5</v>
      </c>
      <c r="K56">
        <v>4</v>
      </c>
      <c r="L56" t="s">
        <v>2041</v>
      </c>
      <c r="M56">
        <v>494</v>
      </c>
      <c r="N56">
        <v>7012</v>
      </c>
      <c r="O56">
        <v>13092</v>
      </c>
      <c r="P56" s="13">
        <f t="shared" si="0"/>
        <v>0</v>
      </c>
      <c r="Q56" t="str">
        <f t="shared" si="1"/>
        <v>No</v>
      </c>
      <c r="R56" t="str" cm="1">
        <f t="array" ref="R56">_xlfn.IFS(K56=0,"On Time",K56&lt;=2,"Minor",K56&lt;=5,"Major",K56&gt;5,"Severe")</f>
        <v>Major</v>
      </c>
      <c r="S56">
        <f t="shared" si="2"/>
        <v>3273</v>
      </c>
      <c r="T56">
        <f t="shared" si="3"/>
        <v>1753</v>
      </c>
      <c r="U56">
        <f t="shared" si="4"/>
        <v>2024</v>
      </c>
      <c r="V56">
        <f t="shared" si="5"/>
        <v>8</v>
      </c>
      <c r="W56" s="11">
        <f t="shared" si="6"/>
        <v>1</v>
      </c>
    </row>
    <row r="57" spans="1:23">
      <c r="A57" t="s">
        <v>70</v>
      </c>
      <c r="B57" s="4">
        <v>45396</v>
      </c>
      <c r="C57" t="s">
        <v>2016</v>
      </c>
      <c r="D57" t="s">
        <v>2025</v>
      </c>
      <c r="E57" t="s">
        <v>2029</v>
      </c>
      <c r="F57" t="s">
        <v>2030</v>
      </c>
      <c r="G57" t="s">
        <v>2035</v>
      </c>
      <c r="H57" t="s">
        <v>2039</v>
      </c>
      <c r="I57">
        <v>3</v>
      </c>
      <c r="J57">
        <v>6</v>
      </c>
      <c r="K57">
        <v>3</v>
      </c>
      <c r="L57" t="s">
        <v>2041</v>
      </c>
      <c r="M57">
        <v>234</v>
      </c>
      <c r="N57">
        <v>6030</v>
      </c>
      <c r="O57">
        <v>10908</v>
      </c>
      <c r="P57" s="13">
        <f t="shared" si="0"/>
        <v>0</v>
      </c>
      <c r="Q57" t="str">
        <f t="shared" si="1"/>
        <v>No</v>
      </c>
      <c r="R57" t="str" cm="1">
        <f t="array" ref="R57">_xlfn.IFS(K57=0,"On Time",K57&lt;=2,"Minor",K57&lt;=5,"Major",K57&gt;5,"Severe")</f>
        <v>Major</v>
      </c>
      <c r="S57">
        <f t="shared" si="2"/>
        <v>3636</v>
      </c>
      <c r="T57">
        <f t="shared" si="3"/>
        <v>2010</v>
      </c>
      <c r="U57">
        <f t="shared" si="4"/>
        <v>2024</v>
      </c>
      <c r="V57">
        <f t="shared" si="5"/>
        <v>4</v>
      </c>
      <c r="W57" s="11">
        <f t="shared" si="6"/>
        <v>1</v>
      </c>
    </row>
    <row r="58" spans="1:23">
      <c r="A58" t="s">
        <v>71</v>
      </c>
      <c r="B58" s="4">
        <v>45576</v>
      </c>
      <c r="C58" t="s">
        <v>2017</v>
      </c>
      <c r="D58" t="s">
        <v>2023</v>
      </c>
      <c r="E58" t="s">
        <v>2029</v>
      </c>
      <c r="F58" t="s">
        <v>2031</v>
      </c>
      <c r="G58" t="s">
        <v>2035</v>
      </c>
      <c r="H58" t="s">
        <v>2039</v>
      </c>
      <c r="I58">
        <v>1</v>
      </c>
      <c r="J58">
        <v>4</v>
      </c>
      <c r="K58">
        <v>3</v>
      </c>
      <c r="L58" t="s">
        <v>2041</v>
      </c>
      <c r="M58">
        <v>402</v>
      </c>
      <c r="N58">
        <v>7362</v>
      </c>
      <c r="O58">
        <v>11295</v>
      </c>
      <c r="P58" s="13">
        <f t="shared" si="0"/>
        <v>0</v>
      </c>
      <c r="Q58" t="str">
        <f t="shared" si="1"/>
        <v>No</v>
      </c>
      <c r="R58" t="str" cm="1">
        <f t="array" ref="R58">_xlfn.IFS(K58=0,"On Time",K58&lt;=2,"Minor",K58&lt;=5,"Major",K58&gt;5,"Severe")</f>
        <v>Major</v>
      </c>
      <c r="S58">
        <f t="shared" si="2"/>
        <v>3765</v>
      </c>
      <c r="T58">
        <f t="shared" si="3"/>
        <v>2454</v>
      </c>
      <c r="U58">
        <f t="shared" si="4"/>
        <v>2024</v>
      </c>
      <c r="V58">
        <f t="shared" si="5"/>
        <v>10</v>
      </c>
      <c r="W58" s="11">
        <f t="shared" si="6"/>
        <v>1</v>
      </c>
    </row>
    <row r="59" spans="1:23">
      <c r="A59" t="s">
        <v>72</v>
      </c>
      <c r="B59" s="4">
        <v>45412</v>
      </c>
      <c r="C59" t="s">
        <v>2018</v>
      </c>
      <c r="D59" t="s">
        <v>2024</v>
      </c>
      <c r="E59" t="s">
        <v>2028</v>
      </c>
      <c r="F59" t="s">
        <v>2030</v>
      </c>
      <c r="G59" t="s">
        <v>2036</v>
      </c>
      <c r="H59" t="s">
        <v>2038</v>
      </c>
      <c r="I59">
        <v>1</v>
      </c>
      <c r="J59">
        <v>5</v>
      </c>
      <c r="K59">
        <v>4</v>
      </c>
      <c r="L59" t="s">
        <v>2041</v>
      </c>
      <c r="M59">
        <v>471</v>
      </c>
      <c r="N59">
        <v>7544</v>
      </c>
      <c r="O59">
        <v>13516</v>
      </c>
      <c r="P59" s="13">
        <f t="shared" si="0"/>
        <v>0</v>
      </c>
      <c r="Q59" t="str">
        <f t="shared" si="1"/>
        <v>No</v>
      </c>
      <c r="R59" t="str" cm="1">
        <f t="array" ref="R59">_xlfn.IFS(K59=0,"On Time",K59&lt;=2,"Minor",K59&lt;=5,"Major",K59&gt;5,"Severe")</f>
        <v>Major</v>
      </c>
      <c r="S59">
        <f t="shared" si="2"/>
        <v>3379</v>
      </c>
      <c r="T59">
        <f t="shared" si="3"/>
        <v>1886</v>
      </c>
      <c r="U59">
        <f t="shared" si="4"/>
        <v>2024</v>
      </c>
      <c r="V59">
        <f t="shared" si="5"/>
        <v>4</v>
      </c>
      <c r="W59" s="11">
        <f t="shared" si="6"/>
        <v>1</v>
      </c>
    </row>
    <row r="60" spans="1:23">
      <c r="A60" t="s">
        <v>73</v>
      </c>
      <c r="B60" s="4">
        <v>45593</v>
      </c>
      <c r="C60" t="s">
        <v>2016</v>
      </c>
      <c r="D60" t="s">
        <v>2025</v>
      </c>
      <c r="E60" t="s">
        <v>2027</v>
      </c>
      <c r="F60" t="s">
        <v>2032</v>
      </c>
      <c r="G60" t="s">
        <v>2035</v>
      </c>
      <c r="H60" t="s">
        <v>2039</v>
      </c>
      <c r="I60">
        <v>1</v>
      </c>
      <c r="J60">
        <v>2</v>
      </c>
      <c r="K60">
        <v>1</v>
      </c>
      <c r="L60" t="s">
        <v>2041</v>
      </c>
      <c r="M60">
        <v>382</v>
      </c>
      <c r="N60">
        <v>2450</v>
      </c>
      <c r="O60">
        <v>3025</v>
      </c>
      <c r="P60" s="13">
        <f t="shared" si="0"/>
        <v>0</v>
      </c>
      <c r="Q60" t="str">
        <f t="shared" si="1"/>
        <v>No</v>
      </c>
      <c r="R60" t="str" cm="1">
        <f t="array" ref="R60">_xlfn.IFS(K60=0,"On Time",K60&lt;=2,"Minor",K60&lt;=5,"Major",K60&gt;5,"Severe")</f>
        <v>Minor</v>
      </c>
      <c r="S60">
        <f t="shared" si="2"/>
        <v>3025</v>
      </c>
      <c r="T60">
        <f t="shared" si="3"/>
        <v>2450</v>
      </c>
      <c r="U60">
        <f t="shared" si="4"/>
        <v>2024</v>
      </c>
      <c r="V60">
        <f t="shared" si="5"/>
        <v>10</v>
      </c>
      <c r="W60" s="11">
        <f t="shared" si="6"/>
        <v>1</v>
      </c>
    </row>
    <row r="61" spans="1:23">
      <c r="A61" t="s">
        <v>74</v>
      </c>
      <c r="B61" s="4">
        <v>45481</v>
      </c>
      <c r="C61" t="s">
        <v>2018</v>
      </c>
      <c r="D61" t="s">
        <v>2024</v>
      </c>
      <c r="E61" t="s">
        <v>2027</v>
      </c>
      <c r="F61" t="s">
        <v>2032</v>
      </c>
      <c r="G61" t="s">
        <v>2033</v>
      </c>
      <c r="H61" t="s">
        <v>2039</v>
      </c>
      <c r="I61">
        <v>3</v>
      </c>
      <c r="J61">
        <v>8</v>
      </c>
      <c r="K61">
        <v>5</v>
      </c>
      <c r="L61" t="s">
        <v>2041</v>
      </c>
      <c r="M61">
        <v>328</v>
      </c>
      <c r="N61">
        <v>6070</v>
      </c>
      <c r="O61">
        <v>22065</v>
      </c>
      <c r="P61" s="13">
        <f t="shared" si="0"/>
        <v>0</v>
      </c>
      <c r="Q61" t="str">
        <f t="shared" si="1"/>
        <v>No</v>
      </c>
      <c r="R61" t="str" cm="1">
        <f t="array" ref="R61">_xlfn.IFS(K61=0,"On Time",K61&lt;=2,"Minor",K61&lt;=5,"Major",K61&gt;5,"Severe")</f>
        <v>Major</v>
      </c>
      <c r="S61">
        <f t="shared" si="2"/>
        <v>4413</v>
      </c>
      <c r="T61">
        <f t="shared" si="3"/>
        <v>1214</v>
      </c>
      <c r="U61">
        <f t="shared" si="4"/>
        <v>2024</v>
      </c>
      <c r="V61">
        <f t="shared" si="5"/>
        <v>7</v>
      </c>
      <c r="W61" s="11">
        <f t="shared" si="6"/>
        <v>1</v>
      </c>
    </row>
    <row r="62" spans="1:23">
      <c r="A62" t="s">
        <v>75</v>
      </c>
      <c r="B62" s="4">
        <v>45517</v>
      </c>
      <c r="C62" t="s">
        <v>2015</v>
      </c>
      <c r="D62" t="s">
        <v>2019</v>
      </c>
      <c r="E62" t="s">
        <v>2027</v>
      </c>
      <c r="F62" t="s">
        <v>2031</v>
      </c>
      <c r="G62" t="s">
        <v>2034</v>
      </c>
      <c r="H62" t="s">
        <v>2040</v>
      </c>
      <c r="I62">
        <v>2</v>
      </c>
      <c r="J62">
        <v>7</v>
      </c>
      <c r="K62">
        <v>5</v>
      </c>
      <c r="L62" t="s">
        <v>2041</v>
      </c>
      <c r="M62">
        <v>166</v>
      </c>
      <c r="N62">
        <v>11280</v>
      </c>
      <c r="O62">
        <v>8600</v>
      </c>
      <c r="P62" s="13">
        <f t="shared" si="0"/>
        <v>0</v>
      </c>
      <c r="Q62" t="str">
        <f t="shared" si="1"/>
        <v>No</v>
      </c>
      <c r="R62" t="str" cm="1">
        <f t="array" ref="R62">_xlfn.IFS(K62=0,"On Time",K62&lt;=2,"Minor",K62&lt;=5,"Major",K62&gt;5,"Severe")</f>
        <v>Major</v>
      </c>
      <c r="S62">
        <f t="shared" si="2"/>
        <v>1720</v>
      </c>
      <c r="T62">
        <f t="shared" si="3"/>
        <v>2256</v>
      </c>
      <c r="U62">
        <f t="shared" si="4"/>
        <v>2024</v>
      </c>
      <c r="V62">
        <f t="shared" si="5"/>
        <v>8</v>
      </c>
      <c r="W62" s="11">
        <f t="shared" si="6"/>
        <v>1</v>
      </c>
    </row>
    <row r="63" spans="1:23">
      <c r="A63" t="s">
        <v>76</v>
      </c>
      <c r="B63" s="4">
        <v>45497</v>
      </c>
      <c r="C63" t="s">
        <v>2016</v>
      </c>
      <c r="D63" t="s">
        <v>2025</v>
      </c>
      <c r="E63" t="s">
        <v>2027</v>
      </c>
      <c r="F63" t="s">
        <v>2031</v>
      </c>
      <c r="G63" t="s">
        <v>2034</v>
      </c>
      <c r="H63" t="s">
        <v>2040</v>
      </c>
      <c r="I63">
        <v>2</v>
      </c>
      <c r="J63">
        <v>9</v>
      </c>
      <c r="K63">
        <v>7</v>
      </c>
      <c r="L63" t="s">
        <v>2041</v>
      </c>
      <c r="M63">
        <v>498</v>
      </c>
      <c r="N63">
        <v>7966</v>
      </c>
      <c r="O63">
        <v>24871</v>
      </c>
      <c r="P63" s="13">
        <f t="shared" si="0"/>
        <v>0</v>
      </c>
      <c r="Q63" t="str">
        <f t="shared" si="1"/>
        <v>No</v>
      </c>
      <c r="R63" t="str" cm="1">
        <f t="array" ref="R63">_xlfn.IFS(K63=0,"On Time",K63&lt;=2,"Minor",K63&lt;=5,"Major",K63&gt;5,"Severe")</f>
        <v>Severe</v>
      </c>
      <c r="S63">
        <f t="shared" si="2"/>
        <v>3553</v>
      </c>
      <c r="T63">
        <f t="shared" si="3"/>
        <v>1138</v>
      </c>
      <c r="U63">
        <f t="shared" si="4"/>
        <v>2024</v>
      </c>
      <c r="V63">
        <f t="shared" si="5"/>
        <v>7</v>
      </c>
      <c r="W63" s="11">
        <f t="shared" si="6"/>
        <v>1</v>
      </c>
    </row>
    <row r="64" spans="1:23">
      <c r="A64" t="s">
        <v>77</v>
      </c>
      <c r="B64" s="4">
        <v>45556</v>
      </c>
      <c r="C64" t="s">
        <v>2018</v>
      </c>
      <c r="D64" t="s">
        <v>2024</v>
      </c>
      <c r="E64" t="s">
        <v>2029</v>
      </c>
      <c r="F64" t="s">
        <v>2031</v>
      </c>
      <c r="G64" t="s">
        <v>2033</v>
      </c>
      <c r="H64" t="s">
        <v>2038</v>
      </c>
      <c r="I64">
        <v>2</v>
      </c>
      <c r="J64">
        <v>3</v>
      </c>
      <c r="K64">
        <v>1</v>
      </c>
      <c r="L64" t="s">
        <v>2041</v>
      </c>
      <c r="M64">
        <v>481</v>
      </c>
      <c r="N64">
        <v>1006</v>
      </c>
      <c r="O64">
        <v>4261</v>
      </c>
      <c r="P64" s="13">
        <f t="shared" si="0"/>
        <v>0</v>
      </c>
      <c r="Q64" t="str">
        <f t="shared" si="1"/>
        <v>No</v>
      </c>
      <c r="R64" t="str" cm="1">
        <f t="array" ref="R64">_xlfn.IFS(K64=0,"On Time",K64&lt;=2,"Minor",K64&lt;=5,"Major",K64&gt;5,"Severe")</f>
        <v>Minor</v>
      </c>
      <c r="S64">
        <f t="shared" si="2"/>
        <v>4261</v>
      </c>
      <c r="T64">
        <f t="shared" si="3"/>
        <v>1006</v>
      </c>
      <c r="U64">
        <f t="shared" si="4"/>
        <v>2024</v>
      </c>
      <c r="V64">
        <f t="shared" si="5"/>
        <v>9</v>
      </c>
      <c r="W64" s="11">
        <f t="shared" si="6"/>
        <v>1</v>
      </c>
    </row>
    <row r="65" spans="1:23">
      <c r="A65" t="s">
        <v>78</v>
      </c>
      <c r="B65" s="4">
        <v>45611</v>
      </c>
      <c r="C65" t="s">
        <v>2018</v>
      </c>
      <c r="D65" t="s">
        <v>2026</v>
      </c>
      <c r="E65" t="s">
        <v>2029</v>
      </c>
      <c r="F65" t="s">
        <v>2031</v>
      </c>
      <c r="G65" t="s">
        <v>2037</v>
      </c>
      <c r="H65" t="s">
        <v>2038</v>
      </c>
      <c r="I65">
        <v>3</v>
      </c>
      <c r="J65">
        <v>4</v>
      </c>
      <c r="K65">
        <v>1</v>
      </c>
      <c r="L65" t="s">
        <v>2041</v>
      </c>
      <c r="M65">
        <v>185</v>
      </c>
      <c r="N65">
        <v>1917</v>
      </c>
      <c r="O65">
        <v>3470</v>
      </c>
      <c r="P65" s="13">
        <f t="shared" si="0"/>
        <v>0</v>
      </c>
      <c r="Q65" t="str">
        <f t="shared" si="1"/>
        <v>No</v>
      </c>
      <c r="R65" t="str" cm="1">
        <f t="array" ref="R65">_xlfn.IFS(K65=0,"On Time",K65&lt;=2,"Minor",K65&lt;=5,"Major",K65&gt;5,"Severe")</f>
        <v>Minor</v>
      </c>
      <c r="S65">
        <f t="shared" si="2"/>
        <v>3470</v>
      </c>
      <c r="T65">
        <f t="shared" si="3"/>
        <v>1917</v>
      </c>
      <c r="U65">
        <f t="shared" si="4"/>
        <v>2024</v>
      </c>
      <c r="V65">
        <f t="shared" si="5"/>
        <v>11</v>
      </c>
      <c r="W65" s="11">
        <f t="shared" si="6"/>
        <v>1</v>
      </c>
    </row>
    <row r="66" spans="1:23">
      <c r="A66" t="s">
        <v>79</v>
      </c>
      <c r="B66" s="4">
        <v>45627</v>
      </c>
      <c r="C66" t="s">
        <v>2015</v>
      </c>
      <c r="D66" t="s">
        <v>2019</v>
      </c>
      <c r="E66" t="s">
        <v>2028</v>
      </c>
      <c r="F66" t="s">
        <v>2031</v>
      </c>
      <c r="G66" t="s">
        <v>2037</v>
      </c>
      <c r="H66" t="s">
        <v>2038</v>
      </c>
      <c r="I66">
        <v>3</v>
      </c>
      <c r="J66">
        <v>6</v>
      </c>
      <c r="K66">
        <v>3</v>
      </c>
      <c r="L66" t="s">
        <v>2041</v>
      </c>
      <c r="M66">
        <v>61</v>
      </c>
      <c r="N66">
        <v>5772</v>
      </c>
      <c r="O66">
        <v>4914</v>
      </c>
      <c r="P66" s="13">
        <f t="shared" si="0"/>
        <v>0</v>
      </c>
      <c r="Q66" t="str">
        <f t="shared" si="1"/>
        <v>No</v>
      </c>
      <c r="R66" t="str" cm="1">
        <f t="array" ref="R66">_xlfn.IFS(K66=0,"On Time",K66&lt;=2,"Minor",K66&lt;=5,"Major",K66&gt;5,"Severe")</f>
        <v>Major</v>
      </c>
      <c r="S66">
        <f t="shared" si="2"/>
        <v>1638</v>
      </c>
      <c r="T66">
        <f t="shared" si="3"/>
        <v>1924</v>
      </c>
      <c r="U66">
        <f t="shared" si="4"/>
        <v>2024</v>
      </c>
      <c r="V66">
        <f t="shared" si="5"/>
        <v>12</v>
      </c>
      <c r="W66" s="11">
        <f t="shared" si="6"/>
        <v>1</v>
      </c>
    </row>
    <row r="67" spans="1:23">
      <c r="A67" t="s">
        <v>80</v>
      </c>
      <c r="B67" s="4">
        <v>45479</v>
      </c>
      <c r="C67" t="s">
        <v>2016</v>
      </c>
      <c r="D67" t="s">
        <v>2021</v>
      </c>
      <c r="E67" t="s">
        <v>2029</v>
      </c>
      <c r="F67" t="s">
        <v>2031</v>
      </c>
      <c r="G67" t="s">
        <v>2036</v>
      </c>
      <c r="H67" t="s">
        <v>2038</v>
      </c>
      <c r="I67">
        <v>2</v>
      </c>
      <c r="J67">
        <v>2</v>
      </c>
      <c r="K67">
        <v>0</v>
      </c>
      <c r="L67" t="s">
        <v>2042</v>
      </c>
      <c r="M67">
        <v>164</v>
      </c>
      <c r="N67">
        <v>0</v>
      </c>
      <c r="O67">
        <v>0</v>
      </c>
      <c r="P67" s="13">
        <f t="shared" ref="P67:P130" si="7">IF(L67="Yes",0,1)</f>
        <v>1</v>
      </c>
      <c r="Q67" t="str">
        <f t="shared" ref="Q67:Q130" si="8">IF(K67&gt;J67,"Yes","No")</f>
        <v>No</v>
      </c>
      <c r="R67" t="str" cm="1">
        <f t="array" ref="R67">_xlfn.IFS(K67=0,"On Time",K67&lt;=2,"Minor",K67&lt;=5,"Major",K67&gt;5,"Severe")</f>
        <v>On Time</v>
      </c>
      <c r="S67">
        <f t="shared" ref="S67:S130" si="9">IFERROR(O67/K67,0)</f>
        <v>0</v>
      </c>
      <c r="T67">
        <f t="shared" ref="T67:T130" si="10">IFERROR(N67/K67,0)</f>
        <v>0</v>
      </c>
      <c r="U67">
        <f t="shared" ref="U67:U130" si="11">YEAR(B67)</f>
        <v>2024</v>
      </c>
      <c r="V67">
        <f t="shared" ref="V67:V130" si="12">MONTH(B67)</f>
        <v>7</v>
      </c>
      <c r="W67" s="11">
        <f t="shared" ref="W67:W130" si="13">IF(L67="Yes",1,0)</f>
        <v>0</v>
      </c>
    </row>
    <row r="68" spans="1:23">
      <c r="A68" t="s">
        <v>81</v>
      </c>
      <c r="B68" s="4">
        <v>45460</v>
      </c>
      <c r="C68" t="s">
        <v>2018</v>
      </c>
      <c r="D68" t="s">
        <v>2024</v>
      </c>
      <c r="E68" t="s">
        <v>2029</v>
      </c>
      <c r="F68" t="s">
        <v>2031</v>
      </c>
      <c r="G68" t="s">
        <v>2037</v>
      </c>
      <c r="H68" t="s">
        <v>2038</v>
      </c>
      <c r="I68">
        <v>1</v>
      </c>
      <c r="J68">
        <v>1</v>
      </c>
      <c r="K68">
        <v>0</v>
      </c>
      <c r="L68" t="s">
        <v>2042</v>
      </c>
      <c r="M68">
        <v>408</v>
      </c>
      <c r="N68">
        <v>0</v>
      </c>
      <c r="O68">
        <v>0</v>
      </c>
      <c r="P68" s="13">
        <f t="shared" si="7"/>
        <v>1</v>
      </c>
      <c r="Q68" t="str">
        <f t="shared" si="8"/>
        <v>No</v>
      </c>
      <c r="R68" t="str" cm="1">
        <f t="array" ref="R68">_xlfn.IFS(K68=0,"On Time",K68&lt;=2,"Minor",K68&lt;=5,"Major",K68&gt;5,"Severe")</f>
        <v>On Time</v>
      </c>
      <c r="S68">
        <f t="shared" si="9"/>
        <v>0</v>
      </c>
      <c r="T68">
        <f t="shared" si="10"/>
        <v>0</v>
      </c>
      <c r="U68">
        <f t="shared" si="11"/>
        <v>2024</v>
      </c>
      <c r="V68">
        <f t="shared" si="12"/>
        <v>6</v>
      </c>
      <c r="W68" s="11">
        <f t="shared" si="13"/>
        <v>0</v>
      </c>
    </row>
    <row r="69" spans="1:23">
      <c r="A69" t="s">
        <v>82</v>
      </c>
      <c r="B69" s="4">
        <v>45612</v>
      </c>
      <c r="C69" t="s">
        <v>2017</v>
      </c>
      <c r="D69" t="s">
        <v>2023</v>
      </c>
      <c r="E69" t="s">
        <v>2028</v>
      </c>
      <c r="F69" t="s">
        <v>2031</v>
      </c>
      <c r="G69" t="s">
        <v>2034</v>
      </c>
      <c r="H69" t="s">
        <v>2039</v>
      </c>
      <c r="I69">
        <v>1</v>
      </c>
      <c r="J69">
        <v>6</v>
      </c>
      <c r="K69">
        <v>5</v>
      </c>
      <c r="L69" t="s">
        <v>2041</v>
      </c>
      <c r="M69">
        <v>213</v>
      </c>
      <c r="N69">
        <v>11715</v>
      </c>
      <c r="O69">
        <v>19880</v>
      </c>
      <c r="P69" s="13">
        <f t="shared" si="7"/>
        <v>0</v>
      </c>
      <c r="Q69" t="str">
        <f t="shared" si="8"/>
        <v>No</v>
      </c>
      <c r="R69" t="str" cm="1">
        <f t="array" ref="R69">_xlfn.IFS(K69=0,"On Time",K69&lt;=2,"Minor",K69&lt;=5,"Major",K69&gt;5,"Severe")</f>
        <v>Major</v>
      </c>
      <c r="S69">
        <f t="shared" si="9"/>
        <v>3976</v>
      </c>
      <c r="T69">
        <f t="shared" si="10"/>
        <v>2343</v>
      </c>
      <c r="U69">
        <f t="shared" si="11"/>
        <v>2024</v>
      </c>
      <c r="V69">
        <f t="shared" si="12"/>
        <v>11</v>
      </c>
      <c r="W69" s="11">
        <f t="shared" si="13"/>
        <v>1</v>
      </c>
    </row>
    <row r="70" spans="1:23">
      <c r="A70" t="s">
        <v>83</v>
      </c>
      <c r="B70" s="4">
        <v>45555</v>
      </c>
      <c r="C70" t="s">
        <v>2017</v>
      </c>
      <c r="D70" t="s">
        <v>2023</v>
      </c>
      <c r="E70" t="s">
        <v>2027</v>
      </c>
      <c r="F70" t="s">
        <v>2032</v>
      </c>
      <c r="G70" t="s">
        <v>2033</v>
      </c>
      <c r="H70" t="s">
        <v>2040</v>
      </c>
      <c r="I70">
        <v>2</v>
      </c>
      <c r="J70">
        <v>10</v>
      </c>
      <c r="K70">
        <v>8</v>
      </c>
      <c r="L70" t="s">
        <v>2041</v>
      </c>
      <c r="M70">
        <v>338</v>
      </c>
      <c r="N70">
        <v>11024</v>
      </c>
      <c r="O70">
        <v>26040</v>
      </c>
      <c r="P70" s="13">
        <f t="shared" si="7"/>
        <v>0</v>
      </c>
      <c r="Q70" t="str">
        <f t="shared" si="8"/>
        <v>No</v>
      </c>
      <c r="R70" t="str" cm="1">
        <f t="array" ref="R70">_xlfn.IFS(K70=0,"On Time",K70&lt;=2,"Minor",K70&lt;=5,"Major",K70&gt;5,"Severe")</f>
        <v>Severe</v>
      </c>
      <c r="S70">
        <f t="shared" si="9"/>
        <v>3255</v>
      </c>
      <c r="T70">
        <f t="shared" si="10"/>
        <v>1378</v>
      </c>
      <c r="U70">
        <f t="shared" si="11"/>
        <v>2024</v>
      </c>
      <c r="V70">
        <f t="shared" si="12"/>
        <v>9</v>
      </c>
      <c r="W70" s="11">
        <f t="shared" si="13"/>
        <v>1</v>
      </c>
    </row>
    <row r="71" spans="1:23">
      <c r="A71" t="s">
        <v>84</v>
      </c>
      <c r="B71" s="4">
        <v>45335</v>
      </c>
      <c r="C71" t="s">
        <v>2015</v>
      </c>
      <c r="D71" t="s">
        <v>2019</v>
      </c>
      <c r="E71" t="s">
        <v>2029</v>
      </c>
      <c r="F71" t="s">
        <v>2031</v>
      </c>
      <c r="G71" t="s">
        <v>2033</v>
      </c>
      <c r="H71" t="s">
        <v>2038</v>
      </c>
      <c r="I71">
        <v>2</v>
      </c>
      <c r="J71">
        <v>2</v>
      </c>
      <c r="K71">
        <v>0</v>
      </c>
      <c r="L71" t="s">
        <v>2042</v>
      </c>
      <c r="M71">
        <v>361</v>
      </c>
      <c r="N71">
        <v>0</v>
      </c>
      <c r="O71">
        <v>0</v>
      </c>
      <c r="P71" s="13">
        <f t="shared" si="7"/>
        <v>1</v>
      </c>
      <c r="Q71" t="str">
        <f t="shared" si="8"/>
        <v>No</v>
      </c>
      <c r="R71" t="str" cm="1">
        <f t="array" ref="R71">_xlfn.IFS(K71=0,"On Time",K71&lt;=2,"Minor",K71&lt;=5,"Major",K71&gt;5,"Severe")</f>
        <v>On Time</v>
      </c>
      <c r="S71">
        <f t="shared" si="9"/>
        <v>0</v>
      </c>
      <c r="T71">
        <f t="shared" si="10"/>
        <v>0</v>
      </c>
      <c r="U71">
        <f t="shared" si="11"/>
        <v>2024</v>
      </c>
      <c r="V71">
        <f t="shared" si="12"/>
        <v>2</v>
      </c>
      <c r="W71" s="11">
        <f t="shared" si="13"/>
        <v>0</v>
      </c>
    </row>
    <row r="72" spans="1:23">
      <c r="A72" t="s">
        <v>85</v>
      </c>
      <c r="B72" s="4">
        <v>45400</v>
      </c>
      <c r="C72" t="s">
        <v>2016</v>
      </c>
      <c r="D72" t="s">
        <v>2025</v>
      </c>
      <c r="E72" t="s">
        <v>2029</v>
      </c>
      <c r="F72" t="s">
        <v>2031</v>
      </c>
      <c r="G72" t="s">
        <v>2035</v>
      </c>
      <c r="H72" t="s">
        <v>2038</v>
      </c>
      <c r="I72">
        <v>3</v>
      </c>
      <c r="J72">
        <v>8</v>
      </c>
      <c r="K72">
        <v>5</v>
      </c>
      <c r="L72" t="s">
        <v>2041</v>
      </c>
      <c r="M72">
        <v>482</v>
      </c>
      <c r="N72">
        <v>12275</v>
      </c>
      <c r="O72">
        <v>22645</v>
      </c>
      <c r="P72" s="13">
        <f t="shared" si="7"/>
        <v>0</v>
      </c>
      <c r="Q72" t="str">
        <f t="shared" si="8"/>
        <v>No</v>
      </c>
      <c r="R72" t="str" cm="1">
        <f t="array" ref="R72">_xlfn.IFS(K72=0,"On Time",K72&lt;=2,"Minor",K72&lt;=5,"Major",K72&gt;5,"Severe")</f>
        <v>Major</v>
      </c>
      <c r="S72">
        <f t="shared" si="9"/>
        <v>4529</v>
      </c>
      <c r="T72">
        <f t="shared" si="10"/>
        <v>2455</v>
      </c>
      <c r="U72">
        <f t="shared" si="11"/>
        <v>2024</v>
      </c>
      <c r="V72">
        <f t="shared" si="12"/>
        <v>4</v>
      </c>
      <c r="W72" s="11">
        <f t="shared" si="13"/>
        <v>1</v>
      </c>
    </row>
    <row r="73" spans="1:23">
      <c r="A73" t="s">
        <v>86</v>
      </c>
      <c r="B73" s="4">
        <v>45362</v>
      </c>
      <c r="C73" t="s">
        <v>2018</v>
      </c>
      <c r="D73" t="s">
        <v>2026</v>
      </c>
      <c r="E73" t="s">
        <v>2029</v>
      </c>
      <c r="F73" t="s">
        <v>2031</v>
      </c>
      <c r="G73" t="s">
        <v>2033</v>
      </c>
      <c r="H73" t="s">
        <v>2038</v>
      </c>
      <c r="I73">
        <v>2</v>
      </c>
      <c r="J73">
        <v>3</v>
      </c>
      <c r="K73">
        <v>1</v>
      </c>
      <c r="L73" t="s">
        <v>2041</v>
      </c>
      <c r="M73">
        <v>191</v>
      </c>
      <c r="N73">
        <v>2464</v>
      </c>
      <c r="O73">
        <v>2140</v>
      </c>
      <c r="P73" s="13">
        <f t="shared" si="7"/>
        <v>0</v>
      </c>
      <c r="Q73" t="str">
        <f t="shared" si="8"/>
        <v>No</v>
      </c>
      <c r="R73" t="str" cm="1">
        <f t="array" ref="R73">_xlfn.IFS(K73=0,"On Time",K73&lt;=2,"Minor",K73&lt;=5,"Major",K73&gt;5,"Severe")</f>
        <v>Minor</v>
      </c>
      <c r="S73">
        <f t="shared" si="9"/>
        <v>2140</v>
      </c>
      <c r="T73">
        <f t="shared" si="10"/>
        <v>2464</v>
      </c>
      <c r="U73">
        <f t="shared" si="11"/>
        <v>2024</v>
      </c>
      <c r="V73">
        <f t="shared" si="12"/>
        <v>3</v>
      </c>
      <c r="W73" s="11">
        <f t="shared" si="13"/>
        <v>1</v>
      </c>
    </row>
    <row r="74" spans="1:23">
      <c r="A74" t="s">
        <v>87</v>
      </c>
      <c r="B74" s="4">
        <v>45450</v>
      </c>
      <c r="C74" t="s">
        <v>2016</v>
      </c>
      <c r="D74" t="s">
        <v>2025</v>
      </c>
      <c r="E74" t="s">
        <v>2028</v>
      </c>
      <c r="F74" t="s">
        <v>2032</v>
      </c>
      <c r="G74" t="s">
        <v>2037</v>
      </c>
      <c r="H74" t="s">
        <v>2040</v>
      </c>
      <c r="I74">
        <v>2</v>
      </c>
      <c r="J74">
        <v>9</v>
      </c>
      <c r="K74">
        <v>7</v>
      </c>
      <c r="L74" t="s">
        <v>2041</v>
      </c>
      <c r="M74">
        <v>175</v>
      </c>
      <c r="N74">
        <v>14315</v>
      </c>
      <c r="O74">
        <v>23324</v>
      </c>
      <c r="P74" s="13">
        <f t="shared" si="7"/>
        <v>0</v>
      </c>
      <c r="Q74" t="str">
        <f t="shared" si="8"/>
        <v>No</v>
      </c>
      <c r="R74" t="str" cm="1">
        <f t="array" ref="R74">_xlfn.IFS(K74=0,"On Time",K74&lt;=2,"Minor",K74&lt;=5,"Major",K74&gt;5,"Severe")</f>
        <v>Severe</v>
      </c>
      <c r="S74">
        <f t="shared" si="9"/>
        <v>3332</v>
      </c>
      <c r="T74">
        <f t="shared" si="10"/>
        <v>2045</v>
      </c>
      <c r="U74">
        <f t="shared" si="11"/>
        <v>2024</v>
      </c>
      <c r="V74">
        <f t="shared" si="12"/>
        <v>6</v>
      </c>
      <c r="W74" s="11">
        <f t="shared" si="13"/>
        <v>1</v>
      </c>
    </row>
    <row r="75" spans="1:23">
      <c r="A75" t="s">
        <v>88</v>
      </c>
      <c r="B75" s="4">
        <v>45379</v>
      </c>
      <c r="C75" t="s">
        <v>2015</v>
      </c>
      <c r="D75" t="s">
        <v>2020</v>
      </c>
      <c r="E75" t="s">
        <v>2029</v>
      </c>
      <c r="F75" t="s">
        <v>2032</v>
      </c>
      <c r="G75" t="s">
        <v>2033</v>
      </c>
      <c r="H75" t="s">
        <v>2038</v>
      </c>
      <c r="I75">
        <v>2</v>
      </c>
      <c r="J75">
        <v>6</v>
      </c>
      <c r="K75">
        <v>4</v>
      </c>
      <c r="L75" t="s">
        <v>2041</v>
      </c>
      <c r="M75">
        <v>367</v>
      </c>
      <c r="N75">
        <v>8916</v>
      </c>
      <c r="O75">
        <v>8040</v>
      </c>
      <c r="P75" s="13">
        <f t="shared" si="7"/>
        <v>0</v>
      </c>
      <c r="Q75" t="str">
        <f t="shared" si="8"/>
        <v>No</v>
      </c>
      <c r="R75" t="str" cm="1">
        <f t="array" ref="R75">_xlfn.IFS(K75=0,"On Time",K75&lt;=2,"Minor",K75&lt;=5,"Major",K75&gt;5,"Severe")</f>
        <v>Major</v>
      </c>
      <c r="S75">
        <f t="shared" si="9"/>
        <v>2010</v>
      </c>
      <c r="T75">
        <f t="shared" si="10"/>
        <v>2229</v>
      </c>
      <c r="U75">
        <f t="shared" si="11"/>
        <v>2024</v>
      </c>
      <c r="V75">
        <f t="shared" si="12"/>
        <v>3</v>
      </c>
      <c r="W75" s="11">
        <f t="shared" si="13"/>
        <v>1</v>
      </c>
    </row>
    <row r="76" spans="1:23">
      <c r="A76" t="s">
        <v>89</v>
      </c>
      <c r="B76" s="4">
        <v>45589</v>
      </c>
      <c r="C76" t="s">
        <v>2016</v>
      </c>
      <c r="D76" t="s">
        <v>2025</v>
      </c>
      <c r="E76" t="s">
        <v>2027</v>
      </c>
      <c r="F76" t="s">
        <v>2031</v>
      </c>
      <c r="G76" t="s">
        <v>2034</v>
      </c>
      <c r="H76" t="s">
        <v>2038</v>
      </c>
      <c r="I76">
        <v>2</v>
      </c>
      <c r="J76">
        <v>6</v>
      </c>
      <c r="K76">
        <v>4</v>
      </c>
      <c r="L76" t="s">
        <v>2041</v>
      </c>
      <c r="M76">
        <v>257</v>
      </c>
      <c r="N76">
        <v>8584</v>
      </c>
      <c r="O76">
        <v>11836</v>
      </c>
      <c r="P76" s="13">
        <f t="shared" si="7"/>
        <v>0</v>
      </c>
      <c r="Q76" t="str">
        <f t="shared" si="8"/>
        <v>No</v>
      </c>
      <c r="R76" t="str" cm="1">
        <f t="array" ref="R76">_xlfn.IFS(K76=0,"On Time",K76&lt;=2,"Minor",K76&lt;=5,"Major",K76&gt;5,"Severe")</f>
        <v>Major</v>
      </c>
      <c r="S76">
        <f t="shared" si="9"/>
        <v>2959</v>
      </c>
      <c r="T76">
        <f t="shared" si="10"/>
        <v>2146</v>
      </c>
      <c r="U76">
        <f t="shared" si="11"/>
        <v>2024</v>
      </c>
      <c r="V76">
        <f t="shared" si="12"/>
        <v>10</v>
      </c>
      <c r="W76" s="11">
        <f t="shared" si="13"/>
        <v>1</v>
      </c>
    </row>
    <row r="77" spans="1:23">
      <c r="A77" t="s">
        <v>90</v>
      </c>
      <c r="B77" s="4">
        <v>45593</v>
      </c>
      <c r="C77" t="s">
        <v>2017</v>
      </c>
      <c r="D77" t="s">
        <v>2022</v>
      </c>
      <c r="E77" t="s">
        <v>2028</v>
      </c>
      <c r="F77" t="s">
        <v>2031</v>
      </c>
      <c r="G77" t="s">
        <v>2037</v>
      </c>
      <c r="H77" t="s">
        <v>2039</v>
      </c>
      <c r="I77">
        <v>2</v>
      </c>
      <c r="J77">
        <v>3</v>
      </c>
      <c r="K77">
        <v>1</v>
      </c>
      <c r="L77" t="s">
        <v>2041</v>
      </c>
      <c r="M77">
        <v>183</v>
      </c>
      <c r="N77">
        <v>855</v>
      </c>
      <c r="O77">
        <v>3502</v>
      </c>
      <c r="P77" s="13">
        <f t="shared" si="7"/>
        <v>0</v>
      </c>
      <c r="Q77" t="str">
        <f t="shared" si="8"/>
        <v>No</v>
      </c>
      <c r="R77" t="str" cm="1">
        <f t="array" ref="R77">_xlfn.IFS(K77=0,"On Time",K77&lt;=2,"Minor",K77&lt;=5,"Major",K77&gt;5,"Severe")</f>
        <v>Minor</v>
      </c>
      <c r="S77">
        <f t="shared" si="9"/>
        <v>3502</v>
      </c>
      <c r="T77">
        <f t="shared" si="10"/>
        <v>855</v>
      </c>
      <c r="U77">
        <f t="shared" si="11"/>
        <v>2024</v>
      </c>
      <c r="V77">
        <f t="shared" si="12"/>
        <v>10</v>
      </c>
      <c r="W77" s="11">
        <f t="shared" si="13"/>
        <v>1</v>
      </c>
    </row>
    <row r="78" spans="1:23">
      <c r="A78" t="s">
        <v>91</v>
      </c>
      <c r="B78" s="4">
        <v>45305</v>
      </c>
      <c r="C78" t="s">
        <v>2015</v>
      </c>
      <c r="D78" t="s">
        <v>2019</v>
      </c>
      <c r="E78" t="s">
        <v>2027</v>
      </c>
      <c r="F78" t="s">
        <v>2030</v>
      </c>
      <c r="G78" t="s">
        <v>2037</v>
      </c>
      <c r="H78" t="s">
        <v>2039</v>
      </c>
      <c r="I78">
        <v>3</v>
      </c>
      <c r="J78">
        <v>6</v>
      </c>
      <c r="K78">
        <v>3</v>
      </c>
      <c r="L78" t="s">
        <v>2041</v>
      </c>
      <c r="M78">
        <v>67</v>
      </c>
      <c r="N78">
        <v>6783</v>
      </c>
      <c r="O78">
        <v>14445</v>
      </c>
      <c r="P78" s="13">
        <f t="shared" si="7"/>
        <v>0</v>
      </c>
      <c r="Q78" t="str">
        <f t="shared" si="8"/>
        <v>No</v>
      </c>
      <c r="R78" t="str" cm="1">
        <f t="array" ref="R78">_xlfn.IFS(K78=0,"On Time",K78&lt;=2,"Minor",K78&lt;=5,"Major",K78&gt;5,"Severe")</f>
        <v>Major</v>
      </c>
      <c r="S78">
        <f t="shared" si="9"/>
        <v>4815</v>
      </c>
      <c r="T78">
        <f t="shared" si="10"/>
        <v>2261</v>
      </c>
      <c r="U78">
        <f t="shared" si="11"/>
        <v>2024</v>
      </c>
      <c r="V78">
        <f t="shared" si="12"/>
        <v>1</v>
      </c>
      <c r="W78" s="11">
        <f t="shared" si="13"/>
        <v>1</v>
      </c>
    </row>
    <row r="79" spans="1:23">
      <c r="A79" t="s">
        <v>92</v>
      </c>
      <c r="B79" s="4">
        <v>45359</v>
      </c>
      <c r="C79" t="s">
        <v>2017</v>
      </c>
      <c r="D79" t="s">
        <v>2023</v>
      </c>
      <c r="E79" t="s">
        <v>2027</v>
      </c>
      <c r="F79" t="s">
        <v>2031</v>
      </c>
      <c r="G79" t="s">
        <v>2037</v>
      </c>
      <c r="H79" t="s">
        <v>2039</v>
      </c>
      <c r="I79">
        <v>2</v>
      </c>
      <c r="J79">
        <v>3</v>
      </c>
      <c r="K79">
        <v>1</v>
      </c>
      <c r="L79" t="s">
        <v>2041</v>
      </c>
      <c r="M79">
        <v>291</v>
      </c>
      <c r="N79">
        <v>1443</v>
      </c>
      <c r="O79">
        <v>3124</v>
      </c>
      <c r="P79" s="13">
        <f t="shared" si="7"/>
        <v>0</v>
      </c>
      <c r="Q79" t="str">
        <f t="shared" si="8"/>
        <v>No</v>
      </c>
      <c r="R79" t="str" cm="1">
        <f t="array" ref="R79">_xlfn.IFS(K79=0,"On Time",K79&lt;=2,"Minor",K79&lt;=5,"Major",K79&gt;5,"Severe")</f>
        <v>Minor</v>
      </c>
      <c r="S79">
        <f t="shared" si="9"/>
        <v>3124</v>
      </c>
      <c r="T79">
        <f t="shared" si="10"/>
        <v>1443</v>
      </c>
      <c r="U79">
        <f t="shared" si="11"/>
        <v>2024</v>
      </c>
      <c r="V79">
        <f t="shared" si="12"/>
        <v>3</v>
      </c>
      <c r="W79" s="11">
        <f t="shared" si="13"/>
        <v>1</v>
      </c>
    </row>
    <row r="80" spans="1:23">
      <c r="A80" t="s">
        <v>93</v>
      </c>
      <c r="B80" s="4">
        <v>45559</v>
      </c>
      <c r="C80" t="s">
        <v>2016</v>
      </c>
      <c r="D80" t="s">
        <v>2025</v>
      </c>
      <c r="E80" t="s">
        <v>2028</v>
      </c>
      <c r="F80" t="s">
        <v>2031</v>
      </c>
      <c r="G80" t="s">
        <v>2037</v>
      </c>
      <c r="H80" t="s">
        <v>2039</v>
      </c>
      <c r="I80">
        <v>2</v>
      </c>
      <c r="J80">
        <v>5</v>
      </c>
      <c r="K80">
        <v>3</v>
      </c>
      <c r="L80" t="s">
        <v>2041</v>
      </c>
      <c r="M80">
        <v>152</v>
      </c>
      <c r="N80">
        <v>3903</v>
      </c>
      <c r="O80">
        <v>9981</v>
      </c>
      <c r="P80" s="13">
        <f t="shared" si="7"/>
        <v>0</v>
      </c>
      <c r="Q80" t="str">
        <f t="shared" si="8"/>
        <v>No</v>
      </c>
      <c r="R80" t="str" cm="1">
        <f t="array" ref="R80">_xlfn.IFS(K80=0,"On Time",K80&lt;=2,"Minor",K80&lt;=5,"Major",K80&gt;5,"Severe")</f>
        <v>Major</v>
      </c>
      <c r="S80">
        <f t="shared" si="9"/>
        <v>3327</v>
      </c>
      <c r="T80">
        <f t="shared" si="10"/>
        <v>1301</v>
      </c>
      <c r="U80">
        <f t="shared" si="11"/>
        <v>2024</v>
      </c>
      <c r="V80">
        <f t="shared" si="12"/>
        <v>9</v>
      </c>
      <c r="W80" s="11">
        <f t="shared" si="13"/>
        <v>1</v>
      </c>
    </row>
    <row r="81" spans="1:23">
      <c r="A81" t="s">
        <v>94</v>
      </c>
      <c r="B81" s="4">
        <v>45437</v>
      </c>
      <c r="C81" t="s">
        <v>2015</v>
      </c>
      <c r="D81" t="s">
        <v>2019</v>
      </c>
      <c r="E81" t="s">
        <v>2029</v>
      </c>
      <c r="F81" t="s">
        <v>2031</v>
      </c>
      <c r="G81" t="s">
        <v>2037</v>
      </c>
      <c r="H81" t="s">
        <v>2038</v>
      </c>
      <c r="I81">
        <v>5</v>
      </c>
      <c r="J81">
        <v>6</v>
      </c>
      <c r="K81">
        <v>1</v>
      </c>
      <c r="L81" t="s">
        <v>2041</v>
      </c>
      <c r="M81">
        <v>62</v>
      </c>
      <c r="N81">
        <v>1979</v>
      </c>
      <c r="O81">
        <v>2485</v>
      </c>
      <c r="P81" s="13">
        <f t="shared" si="7"/>
        <v>0</v>
      </c>
      <c r="Q81" t="str">
        <f t="shared" si="8"/>
        <v>No</v>
      </c>
      <c r="R81" t="str" cm="1">
        <f t="array" ref="R81">_xlfn.IFS(K81=0,"On Time",K81&lt;=2,"Minor",K81&lt;=5,"Major",K81&gt;5,"Severe")</f>
        <v>Minor</v>
      </c>
      <c r="S81">
        <f t="shared" si="9"/>
        <v>2485</v>
      </c>
      <c r="T81">
        <f t="shared" si="10"/>
        <v>1979</v>
      </c>
      <c r="U81">
        <f t="shared" si="11"/>
        <v>2024</v>
      </c>
      <c r="V81">
        <f t="shared" si="12"/>
        <v>5</v>
      </c>
      <c r="W81" s="11">
        <f t="shared" si="13"/>
        <v>1</v>
      </c>
    </row>
    <row r="82" spans="1:23">
      <c r="A82" t="s">
        <v>95</v>
      </c>
      <c r="B82" s="4">
        <v>45562</v>
      </c>
      <c r="C82" t="s">
        <v>2017</v>
      </c>
      <c r="D82" t="s">
        <v>2022</v>
      </c>
      <c r="E82" t="s">
        <v>2028</v>
      </c>
      <c r="F82" t="s">
        <v>2031</v>
      </c>
      <c r="G82" t="s">
        <v>2033</v>
      </c>
      <c r="H82" t="s">
        <v>2038</v>
      </c>
      <c r="I82">
        <v>1</v>
      </c>
      <c r="J82">
        <v>1</v>
      </c>
      <c r="K82">
        <v>0</v>
      </c>
      <c r="L82" t="s">
        <v>2042</v>
      </c>
      <c r="M82">
        <v>246</v>
      </c>
      <c r="N82">
        <v>0</v>
      </c>
      <c r="O82">
        <v>0</v>
      </c>
      <c r="P82" s="13">
        <f t="shared" si="7"/>
        <v>1</v>
      </c>
      <c r="Q82" t="str">
        <f t="shared" si="8"/>
        <v>No</v>
      </c>
      <c r="R82" t="str" cm="1">
        <f t="array" ref="R82">_xlfn.IFS(K82=0,"On Time",K82&lt;=2,"Minor",K82&lt;=5,"Major",K82&gt;5,"Severe")</f>
        <v>On Time</v>
      </c>
      <c r="S82">
        <f t="shared" si="9"/>
        <v>0</v>
      </c>
      <c r="T82">
        <f t="shared" si="10"/>
        <v>0</v>
      </c>
      <c r="U82">
        <f t="shared" si="11"/>
        <v>2024</v>
      </c>
      <c r="V82">
        <f t="shared" si="12"/>
        <v>9</v>
      </c>
      <c r="W82" s="11">
        <f t="shared" si="13"/>
        <v>0</v>
      </c>
    </row>
    <row r="83" spans="1:23">
      <c r="A83" t="s">
        <v>96</v>
      </c>
      <c r="B83" s="4">
        <v>45442</v>
      </c>
      <c r="C83" t="s">
        <v>2015</v>
      </c>
      <c r="D83" t="s">
        <v>2019</v>
      </c>
      <c r="E83" t="s">
        <v>2027</v>
      </c>
      <c r="F83" t="s">
        <v>2031</v>
      </c>
      <c r="G83" t="s">
        <v>2037</v>
      </c>
      <c r="H83" t="s">
        <v>2038</v>
      </c>
      <c r="I83">
        <v>3</v>
      </c>
      <c r="J83">
        <v>3</v>
      </c>
      <c r="K83">
        <v>0</v>
      </c>
      <c r="L83" t="s">
        <v>2042</v>
      </c>
      <c r="M83">
        <v>173</v>
      </c>
      <c r="N83">
        <v>0</v>
      </c>
      <c r="O83">
        <v>0</v>
      </c>
      <c r="P83" s="13">
        <f t="shared" si="7"/>
        <v>1</v>
      </c>
      <c r="Q83" t="str">
        <f t="shared" si="8"/>
        <v>No</v>
      </c>
      <c r="R83" t="str" cm="1">
        <f t="array" ref="R83">_xlfn.IFS(K83=0,"On Time",K83&lt;=2,"Minor",K83&lt;=5,"Major",K83&gt;5,"Severe")</f>
        <v>On Time</v>
      </c>
      <c r="S83">
        <f t="shared" si="9"/>
        <v>0</v>
      </c>
      <c r="T83">
        <f t="shared" si="10"/>
        <v>0</v>
      </c>
      <c r="U83">
        <f t="shared" si="11"/>
        <v>2024</v>
      </c>
      <c r="V83">
        <f t="shared" si="12"/>
        <v>5</v>
      </c>
      <c r="W83" s="11">
        <f t="shared" si="13"/>
        <v>0</v>
      </c>
    </row>
    <row r="84" spans="1:23">
      <c r="A84" t="s">
        <v>97</v>
      </c>
      <c r="B84" s="4">
        <v>45366</v>
      </c>
      <c r="C84" t="s">
        <v>2016</v>
      </c>
      <c r="D84" t="s">
        <v>2025</v>
      </c>
      <c r="E84" t="s">
        <v>2028</v>
      </c>
      <c r="F84" t="s">
        <v>2031</v>
      </c>
      <c r="G84" t="s">
        <v>2036</v>
      </c>
      <c r="H84" t="s">
        <v>2038</v>
      </c>
      <c r="I84">
        <v>5</v>
      </c>
      <c r="J84">
        <v>6</v>
      </c>
      <c r="K84">
        <v>1</v>
      </c>
      <c r="L84" t="s">
        <v>2041</v>
      </c>
      <c r="M84">
        <v>281</v>
      </c>
      <c r="N84">
        <v>1460</v>
      </c>
      <c r="O84">
        <v>3295</v>
      </c>
      <c r="P84" s="13">
        <f t="shared" si="7"/>
        <v>0</v>
      </c>
      <c r="Q84" t="str">
        <f t="shared" si="8"/>
        <v>No</v>
      </c>
      <c r="R84" t="str" cm="1">
        <f t="array" ref="R84">_xlfn.IFS(K84=0,"On Time",K84&lt;=2,"Minor",K84&lt;=5,"Major",K84&gt;5,"Severe")</f>
        <v>Minor</v>
      </c>
      <c r="S84">
        <f t="shared" si="9"/>
        <v>3295</v>
      </c>
      <c r="T84">
        <f t="shared" si="10"/>
        <v>1460</v>
      </c>
      <c r="U84">
        <f t="shared" si="11"/>
        <v>2024</v>
      </c>
      <c r="V84">
        <f t="shared" si="12"/>
        <v>3</v>
      </c>
      <c r="W84" s="11">
        <f t="shared" si="13"/>
        <v>1</v>
      </c>
    </row>
    <row r="85" spans="1:23">
      <c r="A85" t="s">
        <v>98</v>
      </c>
      <c r="B85" s="4">
        <v>45434</v>
      </c>
      <c r="C85" t="s">
        <v>2016</v>
      </c>
      <c r="D85" t="s">
        <v>2025</v>
      </c>
      <c r="E85" t="s">
        <v>2029</v>
      </c>
      <c r="F85" t="s">
        <v>2032</v>
      </c>
      <c r="G85" t="s">
        <v>2034</v>
      </c>
      <c r="H85" t="s">
        <v>2038</v>
      </c>
      <c r="I85">
        <v>1</v>
      </c>
      <c r="J85">
        <v>5</v>
      </c>
      <c r="K85">
        <v>4</v>
      </c>
      <c r="L85" t="s">
        <v>2041</v>
      </c>
      <c r="M85">
        <v>353</v>
      </c>
      <c r="N85">
        <v>3684</v>
      </c>
      <c r="O85">
        <v>15556</v>
      </c>
      <c r="P85" s="13">
        <f t="shared" si="7"/>
        <v>0</v>
      </c>
      <c r="Q85" t="str">
        <f t="shared" si="8"/>
        <v>No</v>
      </c>
      <c r="R85" t="str" cm="1">
        <f t="array" ref="R85">_xlfn.IFS(K85=0,"On Time",K85&lt;=2,"Minor",K85&lt;=5,"Major",K85&gt;5,"Severe")</f>
        <v>Major</v>
      </c>
      <c r="S85">
        <f t="shared" si="9"/>
        <v>3889</v>
      </c>
      <c r="T85">
        <f t="shared" si="10"/>
        <v>921</v>
      </c>
      <c r="U85">
        <f t="shared" si="11"/>
        <v>2024</v>
      </c>
      <c r="V85">
        <f t="shared" si="12"/>
        <v>5</v>
      </c>
      <c r="W85" s="11">
        <f t="shared" si="13"/>
        <v>1</v>
      </c>
    </row>
    <row r="86" spans="1:23">
      <c r="A86" t="s">
        <v>99</v>
      </c>
      <c r="B86" s="4">
        <v>45409</v>
      </c>
      <c r="C86" t="s">
        <v>2018</v>
      </c>
      <c r="D86" t="s">
        <v>2026</v>
      </c>
      <c r="E86" t="s">
        <v>2029</v>
      </c>
      <c r="F86" t="s">
        <v>2031</v>
      </c>
      <c r="G86" t="s">
        <v>2037</v>
      </c>
      <c r="H86" t="s">
        <v>2039</v>
      </c>
      <c r="I86">
        <v>3</v>
      </c>
      <c r="J86">
        <v>4</v>
      </c>
      <c r="K86">
        <v>1</v>
      </c>
      <c r="L86" t="s">
        <v>2041</v>
      </c>
      <c r="M86">
        <v>485</v>
      </c>
      <c r="N86">
        <v>1724</v>
      </c>
      <c r="O86">
        <v>4759</v>
      </c>
      <c r="P86" s="13">
        <f t="shared" si="7"/>
        <v>0</v>
      </c>
      <c r="Q86" t="str">
        <f t="shared" si="8"/>
        <v>No</v>
      </c>
      <c r="R86" t="str" cm="1">
        <f t="array" ref="R86">_xlfn.IFS(K86=0,"On Time",K86&lt;=2,"Minor",K86&lt;=5,"Major",K86&gt;5,"Severe")</f>
        <v>Minor</v>
      </c>
      <c r="S86">
        <f t="shared" si="9"/>
        <v>4759</v>
      </c>
      <c r="T86">
        <f t="shared" si="10"/>
        <v>1724</v>
      </c>
      <c r="U86">
        <f t="shared" si="11"/>
        <v>2024</v>
      </c>
      <c r="V86">
        <f t="shared" si="12"/>
        <v>4</v>
      </c>
      <c r="W86" s="11">
        <f t="shared" si="13"/>
        <v>1</v>
      </c>
    </row>
    <row r="87" spans="1:23">
      <c r="A87" t="s">
        <v>100</v>
      </c>
      <c r="B87" s="4">
        <v>45460</v>
      </c>
      <c r="C87" t="s">
        <v>2015</v>
      </c>
      <c r="D87" t="s">
        <v>2019</v>
      </c>
      <c r="E87" t="s">
        <v>2029</v>
      </c>
      <c r="F87" t="s">
        <v>2031</v>
      </c>
      <c r="G87" t="s">
        <v>2033</v>
      </c>
      <c r="H87" t="s">
        <v>2040</v>
      </c>
      <c r="I87">
        <v>1</v>
      </c>
      <c r="J87">
        <v>4</v>
      </c>
      <c r="K87">
        <v>3</v>
      </c>
      <c r="L87" t="s">
        <v>2041</v>
      </c>
      <c r="M87">
        <v>403</v>
      </c>
      <c r="N87">
        <v>2553</v>
      </c>
      <c r="O87">
        <v>10854</v>
      </c>
      <c r="P87" s="13">
        <f t="shared" si="7"/>
        <v>0</v>
      </c>
      <c r="Q87" t="str">
        <f t="shared" si="8"/>
        <v>No</v>
      </c>
      <c r="R87" t="str" cm="1">
        <f t="array" ref="R87">_xlfn.IFS(K87=0,"On Time",K87&lt;=2,"Minor",K87&lt;=5,"Major",K87&gt;5,"Severe")</f>
        <v>Major</v>
      </c>
      <c r="S87">
        <f t="shared" si="9"/>
        <v>3618</v>
      </c>
      <c r="T87">
        <f t="shared" si="10"/>
        <v>851</v>
      </c>
      <c r="U87">
        <f t="shared" si="11"/>
        <v>2024</v>
      </c>
      <c r="V87">
        <f t="shared" si="12"/>
        <v>6</v>
      </c>
      <c r="W87" s="11">
        <f t="shared" si="13"/>
        <v>1</v>
      </c>
    </row>
    <row r="88" spans="1:23">
      <c r="A88" t="s">
        <v>101</v>
      </c>
      <c r="B88" s="4">
        <v>45579</v>
      </c>
      <c r="C88" t="s">
        <v>2018</v>
      </c>
      <c r="D88" t="s">
        <v>2026</v>
      </c>
      <c r="E88" t="s">
        <v>2027</v>
      </c>
      <c r="F88" t="s">
        <v>2031</v>
      </c>
      <c r="G88" t="s">
        <v>2036</v>
      </c>
      <c r="H88" t="s">
        <v>2040</v>
      </c>
      <c r="I88">
        <v>1</v>
      </c>
      <c r="J88">
        <v>4</v>
      </c>
      <c r="K88">
        <v>3</v>
      </c>
      <c r="L88" t="s">
        <v>2041</v>
      </c>
      <c r="M88">
        <v>106</v>
      </c>
      <c r="N88">
        <v>6138</v>
      </c>
      <c r="O88">
        <v>12897</v>
      </c>
      <c r="P88" s="13">
        <f t="shared" si="7"/>
        <v>0</v>
      </c>
      <c r="Q88" t="str">
        <f t="shared" si="8"/>
        <v>No</v>
      </c>
      <c r="R88" t="str" cm="1">
        <f t="array" ref="R88">_xlfn.IFS(K88=0,"On Time",K88&lt;=2,"Minor",K88&lt;=5,"Major",K88&gt;5,"Severe")</f>
        <v>Major</v>
      </c>
      <c r="S88">
        <f t="shared" si="9"/>
        <v>4299</v>
      </c>
      <c r="T88">
        <f t="shared" si="10"/>
        <v>2046</v>
      </c>
      <c r="U88">
        <f t="shared" si="11"/>
        <v>2024</v>
      </c>
      <c r="V88">
        <f t="shared" si="12"/>
        <v>10</v>
      </c>
      <c r="W88" s="11">
        <f t="shared" si="13"/>
        <v>1</v>
      </c>
    </row>
    <row r="89" spans="1:23">
      <c r="A89" t="s">
        <v>102</v>
      </c>
      <c r="B89" s="4">
        <v>45390</v>
      </c>
      <c r="C89" t="s">
        <v>2018</v>
      </c>
      <c r="D89" t="s">
        <v>2024</v>
      </c>
      <c r="E89" t="s">
        <v>2028</v>
      </c>
      <c r="F89" t="s">
        <v>2030</v>
      </c>
      <c r="G89" t="s">
        <v>2033</v>
      </c>
      <c r="H89" t="s">
        <v>2039</v>
      </c>
      <c r="I89">
        <v>5</v>
      </c>
      <c r="J89">
        <v>7</v>
      </c>
      <c r="K89">
        <v>2</v>
      </c>
      <c r="L89" t="s">
        <v>2041</v>
      </c>
      <c r="M89">
        <v>313</v>
      </c>
      <c r="N89">
        <v>3414</v>
      </c>
      <c r="O89">
        <v>6668</v>
      </c>
      <c r="P89" s="13">
        <f t="shared" si="7"/>
        <v>0</v>
      </c>
      <c r="Q89" t="str">
        <f t="shared" si="8"/>
        <v>No</v>
      </c>
      <c r="R89" t="str" cm="1">
        <f t="array" ref="R89">_xlfn.IFS(K89=0,"On Time",K89&lt;=2,"Minor",K89&lt;=5,"Major",K89&gt;5,"Severe")</f>
        <v>Minor</v>
      </c>
      <c r="S89">
        <f t="shared" si="9"/>
        <v>3334</v>
      </c>
      <c r="T89">
        <f t="shared" si="10"/>
        <v>1707</v>
      </c>
      <c r="U89">
        <f t="shared" si="11"/>
        <v>2024</v>
      </c>
      <c r="V89">
        <f t="shared" si="12"/>
        <v>4</v>
      </c>
      <c r="W89" s="11">
        <f t="shared" si="13"/>
        <v>1</v>
      </c>
    </row>
    <row r="90" spans="1:23">
      <c r="A90" t="s">
        <v>103</v>
      </c>
      <c r="B90" s="4">
        <v>45392</v>
      </c>
      <c r="C90" t="s">
        <v>2018</v>
      </c>
      <c r="D90" t="s">
        <v>2024</v>
      </c>
      <c r="E90" t="s">
        <v>2027</v>
      </c>
      <c r="F90" t="s">
        <v>2031</v>
      </c>
      <c r="G90" t="s">
        <v>2035</v>
      </c>
      <c r="H90" t="s">
        <v>2038</v>
      </c>
      <c r="I90">
        <v>1</v>
      </c>
      <c r="J90">
        <v>5</v>
      </c>
      <c r="K90">
        <v>4</v>
      </c>
      <c r="L90" t="s">
        <v>2041</v>
      </c>
      <c r="M90">
        <v>140</v>
      </c>
      <c r="N90">
        <v>6844</v>
      </c>
      <c r="O90">
        <v>8800</v>
      </c>
      <c r="P90" s="13">
        <f t="shared" si="7"/>
        <v>0</v>
      </c>
      <c r="Q90" t="str">
        <f t="shared" si="8"/>
        <v>No</v>
      </c>
      <c r="R90" t="str" cm="1">
        <f t="array" ref="R90">_xlfn.IFS(K90=0,"On Time",K90&lt;=2,"Minor",K90&lt;=5,"Major",K90&gt;5,"Severe")</f>
        <v>Major</v>
      </c>
      <c r="S90">
        <f t="shared" si="9"/>
        <v>2200</v>
      </c>
      <c r="T90">
        <f t="shared" si="10"/>
        <v>1711</v>
      </c>
      <c r="U90">
        <f t="shared" si="11"/>
        <v>2024</v>
      </c>
      <c r="V90">
        <f t="shared" si="12"/>
        <v>4</v>
      </c>
      <c r="W90" s="11">
        <f t="shared" si="13"/>
        <v>1</v>
      </c>
    </row>
    <row r="91" spans="1:23">
      <c r="A91" t="s">
        <v>104</v>
      </c>
      <c r="B91" s="4">
        <v>45566</v>
      </c>
      <c r="C91" t="s">
        <v>2016</v>
      </c>
      <c r="D91" t="s">
        <v>2025</v>
      </c>
      <c r="E91" t="s">
        <v>2027</v>
      </c>
      <c r="F91" t="s">
        <v>2030</v>
      </c>
      <c r="G91" t="s">
        <v>2035</v>
      </c>
      <c r="H91" t="s">
        <v>2039</v>
      </c>
      <c r="I91">
        <v>5</v>
      </c>
      <c r="J91">
        <v>6</v>
      </c>
      <c r="K91">
        <v>1</v>
      </c>
      <c r="L91" t="s">
        <v>2041</v>
      </c>
      <c r="M91">
        <v>381</v>
      </c>
      <c r="N91">
        <v>1641</v>
      </c>
      <c r="O91">
        <v>2196</v>
      </c>
      <c r="P91" s="13">
        <f t="shared" si="7"/>
        <v>0</v>
      </c>
      <c r="Q91" t="str">
        <f t="shared" si="8"/>
        <v>No</v>
      </c>
      <c r="R91" t="str" cm="1">
        <f t="array" ref="R91">_xlfn.IFS(K91=0,"On Time",K91&lt;=2,"Minor",K91&lt;=5,"Major",K91&gt;5,"Severe")</f>
        <v>Minor</v>
      </c>
      <c r="S91">
        <f t="shared" si="9"/>
        <v>2196</v>
      </c>
      <c r="T91">
        <f t="shared" si="10"/>
        <v>1641</v>
      </c>
      <c r="U91">
        <f t="shared" si="11"/>
        <v>2024</v>
      </c>
      <c r="V91">
        <f t="shared" si="12"/>
        <v>10</v>
      </c>
      <c r="W91" s="11">
        <f t="shared" si="13"/>
        <v>1</v>
      </c>
    </row>
    <row r="92" spans="1:23">
      <c r="A92" t="s">
        <v>105</v>
      </c>
      <c r="B92" s="4">
        <v>45374</v>
      </c>
      <c r="C92" t="s">
        <v>2016</v>
      </c>
      <c r="D92" t="s">
        <v>2021</v>
      </c>
      <c r="E92" t="s">
        <v>2028</v>
      </c>
      <c r="F92" t="s">
        <v>2032</v>
      </c>
      <c r="G92" t="s">
        <v>2037</v>
      </c>
      <c r="H92" t="s">
        <v>2038</v>
      </c>
      <c r="I92">
        <v>5</v>
      </c>
      <c r="J92">
        <v>9</v>
      </c>
      <c r="K92">
        <v>4</v>
      </c>
      <c r="L92" t="s">
        <v>2041</v>
      </c>
      <c r="M92">
        <v>106</v>
      </c>
      <c r="N92">
        <v>8128</v>
      </c>
      <c r="O92">
        <v>6996</v>
      </c>
      <c r="P92" s="13">
        <f t="shared" si="7"/>
        <v>0</v>
      </c>
      <c r="Q92" t="str">
        <f t="shared" si="8"/>
        <v>No</v>
      </c>
      <c r="R92" t="str" cm="1">
        <f t="array" ref="R92">_xlfn.IFS(K92=0,"On Time",K92&lt;=2,"Minor",K92&lt;=5,"Major",K92&gt;5,"Severe")</f>
        <v>Major</v>
      </c>
      <c r="S92">
        <f t="shared" si="9"/>
        <v>1749</v>
      </c>
      <c r="T92">
        <f t="shared" si="10"/>
        <v>2032</v>
      </c>
      <c r="U92">
        <f t="shared" si="11"/>
        <v>2024</v>
      </c>
      <c r="V92">
        <f t="shared" si="12"/>
        <v>3</v>
      </c>
      <c r="W92" s="11">
        <f t="shared" si="13"/>
        <v>1</v>
      </c>
    </row>
    <row r="93" spans="1:23">
      <c r="A93" t="s">
        <v>106</v>
      </c>
      <c r="B93" s="4">
        <v>45418</v>
      </c>
      <c r="C93" t="s">
        <v>2018</v>
      </c>
      <c r="D93" t="s">
        <v>2026</v>
      </c>
      <c r="E93" t="s">
        <v>2028</v>
      </c>
      <c r="F93" t="s">
        <v>2031</v>
      </c>
      <c r="G93" t="s">
        <v>2034</v>
      </c>
      <c r="H93" t="s">
        <v>2039</v>
      </c>
      <c r="I93">
        <v>1</v>
      </c>
      <c r="J93">
        <v>1</v>
      </c>
      <c r="K93">
        <v>0</v>
      </c>
      <c r="L93" t="s">
        <v>2042</v>
      </c>
      <c r="M93">
        <v>136</v>
      </c>
      <c r="N93">
        <v>0</v>
      </c>
      <c r="O93">
        <v>0</v>
      </c>
      <c r="P93" s="13">
        <f t="shared" si="7"/>
        <v>1</v>
      </c>
      <c r="Q93" t="str">
        <f t="shared" si="8"/>
        <v>No</v>
      </c>
      <c r="R93" t="str" cm="1">
        <f t="array" ref="R93">_xlfn.IFS(K93=0,"On Time",K93&lt;=2,"Minor",K93&lt;=5,"Major",K93&gt;5,"Severe")</f>
        <v>On Time</v>
      </c>
      <c r="S93">
        <f t="shared" si="9"/>
        <v>0</v>
      </c>
      <c r="T93">
        <f t="shared" si="10"/>
        <v>0</v>
      </c>
      <c r="U93">
        <f t="shared" si="11"/>
        <v>2024</v>
      </c>
      <c r="V93">
        <f t="shared" si="12"/>
        <v>5</v>
      </c>
      <c r="W93" s="11">
        <f t="shared" si="13"/>
        <v>0</v>
      </c>
    </row>
    <row r="94" spans="1:23">
      <c r="A94" t="s">
        <v>107</v>
      </c>
      <c r="B94" s="4">
        <v>45453</v>
      </c>
      <c r="C94" t="s">
        <v>2016</v>
      </c>
      <c r="D94" t="s">
        <v>2021</v>
      </c>
      <c r="E94" t="s">
        <v>2029</v>
      </c>
      <c r="F94" t="s">
        <v>2032</v>
      </c>
      <c r="G94" t="s">
        <v>2037</v>
      </c>
      <c r="H94" t="s">
        <v>2038</v>
      </c>
      <c r="I94">
        <v>2</v>
      </c>
      <c r="J94">
        <v>4</v>
      </c>
      <c r="K94">
        <v>2</v>
      </c>
      <c r="L94" t="s">
        <v>2041</v>
      </c>
      <c r="M94">
        <v>408</v>
      </c>
      <c r="N94">
        <v>4622</v>
      </c>
      <c r="O94">
        <v>9848</v>
      </c>
      <c r="P94" s="13">
        <f t="shared" si="7"/>
        <v>0</v>
      </c>
      <c r="Q94" t="str">
        <f t="shared" si="8"/>
        <v>No</v>
      </c>
      <c r="R94" t="str" cm="1">
        <f t="array" ref="R94">_xlfn.IFS(K94=0,"On Time",K94&lt;=2,"Minor",K94&lt;=5,"Major",K94&gt;5,"Severe")</f>
        <v>Minor</v>
      </c>
      <c r="S94">
        <f t="shared" si="9"/>
        <v>4924</v>
      </c>
      <c r="T94">
        <f t="shared" si="10"/>
        <v>2311</v>
      </c>
      <c r="U94">
        <f t="shared" si="11"/>
        <v>2024</v>
      </c>
      <c r="V94">
        <f t="shared" si="12"/>
        <v>6</v>
      </c>
      <c r="W94" s="11">
        <f t="shared" si="13"/>
        <v>1</v>
      </c>
    </row>
    <row r="95" spans="1:23">
      <c r="A95" t="s">
        <v>108</v>
      </c>
      <c r="B95" s="4">
        <v>45502</v>
      </c>
      <c r="C95" t="s">
        <v>2017</v>
      </c>
      <c r="D95" t="s">
        <v>2022</v>
      </c>
      <c r="E95" t="s">
        <v>2028</v>
      </c>
      <c r="F95" t="s">
        <v>2030</v>
      </c>
      <c r="G95" t="s">
        <v>2033</v>
      </c>
      <c r="H95" t="s">
        <v>2040</v>
      </c>
      <c r="I95">
        <v>1</v>
      </c>
      <c r="J95">
        <v>7</v>
      </c>
      <c r="K95">
        <v>6</v>
      </c>
      <c r="L95" t="s">
        <v>2041</v>
      </c>
      <c r="M95">
        <v>427</v>
      </c>
      <c r="N95">
        <v>10458</v>
      </c>
      <c r="O95">
        <v>9732</v>
      </c>
      <c r="P95" s="13">
        <f t="shared" si="7"/>
        <v>0</v>
      </c>
      <c r="Q95" t="str">
        <f t="shared" si="8"/>
        <v>No</v>
      </c>
      <c r="R95" t="str" cm="1">
        <f t="array" ref="R95">_xlfn.IFS(K95=0,"On Time",K95&lt;=2,"Minor",K95&lt;=5,"Major",K95&gt;5,"Severe")</f>
        <v>Severe</v>
      </c>
      <c r="S95">
        <f t="shared" si="9"/>
        <v>1622</v>
      </c>
      <c r="T95">
        <f t="shared" si="10"/>
        <v>1743</v>
      </c>
      <c r="U95">
        <f t="shared" si="11"/>
        <v>2024</v>
      </c>
      <c r="V95">
        <f t="shared" si="12"/>
        <v>7</v>
      </c>
      <c r="W95" s="11">
        <f t="shared" si="13"/>
        <v>1</v>
      </c>
    </row>
    <row r="96" spans="1:23">
      <c r="A96" t="s">
        <v>109</v>
      </c>
      <c r="B96" s="4">
        <v>45454</v>
      </c>
      <c r="C96" t="s">
        <v>2015</v>
      </c>
      <c r="D96" t="s">
        <v>2020</v>
      </c>
      <c r="E96" t="s">
        <v>2027</v>
      </c>
      <c r="F96" t="s">
        <v>2030</v>
      </c>
      <c r="G96" t="s">
        <v>2034</v>
      </c>
      <c r="H96" t="s">
        <v>2040</v>
      </c>
      <c r="I96">
        <v>2</v>
      </c>
      <c r="J96">
        <v>9</v>
      </c>
      <c r="K96">
        <v>7</v>
      </c>
      <c r="L96" t="s">
        <v>2041</v>
      </c>
      <c r="M96">
        <v>288</v>
      </c>
      <c r="N96">
        <v>6643</v>
      </c>
      <c r="O96">
        <v>11760</v>
      </c>
      <c r="P96" s="13">
        <f t="shared" si="7"/>
        <v>0</v>
      </c>
      <c r="Q96" t="str">
        <f t="shared" si="8"/>
        <v>No</v>
      </c>
      <c r="R96" t="str" cm="1">
        <f t="array" ref="R96">_xlfn.IFS(K96=0,"On Time",K96&lt;=2,"Minor",K96&lt;=5,"Major",K96&gt;5,"Severe")</f>
        <v>Severe</v>
      </c>
      <c r="S96">
        <f t="shared" si="9"/>
        <v>1680</v>
      </c>
      <c r="T96">
        <f t="shared" si="10"/>
        <v>949</v>
      </c>
      <c r="U96">
        <f t="shared" si="11"/>
        <v>2024</v>
      </c>
      <c r="V96">
        <f t="shared" si="12"/>
        <v>6</v>
      </c>
      <c r="W96" s="11">
        <f t="shared" si="13"/>
        <v>1</v>
      </c>
    </row>
    <row r="97" spans="1:23">
      <c r="A97" t="s">
        <v>110</v>
      </c>
      <c r="B97" s="4">
        <v>45436</v>
      </c>
      <c r="C97" t="s">
        <v>2017</v>
      </c>
      <c r="D97" t="s">
        <v>2022</v>
      </c>
      <c r="E97" t="s">
        <v>2029</v>
      </c>
      <c r="F97" t="s">
        <v>2030</v>
      </c>
      <c r="G97" t="s">
        <v>2034</v>
      </c>
      <c r="H97" t="s">
        <v>2038</v>
      </c>
      <c r="I97">
        <v>1</v>
      </c>
      <c r="J97">
        <v>3</v>
      </c>
      <c r="K97">
        <v>2</v>
      </c>
      <c r="L97" t="s">
        <v>2041</v>
      </c>
      <c r="M97">
        <v>243</v>
      </c>
      <c r="N97">
        <v>3982</v>
      </c>
      <c r="O97">
        <v>8816</v>
      </c>
      <c r="P97" s="13">
        <f t="shared" si="7"/>
        <v>0</v>
      </c>
      <c r="Q97" t="str">
        <f t="shared" si="8"/>
        <v>No</v>
      </c>
      <c r="R97" t="str" cm="1">
        <f t="array" ref="R97">_xlfn.IFS(K97=0,"On Time",K97&lt;=2,"Minor",K97&lt;=5,"Major",K97&gt;5,"Severe")</f>
        <v>Minor</v>
      </c>
      <c r="S97">
        <f t="shared" si="9"/>
        <v>4408</v>
      </c>
      <c r="T97">
        <f t="shared" si="10"/>
        <v>1991</v>
      </c>
      <c r="U97">
        <f t="shared" si="11"/>
        <v>2024</v>
      </c>
      <c r="V97">
        <f t="shared" si="12"/>
        <v>5</v>
      </c>
      <c r="W97" s="11">
        <f t="shared" si="13"/>
        <v>1</v>
      </c>
    </row>
    <row r="98" spans="1:23">
      <c r="A98" t="s">
        <v>111</v>
      </c>
      <c r="B98" s="4">
        <v>45446</v>
      </c>
      <c r="C98" t="s">
        <v>2015</v>
      </c>
      <c r="D98" t="s">
        <v>2019</v>
      </c>
      <c r="E98" t="s">
        <v>2029</v>
      </c>
      <c r="F98" t="s">
        <v>2031</v>
      </c>
      <c r="G98" t="s">
        <v>2034</v>
      </c>
      <c r="H98" t="s">
        <v>2040</v>
      </c>
      <c r="I98">
        <v>2</v>
      </c>
      <c r="J98">
        <v>10</v>
      </c>
      <c r="K98">
        <v>8</v>
      </c>
      <c r="L98" t="s">
        <v>2041</v>
      </c>
      <c r="M98">
        <v>132</v>
      </c>
      <c r="N98">
        <v>14864</v>
      </c>
      <c r="O98">
        <v>39752</v>
      </c>
      <c r="P98" s="13">
        <f t="shared" si="7"/>
        <v>0</v>
      </c>
      <c r="Q98" t="str">
        <f t="shared" si="8"/>
        <v>No</v>
      </c>
      <c r="R98" t="str" cm="1">
        <f t="array" ref="R98">_xlfn.IFS(K98=0,"On Time",K98&lt;=2,"Minor",K98&lt;=5,"Major",K98&gt;5,"Severe")</f>
        <v>Severe</v>
      </c>
      <c r="S98">
        <f t="shared" si="9"/>
        <v>4969</v>
      </c>
      <c r="T98">
        <f t="shared" si="10"/>
        <v>1858</v>
      </c>
      <c r="U98">
        <f t="shared" si="11"/>
        <v>2024</v>
      </c>
      <c r="V98">
        <f t="shared" si="12"/>
        <v>6</v>
      </c>
      <c r="W98" s="11">
        <f t="shared" si="13"/>
        <v>1</v>
      </c>
    </row>
    <row r="99" spans="1:23">
      <c r="A99" t="s">
        <v>112</v>
      </c>
      <c r="B99" s="4">
        <v>45613</v>
      </c>
      <c r="C99" t="s">
        <v>2015</v>
      </c>
      <c r="D99" t="s">
        <v>2020</v>
      </c>
      <c r="E99" t="s">
        <v>2027</v>
      </c>
      <c r="F99" t="s">
        <v>2032</v>
      </c>
      <c r="G99" t="s">
        <v>2033</v>
      </c>
      <c r="H99" t="s">
        <v>2040</v>
      </c>
      <c r="I99">
        <v>1</v>
      </c>
      <c r="J99">
        <v>9</v>
      </c>
      <c r="K99">
        <v>8</v>
      </c>
      <c r="L99" t="s">
        <v>2041</v>
      </c>
      <c r="M99">
        <v>242</v>
      </c>
      <c r="N99">
        <v>13552</v>
      </c>
      <c r="O99">
        <v>19040</v>
      </c>
      <c r="P99" s="13">
        <f t="shared" si="7"/>
        <v>0</v>
      </c>
      <c r="Q99" t="str">
        <f t="shared" si="8"/>
        <v>No</v>
      </c>
      <c r="R99" t="str" cm="1">
        <f t="array" ref="R99">_xlfn.IFS(K99=0,"On Time",K99&lt;=2,"Minor",K99&lt;=5,"Major",K99&gt;5,"Severe")</f>
        <v>Severe</v>
      </c>
      <c r="S99">
        <f t="shared" si="9"/>
        <v>2380</v>
      </c>
      <c r="T99">
        <f t="shared" si="10"/>
        <v>1694</v>
      </c>
      <c r="U99">
        <f t="shared" si="11"/>
        <v>2024</v>
      </c>
      <c r="V99">
        <f t="shared" si="12"/>
        <v>11</v>
      </c>
      <c r="W99" s="11">
        <f t="shared" si="13"/>
        <v>1</v>
      </c>
    </row>
    <row r="100" spans="1:23">
      <c r="A100" t="s">
        <v>113</v>
      </c>
      <c r="B100" s="4">
        <v>45635</v>
      </c>
      <c r="C100" t="s">
        <v>2018</v>
      </c>
      <c r="D100" t="s">
        <v>2024</v>
      </c>
      <c r="E100" t="s">
        <v>2029</v>
      </c>
      <c r="F100" t="s">
        <v>2031</v>
      </c>
      <c r="G100" t="s">
        <v>2036</v>
      </c>
      <c r="H100" t="s">
        <v>2039</v>
      </c>
      <c r="I100">
        <v>2</v>
      </c>
      <c r="J100">
        <v>6</v>
      </c>
      <c r="K100">
        <v>4</v>
      </c>
      <c r="L100" t="s">
        <v>2041</v>
      </c>
      <c r="M100">
        <v>409</v>
      </c>
      <c r="N100">
        <v>3352</v>
      </c>
      <c r="O100">
        <v>13228</v>
      </c>
      <c r="P100" s="13">
        <f t="shared" si="7"/>
        <v>0</v>
      </c>
      <c r="Q100" t="str">
        <f t="shared" si="8"/>
        <v>No</v>
      </c>
      <c r="R100" t="str" cm="1">
        <f t="array" ref="R100">_xlfn.IFS(K100=0,"On Time",K100&lt;=2,"Minor",K100&lt;=5,"Major",K100&gt;5,"Severe")</f>
        <v>Major</v>
      </c>
      <c r="S100">
        <f t="shared" si="9"/>
        <v>3307</v>
      </c>
      <c r="T100">
        <f t="shared" si="10"/>
        <v>838</v>
      </c>
      <c r="U100">
        <f t="shared" si="11"/>
        <v>2024</v>
      </c>
      <c r="V100">
        <f t="shared" si="12"/>
        <v>12</v>
      </c>
      <c r="W100" s="11">
        <f t="shared" si="13"/>
        <v>1</v>
      </c>
    </row>
    <row r="101" spans="1:23">
      <c r="A101" t="s">
        <v>114</v>
      </c>
      <c r="B101" s="4">
        <v>45441</v>
      </c>
      <c r="C101" t="s">
        <v>2018</v>
      </c>
      <c r="D101" t="s">
        <v>2026</v>
      </c>
      <c r="E101" t="s">
        <v>2028</v>
      </c>
      <c r="F101" t="s">
        <v>2031</v>
      </c>
      <c r="G101" t="s">
        <v>2034</v>
      </c>
      <c r="H101" t="s">
        <v>2038</v>
      </c>
      <c r="I101">
        <v>1</v>
      </c>
      <c r="J101">
        <v>4</v>
      </c>
      <c r="K101">
        <v>3</v>
      </c>
      <c r="L101" t="s">
        <v>2041</v>
      </c>
      <c r="M101">
        <v>312</v>
      </c>
      <c r="N101">
        <v>7461</v>
      </c>
      <c r="O101">
        <v>5787</v>
      </c>
      <c r="P101" s="13">
        <f t="shared" si="7"/>
        <v>0</v>
      </c>
      <c r="Q101" t="str">
        <f t="shared" si="8"/>
        <v>No</v>
      </c>
      <c r="R101" t="str" cm="1">
        <f t="array" ref="R101">_xlfn.IFS(K101=0,"On Time",K101&lt;=2,"Minor",K101&lt;=5,"Major",K101&gt;5,"Severe")</f>
        <v>Major</v>
      </c>
      <c r="S101">
        <f t="shared" si="9"/>
        <v>1929</v>
      </c>
      <c r="T101">
        <f t="shared" si="10"/>
        <v>2487</v>
      </c>
      <c r="U101">
        <f t="shared" si="11"/>
        <v>2024</v>
      </c>
      <c r="V101">
        <f t="shared" si="12"/>
        <v>5</v>
      </c>
      <c r="W101" s="11">
        <f t="shared" si="13"/>
        <v>1</v>
      </c>
    </row>
    <row r="102" spans="1:23">
      <c r="A102" t="s">
        <v>115</v>
      </c>
      <c r="B102" s="4">
        <v>45569</v>
      </c>
      <c r="C102" t="s">
        <v>2016</v>
      </c>
      <c r="D102" t="s">
        <v>2025</v>
      </c>
      <c r="E102" t="s">
        <v>2027</v>
      </c>
      <c r="F102" t="s">
        <v>2032</v>
      </c>
      <c r="G102" t="s">
        <v>2034</v>
      </c>
      <c r="H102" t="s">
        <v>2039</v>
      </c>
      <c r="I102">
        <v>3</v>
      </c>
      <c r="J102">
        <v>9</v>
      </c>
      <c r="K102">
        <v>6</v>
      </c>
      <c r="L102" t="s">
        <v>2041</v>
      </c>
      <c r="M102">
        <v>247</v>
      </c>
      <c r="N102">
        <v>10572</v>
      </c>
      <c r="O102">
        <v>15714</v>
      </c>
      <c r="P102" s="13">
        <f t="shared" si="7"/>
        <v>0</v>
      </c>
      <c r="Q102" t="str">
        <f t="shared" si="8"/>
        <v>No</v>
      </c>
      <c r="R102" t="str" cm="1">
        <f t="array" ref="R102">_xlfn.IFS(K102=0,"On Time",K102&lt;=2,"Minor",K102&lt;=5,"Major",K102&gt;5,"Severe")</f>
        <v>Severe</v>
      </c>
      <c r="S102">
        <f t="shared" si="9"/>
        <v>2619</v>
      </c>
      <c r="T102">
        <f t="shared" si="10"/>
        <v>1762</v>
      </c>
      <c r="U102">
        <f t="shared" si="11"/>
        <v>2024</v>
      </c>
      <c r="V102">
        <f t="shared" si="12"/>
        <v>10</v>
      </c>
      <c r="W102" s="11">
        <f t="shared" si="13"/>
        <v>1</v>
      </c>
    </row>
    <row r="103" spans="1:23">
      <c r="A103" t="s">
        <v>116</v>
      </c>
      <c r="B103" s="4">
        <v>45319</v>
      </c>
      <c r="C103" t="s">
        <v>2017</v>
      </c>
      <c r="D103" t="s">
        <v>2023</v>
      </c>
      <c r="E103" t="s">
        <v>2027</v>
      </c>
      <c r="F103" t="s">
        <v>2031</v>
      </c>
      <c r="G103" t="s">
        <v>2036</v>
      </c>
      <c r="H103" t="s">
        <v>2040</v>
      </c>
      <c r="I103">
        <v>2</v>
      </c>
      <c r="J103">
        <v>9</v>
      </c>
      <c r="K103">
        <v>7</v>
      </c>
      <c r="L103" t="s">
        <v>2041</v>
      </c>
      <c r="M103">
        <v>226</v>
      </c>
      <c r="N103">
        <v>13405</v>
      </c>
      <c r="O103">
        <v>25739</v>
      </c>
      <c r="P103" s="13">
        <f t="shared" si="7"/>
        <v>0</v>
      </c>
      <c r="Q103" t="str">
        <f t="shared" si="8"/>
        <v>No</v>
      </c>
      <c r="R103" t="str" cm="1">
        <f t="array" ref="R103">_xlfn.IFS(K103=0,"On Time",K103&lt;=2,"Minor",K103&lt;=5,"Major",K103&gt;5,"Severe")</f>
        <v>Severe</v>
      </c>
      <c r="S103">
        <f t="shared" si="9"/>
        <v>3677</v>
      </c>
      <c r="T103">
        <f t="shared" si="10"/>
        <v>1915</v>
      </c>
      <c r="U103">
        <f t="shared" si="11"/>
        <v>2024</v>
      </c>
      <c r="V103">
        <f t="shared" si="12"/>
        <v>1</v>
      </c>
      <c r="W103" s="11">
        <f t="shared" si="13"/>
        <v>1</v>
      </c>
    </row>
    <row r="104" spans="1:23">
      <c r="A104" t="s">
        <v>117</v>
      </c>
      <c r="B104" s="4">
        <v>45295</v>
      </c>
      <c r="C104" t="s">
        <v>2017</v>
      </c>
      <c r="D104" t="s">
        <v>2022</v>
      </c>
      <c r="E104" t="s">
        <v>2029</v>
      </c>
      <c r="F104" t="s">
        <v>2030</v>
      </c>
      <c r="G104" t="s">
        <v>2036</v>
      </c>
      <c r="H104" t="s">
        <v>2039</v>
      </c>
      <c r="I104">
        <v>2</v>
      </c>
      <c r="J104">
        <v>7</v>
      </c>
      <c r="K104">
        <v>5</v>
      </c>
      <c r="L104" t="s">
        <v>2041</v>
      </c>
      <c r="M104">
        <v>209</v>
      </c>
      <c r="N104">
        <v>11215</v>
      </c>
      <c r="O104">
        <v>10470</v>
      </c>
      <c r="P104" s="13">
        <f t="shared" si="7"/>
        <v>0</v>
      </c>
      <c r="Q104" t="str">
        <f t="shared" si="8"/>
        <v>No</v>
      </c>
      <c r="R104" t="str" cm="1">
        <f t="array" ref="R104">_xlfn.IFS(K104=0,"On Time",K104&lt;=2,"Minor",K104&lt;=5,"Major",K104&gt;5,"Severe")</f>
        <v>Major</v>
      </c>
      <c r="S104">
        <f t="shared" si="9"/>
        <v>2094</v>
      </c>
      <c r="T104">
        <f t="shared" si="10"/>
        <v>2243</v>
      </c>
      <c r="U104">
        <f t="shared" si="11"/>
        <v>2024</v>
      </c>
      <c r="V104">
        <f t="shared" si="12"/>
        <v>1</v>
      </c>
      <c r="W104" s="11">
        <f t="shared" si="13"/>
        <v>1</v>
      </c>
    </row>
    <row r="105" spans="1:23">
      <c r="A105" t="s">
        <v>118</v>
      </c>
      <c r="B105" s="4">
        <v>45382</v>
      </c>
      <c r="C105" t="s">
        <v>2015</v>
      </c>
      <c r="D105" t="s">
        <v>2020</v>
      </c>
      <c r="E105" t="s">
        <v>2029</v>
      </c>
      <c r="F105" t="s">
        <v>2031</v>
      </c>
      <c r="G105" t="s">
        <v>2033</v>
      </c>
      <c r="H105" t="s">
        <v>2040</v>
      </c>
      <c r="I105">
        <v>2</v>
      </c>
      <c r="J105">
        <v>6</v>
      </c>
      <c r="K105">
        <v>4</v>
      </c>
      <c r="L105" t="s">
        <v>2041</v>
      </c>
      <c r="M105">
        <v>137</v>
      </c>
      <c r="N105">
        <v>7148</v>
      </c>
      <c r="O105">
        <v>19856</v>
      </c>
      <c r="P105" s="13">
        <f t="shared" si="7"/>
        <v>0</v>
      </c>
      <c r="Q105" t="str">
        <f t="shared" si="8"/>
        <v>No</v>
      </c>
      <c r="R105" t="str" cm="1">
        <f t="array" ref="R105">_xlfn.IFS(K105=0,"On Time",K105&lt;=2,"Minor",K105&lt;=5,"Major",K105&gt;5,"Severe")</f>
        <v>Major</v>
      </c>
      <c r="S105">
        <f t="shared" si="9"/>
        <v>4964</v>
      </c>
      <c r="T105">
        <f t="shared" si="10"/>
        <v>1787</v>
      </c>
      <c r="U105">
        <f t="shared" si="11"/>
        <v>2024</v>
      </c>
      <c r="V105">
        <f t="shared" si="12"/>
        <v>3</v>
      </c>
      <c r="W105" s="11">
        <f t="shared" si="13"/>
        <v>1</v>
      </c>
    </row>
    <row r="106" spans="1:23">
      <c r="A106" t="s">
        <v>119</v>
      </c>
      <c r="B106" s="4">
        <v>45553</v>
      </c>
      <c r="C106" t="s">
        <v>2016</v>
      </c>
      <c r="D106" t="s">
        <v>2025</v>
      </c>
      <c r="E106" t="s">
        <v>2029</v>
      </c>
      <c r="F106" t="s">
        <v>2030</v>
      </c>
      <c r="G106" t="s">
        <v>2034</v>
      </c>
      <c r="H106" t="s">
        <v>2038</v>
      </c>
      <c r="I106">
        <v>2</v>
      </c>
      <c r="J106">
        <v>2</v>
      </c>
      <c r="K106">
        <v>0</v>
      </c>
      <c r="L106" t="s">
        <v>2042</v>
      </c>
      <c r="M106">
        <v>113</v>
      </c>
      <c r="N106">
        <v>0</v>
      </c>
      <c r="O106">
        <v>0</v>
      </c>
      <c r="P106" s="13">
        <f t="shared" si="7"/>
        <v>1</v>
      </c>
      <c r="Q106" t="str">
        <f t="shared" si="8"/>
        <v>No</v>
      </c>
      <c r="R106" t="str" cm="1">
        <f t="array" ref="R106">_xlfn.IFS(K106=0,"On Time",K106&lt;=2,"Minor",K106&lt;=5,"Major",K106&gt;5,"Severe")</f>
        <v>On Time</v>
      </c>
      <c r="S106">
        <f t="shared" si="9"/>
        <v>0</v>
      </c>
      <c r="T106">
        <f t="shared" si="10"/>
        <v>0</v>
      </c>
      <c r="U106">
        <f t="shared" si="11"/>
        <v>2024</v>
      </c>
      <c r="V106">
        <f t="shared" si="12"/>
        <v>9</v>
      </c>
      <c r="W106" s="11">
        <f t="shared" si="13"/>
        <v>0</v>
      </c>
    </row>
    <row r="107" spans="1:23">
      <c r="A107" t="s">
        <v>120</v>
      </c>
      <c r="B107" s="4">
        <v>45602</v>
      </c>
      <c r="C107" t="s">
        <v>2017</v>
      </c>
      <c r="D107" t="s">
        <v>2023</v>
      </c>
      <c r="E107" t="s">
        <v>2028</v>
      </c>
      <c r="F107" t="s">
        <v>2031</v>
      </c>
      <c r="G107" t="s">
        <v>2036</v>
      </c>
      <c r="H107" t="s">
        <v>2040</v>
      </c>
      <c r="I107">
        <v>1</v>
      </c>
      <c r="J107">
        <v>4</v>
      </c>
      <c r="K107">
        <v>3</v>
      </c>
      <c r="L107" t="s">
        <v>2041</v>
      </c>
      <c r="M107">
        <v>265</v>
      </c>
      <c r="N107">
        <v>6753</v>
      </c>
      <c r="O107">
        <v>7485</v>
      </c>
      <c r="P107" s="13">
        <f t="shared" si="7"/>
        <v>0</v>
      </c>
      <c r="Q107" t="str">
        <f t="shared" si="8"/>
        <v>No</v>
      </c>
      <c r="R107" t="str" cm="1">
        <f t="array" ref="R107">_xlfn.IFS(K107=0,"On Time",K107&lt;=2,"Minor",K107&lt;=5,"Major",K107&gt;5,"Severe")</f>
        <v>Major</v>
      </c>
      <c r="S107">
        <f t="shared" si="9"/>
        <v>2495</v>
      </c>
      <c r="T107">
        <f t="shared" si="10"/>
        <v>2251</v>
      </c>
      <c r="U107">
        <f t="shared" si="11"/>
        <v>2024</v>
      </c>
      <c r="V107">
        <f t="shared" si="12"/>
        <v>11</v>
      </c>
      <c r="W107" s="11">
        <f t="shared" si="13"/>
        <v>1</v>
      </c>
    </row>
    <row r="108" spans="1:23">
      <c r="A108" t="s">
        <v>121</v>
      </c>
      <c r="B108" s="4">
        <v>45638</v>
      </c>
      <c r="C108" t="s">
        <v>2015</v>
      </c>
      <c r="D108" t="s">
        <v>2019</v>
      </c>
      <c r="E108" t="s">
        <v>2028</v>
      </c>
      <c r="F108" t="s">
        <v>2030</v>
      </c>
      <c r="G108" t="s">
        <v>2034</v>
      </c>
      <c r="H108" t="s">
        <v>2040</v>
      </c>
      <c r="I108">
        <v>2</v>
      </c>
      <c r="J108">
        <v>8</v>
      </c>
      <c r="K108">
        <v>6</v>
      </c>
      <c r="L108" t="s">
        <v>2041</v>
      </c>
      <c r="M108">
        <v>184</v>
      </c>
      <c r="N108">
        <v>7806</v>
      </c>
      <c r="O108">
        <v>19488</v>
      </c>
      <c r="P108" s="13">
        <f t="shared" si="7"/>
        <v>0</v>
      </c>
      <c r="Q108" t="str">
        <f t="shared" si="8"/>
        <v>No</v>
      </c>
      <c r="R108" t="str" cm="1">
        <f t="array" ref="R108">_xlfn.IFS(K108=0,"On Time",K108&lt;=2,"Minor",K108&lt;=5,"Major",K108&gt;5,"Severe")</f>
        <v>Severe</v>
      </c>
      <c r="S108">
        <f t="shared" si="9"/>
        <v>3248</v>
      </c>
      <c r="T108">
        <f t="shared" si="10"/>
        <v>1301</v>
      </c>
      <c r="U108">
        <f t="shared" si="11"/>
        <v>2024</v>
      </c>
      <c r="V108">
        <f t="shared" si="12"/>
        <v>12</v>
      </c>
      <c r="W108" s="11">
        <f t="shared" si="13"/>
        <v>1</v>
      </c>
    </row>
    <row r="109" spans="1:23">
      <c r="A109" t="s">
        <v>122</v>
      </c>
      <c r="B109" s="4">
        <v>45508</v>
      </c>
      <c r="C109" t="s">
        <v>2016</v>
      </c>
      <c r="D109" t="s">
        <v>2021</v>
      </c>
      <c r="E109" t="s">
        <v>2029</v>
      </c>
      <c r="F109" t="s">
        <v>2031</v>
      </c>
      <c r="G109" t="s">
        <v>2033</v>
      </c>
      <c r="H109" t="s">
        <v>2038</v>
      </c>
      <c r="I109">
        <v>3</v>
      </c>
      <c r="J109">
        <v>8</v>
      </c>
      <c r="K109">
        <v>5</v>
      </c>
      <c r="L109" t="s">
        <v>2041</v>
      </c>
      <c r="M109">
        <v>329</v>
      </c>
      <c r="N109">
        <v>10720</v>
      </c>
      <c r="O109">
        <v>12835</v>
      </c>
      <c r="P109" s="13">
        <f t="shared" si="7"/>
        <v>0</v>
      </c>
      <c r="Q109" t="str">
        <f t="shared" si="8"/>
        <v>No</v>
      </c>
      <c r="R109" t="str" cm="1">
        <f t="array" ref="R109">_xlfn.IFS(K109=0,"On Time",K109&lt;=2,"Minor",K109&lt;=5,"Major",K109&gt;5,"Severe")</f>
        <v>Major</v>
      </c>
      <c r="S109">
        <f t="shared" si="9"/>
        <v>2567</v>
      </c>
      <c r="T109">
        <f t="shared" si="10"/>
        <v>2144</v>
      </c>
      <c r="U109">
        <f t="shared" si="11"/>
        <v>2024</v>
      </c>
      <c r="V109">
        <f t="shared" si="12"/>
        <v>8</v>
      </c>
      <c r="W109" s="11">
        <f t="shared" si="13"/>
        <v>1</v>
      </c>
    </row>
    <row r="110" spans="1:23">
      <c r="A110" t="s">
        <v>123</v>
      </c>
      <c r="B110" s="4">
        <v>45453</v>
      </c>
      <c r="C110" t="s">
        <v>2018</v>
      </c>
      <c r="D110" t="s">
        <v>2024</v>
      </c>
      <c r="E110" t="s">
        <v>2029</v>
      </c>
      <c r="F110" t="s">
        <v>2031</v>
      </c>
      <c r="G110" t="s">
        <v>2033</v>
      </c>
      <c r="H110" t="s">
        <v>2038</v>
      </c>
      <c r="I110">
        <v>2</v>
      </c>
      <c r="J110">
        <v>7</v>
      </c>
      <c r="K110">
        <v>5</v>
      </c>
      <c r="L110" t="s">
        <v>2041</v>
      </c>
      <c r="M110">
        <v>200</v>
      </c>
      <c r="N110">
        <v>11560</v>
      </c>
      <c r="O110">
        <v>10805</v>
      </c>
      <c r="P110" s="13">
        <f t="shared" si="7"/>
        <v>0</v>
      </c>
      <c r="Q110" t="str">
        <f t="shared" si="8"/>
        <v>No</v>
      </c>
      <c r="R110" t="str" cm="1">
        <f t="array" ref="R110">_xlfn.IFS(K110=0,"On Time",K110&lt;=2,"Minor",K110&lt;=5,"Major",K110&gt;5,"Severe")</f>
        <v>Major</v>
      </c>
      <c r="S110">
        <f t="shared" si="9"/>
        <v>2161</v>
      </c>
      <c r="T110">
        <f t="shared" si="10"/>
        <v>2312</v>
      </c>
      <c r="U110">
        <f t="shared" si="11"/>
        <v>2024</v>
      </c>
      <c r="V110">
        <f t="shared" si="12"/>
        <v>6</v>
      </c>
      <c r="W110" s="11">
        <f t="shared" si="13"/>
        <v>1</v>
      </c>
    </row>
    <row r="111" spans="1:23">
      <c r="A111" t="s">
        <v>124</v>
      </c>
      <c r="B111" s="4">
        <v>45371</v>
      </c>
      <c r="C111" t="s">
        <v>2018</v>
      </c>
      <c r="D111" t="s">
        <v>2026</v>
      </c>
      <c r="E111" t="s">
        <v>2027</v>
      </c>
      <c r="F111" t="s">
        <v>2032</v>
      </c>
      <c r="G111" t="s">
        <v>2034</v>
      </c>
      <c r="H111" t="s">
        <v>2038</v>
      </c>
      <c r="I111">
        <v>5</v>
      </c>
      <c r="J111">
        <v>6</v>
      </c>
      <c r="K111">
        <v>1</v>
      </c>
      <c r="L111" t="s">
        <v>2041</v>
      </c>
      <c r="M111">
        <v>366</v>
      </c>
      <c r="N111">
        <v>1431</v>
      </c>
      <c r="O111">
        <v>3401</v>
      </c>
      <c r="P111" s="13">
        <f t="shared" si="7"/>
        <v>0</v>
      </c>
      <c r="Q111" t="str">
        <f t="shared" si="8"/>
        <v>No</v>
      </c>
      <c r="R111" t="str" cm="1">
        <f t="array" ref="R111">_xlfn.IFS(K111=0,"On Time",K111&lt;=2,"Minor",K111&lt;=5,"Major",K111&gt;5,"Severe")</f>
        <v>Minor</v>
      </c>
      <c r="S111">
        <f t="shared" si="9"/>
        <v>3401</v>
      </c>
      <c r="T111">
        <f t="shared" si="10"/>
        <v>1431</v>
      </c>
      <c r="U111">
        <f t="shared" si="11"/>
        <v>2024</v>
      </c>
      <c r="V111">
        <f t="shared" si="12"/>
        <v>3</v>
      </c>
      <c r="W111" s="11">
        <f t="shared" si="13"/>
        <v>1</v>
      </c>
    </row>
    <row r="112" spans="1:23">
      <c r="A112" t="s">
        <v>125</v>
      </c>
      <c r="B112" s="4">
        <v>45342</v>
      </c>
      <c r="C112" t="s">
        <v>2018</v>
      </c>
      <c r="D112" t="s">
        <v>2024</v>
      </c>
      <c r="E112" t="s">
        <v>2028</v>
      </c>
      <c r="F112" t="s">
        <v>2031</v>
      </c>
      <c r="G112" t="s">
        <v>2033</v>
      </c>
      <c r="H112" t="s">
        <v>2039</v>
      </c>
      <c r="I112">
        <v>2</v>
      </c>
      <c r="J112">
        <v>7</v>
      </c>
      <c r="K112">
        <v>5</v>
      </c>
      <c r="L112" t="s">
        <v>2041</v>
      </c>
      <c r="M112">
        <v>346</v>
      </c>
      <c r="N112">
        <v>4920</v>
      </c>
      <c r="O112">
        <v>21435</v>
      </c>
      <c r="P112" s="13">
        <f t="shared" si="7"/>
        <v>0</v>
      </c>
      <c r="Q112" t="str">
        <f t="shared" si="8"/>
        <v>No</v>
      </c>
      <c r="R112" t="str" cm="1">
        <f t="array" ref="R112">_xlfn.IFS(K112=0,"On Time",K112&lt;=2,"Minor",K112&lt;=5,"Major",K112&gt;5,"Severe")</f>
        <v>Major</v>
      </c>
      <c r="S112">
        <f t="shared" si="9"/>
        <v>4287</v>
      </c>
      <c r="T112">
        <f t="shared" si="10"/>
        <v>984</v>
      </c>
      <c r="U112">
        <f t="shared" si="11"/>
        <v>2024</v>
      </c>
      <c r="V112">
        <f t="shared" si="12"/>
        <v>2</v>
      </c>
      <c r="W112" s="11">
        <f t="shared" si="13"/>
        <v>1</v>
      </c>
    </row>
    <row r="113" spans="1:23">
      <c r="A113" t="s">
        <v>126</v>
      </c>
      <c r="B113" s="4">
        <v>45400</v>
      </c>
      <c r="C113" t="s">
        <v>2018</v>
      </c>
      <c r="D113" t="s">
        <v>2024</v>
      </c>
      <c r="E113" t="s">
        <v>2028</v>
      </c>
      <c r="F113" t="s">
        <v>2030</v>
      </c>
      <c r="G113" t="s">
        <v>2033</v>
      </c>
      <c r="H113" t="s">
        <v>2038</v>
      </c>
      <c r="I113">
        <v>2</v>
      </c>
      <c r="J113">
        <v>2</v>
      </c>
      <c r="K113">
        <v>0</v>
      </c>
      <c r="L113" t="s">
        <v>2042</v>
      </c>
      <c r="M113">
        <v>437</v>
      </c>
      <c r="N113">
        <v>0</v>
      </c>
      <c r="O113">
        <v>0</v>
      </c>
      <c r="P113" s="13">
        <f t="shared" si="7"/>
        <v>1</v>
      </c>
      <c r="Q113" t="str">
        <f t="shared" si="8"/>
        <v>No</v>
      </c>
      <c r="R113" t="str" cm="1">
        <f t="array" ref="R113">_xlfn.IFS(K113=0,"On Time",K113&lt;=2,"Minor",K113&lt;=5,"Major",K113&gt;5,"Severe")</f>
        <v>On Time</v>
      </c>
      <c r="S113">
        <f t="shared" si="9"/>
        <v>0</v>
      </c>
      <c r="T113">
        <f t="shared" si="10"/>
        <v>0</v>
      </c>
      <c r="U113">
        <f t="shared" si="11"/>
        <v>2024</v>
      </c>
      <c r="V113">
        <f t="shared" si="12"/>
        <v>4</v>
      </c>
      <c r="W113" s="11">
        <f t="shared" si="13"/>
        <v>0</v>
      </c>
    </row>
    <row r="114" spans="1:23">
      <c r="A114" t="s">
        <v>127</v>
      </c>
      <c r="B114" s="4">
        <v>45409</v>
      </c>
      <c r="C114" t="s">
        <v>2017</v>
      </c>
      <c r="D114" t="s">
        <v>2023</v>
      </c>
      <c r="E114" t="s">
        <v>2029</v>
      </c>
      <c r="F114" t="s">
        <v>2031</v>
      </c>
      <c r="G114" t="s">
        <v>2034</v>
      </c>
      <c r="H114" t="s">
        <v>2040</v>
      </c>
      <c r="I114">
        <v>1</v>
      </c>
      <c r="J114">
        <v>4</v>
      </c>
      <c r="K114">
        <v>3</v>
      </c>
      <c r="L114" t="s">
        <v>2041</v>
      </c>
      <c r="M114">
        <v>68</v>
      </c>
      <c r="N114">
        <v>3549</v>
      </c>
      <c r="O114">
        <v>14508</v>
      </c>
      <c r="P114" s="13">
        <f t="shared" si="7"/>
        <v>0</v>
      </c>
      <c r="Q114" t="str">
        <f t="shared" si="8"/>
        <v>No</v>
      </c>
      <c r="R114" t="str" cm="1">
        <f t="array" ref="R114">_xlfn.IFS(K114=0,"On Time",K114&lt;=2,"Minor",K114&lt;=5,"Major",K114&gt;5,"Severe")</f>
        <v>Major</v>
      </c>
      <c r="S114">
        <f t="shared" si="9"/>
        <v>4836</v>
      </c>
      <c r="T114">
        <f t="shared" si="10"/>
        <v>1183</v>
      </c>
      <c r="U114">
        <f t="shared" si="11"/>
        <v>2024</v>
      </c>
      <c r="V114">
        <f t="shared" si="12"/>
        <v>4</v>
      </c>
      <c r="W114" s="11">
        <f t="shared" si="13"/>
        <v>1</v>
      </c>
    </row>
    <row r="115" spans="1:23">
      <c r="A115" t="s">
        <v>128</v>
      </c>
      <c r="B115" s="4">
        <v>45354</v>
      </c>
      <c r="C115" t="s">
        <v>2017</v>
      </c>
      <c r="D115" t="s">
        <v>2023</v>
      </c>
      <c r="E115" t="s">
        <v>2028</v>
      </c>
      <c r="F115" t="s">
        <v>2031</v>
      </c>
      <c r="G115" t="s">
        <v>2036</v>
      </c>
      <c r="H115" t="s">
        <v>2039</v>
      </c>
      <c r="I115">
        <v>2</v>
      </c>
      <c r="J115">
        <v>5</v>
      </c>
      <c r="K115">
        <v>3</v>
      </c>
      <c r="L115" t="s">
        <v>2041</v>
      </c>
      <c r="M115">
        <v>375</v>
      </c>
      <c r="N115">
        <v>2829</v>
      </c>
      <c r="O115">
        <v>6312</v>
      </c>
      <c r="P115" s="13">
        <f t="shared" si="7"/>
        <v>0</v>
      </c>
      <c r="Q115" t="str">
        <f t="shared" si="8"/>
        <v>No</v>
      </c>
      <c r="R115" t="str" cm="1">
        <f t="array" ref="R115">_xlfn.IFS(K115=0,"On Time",K115&lt;=2,"Minor",K115&lt;=5,"Major",K115&gt;5,"Severe")</f>
        <v>Major</v>
      </c>
      <c r="S115">
        <f t="shared" si="9"/>
        <v>2104</v>
      </c>
      <c r="T115">
        <f t="shared" si="10"/>
        <v>943</v>
      </c>
      <c r="U115">
        <f t="shared" si="11"/>
        <v>2024</v>
      </c>
      <c r="V115">
        <f t="shared" si="12"/>
        <v>3</v>
      </c>
      <c r="W115" s="11">
        <f t="shared" si="13"/>
        <v>1</v>
      </c>
    </row>
    <row r="116" spans="1:23">
      <c r="A116" t="s">
        <v>129</v>
      </c>
      <c r="B116" s="4">
        <v>45508</v>
      </c>
      <c r="C116" t="s">
        <v>2016</v>
      </c>
      <c r="D116" t="s">
        <v>2025</v>
      </c>
      <c r="E116" t="s">
        <v>2029</v>
      </c>
      <c r="F116" t="s">
        <v>2030</v>
      </c>
      <c r="G116" t="s">
        <v>2034</v>
      </c>
      <c r="H116" t="s">
        <v>2038</v>
      </c>
      <c r="I116">
        <v>1</v>
      </c>
      <c r="J116">
        <v>5</v>
      </c>
      <c r="K116">
        <v>4</v>
      </c>
      <c r="L116" t="s">
        <v>2041</v>
      </c>
      <c r="M116">
        <v>71</v>
      </c>
      <c r="N116">
        <v>9128</v>
      </c>
      <c r="O116">
        <v>9760</v>
      </c>
      <c r="P116" s="13">
        <f t="shared" si="7"/>
        <v>0</v>
      </c>
      <c r="Q116" t="str">
        <f t="shared" si="8"/>
        <v>No</v>
      </c>
      <c r="R116" t="str" cm="1">
        <f t="array" ref="R116">_xlfn.IFS(K116=0,"On Time",K116&lt;=2,"Minor",K116&lt;=5,"Major",K116&gt;5,"Severe")</f>
        <v>Major</v>
      </c>
      <c r="S116">
        <f t="shared" si="9"/>
        <v>2440</v>
      </c>
      <c r="T116">
        <f t="shared" si="10"/>
        <v>2282</v>
      </c>
      <c r="U116">
        <f t="shared" si="11"/>
        <v>2024</v>
      </c>
      <c r="V116">
        <f t="shared" si="12"/>
        <v>8</v>
      </c>
      <c r="W116" s="11">
        <f t="shared" si="13"/>
        <v>1</v>
      </c>
    </row>
    <row r="117" spans="1:23">
      <c r="A117" t="s">
        <v>130</v>
      </c>
      <c r="B117" s="4">
        <v>45559</v>
      </c>
      <c r="C117" t="s">
        <v>2015</v>
      </c>
      <c r="D117" t="s">
        <v>2020</v>
      </c>
      <c r="E117" t="s">
        <v>2029</v>
      </c>
      <c r="F117" t="s">
        <v>2030</v>
      </c>
      <c r="G117" t="s">
        <v>2033</v>
      </c>
      <c r="H117" t="s">
        <v>2039</v>
      </c>
      <c r="I117">
        <v>1</v>
      </c>
      <c r="J117">
        <v>3</v>
      </c>
      <c r="K117">
        <v>2</v>
      </c>
      <c r="L117" t="s">
        <v>2041</v>
      </c>
      <c r="M117">
        <v>141</v>
      </c>
      <c r="N117">
        <v>4998</v>
      </c>
      <c r="O117">
        <v>9812</v>
      </c>
      <c r="P117" s="13">
        <f t="shared" si="7"/>
        <v>0</v>
      </c>
      <c r="Q117" t="str">
        <f t="shared" si="8"/>
        <v>No</v>
      </c>
      <c r="R117" t="str" cm="1">
        <f t="array" ref="R117">_xlfn.IFS(K117=0,"On Time",K117&lt;=2,"Minor",K117&lt;=5,"Major",K117&gt;5,"Severe")</f>
        <v>Minor</v>
      </c>
      <c r="S117">
        <f t="shared" si="9"/>
        <v>4906</v>
      </c>
      <c r="T117">
        <f t="shared" si="10"/>
        <v>2499</v>
      </c>
      <c r="U117">
        <f t="shared" si="11"/>
        <v>2024</v>
      </c>
      <c r="V117">
        <f t="shared" si="12"/>
        <v>9</v>
      </c>
      <c r="W117" s="11">
        <f t="shared" si="13"/>
        <v>1</v>
      </c>
    </row>
    <row r="118" spans="1:23">
      <c r="A118" t="s">
        <v>131</v>
      </c>
      <c r="B118" s="4">
        <v>45388</v>
      </c>
      <c r="C118" t="s">
        <v>2017</v>
      </c>
      <c r="D118" t="s">
        <v>2023</v>
      </c>
      <c r="E118" t="s">
        <v>2029</v>
      </c>
      <c r="F118" t="s">
        <v>2030</v>
      </c>
      <c r="G118" t="s">
        <v>2037</v>
      </c>
      <c r="H118" t="s">
        <v>2038</v>
      </c>
      <c r="I118">
        <v>2</v>
      </c>
      <c r="J118">
        <v>5</v>
      </c>
      <c r="K118">
        <v>3</v>
      </c>
      <c r="L118" t="s">
        <v>2041</v>
      </c>
      <c r="M118">
        <v>411</v>
      </c>
      <c r="N118">
        <v>6813</v>
      </c>
      <c r="O118">
        <v>12582</v>
      </c>
      <c r="P118" s="13">
        <f t="shared" si="7"/>
        <v>0</v>
      </c>
      <c r="Q118" t="str">
        <f t="shared" si="8"/>
        <v>No</v>
      </c>
      <c r="R118" t="str" cm="1">
        <f t="array" ref="R118">_xlfn.IFS(K118=0,"On Time",K118&lt;=2,"Minor",K118&lt;=5,"Major",K118&gt;5,"Severe")</f>
        <v>Major</v>
      </c>
      <c r="S118">
        <f t="shared" si="9"/>
        <v>4194</v>
      </c>
      <c r="T118">
        <f t="shared" si="10"/>
        <v>2271</v>
      </c>
      <c r="U118">
        <f t="shared" si="11"/>
        <v>2024</v>
      </c>
      <c r="V118">
        <f t="shared" si="12"/>
        <v>4</v>
      </c>
      <c r="W118" s="11">
        <f t="shared" si="13"/>
        <v>1</v>
      </c>
    </row>
    <row r="119" spans="1:23">
      <c r="A119" t="s">
        <v>132</v>
      </c>
      <c r="B119" s="4">
        <v>45519</v>
      </c>
      <c r="C119" t="s">
        <v>2017</v>
      </c>
      <c r="D119" t="s">
        <v>2022</v>
      </c>
      <c r="E119" t="s">
        <v>2029</v>
      </c>
      <c r="F119" t="s">
        <v>2030</v>
      </c>
      <c r="G119" t="s">
        <v>2037</v>
      </c>
      <c r="H119" t="s">
        <v>2038</v>
      </c>
      <c r="I119">
        <v>3</v>
      </c>
      <c r="J119">
        <v>8</v>
      </c>
      <c r="K119">
        <v>5</v>
      </c>
      <c r="L119" t="s">
        <v>2041</v>
      </c>
      <c r="M119">
        <v>462</v>
      </c>
      <c r="N119">
        <v>9045</v>
      </c>
      <c r="O119">
        <v>11930</v>
      </c>
      <c r="P119" s="13">
        <f t="shared" si="7"/>
        <v>0</v>
      </c>
      <c r="Q119" t="str">
        <f t="shared" si="8"/>
        <v>No</v>
      </c>
      <c r="R119" t="str" cm="1">
        <f t="array" ref="R119">_xlfn.IFS(K119=0,"On Time",K119&lt;=2,"Minor",K119&lt;=5,"Major",K119&gt;5,"Severe")</f>
        <v>Major</v>
      </c>
      <c r="S119">
        <f t="shared" si="9"/>
        <v>2386</v>
      </c>
      <c r="T119">
        <f t="shared" si="10"/>
        <v>1809</v>
      </c>
      <c r="U119">
        <f t="shared" si="11"/>
        <v>2024</v>
      </c>
      <c r="V119">
        <f t="shared" si="12"/>
        <v>8</v>
      </c>
      <c r="W119" s="11">
        <f t="shared" si="13"/>
        <v>1</v>
      </c>
    </row>
    <row r="120" spans="1:23">
      <c r="A120" t="s">
        <v>133</v>
      </c>
      <c r="B120" s="4">
        <v>45436</v>
      </c>
      <c r="C120" t="s">
        <v>2018</v>
      </c>
      <c r="D120" t="s">
        <v>2026</v>
      </c>
      <c r="E120" t="s">
        <v>2028</v>
      </c>
      <c r="F120" t="s">
        <v>2030</v>
      </c>
      <c r="G120" t="s">
        <v>2034</v>
      </c>
      <c r="H120" t="s">
        <v>2039</v>
      </c>
      <c r="I120">
        <v>2</v>
      </c>
      <c r="J120">
        <v>5</v>
      </c>
      <c r="K120">
        <v>3</v>
      </c>
      <c r="L120" t="s">
        <v>2041</v>
      </c>
      <c r="M120">
        <v>148</v>
      </c>
      <c r="N120">
        <v>3144</v>
      </c>
      <c r="O120">
        <v>13635</v>
      </c>
      <c r="P120" s="13">
        <f t="shared" si="7"/>
        <v>0</v>
      </c>
      <c r="Q120" t="str">
        <f t="shared" si="8"/>
        <v>No</v>
      </c>
      <c r="R120" t="str" cm="1">
        <f t="array" ref="R120">_xlfn.IFS(K120=0,"On Time",K120&lt;=2,"Minor",K120&lt;=5,"Major",K120&gt;5,"Severe")</f>
        <v>Major</v>
      </c>
      <c r="S120">
        <f t="shared" si="9"/>
        <v>4545</v>
      </c>
      <c r="T120">
        <f t="shared" si="10"/>
        <v>1048</v>
      </c>
      <c r="U120">
        <f t="shared" si="11"/>
        <v>2024</v>
      </c>
      <c r="V120">
        <f t="shared" si="12"/>
        <v>5</v>
      </c>
      <c r="W120" s="11">
        <f t="shared" si="13"/>
        <v>1</v>
      </c>
    </row>
    <row r="121" spans="1:23">
      <c r="A121" t="s">
        <v>134</v>
      </c>
      <c r="B121" s="4">
        <v>45313</v>
      </c>
      <c r="C121" t="s">
        <v>2015</v>
      </c>
      <c r="D121" t="s">
        <v>2020</v>
      </c>
      <c r="E121" t="s">
        <v>2029</v>
      </c>
      <c r="F121" t="s">
        <v>2030</v>
      </c>
      <c r="G121" t="s">
        <v>2033</v>
      </c>
      <c r="H121" t="s">
        <v>2039</v>
      </c>
      <c r="I121">
        <v>3</v>
      </c>
      <c r="J121">
        <v>6</v>
      </c>
      <c r="K121">
        <v>3</v>
      </c>
      <c r="L121" t="s">
        <v>2041</v>
      </c>
      <c r="M121">
        <v>188</v>
      </c>
      <c r="N121">
        <v>6684</v>
      </c>
      <c r="O121">
        <v>9876</v>
      </c>
      <c r="P121" s="13">
        <f t="shared" si="7"/>
        <v>0</v>
      </c>
      <c r="Q121" t="str">
        <f t="shared" si="8"/>
        <v>No</v>
      </c>
      <c r="R121" t="str" cm="1">
        <f t="array" ref="R121">_xlfn.IFS(K121=0,"On Time",K121&lt;=2,"Minor",K121&lt;=5,"Major",K121&gt;5,"Severe")</f>
        <v>Major</v>
      </c>
      <c r="S121">
        <f t="shared" si="9"/>
        <v>3292</v>
      </c>
      <c r="T121">
        <f t="shared" si="10"/>
        <v>2228</v>
      </c>
      <c r="U121">
        <f t="shared" si="11"/>
        <v>2024</v>
      </c>
      <c r="V121">
        <f t="shared" si="12"/>
        <v>1</v>
      </c>
      <c r="W121" s="11">
        <f t="shared" si="13"/>
        <v>1</v>
      </c>
    </row>
    <row r="122" spans="1:23">
      <c r="A122" t="s">
        <v>135</v>
      </c>
      <c r="B122" s="4">
        <v>45508</v>
      </c>
      <c r="C122" t="s">
        <v>2015</v>
      </c>
      <c r="D122" t="s">
        <v>2019</v>
      </c>
      <c r="E122" t="s">
        <v>2029</v>
      </c>
      <c r="F122" t="s">
        <v>2032</v>
      </c>
      <c r="G122" t="s">
        <v>2035</v>
      </c>
      <c r="H122" t="s">
        <v>2038</v>
      </c>
      <c r="I122">
        <v>1</v>
      </c>
      <c r="J122">
        <v>4</v>
      </c>
      <c r="K122">
        <v>3</v>
      </c>
      <c r="L122" t="s">
        <v>2041</v>
      </c>
      <c r="M122">
        <v>375</v>
      </c>
      <c r="N122">
        <v>5589</v>
      </c>
      <c r="O122">
        <v>9411</v>
      </c>
      <c r="P122" s="13">
        <f t="shared" si="7"/>
        <v>0</v>
      </c>
      <c r="Q122" t="str">
        <f t="shared" si="8"/>
        <v>No</v>
      </c>
      <c r="R122" t="str" cm="1">
        <f t="array" ref="R122">_xlfn.IFS(K122=0,"On Time",K122&lt;=2,"Minor",K122&lt;=5,"Major",K122&gt;5,"Severe")</f>
        <v>Major</v>
      </c>
      <c r="S122">
        <f t="shared" si="9"/>
        <v>3137</v>
      </c>
      <c r="T122">
        <f t="shared" si="10"/>
        <v>1863</v>
      </c>
      <c r="U122">
        <f t="shared" si="11"/>
        <v>2024</v>
      </c>
      <c r="V122">
        <f t="shared" si="12"/>
        <v>8</v>
      </c>
      <c r="W122" s="11">
        <f t="shared" si="13"/>
        <v>1</v>
      </c>
    </row>
    <row r="123" spans="1:23">
      <c r="A123" t="s">
        <v>136</v>
      </c>
      <c r="B123" s="4">
        <v>45320</v>
      </c>
      <c r="C123" t="s">
        <v>2015</v>
      </c>
      <c r="D123" t="s">
        <v>2019</v>
      </c>
      <c r="E123" t="s">
        <v>2028</v>
      </c>
      <c r="F123" t="s">
        <v>2032</v>
      </c>
      <c r="G123" t="s">
        <v>2034</v>
      </c>
      <c r="H123" t="s">
        <v>2038</v>
      </c>
      <c r="I123">
        <v>1</v>
      </c>
      <c r="J123">
        <v>5</v>
      </c>
      <c r="K123">
        <v>4</v>
      </c>
      <c r="L123" t="s">
        <v>2041</v>
      </c>
      <c r="M123">
        <v>169</v>
      </c>
      <c r="N123">
        <v>7096</v>
      </c>
      <c r="O123">
        <v>7992</v>
      </c>
      <c r="P123" s="13">
        <f t="shared" si="7"/>
        <v>0</v>
      </c>
      <c r="Q123" t="str">
        <f t="shared" si="8"/>
        <v>No</v>
      </c>
      <c r="R123" t="str" cm="1">
        <f t="array" ref="R123">_xlfn.IFS(K123=0,"On Time",K123&lt;=2,"Minor",K123&lt;=5,"Major",K123&gt;5,"Severe")</f>
        <v>Major</v>
      </c>
      <c r="S123">
        <f t="shared" si="9"/>
        <v>1998</v>
      </c>
      <c r="T123">
        <f t="shared" si="10"/>
        <v>1774</v>
      </c>
      <c r="U123">
        <f t="shared" si="11"/>
        <v>2024</v>
      </c>
      <c r="V123">
        <f t="shared" si="12"/>
        <v>1</v>
      </c>
      <c r="W123" s="11">
        <f t="shared" si="13"/>
        <v>1</v>
      </c>
    </row>
    <row r="124" spans="1:23">
      <c r="A124" t="s">
        <v>137</v>
      </c>
      <c r="B124" s="4">
        <v>45497</v>
      </c>
      <c r="C124" t="s">
        <v>2016</v>
      </c>
      <c r="D124" t="s">
        <v>2025</v>
      </c>
      <c r="E124" t="s">
        <v>2027</v>
      </c>
      <c r="F124" t="s">
        <v>2030</v>
      </c>
      <c r="G124" t="s">
        <v>2035</v>
      </c>
      <c r="H124" t="s">
        <v>2038</v>
      </c>
      <c r="I124">
        <v>3</v>
      </c>
      <c r="J124">
        <v>3</v>
      </c>
      <c r="K124">
        <v>0</v>
      </c>
      <c r="L124" t="s">
        <v>2042</v>
      </c>
      <c r="M124">
        <v>415</v>
      </c>
      <c r="N124">
        <v>0</v>
      </c>
      <c r="O124">
        <v>0</v>
      </c>
      <c r="P124" s="13">
        <f t="shared" si="7"/>
        <v>1</v>
      </c>
      <c r="Q124" t="str">
        <f t="shared" si="8"/>
        <v>No</v>
      </c>
      <c r="R124" t="str" cm="1">
        <f t="array" ref="R124">_xlfn.IFS(K124=0,"On Time",K124&lt;=2,"Minor",K124&lt;=5,"Major",K124&gt;5,"Severe")</f>
        <v>On Time</v>
      </c>
      <c r="S124">
        <f t="shared" si="9"/>
        <v>0</v>
      </c>
      <c r="T124">
        <f t="shared" si="10"/>
        <v>0</v>
      </c>
      <c r="U124">
        <f t="shared" si="11"/>
        <v>2024</v>
      </c>
      <c r="V124">
        <f t="shared" si="12"/>
        <v>7</v>
      </c>
      <c r="W124" s="11">
        <f t="shared" si="13"/>
        <v>0</v>
      </c>
    </row>
    <row r="125" spans="1:23">
      <c r="A125" t="s">
        <v>138</v>
      </c>
      <c r="B125" s="4">
        <v>45422</v>
      </c>
      <c r="C125" t="s">
        <v>2016</v>
      </c>
      <c r="D125" t="s">
        <v>2021</v>
      </c>
      <c r="E125" t="s">
        <v>2027</v>
      </c>
      <c r="F125" t="s">
        <v>2030</v>
      </c>
      <c r="G125" t="s">
        <v>2037</v>
      </c>
      <c r="H125" t="s">
        <v>2038</v>
      </c>
      <c r="I125">
        <v>1</v>
      </c>
      <c r="J125">
        <v>1</v>
      </c>
      <c r="K125">
        <v>0</v>
      </c>
      <c r="L125" t="s">
        <v>2042</v>
      </c>
      <c r="M125">
        <v>384</v>
      </c>
      <c r="N125">
        <v>0</v>
      </c>
      <c r="O125">
        <v>0</v>
      </c>
      <c r="P125" s="13">
        <f t="shared" si="7"/>
        <v>1</v>
      </c>
      <c r="Q125" t="str">
        <f t="shared" si="8"/>
        <v>No</v>
      </c>
      <c r="R125" t="str" cm="1">
        <f t="array" ref="R125">_xlfn.IFS(K125=0,"On Time",K125&lt;=2,"Minor",K125&lt;=5,"Major",K125&gt;5,"Severe")</f>
        <v>On Time</v>
      </c>
      <c r="S125">
        <f t="shared" si="9"/>
        <v>0</v>
      </c>
      <c r="T125">
        <f t="shared" si="10"/>
        <v>0</v>
      </c>
      <c r="U125">
        <f t="shared" si="11"/>
        <v>2024</v>
      </c>
      <c r="V125">
        <f t="shared" si="12"/>
        <v>5</v>
      </c>
      <c r="W125" s="11">
        <f t="shared" si="13"/>
        <v>0</v>
      </c>
    </row>
    <row r="126" spans="1:23">
      <c r="A126" t="s">
        <v>139</v>
      </c>
      <c r="B126" s="4">
        <v>45396</v>
      </c>
      <c r="C126" t="s">
        <v>2017</v>
      </c>
      <c r="D126" t="s">
        <v>2022</v>
      </c>
      <c r="E126" t="s">
        <v>2027</v>
      </c>
      <c r="F126" t="s">
        <v>2030</v>
      </c>
      <c r="G126" t="s">
        <v>2037</v>
      </c>
      <c r="H126" t="s">
        <v>2040</v>
      </c>
      <c r="I126">
        <v>1</v>
      </c>
      <c r="J126">
        <v>8</v>
      </c>
      <c r="K126">
        <v>7</v>
      </c>
      <c r="L126" t="s">
        <v>2041</v>
      </c>
      <c r="M126">
        <v>137</v>
      </c>
      <c r="N126">
        <v>5719</v>
      </c>
      <c r="O126">
        <v>26831</v>
      </c>
      <c r="P126" s="13">
        <f t="shared" si="7"/>
        <v>0</v>
      </c>
      <c r="Q126" t="str">
        <f t="shared" si="8"/>
        <v>No</v>
      </c>
      <c r="R126" t="str" cm="1">
        <f t="array" ref="R126">_xlfn.IFS(K126=0,"On Time",K126&lt;=2,"Minor",K126&lt;=5,"Major",K126&gt;5,"Severe")</f>
        <v>Severe</v>
      </c>
      <c r="S126">
        <f t="shared" si="9"/>
        <v>3833</v>
      </c>
      <c r="T126">
        <f t="shared" si="10"/>
        <v>817</v>
      </c>
      <c r="U126">
        <f t="shared" si="11"/>
        <v>2024</v>
      </c>
      <c r="V126">
        <f t="shared" si="12"/>
        <v>4</v>
      </c>
      <c r="W126" s="11">
        <f t="shared" si="13"/>
        <v>1</v>
      </c>
    </row>
    <row r="127" spans="1:23">
      <c r="A127" t="s">
        <v>140</v>
      </c>
      <c r="B127" s="4">
        <v>45487</v>
      </c>
      <c r="C127" t="s">
        <v>2018</v>
      </c>
      <c r="D127" t="s">
        <v>2026</v>
      </c>
      <c r="E127" t="s">
        <v>2029</v>
      </c>
      <c r="F127" t="s">
        <v>2031</v>
      </c>
      <c r="G127" t="s">
        <v>2033</v>
      </c>
      <c r="H127" t="s">
        <v>2039</v>
      </c>
      <c r="I127">
        <v>3</v>
      </c>
      <c r="J127">
        <v>8</v>
      </c>
      <c r="K127">
        <v>5</v>
      </c>
      <c r="L127" t="s">
        <v>2041</v>
      </c>
      <c r="M127">
        <v>408</v>
      </c>
      <c r="N127">
        <v>9145</v>
      </c>
      <c r="O127">
        <v>14825</v>
      </c>
      <c r="P127" s="13">
        <f t="shared" si="7"/>
        <v>0</v>
      </c>
      <c r="Q127" t="str">
        <f t="shared" si="8"/>
        <v>No</v>
      </c>
      <c r="R127" t="str" cm="1">
        <f t="array" ref="R127">_xlfn.IFS(K127=0,"On Time",K127&lt;=2,"Minor",K127&lt;=5,"Major",K127&gt;5,"Severe")</f>
        <v>Major</v>
      </c>
      <c r="S127">
        <f t="shared" si="9"/>
        <v>2965</v>
      </c>
      <c r="T127">
        <f t="shared" si="10"/>
        <v>1829</v>
      </c>
      <c r="U127">
        <f t="shared" si="11"/>
        <v>2024</v>
      </c>
      <c r="V127">
        <f t="shared" si="12"/>
        <v>7</v>
      </c>
      <c r="W127" s="11">
        <f t="shared" si="13"/>
        <v>1</v>
      </c>
    </row>
    <row r="128" spans="1:23">
      <c r="A128" t="s">
        <v>141</v>
      </c>
      <c r="B128" s="4">
        <v>45594</v>
      </c>
      <c r="C128" t="s">
        <v>2018</v>
      </c>
      <c r="D128" t="s">
        <v>2026</v>
      </c>
      <c r="E128" t="s">
        <v>2027</v>
      </c>
      <c r="F128" t="s">
        <v>2031</v>
      </c>
      <c r="G128" t="s">
        <v>2035</v>
      </c>
      <c r="H128" t="s">
        <v>2039</v>
      </c>
      <c r="I128">
        <v>5</v>
      </c>
      <c r="J128">
        <v>8</v>
      </c>
      <c r="K128">
        <v>3</v>
      </c>
      <c r="L128" t="s">
        <v>2041</v>
      </c>
      <c r="M128">
        <v>356</v>
      </c>
      <c r="N128">
        <v>4986</v>
      </c>
      <c r="O128">
        <v>12483</v>
      </c>
      <c r="P128" s="13">
        <f t="shared" si="7"/>
        <v>0</v>
      </c>
      <c r="Q128" t="str">
        <f t="shared" si="8"/>
        <v>No</v>
      </c>
      <c r="R128" t="str" cm="1">
        <f t="array" ref="R128">_xlfn.IFS(K128=0,"On Time",K128&lt;=2,"Minor",K128&lt;=5,"Major",K128&gt;5,"Severe")</f>
        <v>Major</v>
      </c>
      <c r="S128">
        <f t="shared" si="9"/>
        <v>4161</v>
      </c>
      <c r="T128">
        <f t="shared" si="10"/>
        <v>1662</v>
      </c>
      <c r="U128">
        <f t="shared" si="11"/>
        <v>2024</v>
      </c>
      <c r="V128">
        <f t="shared" si="12"/>
        <v>10</v>
      </c>
      <c r="W128" s="11">
        <f t="shared" si="13"/>
        <v>1</v>
      </c>
    </row>
    <row r="129" spans="1:23">
      <c r="A129" t="s">
        <v>142</v>
      </c>
      <c r="B129" s="4">
        <v>45302</v>
      </c>
      <c r="C129" t="s">
        <v>2017</v>
      </c>
      <c r="D129" t="s">
        <v>2023</v>
      </c>
      <c r="E129" t="s">
        <v>2029</v>
      </c>
      <c r="F129" t="s">
        <v>2030</v>
      </c>
      <c r="G129" t="s">
        <v>2034</v>
      </c>
      <c r="H129" t="s">
        <v>2039</v>
      </c>
      <c r="I129">
        <v>1</v>
      </c>
      <c r="J129">
        <v>6</v>
      </c>
      <c r="K129">
        <v>5</v>
      </c>
      <c r="L129" t="s">
        <v>2041</v>
      </c>
      <c r="M129">
        <v>198</v>
      </c>
      <c r="N129">
        <v>6270</v>
      </c>
      <c r="O129">
        <v>14595</v>
      </c>
      <c r="P129" s="13">
        <f t="shared" si="7"/>
        <v>0</v>
      </c>
      <c r="Q129" t="str">
        <f t="shared" si="8"/>
        <v>No</v>
      </c>
      <c r="R129" t="str" cm="1">
        <f t="array" ref="R129">_xlfn.IFS(K129=0,"On Time",K129&lt;=2,"Minor",K129&lt;=5,"Major",K129&gt;5,"Severe")</f>
        <v>Major</v>
      </c>
      <c r="S129">
        <f t="shared" si="9"/>
        <v>2919</v>
      </c>
      <c r="T129">
        <f t="shared" si="10"/>
        <v>1254</v>
      </c>
      <c r="U129">
        <f t="shared" si="11"/>
        <v>2024</v>
      </c>
      <c r="V129">
        <f t="shared" si="12"/>
        <v>1</v>
      </c>
      <c r="W129" s="11">
        <f t="shared" si="13"/>
        <v>1</v>
      </c>
    </row>
    <row r="130" spans="1:23">
      <c r="A130" t="s">
        <v>143</v>
      </c>
      <c r="B130" s="4">
        <v>45616</v>
      </c>
      <c r="C130" t="s">
        <v>2015</v>
      </c>
      <c r="D130" t="s">
        <v>2020</v>
      </c>
      <c r="E130" t="s">
        <v>2027</v>
      </c>
      <c r="F130" t="s">
        <v>2032</v>
      </c>
      <c r="G130" t="s">
        <v>2035</v>
      </c>
      <c r="H130" t="s">
        <v>2038</v>
      </c>
      <c r="I130">
        <v>2</v>
      </c>
      <c r="J130">
        <v>5</v>
      </c>
      <c r="K130">
        <v>3</v>
      </c>
      <c r="L130" t="s">
        <v>2041</v>
      </c>
      <c r="M130">
        <v>459</v>
      </c>
      <c r="N130">
        <v>5850</v>
      </c>
      <c r="O130">
        <v>9744</v>
      </c>
      <c r="P130" s="13">
        <f t="shared" si="7"/>
        <v>0</v>
      </c>
      <c r="Q130" t="str">
        <f t="shared" si="8"/>
        <v>No</v>
      </c>
      <c r="R130" t="str" cm="1">
        <f t="array" ref="R130">_xlfn.IFS(K130=0,"On Time",K130&lt;=2,"Minor",K130&lt;=5,"Major",K130&gt;5,"Severe")</f>
        <v>Major</v>
      </c>
      <c r="S130">
        <f t="shared" si="9"/>
        <v>3248</v>
      </c>
      <c r="T130">
        <f t="shared" si="10"/>
        <v>1950</v>
      </c>
      <c r="U130">
        <f t="shared" si="11"/>
        <v>2024</v>
      </c>
      <c r="V130">
        <f t="shared" si="12"/>
        <v>11</v>
      </c>
      <c r="W130" s="11">
        <f t="shared" si="13"/>
        <v>1</v>
      </c>
    </row>
    <row r="131" spans="1:23">
      <c r="A131" t="s">
        <v>144</v>
      </c>
      <c r="B131" s="4">
        <v>45499</v>
      </c>
      <c r="C131" t="s">
        <v>2017</v>
      </c>
      <c r="D131" t="s">
        <v>2022</v>
      </c>
      <c r="E131" t="s">
        <v>2029</v>
      </c>
      <c r="F131" t="s">
        <v>2030</v>
      </c>
      <c r="G131" t="s">
        <v>2037</v>
      </c>
      <c r="H131" t="s">
        <v>2038</v>
      </c>
      <c r="I131">
        <v>3</v>
      </c>
      <c r="J131">
        <v>6</v>
      </c>
      <c r="K131">
        <v>3</v>
      </c>
      <c r="L131" t="s">
        <v>2041</v>
      </c>
      <c r="M131">
        <v>496</v>
      </c>
      <c r="N131">
        <v>5592</v>
      </c>
      <c r="O131">
        <v>12102</v>
      </c>
      <c r="P131" s="13">
        <f t="shared" ref="P131:P194" si="14">IF(L131="Yes",0,1)</f>
        <v>0</v>
      </c>
      <c r="Q131" t="str">
        <f t="shared" ref="Q131:Q194" si="15">IF(K131&gt;J131,"Yes","No")</f>
        <v>No</v>
      </c>
      <c r="R131" t="str" cm="1">
        <f t="array" ref="R131">_xlfn.IFS(K131=0,"On Time",K131&lt;=2,"Minor",K131&lt;=5,"Major",K131&gt;5,"Severe")</f>
        <v>Major</v>
      </c>
      <c r="S131">
        <f t="shared" ref="S131:S194" si="16">IFERROR(O131/K131,0)</f>
        <v>4034</v>
      </c>
      <c r="T131">
        <f t="shared" ref="T131:T194" si="17">IFERROR(N131/K131,0)</f>
        <v>1864</v>
      </c>
      <c r="U131">
        <f t="shared" ref="U131:U194" si="18">YEAR(B131)</f>
        <v>2024</v>
      </c>
      <c r="V131">
        <f t="shared" ref="V131:V194" si="19">MONTH(B131)</f>
        <v>7</v>
      </c>
      <c r="W131" s="11">
        <f t="shared" ref="W131:W194" si="20">IF(L131="Yes",1,0)</f>
        <v>1</v>
      </c>
    </row>
    <row r="132" spans="1:23">
      <c r="A132" t="s">
        <v>145</v>
      </c>
      <c r="B132" s="4">
        <v>45315</v>
      </c>
      <c r="C132" t="s">
        <v>2017</v>
      </c>
      <c r="D132" t="s">
        <v>2023</v>
      </c>
      <c r="E132" t="s">
        <v>2028</v>
      </c>
      <c r="F132" t="s">
        <v>2031</v>
      </c>
      <c r="G132" t="s">
        <v>2033</v>
      </c>
      <c r="H132" t="s">
        <v>2039</v>
      </c>
      <c r="I132">
        <v>1</v>
      </c>
      <c r="J132">
        <v>3</v>
      </c>
      <c r="K132">
        <v>2</v>
      </c>
      <c r="L132" t="s">
        <v>2041</v>
      </c>
      <c r="M132">
        <v>89</v>
      </c>
      <c r="N132">
        <v>4626</v>
      </c>
      <c r="O132">
        <v>6408</v>
      </c>
      <c r="P132" s="13">
        <f t="shared" si="14"/>
        <v>0</v>
      </c>
      <c r="Q132" t="str">
        <f t="shared" si="15"/>
        <v>No</v>
      </c>
      <c r="R132" t="str" cm="1">
        <f t="array" ref="R132">_xlfn.IFS(K132=0,"On Time",K132&lt;=2,"Minor",K132&lt;=5,"Major",K132&gt;5,"Severe")</f>
        <v>Minor</v>
      </c>
      <c r="S132">
        <f t="shared" si="16"/>
        <v>3204</v>
      </c>
      <c r="T132">
        <f t="shared" si="17"/>
        <v>2313</v>
      </c>
      <c r="U132">
        <f t="shared" si="18"/>
        <v>2024</v>
      </c>
      <c r="V132">
        <f t="shared" si="19"/>
        <v>1</v>
      </c>
      <c r="W132" s="11">
        <f t="shared" si="20"/>
        <v>1</v>
      </c>
    </row>
    <row r="133" spans="1:23">
      <c r="A133" t="s">
        <v>146</v>
      </c>
      <c r="B133" s="4">
        <v>45432</v>
      </c>
      <c r="C133" t="s">
        <v>2018</v>
      </c>
      <c r="D133" t="s">
        <v>2024</v>
      </c>
      <c r="E133" t="s">
        <v>2029</v>
      </c>
      <c r="F133" t="s">
        <v>2030</v>
      </c>
      <c r="G133" t="s">
        <v>2034</v>
      </c>
      <c r="H133" t="s">
        <v>2040</v>
      </c>
      <c r="I133">
        <v>2</v>
      </c>
      <c r="J133">
        <v>9</v>
      </c>
      <c r="K133">
        <v>7</v>
      </c>
      <c r="L133" t="s">
        <v>2041</v>
      </c>
      <c r="M133">
        <v>58</v>
      </c>
      <c r="N133">
        <v>13412</v>
      </c>
      <c r="O133">
        <v>15673</v>
      </c>
      <c r="P133" s="13">
        <f t="shared" si="14"/>
        <v>0</v>
      </c>
      <c r="Q133" t="str">
        <f t="shared" si="15"/>
        <v>No</v>
      </c>
      <c r="R133" t="str" cm="1">
        <f t="array" ref="R133">_xlfn.IFS(K133=0,"On Time",K133&lt;=2,"Minor",K133&lt;=5,"Major",K133&gt;5,"Severe")</f>
        <v>Severe</v>
      </c>
      <c r="S133">
        <f t="shared" si="16"/>
        <v>2239</v>
      </c>
      <c r="T133">
        <f t="shared" si="17"/>
        <v>1916</v>
      </c>
      <c r="U133">
        <f t="shared" si="18"/>
        <v>2024</v>
      </c>
      <c r="V133">
        <f t="shared" si="19"/>
        <v>5</v>
      </c>
      <c r="W133" s="11">
        <f t="shared" si="20"/>
        <v>1</v>
      </c>
    </row>
    <row r="134" spans="1:23">
      <c r="A134" t="s">
        <v>147</v>
      </c>
      <c r="B134" s="4">
        <v>45374</v>
      </c>
      <c r="C134" t="s">
        <v>2017</v>
      </c>
      <c r="D134" t="s">
        <v>2023</v>
      </c>
      <c r="E134" t="s">
        <v>2027</v>
      </c>
      <c r="F134" t="s">
        <v>2032</v>
      </c>
      <c r="G134" t="s">
        <v>2035</v>
      </c>
      <c r="H134" t="s">
        <v>2040</v>
      </c>
      <c r="I134">
        <v>3</v>
      </c>
      <c r="J134">
        <v>11</v>
      </c>
      <c r="K134">
        <v>8</v>
      </c>
      <c r="L134" t="s">
        <v>2041</v>
      </c>
      <c r="M134">
        <v>273</v>
      </c>
      <c r="N134">
        <v>18600</v>
      </c>
      <c r="O134">
        <v>38832</v>
      </c>
      <c r="P134" s="13">
        <f t="shared" si="14"/>
        <v>0</v>
      </c>
      <c r="Q134" t="str">
        <f t="shared" si="15"/>
        <v>No</v>
      </c>
      <c r="R134" t="str" cm="1">
        <f t="array" ref="R134">_xlfn.IFS(K134=0,"On Time",K134&lt;=2,"Minor",K134&lt;=5,"Major",K134&gt;5,"Severe")</f>
        <v>Severe</v>
      </c>
      <c r="S134">
        <f t="shared" si="16"/>
        <v>4854</v>
      </c>
      <c r="T134">
        <f t="shared" si="17"/>
        <v>2325</v>
      </c>
      <c r="U134">
        <f t="shared" si="18"/>
        <v>2024</v>
      </c>
      <c r="V134">
        <f t="shared" si="19"/>
        <v>3</v>
      </c>
      <c r="W134" s="11">
        <f t="shared" si="20"/>
        <v>1</v>
      </c>
    </row>
    <row r="135" spans="1:23">
      <c r="A135" t="s">
        <v>148</v>
      </c>
      <c r="B135" s="4">
        <v>45469</v>
      </c>
      <c r="C135" t="s">
        <v>2015</v>
      </c>
      <c r="D135" t="s">
        <v>2019</v>
      </c>
      <c r="E135" t="s">
        <v>2027</v>
      </c>
      <c r="F135" t="s">
        <v>2030</v>
      </c>
      <c r="G135" t="s">
        <v>2035</v>
      </c>
      <c r="H135" t="s">
        <v>2038</v>
      </c>
      <c r="I135">
        <v>1</v>
      </c>
      <c r="J135">
        <v>4</v>
      </c>
      <c r="K135">
        <v>3</v>
      </c>
      <c r="L135" t="s">
        <v>2041</v>
      </c>
      <c r="M135">
        <v>243</v>
      </c>
      <c r="N135">
        <v>3570</v>
      </c>
      <c r="O135">
        <v>5001</v>
      </c>
      <c r="P135" s="13">
        <f t="shared" si="14"/>
        <v>0</v>
      </c>
      <c r="Q135" t="str">
        <f t="shared" si="15"/>
        <v>No</v>
      </c>
      <c r="R135" t="str" cm="1">
        <f t="array" ref="R135">_xlfn.IFS(K135=0,"On Time",K135&lt;=2,"Minor",K135&lt;=5,"Major",K135&gt;5,"Severe")</f>
        <v>Major</v>
      </c>
      <c r="S135">
        <f t="shared" si="16"/>
        <v>1667</v>
      </c>
      <c r="T135">
        <f t="shared" si="17"/>
        <v>1190</v>
      </c>
      <c r="U135">
        <f t="shared" si="18"/>
        <v>2024</v>
      </c>
      <c r="V135">
        <f t="shared" si="19"/>
        <v>6</v>
      </c>
      <c r="W135" s="11">
        <f t="shared" si="20"/>
        <v>1</v>
      </c>
    </row>
    <row r="136" spans="1:23">
      <c r="A136" t="s">
        <v>149</v>
      </c>
      <c r="B136" s="4">
        <v>45363</v>
      </c>
      <c r="C136" t="s">
        <v>2016</v>
      </c>
      <c r="D136" t="s">
        <v>2021</v>
      </c>
      <c r="E136" t="s">
        <v>2029</v>
      </c>
      <c r="F136" t="s">
        <v>2032</v>
      </c>
      <c r="G136" t="s">
        <v>2036</v>
      </c>
      <c r="H136" t="s">
        <v>2038</v>
      </c>
      <c r="I136">
        <v>2</v>
      </c>
      <c r="J136">
        <v>4</v>
      </c>
      <c r="K136">
        <v>2</v>
      </c>
      <c r="L136" t="s">
        <v>2041</v>
      </c>
      <c r="M136">
        <v>465</v>
      </c>
      <c r="N136">
        <v>2498</v>
      </c>
      <c r="O136">
        <v>9136</v>
      </c>
      <c r="P136" s="13">
        <f t="shared" si="14"/>
        <v>0</v>
      </c>
      <c r="Q136" t="str">
        <f t="shared" si="15"/>
        <v>No</v>
      </c>
      <c r="R136" t="str" cm="1">
        <f t="array" ref="R136">_xlfn.IFS(K136=0,"On Time",K136&lt;=2,"Minor",K136&lt;=5,"Major",K136&gt;5,"Severe")</f>
        <v>Minor</v>
      </c>
      <c r="S136">
        <f t="shared" si="16"/>
        <v>4568</v>
      </c>
      <c r="T136">
        <f t="shared" si="17"/>
        <v>1249</v>
      </c>
      <c r="U136">
        <f t="shared" si="18"/>
        <v>2024</v>
      </c>
      <c r="V136">
        <f t="shared" si="19"/>
        <v>3</v>
      </c>
      <c r="W136" s="11">
        <f t="shared" si="20"/>
        <v>1</v>
      </c>
    </row>
    <row r="137" spans="1:23">
      <c r="A137" t="s">
        <v>150</v>
      </c>
      <c r="B137" s="4">
        <v>45349</v>
      </c>
      <c r="C137" t="s">
        <v>2017</v>
      </c>
      <c r="D137" t="s">
        <v>2023</v>
      </c>
      <c r="E137" t="s">
        <v>2029</v>
      </c>
      <c r="F137" t="s">
        <v>2031</v>
      </c>
      <c r="G137" t="s">
        <v>2035</v>
      </c>
      <c r="H137" t="s">
        <v>2039</v>
      </c>
      <c r="I137">
        <v>3</v>
      </c>
      <c r="J137">
        <v>4</v>
      </c>
      <c r="K137">
        <v>1</v>
      </c>
      <c r="L137" t="s">
        <v>2041</v>
      </c>
      <c r="M137">
        <v>295</v>
      </c>
      <c r="N137">
        <v>1576</v>
      </c>
      <c r="O137">
        <v>2003</v>
      </c>
      <c r="P137" s="13">
        <f t="shared" si="14"/>
        <v>0</v>
      </c>
      <c r="Q137" t="str">
        <f t="shared" si="15"/>
        <v>No</v>
      </c>
      <c r="R137" t="str" cm="1">
        <f t="array" ref="R137">_xlfn.IFS(K137=0,"On Time",K137&lt;=2,"Minor",K137&lt;=5,"Major",K137&gt;5,"Severe")</f>
        <v>Minor</v>
      </c>
      <c r="S137">
        <f t="shared" si="16"/>
        <v>2003</v>
      </c>
      <c r="T137">
        <f t="shared" si="17"/>
        <v>1576</v>
      </c>
      <c r="U137">
        <f t="shared" si="18"/>
        <v>2024</v>
      </c>
      <c r="V137">
        <f t="shared" si="19"/>
        <v>2</v>
      </c>
      <c r="W137" s="11">
        <f t="shared" si="20"/>
        <v>1</v>
      </c>
    </row>
    <row r="138" spans="1:23">
      <c r="A138" t="s">
        <v>151</v>
      </c>
      <c r="B138" s="4">
        <v>45307</v>
      </c>
      <c r="C138" t="s">
        <v>2016</v>
      </c>
      <c r="D138" t="s">
        <v>2025</v>
      </c>
      <c r="E138" t="s">
        <v>2029</v>
      </c>
      <c r="F138" t="s">
        <v>2030</v>
      </c>
      <c r="G138" t="s">
        <v>2033</v>
      </c>
      <c r="H138" t="s">
        <v>2038</v>
      </c>
      <c r="I138">
        <v>2</v>
      </c>
      <c r="J138">
        <v>3</v>
      </c>
      <c r="K138">
        <v>1</v>
      </c>
      <c r="L138" t="s">
        <v>2041</v>
      </c>
      <c r="M138">
        <v>391</v>
      </c>
      <c r="N138">
        <v>2140</v>
      </c>
      <c r="O138">
        <v>4852</v>
      </c>
      <c r="P138" s="13">
        <f t="shared" si="14"/>
        <v>0</v>
      </c>
      <c r="Q138" t="str">
        <f t="shared" si="15"/>
        <v>No</v>
      </c>
      <c r="R138" t="str" cm="1">
        <f t="array" ref="R138">_xlfn.IFS(K138=0,"On Time",K138&lt;=2,"Minor",K138&lt;=5,"Major",K138&gt;5,"Severe")</f>
        <v>Minor</v>
      </c>
      <c r="S138">
        <f t="shared" si="16"/>
        <v>4852</v>
      </c>
      <c r="T138">
        <f t="shared" si="17"/>
        <v>2140</v>
      </c>
      <c r="U138">
        <f t="shared" si="18"/>
        <v>2024</v>
      </c>
      <c r="V138">
        <f t="shared" si="19"/>
        <v>1</v>
      </c>
      <c r="W138" s="11">
        <f t="shared" si="20"/>
        <v>1</v>
      </c>
    </row>
    <row r="139" spans="1:23">
      <c r="A139" t="s">
        <v>152</v>
      </c>
      <c r="B139" s="4">
        <v>45405</v>
      </c>
      <c r="C139" t="s">
        <v>2017</v>
      </c>
      <c r="D139" t="s">
        <v>2022</v>
      </c>
      <c r="E139" t="s">
        <v>2027</v>
      </c>
      <c r="F139" t="s">
        <v>2032</v>
      </c>
      <c r="G139" t="s">
        <v>2033</v>
      </c>
      <c r="H139" t="s">
        <v>2039</v>
      </c>
      <c r="I139">
        <v>1</v>
      </c>
      <c r="J139">
        <v>3</v>
      </c>
      <c r="K139">
        <v>2</v>
      </c>
      <c r="L139" t="s">
        <v>2041</v>
      </c>
      <c r="M139">
        <v>224</v>
      </c>
      <c r="N139">
        <v>4554</v>
      </c>
      <c r="O139">
        <v>8066</v>
      </c>
      <c r="P139" s="13">
        <f t="shared" si="14"/>
        <v>0</v>
      </c>
      <c r="Q139" t="str">
        <f t="shared" si="15"/>
        <v>No</v>
      </c>
      <c r="R139" t="str" cm="1">
        <f t="array" ref="R139">_xlfn.IFS(K139=0,"On Time",K139&lt;=2,"Minor",K139&lt;=5,"Major",K139&gt;5,"Severe")</f>
        <v>Minor</v>
      </c>
      <c r="S139">
        <f t="shared" si="16"/>
        <v>4033</v>
      </c>
      <c r="T139">
        <f t="shared" si="17"/>
        <v>2277</v>
      </c>
      <c r="U139">
        <f t="shared" si="18"/>
        <v>2024</v>
      </c>
      <c r="V139">
        <f t="shared" si="19"/>
        <v>4</v>
      </c>
      <c r="W139" s="11">
        <f t="shared" si="20"/>
        <v>1</v>
      </c>
    </row>
    <row r="140" spans="1:23">
      <c r="A140" t="s">
        <v>153</v>
      </c>
      <c r="B140" s="4">
        <v>45544</v>
      </c>
      <c r="C140" t="s">
        <v>2018</v>
      </c>
      <c r="D140" t="s">
        <v>2024</v>
      </c>
      <c r="E140" t="s">
        <v>2029</v>
      </c>
      <c r="F140" t="s">
        <v>2031</v>
      </c>
      <c r="G140" t="s">
        <v>2033</v>
      </c>
      <c r="H140" t="s">
        <v>2038</v>
      </c>
      <c r="I140">
        <v>1</v>
      </c>
      <c r="J140">
        <v>1</v>
      </c>
      <c r="K140">
        <v>0</v>
      </c>
      <c r="L140" t="s">
        <v>2042</v>
      </c>
      <c r="M140">
        <v>339</v>
      </c>
      <c r="N140">
        <v>0</v>
      </c>
      <c r="O140">
        <v>0</v>
      </c>
      <c r="P140" s="13">
        <f t="shared" si="14"/>
        <v>1</v>
      </c>
      <c r="Q140" t="str">
        <f t="shared" si="15"/>
        <v>No</v>
      </c>
      <c r="R140" t="str" cm="1">
        <f t="array" ref="R140">_xlfn.IFS(K140=0,"On Time",K140&lt;=2,"Minor",K140&lt;=5,"Major",K140&gt;5,"Severe")</f>
        <v>On Time</v>
      </c>
      <c r="S140">
        <f t="shared" si="16"/>
        <v>0</v>
      </c>
      <c r="T140">
        <f t="shared" si="17"/>
        <v>0</v>
      </c>
      <c r="U140">
        <f t="shared" si="18"/>
        <v>2024</v>
      </c>
      <c r="V140">
        <f t="shared" si="19"/>
        <v>9</v>
      </c>
      <c r="W140" s="11">
        <f t="shared" si="20"/>
        <v>0</v>
      </c>
    </row>
    <row r="141" spans="1:23">
      <c r="A141" t="s">
        <v>154</v>
      </c>
      <c r="B141" s="4">
        <v>45648</v>
      </c>
      <c r="C141" t="s">
        <v>2015</v>
      </c>
      <c r="D141" t="s">
        <v>2020</v>
      </c>
      <c r="E141" t="s">
        <v>2028</v>
      </c>
      <c r="F141" t="s">
        <v>2031</v>
      </c>
      <c r="G141" t="s">
        <v>2035</v>
      </c>
      <c r="H141" t="s">
        <v>2038</v>
      </c>
      <c r="I141">
        <v>2</v>
      </c>
      <c r="J141">
        <v>4</v>
      </c>
      <c r="K141">
        <v>2</v>
      </c>
      <c r="L141" t="s">
        <v>2041</v>
      </c>
      <c r="M141">
        <v>455</v>
      </c>
      <c r="N141">
        <v>4456</v>
      </c>
      <c r="O141">
        <v>7708</v>
      </c>
      <c r="P141" s="13">
        <f t="shared" si="14"/>
        <v>0</v>
      </c>
      <c r="Q141" t="str">
        <f t="shared" si="15"/>
        <v>No</v>
      </c>
      <c r="R141" t="str" cm="1">
        <f t="array" ref="R141">_xlfn.IFS(K141=0,"On Time",K141&lt;=2,"Minor",K141&lt;=5,"Major",K141&gt;5,"Severe")</f>
        <v>Minor</v>
      </c>
      <c r="S141">
        <f t="shared" si="16"/>
        <v>3854</v>
      </c>
      <c r="T141">
        <f t="shared" si="17"/>
        <v>2228</v>
      </c>
      <c r="U141">
        <f t="shared" si="18"/>
        <v>2024</v>
      </c>
      <c r="V141">
        <f t="shared" si="19"/>
        <v>12</v>
      </c>
      <c r="W141" s="11">
        <f t="shared" si="20"/>
        <v>1</v>
      </c>
    </row>
    <row r="142" spans="1:23">
      <c r="A142" t="s">
        <v>155</v>
      </c>
      <c r="B142" s="4">
        <v>45617</v>
      </c>
      <c r="C142" t="s">
        <v>2018</v>
      </c>
      <c r="D142" t="s">
        <v>2024</v>
      </c>
      <c r="E142" t="s">
        <v>2029</v>
      </c>
      <c r="F142" t="s">
        <v>2030</v>
      </c>
      <c r="G142" t="s">
        <v>2036</v>
      </c>
      <c r="H142" t="s">
        <v>2039</v>
      </c>
      <c r="I142">
        <v>2</v>
      </c>
      <c r="J142">
        <v>4</v>
      </c>
      <c r="K142">
        <v>2</v>
      </c>
      <c r="L142" t="s">
        <v>2041</v>
      </c>
      <c r="M142">
        <v>340</v>
      </c>
      <c r="N142">
        <v>2092</v>
      </c>
      <c r="O142">
        <v>5198</v>
      </c>
      <c r="P142" s="13">
        <f t="shared" si="14"/>
        <v>0</v>
      </c>
      <c r="Q142" t="str">
        <f t="shared" si="15"/>
        <v>No</v>
      </c>
      <c r="R142" t="str" cm="1">
        <f t="array" ref="R142">_xlfn.IFS(K142=0,"On Time",K142&lt;=2,"Minor",K142&lt;=5,"Major",K142&gt;5,"Severe")</f>
        <v>Minor</v>
      </c>
      <c r="S142">
        <f t="shared" si="16"/>
        <v>2599</v>
      </c>
      <c r="T142">
        <f t="shared" si="17"/>
        <v>1046</v>
      </c>
      <c r="U142">
        <f t="shared" si="18"/>
        <v>2024</v>
      </c>
      <c r="V142">
        <f t="shared" si="19"/>
        <v>11</v>
      </c>
      <c r="W142" s="11">
        <f t="shared" si="20"/>
        <v>1</v>
      </c>
    </row>
    <row r="143" spans="1:23">
      <c r="A143" t="s">
        <v>156</v>
      </c>
      <c r="B143" s="4">
        <v>45344</v>
      </c>
      <c r="C143" t="s">
        <v>2016</v>
      </c>
      <c r="D143" t="s">
        <v>2025</v>
      </c>
      <c r="E143" t="s">
        <v>2028</v>
      </c>
      <c r="F143" t="s">
        <v>2031</v>
      </c>
      <c r="G143" t="s">
        <v>2034</v>
      </c>
      <c r="H143" t="s">
        <v>2039</v>
      </c>
      <c r="I143">
        <v>1</v>
      </c>
      <c r="J143">
        <v>5</v>
      </c>
      <c r="K143">
        <v>4</v>
      </c>
      <c r="L143" t="s">
        <v>2041</v>
      </c>
      <c r="M143">
        <v>177</v>
      </c>
      <c r="N143">
        <v>7604</v>
      </c>
      <c r="O143">
        <v>17100</v>
      </c>
      <c r="P143" s="13">
        <f t="shared" si="14"/>
        <v>0</v>
      </c>
      <c r="Q143" t="str">
        <f t="shared" si="15"/>
        <v>No</v>
      </c>
      <c r="R143" t="str" cm="1">
        <f t="array" ref="R143">_xlfn.IFS(K143=0,"On Time",K143&lt;=2,"Minor",K143&lt;=5,"Major",K143&gt;5,"Severe")</f>
        <v>Major</v>
      </c>
      <c r="S143">
        <f t="shared" si="16"/>
        <v>4275</v>
      </c>
      <c r="T143">
        <f t="shared" si="17"/>
        <v>1901</v>
      </c>
      <c r="U143">
        <f t="shared" si="18"/>
        <v>2024</v>
      </c>
      <c r="V143">
        <f t="shared" si="19"/>
        <v>2</v>
      </c>
      <c r="W143" s="11">
        <f t="shared" si="20"/>
        <v>1</v>
      </c>
    </row>
    <row r="144" spans="1:23">
      <c r="A144" t="s">
        <v>157</v>
      </c>
      <c r="B144" s="4">
        <v>45428</v>
      </c>
      <c r="C144" t="s">
        <v>2018</v>
      </c>
      <c r="D144" t="s">
        <v>2024</v>
      </c>
      <c r="E144" t="s">
        <v>2029</v>
      </c>
      <c r="F144" t="s">
        <v>2031</v>
      </c>
      <c r="G144" t="s">
        <v>2033</v>
      </c>
      <c r="H144" t="s">
        <v>2040</v>
      </c>
      <c r="I144">
        <v>3</v>
      </c>
      <c r="J144">
        <v>8</v>
      </c>
      <c r="K144">
        <v>5</v>
      </c>
      <c r="L144" t="s">
        <v>2041</v>
      </c>
      <c r="M144">
        <v>397</v>
      </c>
      <c r="N144">
        <v>9200</v>
      </c>
      <c r="O144">
        <v>15095</v>
      </c>
      <c r="P144" s="13">
        <f t="shared" si="14"/>
        <v>0</v>
      </c>
      <c r="Q144" t="str">
        <f t="shared" si="15"/>
        <v>No</v>
      </c>
      <c r="R144" t="str" cm="1">
        <f t="array" ref="R144">_xlfn.IFS(K144=0,"On Time",K144&lt;=2,"Minor",K144&lt;=5,"Major",K144&gt;5,"Severe")</f>
        <v>Major</v>
      </c>
      <c r="S144">
        <f t="shared" si="16"/>
        <v>3019</v>
      </c>
      <c r="T144">
        <f t="shared" si="17"/>
        <v>1840</v>
      </c>
      <c r="U144">
        <f t="shared" si="18"/>
        <v>2024</v>
      </c>
      <c r="V144">
        <f t="shared" si="19"/>
        <v>5</v>
      </c>
      <c r="W144" s="11">
        <f t="shared" si="20"/>
        <v>1</v>
      </c>
    </row>
    <row r="145" spans="1:23">
      <c r="A145" t="s">
        <v>158</v>
      </c>
      <c r="B145" s="4">
        <v>45620</v>
      </c>
      <c r="C145" t="s">
        <v>2017</v>
      </c>
      <c r="D145" t="s">
        <v>2023</v>
      </c>
      <c r="E145" t="s">
        <v>2027</v>
      </c>
      <c r="F145" t="s">
        <v>2032</v>
      </c>
      <c r="G145" t="s">
        <v>2034</v>
      </c>
      <c r="H145" t="s">
        <v>2039</v>
      </c>
      <c r="I145">
        <v>3</v>
      </c>
      <c r="J145">
        <v>7</v>
      </c>
      <c r="K145">
        <v>4</v>
      </c>
      <c r="L145" t="s">
        <v>2041</v>
      </c>
      <c r="M145">
        <v>283</v>
      </c>
      <c r="N145">
        <v>8404</v>
      </c>
      <c r="O145">
        <v>11596</v>
      </c>
      <c r="P145" s="13">
        <f t="shared" si="14"/>
        <v>0</v>
      </c>
      <c r="Q145" t="str">
        <f t="shared" si="15"/>
        <v>No</v>
      </c>
      <c r="R145" t="str" cm="1">
        <f t="array" ref="R145">_xlfn.IFS(K145=0,"On Time",K145&lt;=2,"Minor",K145&lt;=5,"Major",K145&gt;5,"Severe")</f>
        <v>Major</v>
      </c>
      <c r="S145">
        <f t="shared" si="16"/>
        <v>2899</v>
      </c>
      <c r="T145">
        <f t="shared" si="17"/>
        <v>2101</v>
      </c>
      <c r="U145">
        <f t="shared" si="18"/>
        <v>2024</v>
      </c>
      <c r="V145">
        <f t="shared" si="19"/>
        <v>11</v>
      </c>
      <c r="W145" s="11">
        <f t="shared" si="20"/>
        <v>1</v>
      </c>
    </row>
    <row r="146" spans="1:23">
      <c r="A146" t="s">
        <v>159</v>
      </c>
      <c r="B146" s="4">
        <v>45651</v>
      </c>
      <c r="C146" t="s">
        <v>2016</v>
      </c>
      <c r="D146" t="s">
        <v>2025</v>
      </c>
      <c r="E146" t="s">
        <v>2029</v>
      </c>
      <c r="F146" t="s">
        <v>2031</v>
      </c>
      <c r="G146" t="s">
        <v>2035</v>
      </c>
      <c r="H146" t="s">
        <v>2039</v>
      </c>
      <c r="I146">
        <v>1</v>
      </c>
      <c r="J146">
        <v>1</v>
      </c>
      <c r="K146">
        <v>0</v>
      </c>
      <c r="L146" t="s">
        <v>2042</v>
      </c>
      <c r="M146">
        <v>130</v>
      </c>
      <c r="N146">
        <v>0</v>
      </c>
      <c r="O146">
        <v>0</v>
      </c>
      <c r="P146" s="13">
        <f t="shared" si="14"/>
        <v>1</v>
      </c>
      <c r="Q146" t="str">
        <f t="shared" si="15"/>
        <v>No</v>
      </c>
      <c r="R146" t="str" cm="1">
        <f t="array" ref="R146">_xlfn.IFS(K146=0,"On Time",K146&lt;=2,"Minor",K146&lt;=5,"Major",K146&gt;5,"Severe")</f>
        <v>On Time</v>
      </c>
      <c r="S146">
        <f t="shared" si="16"/>
        <v>0</v>
      </c>
      <c r="T146">
        <f t="shared" si="17"/>
        <v>0</v>
      </c>
      <c r="U146">
        <f t="shared" si="18"/>
        <v>2024</v>
      </c>
      <c r="V146">
        <f t="shared" si="19"/>
        <v>12</v>
      </c>
      <c r="W146" s="11">
        <f t="shared" si="20"/>
        <v>0</v>
      </c>
    </row>
    <row r="147" spans="1:23">
      <c r="A147" t="s">
        <v>160</v>
      </c>
      <c r="B147" s="4">
        <v>45559</v>
      </c>
      <c r="C147" t="s">
        <v>2015</v>
      </c>
      <c r="D147" t="s">
        <v>2019</v>
      </c>
      <c r="E147" t="s">
        <v>2028</v>
      </c>
      <c r="F147" t="s">
        <v>2031</v>
      </c>
      <c r="G147" t="s">
        <v>2036</v>
      </c>
      <c r="H147" t="s">
        <v>2038</v>
      </c>
      <c r="I147">
        <v>2</v>
      </c>
      <c r="J147">
        <v>2</v>
      </c>
      <c r="K147">
        <v>0</v>
      </c>
      <c r="L147" t="s">
        <v>2042</v>
      </c>
      <c r="M147">
        <v>421</v>
      </c>
      <c r="N147">
        <v>0</v>
      </c>
      <c r="O147">
        <v>0</v>
      </c>
      <c r="P147" s="13">
        <f t="shared" si="14"/>
        <v>1</v>
      </c>
      <c r="Q147" t="str">
        <f t="shared" si="15"/>
        <v>No</v>
      </c>
      <c r="R147" t="str" cm="1">
        <f t="array" ref="R147">_xlfn.IFS(K147=0,"On Time",K147&lt;=2,"Minor",K147&lt;=5,"Major",K147&gt;5,"Severe")</f>
        <v>On Time</v>
      </c>
      <c r="S147">
        <f t="shared" si="16"/>
        <v>0</v>
      </c>
      <c r="T147">
        <f t="shared" si="17"/>
        <v>0</v>
      </c>
      <c r="U147">
        <f t="shared" si="18"/>
        <v>2024</v>
      </c>
      <c r="V147">
        <f t="shared" si="19"/>
        <v>9</v>
      </c>
      <c r="W147" s="11">
        <f t="shared" si="20"/>
        <v>0</v>
      </c>
    </row>
    <row r="148" spans="1:23">
      <c r="A148" t="s">
        <v>161</v>
      </c>
      <c r="B148" s="4">
        <v>45568</v>
      </c>
      <c r="C148" t="s">
        <v>2018</v>
      </c>
      <c r="D148" t="s">
        <v>2024</v>
      </c>
      <c r="E148" t="s">
        <v>2028</v>
      </c>
      <c r="F148" t="s">
        <v>2031</v>
      </c>
      <c r="G148" t="s">
        <v>2035</v>
      </c>
      <c r="H148" t="s">
        <v>2039</v>
      </c>
      <c r="I148">
        <v>3</v>
      </c>
      <c r="J148">
        <v>7</v>
      </c>
      <c r="K148">
        <v>4</v>
      </c>
      <c r="L148" t="s">
        <v>2041</v>
      </c>
      <c r="M148">
        <v>238</v>
      </c>
      <c r="N148">
        <v>7972</v>
      </c>
      <c r="O148">
        <v>14152</v>
      </c>
      <c r="P148" s="13">
        <f t="shared" si="14"/>
        <v>0</v>
      </c>
      <c r="Q148" t="str">
        <f t="shared" si="15"/>
        <v>No</v>
      </c>
      <c r="R148" t="str" cm="1">
        <f t="array" ref="R148">_xlfn.IFS(K148=0,"On Time",K148&lt;=2,"Minor",K148&lt;=5,"Major",K148&gt;5,"Severe")</f>
        <v>Major</v>
      </c>
      <c r="S148">
        <f t="shared" si="16"/>
        <v>3538</v>
      </c>
      <c r="T148">
        <f t="shared" si="17"/>
        <v>1993</v>
      </c>
      <c r="U148">
        <f t="shared" si="18"/>
        <v>2024</v>
      </c>
      <c r="V148">
        <f t="shared" si="19"/>
        <v>10</v>
      </c>
      <c r="W148" s="11">
        <f t="shared" si="20"/>
        <v>1</v>
      </c>
    </row>
    <row r="149" spans="1:23">
      <c r="A149" t="s">
        <v>162</v>
      </c>
      <c r="B149" s="4">
        <v>45306</v>
      </c>
      <c r="C149" t="s">
        <v>2018</v>
      </c>
      <c r="D149" t="s">
        <v>2026</v>
      </c>
      <c r="E149" t="s">
        <v>2029</v>
      </c>
      <c r="F149" t="s">
        <v>2030</v>
      </c>
      <c r="G149" t="s">
        <v>2037</v>
      </c>
      <c r="H149" t="s">
        <v>2038</v>
      </c>
      <c r="I149">
        <v>2</v>
      </c>
      <c r="J149">
        <v>6</v>
      </c>
      <c r="K149">
        <v>4</v>
      </c>
      <c r="L149" t="s">
        <v>2041</v>
      </c>
      <c r="M149">
        <v>407</v>
      </c>
      <c r="N149">
        <v>6324</v>
      </c>
      <c r="O149">
        <v>17728</v>
      </c>
      <c r="P149" s="13">
        <f t="shared" si="14"/>
        <v>0</v>
      </c>
      <c r="Q149" t="str">
        <f t="shared" si="15"/>
        <v>No</v>
      </c>
      <c r="R149" t="str" cm="1">
        <f t="array" ref="R149">_xlfn.IFS(K149=0,"On Time",K149&lt;=2,"Minor",K149&lt;=5,"Major",K149&gt;5,"Severe")</f>
        <v>Major</v>
      </c>
      <c r="S149">
        <f t="shared" si="16"/>
        <v>4432</v>
      </c>
      <c r="T149">
        <f t="shared" si="17"/>
        <v>1581</v>
      </c>
      <c r="U149">
        <f t="shared" si="18"/>
        <v>2024</v>
      </c>
      <c r="V149">
        <f t="shared" si="19"/>
        <v>1</v>
      </c>
      <c r="W149" s="11">
        <f t="shared" si="20"/>
        <v>1</v>
      </c>
    </row>
    <row r="150" spans="1:23">
      <c r="A150" t="s">
        <v>163</v>
      </c>
      <c r="B150" s="4">
        <v>45428</v>
      </c>
      <c r="C150" t="s">
        <v>2015</v>
      </c>
      <c r="D150" t="s">
        <v>2020</v>
      </c>
      <c r="E150" t="s">
        <v>2028</v>
      </c>
      <c r="F150" t="s">
        <v>2032</v>
      </c>
      <c r="G150" t="s">
        <v>2033</v>
      </c>
      <c r="H150" t="s">
        <v>2039</v>
      </c>
      <c r="I150">
        <v>2</v>
      </c>
      <c r="J150">
        <v>9</v>
      </c>
      <c r="K150">
        <v>7</v>
      </c>
      <c r="L150" t="s">
        <v>2041</v>
      </c>
      <c r="M150">
        <v>377</v>
      </c>
      <c r="N150">
        <v>16205</v>
      </c>
      <c r="O150">
        <v>13531</v>
      </c>
      <c r="P150" s="13">
        <f t="shared" si="14"/>
        <v>0</v>
      </c>
      <c r="Q150" t="str">
        <f t="shared" si="15"/>
        <v>No</v>
      </c>
      <c r="R150" t="str" cm="1">
        <f t="array" ref="R150">_xlfn.IFS(K150=0,"On Time",K150&lt;=2,"Minor",K150&lt;=5,"Major",K150&gt;5,"Severe")</f>
        <v>Severe</v>
      </c>
      <c r="S150">
        <f t="shared" si="16"/>
        <v>1933</v>
      </c>
      <c r="T150">
        <f t="shared" si="17"/>
        <v>2315</v>
      </c>
      <c r="U150">
        <f t="shared" si="18"/>
        <v>2024</v>
      </c>
      <c r="V150">
        <f t="shared" si="19"/>
        <v>5</v>
      </c>
      <c r="W150" s="11">
        <f t="shared" si="20"/>
        <v>1</v>
      </c>
    </row>
    <row r="151" spans="1:23">
      <c r="A151" t="s">
        <v>164</v>
      </c>
      <c r="B151" s="4">
        <v>45317</v>
      </c>
      <c r="C151" t="s">
        <v>2016</v>
      </c>
      <c r="D151" t="s">
        <v>2025</v>
      </c>
      <c r="E151" t="s">
        <v>2027</v>
      </c>
      <c r="F151" t="s">
        <v>2030</v>
      </c>
      <c r="G151" t="s">
        <v>2033</v>
      </c>
      <c r="H151" t="s">
        <v>2039</v>
      </c>
      <c r="I151">
        <v>1</v>
      </c>
      <c r="J151">
        <v>2</v>
      </c>
      <c r="K151">
        <v>1</v>
      </c>
      <c r="L151" t="s">
        <v>2041</v>
      </c>
      <c r="M151">
        <v>299</v>
      </c>
      <c r="N151">
        <v>1560</v>
      </c>
      <c r="O151">
        <v>3487</v>
      </c>
      <c r="P151" s="13">
        <f t="shared" si="14"/>
        <v>0</v>
      </c>
      <c r="Q151" t="str">
        <f t="shared" si="15"/>
        <v>No</v>
      </c>
      <c r="R151" t="str" cm="1">
        <f t="array" ref="R151">_xlfn.IFS(K151=0,"On Time",K151&lt;=2,"Minor",K151&lt;=5,"Major",K151&gt;5,"Severe")</f>
        <v>Minor</v>
      </c>
      <c r="S151">
        <f t="shared" si="16"/>
        <v>3487</v>
      </c>
      <c r="T151">
        <f t="shared" si="17"/>
        <v>1560</v>
      </c>
      <c r="U151">
        <f t="shared" si="18"/>
        <v>2024</v>
      </c>
      <c r="V151">
        <f t="shared" si="19"/>
        <v>1</v>
      </c>
      <c r="W151" s="11">
        <f t="shared" si="20"/>
        <v>1</v>
      </c>
    </row>
    <row r="152" spans="1:23">
      <c r="A152" t="s">
        <v>165</v>
      </c>
      <c r="B152" s="4">
        <v>45609</v>
      </c>
      <c r="C152" t="s">
        <v>2017</v>
      </c>
      <c r="D152" t="s">
        <v>2023</v>
      </c>
      <c r="E152" t="s">
        <v>2029</v>
      </c>
      <c r="F152" t="s">
        <v>2031</v>
      </c>
      <c r="G152" t="s">
        <v>2037</v>
      </c>
      <c r="H152" t="s">
        <v>2038</v>
      </c>
      <c r="I152">
        <v>2</v>
      </c>
      <c r="J152">
        <v>5</v>
      </c>
      <c r="K152">
        <v>3</v>
      </c>
      <c r="L152" t="s">
        <v>2041</v>
      </c>
      <c r="M152">
        <v>221</v>
      </c>
      <c r="N152">
        <v>4506</v>
      </c>
      <c r="O152">
        <v>10392</v>
      </c>
      <c r="P152" s="13">
        <f t="shared" si="14"/>
        <v>0</v>
      </c>
      <c r="Q152" t="str">
        <f t="shared" si="15"/>
        <v>No</v>
      </c>
      <c r="R152" t="str" cm="1">
        <f t="array" ref="R152">_xlfn.IFS(K152=0,"On Time",K152&lt;=2,"Minor",K152&lt;=5,"Major",K152&gt;5,"Severe")</f>
        <v>Major</v>
      </c>
      <c r="S152">
        <f t="shared" si="16"/>
        <v>3464</v>
      </c>
      <c r="T152">
        <f t="shared" si="17"/>
        <v>1502</v>
      </c>
      <c r="U152">
        <f t="shared" si="18"/>
        <v>2024</v>
      </c>
      <c r="V152">
        <f t="shared" si="19"/>
        <v>11</v>
      </c>
      <c r="W152" s="11">
        <f t="shared" si="20"/>
        <v>1</v>
      </c>
    </row>
    <row r="153" spans="1:23">
      <c r="A153" t="s">
        <v>166</v>
      </c>
      <c r="B153" s="4">
        <v>45551</v>
      </c>
      <c r="C153" t="s">
        <v>2016</v>
      </c>
      <c r="D153" t="s">
        <v>2021</v>
      </c>
      <c r="E153" t="s">
        <v>2028</v>
      </c>
      <c r="F153" t="s">
        <v>2031</v>
      </c>
      <c r="G153" t="s">
        <v>2037</v>
      </c>
      <c r="H153" t="s">
        <v>2040</v>
      </c>
      <c r="I153">
        <v>2</v>
      </c>
      <c r="J153">
        <v>9</v>
      </c>
      <c r="K153">
        <v>7</v>
      </c>
      <c r="L153" t="s">
        <v>2041</v>
      </c>
      <c r="M153">
        <v>114</v>
      </c>
      <c r="N153">
        <v>6762</v>
      </c>
      <c r="O153">
        <v>26082</v>
      </c>
      <c r="P153" s="13">
        <f t="shared" si="14"/>
        <v>0</v>
      </c>
      <c r="Q153" t="str">
        <f t="shared" si="15"/>
        <v>No</v>
      </c>
      <c r="R153" t="str" cm="1">
        <f t="array" ref="R153">_xlfn.IFS(K153=0,"On Time",K153&lt;=2,"Minor",K153&lt;=5,"Major",K153&gt;5,"Severe")</f>
        <v>Severe</v>
      </c>
      <c r="S153">
        <f t="shared" si="16"/>
        <v>3726</v>
      </c>
      <c r="T153">
        <f t="shared" si="17"/>
        <v>966</v>
      </c>
      <c r="U153">
        <f t="shared" si="18"/>
        <v>2024</v>
      </c>
      <c r="V153">
        <f t="shared" si="19"/>
        <v>9</v>
      </c>
      <c r="W153" s="11">
        <f t="shared" si="20"/>
        <v>1</v>
      </c>
    </row>
    <row r="154" spans="1:23">
      <c r="A154" t="s">
        <v>167</v>
      </c>
      <c r="B154" s="4">
        <v>45564</v>
      </c>
      <c r="C154" t="s">
        <v>2018</v>
      </c>
      <c r="D154" t="s">
        <v>2026</v>
      </c>
      <c r="E154" t="s">
        <v>2028</v>
      </c>
      <c r="F154" t="s">
        <v>2030</v>
      </c>
      <c r="G154" t="s">
        <v>2035</v>
      </c>
      <c r="H154" t="s">
        <v>2039</v>
      </c>
      <c r="I154">
        <v>3</v>
      </c>
      <c r="J154">
        <v>4</v>
      </c>
      <c r="K154">
        <v>1</v>
      </c>
      <c r="L154" t="s">
        <v>2041</v>
      </c>
      <c r="M154">
        <v>283</v>
      </c>
      <c r="N154">
        <v>2175</v>
      </c>
      <c r="O154">
        <v>3477</v>
      </c>
      <c r="P154" s="13">
        <f t="shared" si="14"/>
        <v>0</v>
      </c>
      <c r="Q154" t="str">
        <f t="shared" si="15"/>
        <v>No</v>
      </c>
      <c r="R154" t="str" cm="1">
        <f t="array" ref="R154">_xlfn.IFS(K154=0,"On Time",K154&lt;=2,"Minor",K154&lt;=5,"Major",K154&gt;5,"Severe")</f>
        <v>Minor</v>
      </c>
      <c r="S154">
        <f t="shared" si="16"/>
        <v>3477</v>
      </c>
      <c r="T154">
        <f t="shared" si="17"/>
        <v>2175</v>
      </c>
      <c r="U154">
        <f t="shared" si="18"/>
        <v>2024</v>
      </c>
      <c r="V154">
        <f t="shared" si="19"/>
        <v>9</v>
      </c>
      <c r="W154" s="11">
        <f t="shared" si="20"/>
        <v>1</v>
      </c>
    </row>
    <row r="155" spans="1:23">
      <c r="A155" t="s">
        <v>168</v>
      </c>
      <c r="B155" s="4">
        <v>45489</v>
      </c>
      <c r="C155" t="s">
        <v>2016</v>
      </c>
      <c r="D155" t="s">
        <v>2021</v>
      </c>
      <c r="E155" t="s">
        <v>2029</v>
      </c>
      <c r="F155" t="s">
        <v>2030</v>
      </c>
      <c r="G155" t="s">
        <v>2033</v>
      </c>
      <c r="H155" t="s">
        <v>2039</v>
      </c>
      <c r="I155">
        <v>3</v>
      </c>
      <c r="J155">
        <v>8</v>
      </c>
      <c r="K155">
        <v>5</v>
      </c>
      <c r="L155" t="s">
        <v>2041</v>
      </c>
      <c r="M155">
        <v>292</v>
      </c>
      <c r="N155">
        <v>7570</v>
      </c>
      <c r="O155">
        <v>20735</v>
      </c>
      <c r="P155" s="13">
        <f t="shared" si="14"/>
        <v>0</v>
      </c>
      <c r="Q155" t="str">
        <f t="shared" si="15"/>
        <v>No</v>
      </c>
      <c r="R155" t="str" cm="1">
        <f t="array" ref="R155">_xlfn.IFS(K155=0,"On Time",K155&lt;=2,"Minor",K155&lt;=5,"Major",K155&gt;5,"Severe")</f>
        <v>Major</v>
      </c>
      <c r="S155">
        <f t="shared" si="16"/>
        <v>4147</v>
      </c>
      <c r="T155">
        <f t="shared" si="17"/>
        <v>1514</v>
      </c>
      <c r="U155">
        <f t="shared" si="18"/>
        <v>2024</v>
      </c>
      <c r="V155">
        <f t="shared" si="19"/>
        <v>7</v>
      </c>
      <c r="W155" s="11">
        <f t="shared" si="20"/>
        <v>1</v>
      </c>
    </row>
    <row r="156" spans="1:23">
      <c r="A156" t="s">
        <v>169</v>
      </c>
      <c r="B156" s="4">
        <v>45422</v>
      </c>
      <c r="C156" t="s">
        <v>2018</v>
      </c>
      <c r="D156" t="s">
        <v>2026</v>
      </c>
      <c r="E156" t="s">
        <v>2027</v>
      </c>
      <c r="F156" t="s">
        <v>2031</v>
      </c>
      <c r="G156" t="s">
        <v>2033</v>
      </c>
      <c r="H156" t="s">
        <v>2039</v>
      </c>
      <c r="I156">
        <v>1</v>
      </c>
      <c r="J156">
        <v>1</v>
      </c>
      <c r="K156">
        <v>0</v>
      </c>
      <c r="L156" t="s">
        <v>2042</v>
      </c>
      <c r="M156">
        <v>371</v>
      </c>
      <c r="N156">
        <v>0</v>
      </c>
      <c r="O156">
        <v>0</v>
      </c>
      <c r="P156" s="13">
        <f t="shared" si="14"/>
        <v>1</v>
      </c>
      <c r="Q156" t="str">
        <f t="shared" si="15"/>
        <v>No</v>
      </c>
      <c r="R156" t="str" cm="1">
        <f t="array" ref="R156">_xlfn.IFS(K156=0,"On Time",K156&lt;=2,"Minor",K156&lt;=5,"Major",K156&gt;5,"Severe")</f>
        <v>On Time</v>
      </c>
      <c r="S156">
        <f t="shared" si="16"/>
        <v>0</v>
      </c>
      <c r="T156">
        <f t="shared" si="17"/>
        <v>0</v>
      </c>
      <c r="U156">
        <f t="shared" si="18"/>
        <v>2024</v>
      </c>
      <c r="V156">
        <f t="shared" si="19"/>
        <v>5</v>
      </c>
      <c r="W156" s="11">
        <f t="shared" si="20"/>
        <v>0</v>
      </c>
    </row>
    <row r="157" spans="1:23">
      <c r="A157" t="s">
        <v>170</v>
      </c>
      <c r="B157" s="4">
        <v>45345</v>
      </c>
      <c r="C157" t="s">
        <v>2015</v>
      </c>
      <c r="D157" t="s">
        <v>2019</v>
      </c>
      <c r="E157" t="s">
        <v>2028</v>
      </c>
      <c r="F157" t="s">
        <v>2030</v>
      </c>
      <c r="G157" t="s">
        <v>2034</v>
      </c>
      <c r="H157" t="s">
        <v>2040</v>
      </c>
      <c r="I157">
        <v>1</v>
      </c>
      <c r="J157">
        <v>4</v>
      </c>
      <c r="K157">
        <v>3</v>
      </c>
      <c r="L157" t="s">
        <v>2041</v>
      </c>
      <c r="M157">
        <v>393</v>
      </c>
      <c r="N157">
        <v>6699</v>
      </c>
      <c r="O157">
        <v>12633</v>
      </c>
      <c r="P157" s="13">
        <f t="shared" si="14"/>
        <v>0</v>
      </c>
      <c r="Q157" t="str">
        <f t="shared" si="15"/>
        <v>No</v>
      </c>
      <c r="R157" t="str" cm="1">
        <f t="array" ref="R157">_xlfn.IFS(K157=0,"On Time",K157&lt;=2,"Minor",K157&lt;=5,"Major",K157&gt;5,"Severe")</f>
        <v>Major</v>
      </c>
      <c r="S157">
        <f t="shared" si="16"/>
        <v>4211</v>
      </c>
      <c r="T157">
        <f t="shared" si="17"/>
        <v>2233</v>
      </c>
      <c r="U157">
        <f t="shared" si="18"/>
        <v>2024</v>
      </c>
      <c r="V157">
        <f t="shared" si="19"/>
        <v>2</v>
      </c>
      <c r="W157" s="11">
        <f t="shared" si="20"/>
        <v>1</v>
      </c>
    </row>
    <row r="158" spans="1:23">
      <c r="A158" t="s">
        <v>171</v>
      </c>
      <c r="B158" s="4">
        <v>45643</v>
      </c>
      <c r="C158" t="s">
        <v>2015</v>
      </c>
      <c r="D158" t="s">
        <v>2020</v>
      </c>
      <c r="E158" t="s">
        <v>2028</v>
      </c>
      <c r="F158" t="s">
        <v>2030</v>
      </c>
      <c r="G158" t="s">
        <v>2033</v>
      </c>
      <c r="H158" t="s">
        <v>2038</v>
      </c>
      <c r="I158">
        <v>2</v>
      </c>
      <c r="J158">
        <v>6</v>
      </c>
      <c r="K158">
        <v>4</v>
      </c>
      <c r="L158" t="s">
        <v>2041</v>
      </c>
      <c r="M158">
        <v>462</v>
      </c>
      <c r="N158">
        <v>8856</v>
      </c>
      <c r="O158">
        <v>8880</v>
      </c>
      <c r="P158" s="13">
        <f t="shared" si="14"/>
        <v>0</v>
      </c>
      <c r="Q158" t="str">
        <f t="shared" si="15"/>
        <v>No</v>
      </c>
      <c r="R158" t="str" cm="1">
        <f t="array" ref="R158">_xlfn.IFS(K158=0,"On Time",K158&lt;=2,"Minor",K158&lt;=5,"Major",K158&gt;5,"Severe")</f>
        <v>Major</v>
      </c>
      <c r="S158">
        <f t="shared" si="16"/>
        <v>2220</v>
      </c>
      <c r="T158">
        <f t="shared" si="17"/>
        <v>2214</v>
      </c>
      <c r="U158">
        <f t="shared" si="18"/>
        <v>2024</v>
      </c>
      <c r="V158">
        <f t="shared" si="19"/>
        <v>12</v>
      </c>
      <c r="W158" s="11">
        <f t="shared" si="20"/>
        <v>1</v>
      </c>
    </row>
    <row r="159" spans="1:23">
      <c r="A159" t="s">
        <v>172</v>
      </c>
      <c r="B159" s="4">
        <v>45634</v>
      </c>
      <c r="C159" t="s">
        <v>2015</v>
      </c>
      <c r="D159" t="s">
        <v>2019</v>
      </c>
      <c r="E159" t="s">
        <v>2027</v>
      </c>
      <c r="F159" t="s">
        <v>2031</v>
      </c>
      <c r="G159" t="s">
        <v>2034</v>
      </c>
      <c r="H159" t="s">
        <v>2038</v>
      </c>
      <c r="I159">
        <v>5</v>
      </c>
      <c r="J159">
        <v>9</v>
      </c>
      <c r="K159">
        <v>4</v>
      </c>
      <c r="L159" t="s">
        <v>2041</v>
      </c>
      <c r="M159">
        <v>477</v>
      </c>
      <c r="N159">
        <v>6520</v>
      </c>
      <c r="O159">
        <v>10372</v>
      </c>
      <c r="P159" s="13">
        <f t="shared" si="14"/>
        <v>0</v>
      </c>
      <c r="Q159" t="str">
        <f t="shared" si="15"/>
        <v>No</v>
      </c>
      <c r="R159" t="str" cm="1">
        <f t="array" ref="R159">_xlfn.IFS(K159=0,"On Time",K159&lt;=2,"Minor",K159&lt;=5,"Major",K159&gt;5,"Severe")</f>
        <v>Major</v>
      </c>
      <c r="S159">
        <f t="shared" si="16"/>
        <v>2593</v>
      </c>
      <c r="T159">
        <f t="shared" si="17"/>
        <v>1630</v>
      </c>
      <c r="U159">
        <f t="shared" si="18"/>
        <v>2024</v>
      </c>
      <c r="V159">
        <f t="shared" si="19"/>
        <v>12</v>
      </c>
      <c r="W159" s="11">
        <f t="shared" si="20"/>
        <v>1</v>
      </c>
    </row>
    <row r="160" spans="1:23">
      <c r="A160" t="s">
        <v>173</v>
      </c>
      <c r="B160" s="4">
        <v>45551</v>
      </c>
      <c r="C160" t="s">
        <v>2016</v>
      </c>
      <c r="D160" t="s">
        <v>2025</v>
      </c>
      <c r="E160" t="s">
        <v>2029</v>
      </c>
      <c r="F160" t="s">
        <v>2030</v>
      </c>
      <c r="G160" t="s">
        <v>2033</v>
      </c>
      <c r="H160" t="s">
        <v>2038</v>
      </c>
      <c r="I160">
        <v>1</v>
      </c>
      <c r="J160">
        <v>6</v>
      </c>
      <c r="K160">
        <v>5</v>
      </c>
      <c r="L160" t="s">
        <v>2041</v>
      </c>
      <c r="M160">
        <v>127</v>
      </c>
      <c r="N160">
        <v>6110</v>
      </c>
      <c r="O160">
        <v>21880</v>
      </c>
      <c r="P160" s="13">
        <f t="shared" si="14"/>
        <v>0</v>
      </c>
      <c r="Q160" t="str">
        <f t="shared" si="15"/>
        <v>No</v>
      </c>
      <c r="R160" t="str" cm="1">
        <f t="array" ref="R160">_xlfn.IFS(K160=0,"On Time",K160&lt;=2,"Minor",K160&lt;=5,"Major",K160&gt;5,"Severe")</f>
        <v>Major</v>
      </c>
      <c r="S160">
        <f t="shared" si="16"/>
        <v>4376</v>
      </c>
      <c r="T160">
        <f t="shared" si="17"/>
        <v>1222</v>
      </c>
      <c r="U160">
        <f t="shared" si="18"/>
        <v>2024</v>
      </c>
      <c r="V160">
        <f t="shared" si="19"/>
        <v>9</v>
      </c>
      <c r="W160" s="11">
        <f t="shared" si="20"/>
        <v>1</v>
      </c>
    </row>
    <row r="161" spans="1:23">
      <c r="A161" t="s">
        <v>174</v>
      </c>
      <c r="B161" s="4">
        <v>45326</v>
      </c>
      <c r="C161" t="s">
        <v>2017</v>
      </c>
      <c r="D161" t="s">
        <v>2022</v>
      </c>
      <c r="E161" t="s">
        <v>2029</v>
      </c>
      <c r="F161" t="s">
        <v>2031</v>
      </c>
      <c r="G161" t="s">
        <v>2035</v>
      </c>
      <c r="H161" t="s">
        <v>2038</v>
      </c>
      <c r="I161">
        <v>3</v>
      </c>
      <c r="J161">
        <v>7</v>
      </c>
      <c r="K161">
        <v>4</v>
      </c>
      <c r="L161" t="s">
        <v>2041</v>
      </c>
      <c r="M161">
        <v>200</v>
      </c>
      <c r="N161">
        <v>6428</v>
      </c>
      <c r="O161">
        <v>7544</v>
      </c>
      <c r="P161" s="13">
        <f t="shared" si="14"/>
        <v>0</v>
      </c>
      <c r="Q161" t="str">
        <f t="shared" si="15"/>
        <v>No</v>
      </c>
      <c r="R161" t="str" cm="1">
        <f t="array" ref="R161">_xlfn.IFS(K161=0,"On Time",K161&lt;=2,"Minor",K161&lt;=5,"Major",K161&gt;5,"Severe")</f>
        <v>Major</v>
      </c>
      <c r="S161">
        <f t="shared" si="16"/>
        <v>1886</v>
      </c>
      <c r="T161">
        <f t="shared" si="17"/>
        <v>1607</v>
      </c>
      <c r="U161">
        <f t="shared" si="18"/>
        <v>2024</v>
      </c>
      <c r="V161">
        <f t="shared" si="19"/>
        <v>2</v>
      </c>
      <c r="W161" s="11">
        <f t="shared" si="20"/>
        <v>1</v>
      </c>
    </row>
    <row r="162" spans="1:23">
      <c r="A162" t="s">
        <v>175</v>
      </c>
      <c r="B162" s="4">
        <v>45377</v>
      </c>
      <c r="C162" t="s">
        <v>2015</v>
      </c>
      <c r="D162" t="s">
        <v>2019</v>
      </c>
      <c r="E162" t="s">
        <v>2029</v>
      </c>
      <c r="F162" t="s">
        <v>2030</v>
      </c>
      <c r="G162" t="s">
        <v>2035</v>
      </c>
      <c r="H162" t="s">
        <v>2040</v>
      </c>
      <c r="I162">
        <v>2</v>
      </c>
      <c r="J162">
        <v>8</v>
      </c>
      <c r="K162">
        <v>6</v>
      </c>
      <c r="L162" t="s">
        <v>2041</v>
      </c>
      <c r="M162">
        <v>455</v>
      </c>
      <c r="N162">
        <v>11442</v>
      </c>
      <c r="O162">
        <v>24336</v>
      </c>
      <c r="P162" s="13">
        <f t="shared" si="14"/>
        <v>0</v>
      </c>
      <c r="Q162" t="str">
        <f t="shared" si="15"/>
        <v>No</v>
      </c>
      <c r="R162" t="str" cm="1">
        <f t="array" ref="R162">_xlfn.IFS(K162=0,"On Time",K162&lt;=2,"Minor",K162&lt;=5,"Major",K162&gt;5,"Severe")</f>
        <v>Severe</v>
      </c>
      <c r="S162">
        <f t="shared" si="16"/>
        <v>4056</v>
      </c>
      <c r="T162">
        <f t="shared" si="17"/>
        <v>1907</v>
      </c>
      <c r="U162">
        <f t="shared" si="18"/>
        <v>2024</v>
      </c>
      <c r="V162">
        <f t="shared" si="19"/>
        <v>3</v>
      </c>
      <c r="W162" s="11">
        <f t="shared" si="20"/>
        <v>1</v>
      </c>
    </row>
    <row r="163" spans="1:23">
      <c r="A163" t="s">
        <v>176</v>
      </c>
      <c r="B163" s="4">
        <v>45433</v>
      </c>
      <c r="C163" t="s">
        <v>2015</v>
      </c>
      <c r="D163" t="s">
        <v>2019</v>
      </c>
      <c r="E163" t="s">
        <v>2028</v>
      </c>
      <c r="F163" t="s">
        <v>2030</v>
      </c>
      <c r="G163" t="s">
        <v>2036</v>
      </c>
      <c r="H163" t="s">
        <v>2039</v>
      </c>
      <c r="I163">
        <v>3</v>
      </c>
      <c r="J163">
        <v>5</v>
      </c>
      <c r="K163">
        <v>2</v>
      </c>
      <c r="L163" t="s">
        <v>2041</v>
      </c>
      <c r="M163">
        <v>77</v>
      </c>
      <c r="N163">
        <v>3602</v>
      </c>
      <c r="O163">
        <v>3188</v>
      </c>
      <c r="P163" s="13">
        <f t="shared" si="14"/>
        <v>0</v>
      </c>
      <c r="Q163" t="str">
        <f t="shared" si="15"/>
        <v>No</v>
      </c>
      <c r="R163" t="str" cm="1">
        <f t="array" ref="R163">_xlfn.IFS(K163=0,"On Time",K163&lt;=2,"Minor",K163&lt;=5,"Major",K163&gt;5,"Severe")</f>
        <v>Minor</v>
      </c>
      <c r="S163">
        <f t="shared" si="16"/>
        <v>1594</v>
      </c>
      <c r="T163">
        <f t="shared" si="17"/>
        <v>1801</v>
      </c>
      <c r="U163">
        <f t="shared" si="18"/>
        <v>2024</v>
      </c>
      <c r="V163">
        <f t="shared" si="19"/>
        <v>5</v>
      </c>
      <c r="W163" s="11">
        <f t="shared" si="20"/>
        <v>1</v>
      </c>
    </row>
    <row r="164" spans="1:23">
      <c r="A164" t="s">
        <v>177</v>
      </c>
      <c r="B164" s="4">
        <v>45621</v>
      </c>
      <c r="C164" t="s">
        <v>2016</v>
      </c>
      <c r="D164" t="s">
        <v>2025</v>
      </c>
      <c r="E164" t="s">
        <v>2028</v>
      </c>
      <c r="F164" t="s">
        <v>2030</v>
      </c>
      <c r="G164" t="s">
        <v>2034</v>
      </c>
      <c r="H164" t="s">
        <v>2039</v>
      </c>
      <c r="I164">
        <v>1</v>
      </c>
      <c r="J164">
        <v>3</v>
      </c>
      <c r="K164">
        <v>2</v>
      </c>
      <c r="L164" t="s">
        <v>2041</v>
      </c>
      <c r="M164">
        <v>218</v>
      </c>
      <c r="N164">
        <v>4658</v>
      </c>
      <c r="O164">
        <v>8612</v>
      </c>
      <c r="P164" s="13">
        <f t="shared" si="14"/>
        <v>0</v>
      </c>
      <c r="Q164" t="str">
        <f t="shared" si="15"/>
        <v>No</v>
      </c>
      <c r="R164" t="str" cm="1">
        <f t="array" ref="R164">_xlfn.IFS(K164=0,"On Time",K164&lt;=2,"Minor",K164&lt;=5,"Major",K164&gt;5,"Severe")</f>
        <v>Minor</v>
      </c>
      <c r="S164">
        <f t="shared" si="16"/>
        <v>4306</v>
      </c>
      <c r="T164">
        <f t="shared" si="17"/>
        <v>2329</v>
      </c>
      <c r="U164">
        <f t="shared" si="18"/>
        <v>2024</v>
      </c>
      <c r="V164">
        <f t="shared" si="19"/>
        <v>11</v>
      </c>
      <c r="W164" s="11">
        <f t="shared" si="20"/>
        <v>1</v>
      </c>
    </row>
    <row r="165" spans="1:23">
      <c r="A165" t="s">
        <v>178</v>
      </c>
      <c r="B165" s="4">
        <v>45604</v>
      </c>
      <c r="C165" t="s">
        <v>2018</v>
      </c>
      <c r="D165" t="s">
        <v>2026</v>
      </c>
      <c r="E165" t="s">
        <v>2027</v>
      </c>
      <c r="F165" t="s">
        <v>2031</v>
      </c>
      <c r="G165" t="s">
        <v>2037</v>
      </c>
      <c r="H165" t="s">
        <v>2039</v>
      </c>
      <c r="I165">
        <v>3</v>
      </c>
      <c r="J165">
        <v>4</v>
      </c>
      <c r="K165">
        <v>1</v>
      </c>
      <c r="L165" t="s">
        <v>2041</v>
      </c>
      <c r="M165">
        <v>59</v>
      </c>
      <c r="N165">
        <v>1083</v>
      </c>
      <c r="O165">
        <v>2235</v>
      </c>
      <c r="P165" s="13">
        <f t="shared" si="14"/>
        <v>0</v>
      </c>
      <c r="Q165" t="str">
        <f t="shared" si="15"/>
        <v>No</v>
      </c>
      <c r="R165" t="str" cm="1">
        <f t="array" ref="R165">_xlfn.IFS(K165=0,"On Time",K165&lt;=2,"Minor",K165&lt;=5,"Major",K165&gt;5,"Severe")</f>
        <v>Minor</v>
      </c>
      <c r="S165">
        <f t="shared" si="16"/>
        <v>2235</v>
      </c>
      <c r="T165">
        <f t="shared" si="17"/>
        <v>1083</v>
      </c>
      <c r="U165">
        <f t="shared" si="18"/>
        <v>2024</v>
      </c>
      <c r="V165">
        <f t="shared" si="19"/>
        <v>11</v>
      </c>
      <c r="W165" s="11">
        <f t="shared" si="20"/>
        <v>1</v>
      </c>
    </row>
    <row r="166" spans="1:23">
      <c r="A166" t="s">
        <v>179</v>
      </c>
      <c r="B166" s="4">
        <v>45551</v>
      </c>
      <c r="C166" t="s">
        <v>2017</v>
      </c>
      <c r="D166" t="s">
        <v>2023</v>
      </c>
      <c r="E166" t="s">
        <v>2028</v>
      </c>
      <c r="F166" t="s">
        <v>2030</v>
      </c>
      <c r="G166" t="s">
        <v>2033</v>
      </c>
      <c r="H166" t="s">
        <v>2038</v>
      </c>
      <c r="I166">
        <v>2</v>
      </c>
      <c r="J166">
        <v>2</v>
      </c>
      <c r="K166">
        <v>0</v>
      </c>
      <c r="L166" t="s">
        <v>2042</v>
      </c>
      <c r="M166">
        <v>430</v>
      </c>
      <c r="N166">
        <v>0</v>
      </c>
      <c r="O166">
        <v>0</v>
      </c>
      <c r="P166" s="13">
        <f t="shared" si="14"/>
        <v>1</v>
      </c>
      <c r="Q166" t="str">
        <f t="shared" si="15"/>
        <v>No</v>
      </c>
      <c r="R166" t="str" cm="1">
        <f t="array" ref="R166">_xlfn.IFS(K166=0,"On Time",K166&lt;=2,"Minor",K166&lt;=5,"Major",K166&gt;5,"Severe")</f>
        <v>On Time</v>
      </c>
      <c r="S166">
        <f t="shared" si="16"/>
        <v>0</v>
      </c>
      <c r="T166">
        <f t="shared" si="17"/>
        <v>0</v>
      </c>
      <c r="U166">
        <f t="shared" si="18"/>
        <v>2024</v>
      </c>
      <c r="V166">
        <f t="shared" si="19"/>
        <v>9</v>
      </c>
      <c r="W166" s="11">
        <f t="shared" si="20"/>
        <v>0</v>
      </c>
    </row>
    <row r="167" spans="1:23">
      <c r="A167" t="s">
        <v>180</v>
      </c>
      <c r="B167" s="4">
        <v>45463</v>
      </c>
      <c r="C167" t="s">
        <v>2017</v>
      </c>
      <c r="D167" t="s">
        <v>2023</v>
      </c>
      <c r="E167" t="s">
        <v>2029</v>
      </c>
      <c r="F167" t="s">
        <v>2030</v>
      </c>
      <c r="G167" t="s">
        <v>2036</v>
      </c>
      <c r="H167" t="s">
        <v>2038</v>
      </c>
      <c r="I167">
        <v>2</v>
      </c>
      <c r="J167">
        <v>4</v>
      </c>
      <c r="K167">
        <v>2</v>
      </c>
      <c r="L167" t="s">
        <v>2041</v>
      </c>
      <c r="M167">
        <v>76</v>
      </c>
      <c r="N167">
        <v>4116</v>
      </c>
      <c r="O167">
        <v>4210</v>
      </c>
      <c r="P167" s="13">
        <f t="shared" si="14"/>
        <v>0</v>
      </c>
      <c r="Q167" t="str">
        <f t="shared" si="15"/>
        <v>No</v>
      </c>
      <c r="R167" t="str" cm="1">
        <f t="array" ref="R167">_xlfn.IFS(K167=0,"On Time",K167&lt;=2,"Minor",K167&lt;=5,"Major",K167&gt;5,"Severe")</f>
        <v>Minor</v>
      </c>
      <c r="S167">
        <f t="shared" si="16"/>
        <v>2105</v>
      </c>
      <c r="T167">
        <f t="shared" si="17"/>
        <v>2058</v>
      </c>
      <c r="U167">
        <f t="shared" si="18"/>
        <v>2024</v>
      </c>
      <c r="V167">
        <f t="shared" si="19"/>
        <v>6</v>
      </c>
      <c r="W167" s="11">
        <f t="shared" si="20"/>
        <v>1</v>
      </c>
    </row>
    <row r="168" spans="1:23">
      <c r="A168" t="s">
        <v>181</v>
      </c>
      <c r="B168" s="4">
        <v>45359</v>
      </c>
      <c r="C168" t="s">
        <v>2016</v>
      </c>
      <c r="D168" t="s">
        <v>2021</v>
      </c>
      <c r="E168" t="s">
        <v>2027</v>
      </c>
      <c r="F168" t="s">
        <v>2031</v>
      </c>
      <c r="G168" t="s">
        <v>2036</v>
      </c>
      <c r="H168" t="s">
        <v>2038</v>
      </c>
      <c r="I168">
        <v>1</v>
      </c>
      <c r="J168">
        <v>2</v>
      </c>
      <c r="K168">
        <v>1</v>
      </c>
      <c r="L168" t="s">
        <v>2041</v>
      </c>
      <c r="M168">
        <v>253</v>
      </c>
      <c r="N168">
        <v>1056</v>
      </c>
      <c r="O168">
        <v>4713</v>
      </c>
      <c r="P168" s="13">
        <f t="shared" si="14"/>
        <v>0</v>
      </c>
      <c r="Q168" t="str">
        <f t="shared" si="15"/>
        <v>No</v>
      </c>
      <c r="R168" t="str" cm="1">
        <f t="array" ref="R168">_xlfn.IFS(K168=0,"On Time",K168&lt;=2,"Minor",K168&lt;=5,"Major",K168&gt;5,"Severe")</f>
        <v>Minor</v>
      </c>
      <c r="S168">
        <f t="shared" si="16"/>
        <v>4713</v>
      </c>
      <c r="T168">
        <f t="shared" si="17"/>
        <v>1056</v>
      </c>
      <c r="U168">
        <f t="shared" si="18"/>
        <v>2024</v>
      </c>
      <c r="V168">
        <f t="shared" si="19"/>
        <v>3</v>
      </c>
      <c r="W168" s="11">
        <f t="shared" si="20"/>
        <v>1</v>
      </c>
    </row>
    <row r="169" spans="1:23">
      <c r="A169" t="s">
        <v>182</v>
      </c>
      <c r="B169" s="4">
        <v>45529</v>
      </c>
      <c r="C169" t="s">
        <v>2018</v>
      </c>
      <c r="D169" t="s">
        <v>2024</v>
      </c>
      <c r="E169" t="s">
        <v>2027</v>
      </c>
      <c r="F169" t="s">
        <v>2030</v>
      </c>
      <c r="G169" t="s">
        <v>2033</v>
      </c>
      <c r="H169" t="s">
        <v>2040</v>
      </c>
      <c r="I169">
        <v>1</v>
      </c>
      <c r="J169">
        <v>7</v>
      </c>
      <c r="K169">
        <v>6</v>
      </c>
      <c r="L169" t="s">
        <v>2041</v>
      </c>
      <c r="M169">
        <v>316</v>
      </c>
      <c r="N169">
        <v>8238</v>
      </c>
      <c r="O169">
        <v>23670</v>
      </c>
      <c r="P169" s="13">
        <f t="shared" si="14"/>
        <v>0</v>
      </c>
      <c r="Q169" t="str">
        <f t="shared" si="15"/>
        <v>No</v>
      </c>
      <c r="R169" t="str" cm="1">
        <f t="array" ref="R169">_xlfn.IFS(K169=0,"On Time",K169&lt;=2,"Minor",K169&lt;=5,"Major",K169&gt;5,"Severe")</f>
        <v>Severe</v>
      </c>
      <c r="S169">
        <f t="shared" si="16"/>
        <v>3945</v>
      </c>
      <c r="T169">
        <f t="shared" si="17"/>
        <v>1373</v>
      </c>
      <c r="U169">
        <f t="shared" si="18"/>
        <v>2024</v>
      </c>
      <c r="V169">
        <f t="shared" si="19"/>
        <v>8</v>
      </c>
      <c r="W169" s="11">
        <f t="shared" si="20"/>
        <v>1</v>
      </c>
    </row>
    <row r="170" spans="1:23">
      <c r="A170" t="s">
        <v>183</v>
      </c>
      <c r="B170" s="4">
        <v>45551</v>
      </c>
      <c r="C170" t="s">
        <v>2017</v>
      </c>
      <c r="D170" t="s">
        <v>2022</v>
      </c>
      <c r="E170" t="s">
        <v>2028</v>
      </c>
      <c r="F170" t="s">
        <v>2031</v>
      </c>
      <c r="G170" t="s">
        <v>2033</v>
      </c>
      <c r="H170" t="s">
        <v>2040</v>
      </c>
      <c r="I170">
        <v>1</v>
      </c>
      <c r="J170">
        <v>9</v>
      </c>
      <c r="K170">
        <v>8</v>
      </c>
      <c r="L170" t="s">
        <v>2041</v>
      </c>
      <c r="M170">
        <v>216</v>
      </c>
      <c r="N170">
        <v>11920</v>
      </c>
      <c r="O170">
        <v>19704</v>
      </c>
      <c r="P170" s="13">
        <f t="shared" si="14"/>
        <v>0</v>
      </c>
      <c r="Q170" t="str">
        <f t="shared" si="15"/>
        <v>No</v>
      </c>
      <c r="R170" t="str" cm="1">
        <f t="array" ref="R170">_xlfn.IFS(K170=0,"On Time",K170&lt;=2,"Minor",K170&lt;=5,"Major",K170&gt;5,"Severe")</f>
        <v>Severe</v>
      </c>
      <c r="S170">
        <f t="shared" si="16"/>
        <v>2463</v>
      </c>
      <c r="T170">
        <f t="shared" si="17"/>
        <v>1490</v>
      </c>
      <c r="U170">
        <f t="shared" si="18"/>
        <v>2024</v>
      </c>
      <c r="V170">
        <f t="shared" si="19"/>
        <v>9</v>
      </c>
      <c r="W170" s="11">
        <f t="shared" si="20"/>
        <v>1</v>
      </c>
    </row>
    <row r="171" spans="1:23">
      <c r="A171" t="s">
        <v>184</v>
      </c>
      <c r="B171" s="4">
        <v>45556</v>
      </c>
      <c r="C171" t="s">
        <v>2015</v>
      </c>
      <c r="D171" t="s">
        <v>2019</v>
      </c>
      <c r="E171" t="s">
        <v>2029</v>
      </c>
      <c r="F171" t="s">
        <v>2031</v>
      </c>
      <c r="G171" t="s">
        <v>2034</v>
      </c>
      <c r="H171" t="s">
        <v>2038</v>
      </c>
      <c r="I171">
        <v>2</v>
      </c>
      <c r="J171">
        <v>4</v>
      </c>
      <c r="K171">
        <v>2</v>
      </c>
      <c r="L171" t="s">
        <v>2041</v>
      </c>
      <c r="M171">
        <v>125</v>
      </c>
      <c r="N171">
        <v>1698</v>
      </c>
      <c r="O171">
        <v>6644</v>
      </c>
      <c r="P171" s="13">
        <f t="shared" si="14"/>
        <v>0</v>
      </c>
      <c r="Q171" t="str">
        <f t="shared" si="15"/>
        <v>No</v>
      </c>
      <c r="R171" t="str" cm="1">
        <f t="array" ref="R171">_xlfn.IFS(K171=0,"On Time",K171&lt;=2,"Minor",K171&lt;=5,"Major",K171&gt;5,"Severe")</f>
        <v>Minor</v>
      </c>
      <c r="S171">
        <f t="shared" si="16"/>
        <v>3322</v>
      </c>
      <c r="T171">
        <f t="shared" si="17"/>
        <v>849</v>
      </c>
      <c r="U171">
        <f t="shared" si="18"/>
        <v>2024</v>
      </c>
      <c r="V171">
        <f t="shared" si="19"/>
        <v>9</v>
      </c>
      <c r="W171" s="11">
        <f t="shared" si="20"/>
        <v>1</v>
      </c>
    </row>
    <row r="172" spans="1:23">
      <c r="A172" t="s">
        <v>185</v>
      </c>
      <c r="B172" s="4">
        <v>45374</v>
      </c>
      <c r="C172" t="s">
        <v>2018</v>
      </c>
      <c r="D172" t="s">
        <v>2024</v>
      </c>
      <c r="E172" t="s">
        <v>2028</v>
      </c>
      <c r="F172" t="s">
        <v>2032</v>
      </c>
      <c r="G172" t="s">
        <v>2037</v>
      </c>
      <c r="H172" t="s">
        <v>2039</v>
      </c>
      <c r="I172">
        <v>5</v>
      </c>
      <c r="J172">
        <v>11</v>
      </c>
      <c r="K172">
        <v>6</v>
      </c>
      <c r="L172" t="s">
        <v>2041</v>
      </c>
      <c r="M172">
        <v>158</v>
      </c>
      <c r="N172">
        <v>6918</v>
      </c>
      <c r="O172">
        <v>15510</v>
      </c>
      <c r="P172" s="13">
        <f t="shared" si="14"/>
        <v>0</v>
      </c>
      <c r="Q172" t="str">
        <f t="shared" si="15"/>
        <v>No</v>
      </c>
      <c r="R172" t="str" cm="1">
        <f t="array" ref="R172">_xlfn.IFS(K172=0,"On Time",K172&lt;=2,"Minor",K172&lt;=5,"Major",K172&gt;5,"Severe")</f>
        <v>Severe</v>
      </c>
      <c r="S172">
        <f t="shared" si="16"/>
        <v>2585</v>
      </c>
      <c r="T172">
        <f t="shared" si="17"/>
        <v>1153</v>
      </c>
      <c r="U172">
        <f t="shared" si="18"/>
        <v>2024</v>
      </c>
      <c r="V172">
        <f t="shared" si="19"/>
        <v>3</v>
      </c>
      <c r="W172" s="11">
        <f t="shared" si="20"/>
        <v>1</v>
      </c>
    </row>
    <row r="173" spans="1:23">
      <c r="A173" t="s">
        <v>186</v>
      </c>
      <c r="B173" s="4">
        <v>45611</v>
      </c>
      <c r="C173" t="s">
        <v>2017</v>
      </c>
      <c r="D173" t="s">
        <v>2023</v>
      </c>
      <c r="E173" t="s">
        <v>2029</v>
      </c>
      <c r="F173" t="s">
        <v>2031</v>
      </c>
      <c r="G173" t="s">
        <v>2035</v>
      </c>
      <c r="H173" t="s">
        <v>2040</v>
      </c>
      <c r="I173">
        <v>2</v>
      </c>
      <c r="J173">
        <v>8</v>
      </c>
      <c r="K173">
        <v>6</v>
      </c>
      <c r="L173" t="s">
        <v>2041</v>
      </c>
      <c r="M173">
        <v>228</v>
      </c>
      <c r="N173">
        <v>9618</v>
      </c>
      <c r="O173">
        <v>24834</v>
      </c>
      <c r="P173" s="13">
        <f t="shared" si="14"/>
        <v>0</v>
      </c>
      <c r="Q173" t="str">
        <f t="shared" si="15"/>
        <v>No</v>
      </c>
      <c r="R173" t="str" cm="1">
        <f t="array" ref="R173">_xlfn.IFS(K173=0,"On Time",K173&lt;=2,"Minor",K173&lt;=5,"Major",K173&gt;5,"Severe")</f>
        <v>Severe</v>
      </c>
      <c r="S173">
        <f t="shared" si="16"/>
        <v>4139</v>
      </c>
      <c r="T173">
        <f t="shared" si="17"/>
        <v>1603</v>
      </c>
      <c r="U173">
        <f t="shared" si="18"/>
        <v>2024</v>
      </c>
      <c r="V173">
        <f t="shared" si="19"/>
        <v>11</v>
      </c>
      <c r="W173" s="11">
        <f t="shared" si="20"/>
        <v>1</v>
      </c>
    </row>
    <row r="174" spans="1:23">
      <c r="A174" t="s">
        <v>187</v>
      </c>
      <c r="B174" s="4">
        <v>45646</v>
      </c>
      <c r="C174" t="s">
        <v>2017</v>
      </c>
      <c r="D174" t="s">
        <v>2022</v>
      </c>
      <c r="E174" t="s">
        <v>2027</v>
      </c>
      <c r="F174" t="s">
        <v>2032</v>
      </c>
      <c r="G174" t="s">
        <v>2037</v>
      </c>
      <c r="H174" t="s">
        <v>2038</v>
      </c>
      <c r="I174">
        <v>2</v>
      </c>
      <c r="J174">
        <v>5</v>
      </c>
      <c r="K174">
        <v>3</v>
      </c>
      <c r="L174" t="s">
        <v>2041</v>
      </c>
      <c r="M174">
        <v>241</v>
      </c>
      <c r="N174">
        <v>2493</v>
      </c>
      <c r="O174">
        <v>11193</v>
      </c>
      <c r="P174" s="13">
        <f t="shared" si="14"/>
        <v>0</v>
      </c>
      <c r="Q174" t="str">
        <f t="shared" si="15"/>
        <v>No</v>
      </c>
      <c r="R174" t="str" cm="1">
        <f t="array" ref="R174">_xlfn.IFS(K174=0,"On Time",K174&lt;=2,"Minor",K174&lt;=5,"Major",K174&gt;5,"Severe")</f>
        <v>Major</v>
      </c>
      <c r="S174">
        <f t="shared" si="16"/>
        <v>3731</v>
      </c>
      <c r="T174">
        <f t="shared" si="17"/>
        <v>831</v>
      </c>
      <c r="U174">
        <f t="shared" si="18"/>
        <v>2024</v>
      </c>
      <c r="V174">
        <f t="shared" si="19"/>
        <v>12</v>
      </c>
      <c r="W174" s="11">
        <f t="shared" si="20"/>
        <v>1</v>
      </c>
    </row>
    <row r="175" spans="1:23">
      <c r="A175" t="s">
        <v>188</v>
      </c>
      <c r="B175" s="4">
        <v>45620</v>
      </c>
      <c r="C175" t="s">
        <v>2015</v>
      </c>
      <c r="D175" t="s">
        <v>2019</v>
      </c>
      <c r="E175" t="s">
        <v>2029</v>
      </c>
      <c r="F175" t="s">
        <v>2031</v>
      </c>
      <c r="G175" t="s">
        <v>2037</v>
      </c>
      <c r="H175" t="s">
        <v>2039</v>
      </c>
      <c r="I175">
        <v>1</v>
      </c>
      <c r="J175">
        <v>5</v>
      </c>
      <c r="K175">
        <v>4</v>
      </c>
      <c r="L175" t="s">
        <v>2041</v>
      </c>
      <c r="M175">
        <v>76</v>
      </c>
      <c r="N175">
        <v>4664</v>
      </c>
      <c r="O175">
        <v>11600</v>
      </c>
      <c r="P175" s="13">
        <f t="shared" si="14"/>
        <v>0</v>
      </c>
      <c r="Q175" t="str">
        <f t="shared" si="15"/>
        <v>No</v>
      </c>
      <c r="R175" t="str" cm="1">
        <f t="array" ref="R175">_xlfn.IFS(K175=0,"On Time",K175&lt;=2,"Minor",K175&lt;=5,"Major",K175&gt;5,"Severe")</f>
        <v>Major</v>
      </c>
      <c r="S175">
        <f t="shared" si="16"/>
        <v>2900</v>
      </c>
      <c r="T175">
        <f t="shared" si="17"/>
        <v>1166</v>
      </c>
      <c r="U175">
        <f t="shared" si="18"/>
        <v>2024</v>
      </c>
      <c r="V175">
        <f t="shared" si="19"/>
        <v>11</v>
      </c>
      <c r="W175" s="11">
        <f t="shared" si="20"/>
        <v>1</v>
      </c>
    </row>
    <row r="176" spans="1:23">
      <c r="A176" t="s">
        <v>189</v>
      </c>
      <c r="B176" s="4">
        <v>45478</v>
      </c>
      <c r="C176" t="s">
        <v>2018</v>
      </c>
      <c r="D176" t="s">
        <v>2026</v>
      </c>
      <c r="E176" t="s">
        <v>2029</v>
      </c>
      <c r="F176" t="s">
        <v>2031</v>
      </c>
      <c r="G176" t="s">
        <v>2037</v>
      </c>
      <c r="H176" t="s">
        <v>2039</v>
      </c>
      <c r="I176">
        <v>3</v>
      </c>
      <c r="J176">
        <v>4</v>
      </c>
      <c r="K176">
        <v>1</v>
      </c>
      <c r="L176" t="s">
        <v>2041</v>
      </c>
      <c r="M176">
        <v>58</v>
      </c>
      <c r="N176">
        <v>2146</v>
      </c>
      <c r="O176">
        <v>2038</v>
      </c>
      <c r="P176" s="13">
        <f t="shared" si="14"/>
        <v>0</v>
      </c>
      <c r="Q176" t="str">
        <f t="shared" si="15"/>
        <v>No</v>
      </c>
      <c r="R176" t="str" cm="1">
        <f t="array" ref="R176">_xlfn.IFS(K176=0,"On Time",K176&lt;=2,"Minor",K176&lt;=5,"Major",K176&gt;5,"Severe")</f>
        <v>Minor</v>
      </c>
      <c r="S176">
        <f t="shared" si="16"/>
        <v>2038</v>
      </c>
      <c r="T176">
        <f t="shared" si="17"/>
        <v>2146</v>
      </c>
      <c r="U176">
        <f t="shared" si="18"/>
        <v>2024</v>
      </c>
      <c r="V176">
        <f t="shared" si="19"/>
        <v>7</v>
      </c>
      <c r="W176" s="11">
        <f t="shared" si="20"/>
        <v>1</v>
      </c>
    </row>
    <row r="177" spans="1:23">
      <c r="A177" t="s">
        <v>190</v>
      </c>
      <c r="B177" s="4">
        <v>45602</v>
      </c>
      <c r="C177" t="s">
        <v>2016</v>
      </c>
      <c r="D177" t="s">
        <v>2021</v>
      </c>
      <c r="E177" t="s">
        <v>2029</v>
      </c>
      <c r="F177" t="s">
        <v>2031</v>
      </c>
      <c r="G177" t="s">
        <v>2033</v>
      </c>
      <c r="H177" t="s">
        <v>2039</v>
      </c>
      <c r="I177">
        <v>1</v>
      </c>
      <c r="J177">
        <v>5</v>
      </c>
      <c r="K177">
        <v>4</v>
      </c>
      <c r="L177" t="s">
        <v>2041</v>
      </c>
      <c r="M177">
        <v>315</v>
      </c>
      <c r="N177">
        <v>7176</v>
      </c>
      <c r="O177">
        <v>17884</v>
      </c>
      <c r="P177" s="13">
        <f t="shared" si="14"/>
        <v>0</v>
      </c>
      <c r="Q177" t="str">
        <f t="shared" si="15"/>
        <v>No</v>
      </c>
      <c r="R177" t="str" cm="1">
        <f t="array" ref="R177">_xlfn.IFS(K177=0,"On Time",K177&lt;=2,"Minor",K177&lt;=5,"Major",K177&gt;5,"Severe")</f>
        <v>Major</v>
      </c>
      <c r="S177">
        <f t="shared" si="16"/>
        <v>4471</v>
      </c>
      <c r="T177">
        <f t="shared" si="17"/>
        <v>1794</v>
      </c>
      <c r="U177">
        <f t="shared" si="18"/>
        <v>2024</v>
      </c>
      <c r="V177">
        <f t="shared" si="19"/>
        <v>11</v>
      </c>
      <c r="W177" s="11">
        <f t="shared" si="20"/>
        <v>1</v>
      </c>
    </row>
    <row r="178" spans="1:23">
      <c r="A178" t="s">
        <v>191</v>
      </c>
      <c r="B178" s="4">
        <v>45407</v>
      </c>
      <c r="C178" t="s">
        <v>2015</v>
      </c>
      <c r="D178" t="s">
        <v>2020</v>
      </c>
      <c r="E178" t="s">
        <v>2028</v>
      </c>
      <c r="F178" t="s">
        <v>2032</v>
      </c>
      <c r="G178" t="s">
        <v>2036</v>
      </c>
      <c r="H178" t="s">
        <v>2038</v>
      </c>
      <c r="I178">
        <v>3</v>
      </c>
      <c r="J178">
        <v>7</v>
      </c>
      <c r="K178">
        <v>4</v>
      </c>
      <c r="L178" t="s">
        <v>2041</v>
      </c>
      <c r="M178">
        <v>360</v>
      </c>
      <c r="N178">
        <v>8412</v>
      </c>
      <c r="O178">
        <v>7360</v>
      </c>
      <c r="P178" s="13">
        <f t="shared" si="14"/>
        <v>0</v>
      </c>
      <c r="Q178" t="str">
        <f t="shared" si="15"/>
        <v>No</v>
      </c>
      <c r="R178" t="str" cm="1">
        <f t="array" ref="R178">_xlfn.IFS(K178=0,"On Time",K178&lt;=2,"Minor",K178&lt;=5,"Major",K178&gt;5,"Severe")</f>
        <v>Major</v>
      </c>
      <c r="S178">
        <f t="shared" si="16"/>
        <v>1840</v>
      </c>
      <c r="T178">
        <f t="shared" si="17"/>
        <v>2103</v>
      </c>
      <c r="U178">
        <f t="shared" si="18"/>
        <v>2024</v>
      </c>
      <c r="V178">
        <f t="shared" si="19"/>
        <v>4</v>
      </c>
      <c r="W178" s="11">
        <f t="shared" si="20"/>
        <v>1</v>
      </c>
    </row>
    <row r="179" spans="1:23">
      <c r="A179" t="s">
        <v>192</v>
      </c>
      <c r="B179" s="4">
        <v>45322</v>
      </c>
      <c r="C179" t="s">
        <v>2015</v>
      </c>
      <c r="D179" t="s">
        <v>2020</v>
      </c>
      <c r="E179" t="s">
        <v>2028</v>
      </c>
      <c r="F179" t="s">
        <v>2031</v>
      </c>
      <c r="G179" t="s">
        <v>2034</v>
      </c>
      <c r="H179" t="s">
        <v>2039</v>
      </c>
      <c r="I179">
        <v>1</v>
      </c>
      <c r="J179">
        <v>3</v>
      </c>
      <c r="K179">
        <v>2</v>
      </c>
      <c r="L179" t="s">
        <v>2041</v>
      </c>
      <c r="M179">
        <v>276</v>
      </c>
      <c r="N179">
        <v>3676</v>
      </c>
      <c r="O179">
        <v>8324</v>
      </c>
      <c r="P179" s="13">
        <f t="shared" si="14"/>
        <v>0</v>
      </c>
      <c r="Q179" t="str">
        <f t="shared" si="15"/>
        <v>No</v>
      </c>
      <c r="R179" t="str" cm="1">
        <f t="array" ref="R179">_xlfn.IFS(K179=0,"On Time",K179&lt;=2,"Minor",K179&lt;=5,"Major",K179&gt;5,"Severe")</f>
        <v>Minor</v>
      </c>
      <c r="S179">
        <f t="shared" si="16"/>
        <v>4162</v>
      </c>
      <c r="T179">
        <f t="shared" si="17"/>
        <v>1838</v>
      </c>
      <c r="U179">
        <f t="shared" si="18"/>
        <v>2024</v>
      </c>
      <c r="V179">
        <f t="shared" si="19"/>
        <v>1</v>
      </c>
      <c r="W179" s="11">
        <f t="shared" si="20"/>
        <v>1</v>
      </c>
    </row>
    <row r="180" spans="1:23">
      <c r="A180" t="s">
        <v>193</v>
      </c>
      <c r="B180" s="4">
        <v>45526</v>
      </c>
      <c r="C180" t="s">
        <v>2015</v>
      </c>
      <c r="D180" t="s">
        <v>2019</v>
      </c>
      <c r="E180" t="s">
        <v>2027</v>
      </c>
      <c r="F180" t="s">
        <v>2030</v>
      </c>
      <c r="G180" t="s">
        <v>2033</v>
      </c>
      <c r="H180" t="s">
        <v>2039</v>
      </c>
      <c r="I180">
        <v>3</v>
      </c>
      <c r="J180">
        <v>4</v>
      </c>
      <c r="K180">
        <v>1</v>
      </c>
      <c r="L180" t="s">
        <v>2041</v>
      </c>
      <c r="M180">
        <v>446</v>
      </c>
      <c r="N180">
        <v>1603</v>
      </c>
      <c r="O180">
        <v>2452</v>
      </c>
      <c r="P180" s="13">
        <f t="shared" si="14"/>
        <v>0</v>
      </c>
      <c r="Q180" t="str">
        <f t="shared" si="15"/>
        <v>No</v>
      </c>
      <c r="R180" t="str" cm="1">
        <f t="array" ref="R180">_xlfn.IFS(K180=0,"On Time",K180&lt;=2,"Minor",K180&lt;=5,"Major",K180&gt;5,"Severe")</f>
        <v>Minor</v>
      </c>
      <c r="S180">
        <f t="shared" si="16"/>
        <v>2452</v>
      </c>
      <c r="T180">
        <f t="shared" si="17"/>
        <v>1603</v>
      </c>
      <c r="U180">
        <f t="shared" si="18"/>
        <v>2024</v>
      </c>
      <c r="V180">
        <f t="shared" si="19"/>
        <v>8</v>
      </c>
      <c r="W180" s="11">
        <f t="shared" si="20"/>
        <v>1</v>
      </c>
    </row>
    <row r="181" spans="1:23">
      <c r="A181" t="s">
        <v>194</v>
      </c>
      <c r="B181" s="4">
        <v>45486</v>
      </c>
      <c r="C181" t="s">
        <v>2017</v>
      </c>
      <c r="D181" t="s">
        <v>2023</v>
      </c>
      <c r="E181" t="s">
        <v>2029</v>
      </c>
      <c r="F181" t="s">
        <v>2031</v>
      </c>
      <c r="G181" t="s">
        <v>2035</v>
      </c>
      <c r="H181" t="s">
        <v>2040</v>
      </c>
      <c r="I181">
        <v>1</v>
      </c>
      <c r="J181">
        <v>8</v>
      </c>
      <c r="K181">
        <v>7</v>
      </c>
      <c r="L181" t="s">
        <v>2041</v>
      </c>
      <c r="M181">
        <v>260</v>
      </c>
      <c r="N181">
        <v>16590</v>
      </c>
      <c r="O181">
        <v>13398</v>
      </c>
      <c r="P181" s="13">
        <f t="shared" si="14"/>
        <v>0</v>
      </c>
      <c r="Q181" t="str">
        <f t="shared" si="15"/>
        <v>No</v>
      </c>
      <c r="R181" t="str" cm="1">
        <f t="array" ref="R181">_xlfn.IFS(K181=0,"On Time",K181&lt;=2,"Minor",K181&lt;=5,"Major",K181&gt;5,"Severe")</f>
        <v>Severe</v>
      </c>
      <c r="S181">
        <f t="shared" si="16"/>
        <v>1914</v>
      </c>
      <c r="T181">
        <f t="shared" si="17"/>
        <v>2370</v>
      </c>
      <c r="U181">
        <f t="shared" si="18"/>
        <v>2024</v>
      </c>
      <c r="V181">
        <f t="shared" si="19"/>
        <v>7</v>
      </c>
      <c r="W181" s="11">
        <f t="shared" si="20"/>
        <v>1</v>
      </c>
    </row>
    <row r="182" spans="1:23">
      <c r="A182" t="s">
        <v>195</v>
      </c>
      <c r="B182" s="4">
        <v>45477</v>
      </c>
      <c r="C182" t="s">
        <v>2015</v>
      </c>
      <c r="D182" t="s">
        <v>2020</v>
      </c>
      <c r="E182" t="s">
        <v>2027</v>
      </c>
      <c r="F182" t="s">
        <v>2030</v>
      </c>
      <c r="G182" t="s">
        <v>2035</v>
      </c>
      <c r="H182" t="s">
        <v>2039</v>
      </c>
      <c r="I182">
        <v>3</v>
      </c>
      <c r="J182">
        <v>4</v>
      </c>
      <c r="K182">
        <v>1</v>
      </c>
      <c r="L182" t="s">
        <v>2041</v>
      </c>
      <c r="M182">
        <v>155</v>
      </c>
      <c r="N182">
        <v>2087</v>
      </c>
      <c r="O182">
        <v>2343</v>
      </c>
      <c r="P182" s="13">
        <f t="shared" si="14"/>
        <v>0</v>
      </c>
      <c r="Q182" t="str">
        <f t="shared" si="15"/>
        <v>No</v>
      </c>
      <c r="R182" t="str" cm="1">
        <f t="array" ref="R182">_xlfn.IFS(K182=0,"On Time",K182&lt;=2,"Minor",K182&lt;=5,"Major",K182&gt;5,"Severe")</f>
        <v>Minor</v>
      </c>
      <c r="S182">
        <f t="shared" si="16"/>
        <v>2343</v>
      </c>
      <c r="T182">
        <f t="shared" si="17"/>
        <v>2087</v>
      </c>
      <c r="U182">
        <f t="shared" si="18"/>
        <v>2024</v>
      </c>
      <c r="V182">
        <f t="shared" si="19"/>
        <v>7</v>
      </c>
      <c r="W182" s="11">
        <f t="shared" si="20"/>
        <v>1</v>
      </c>
    </row>
    <row r="183" spans="1:23">
      <c r="A183" t="s">
        <v>196</v>
      </c>
      <c r="B183" s="4">
        <v>45525</v>
      </c>
      <c r="C183" t="s">
        <v>2018</v>
      </c>
      <c r="D183" t="s">
        <v>2026</v>
      </c>
      <c r="E183" t="s">
        <v>2029</v>
      </c>
      <c r="F183" t="s">
        <v>2032</v>
      </c>
      <c r="G183" t="s">
        <v>2035</v>
      </c>
      <c r="H183" t="s">
        <v>2038</v>
      </c>
      <c r="I183">
        <v>3</v>
      </c>
      <c r="J183">
        <v>6</v>
      </c>
      <c r="K183">
        <v>3</v>
      </c>
      <c r="L183" t="s">
        <v>2041</v>
      </c>
      <c r="M183">
        <v>482</v>
      </c>
      <c r="N183">
        <v>2613</v>
      </c>
      <c r="O183">
        <v>4641</v>
      </c>
      <c r="P183" s="13">
        <f t="shared" si="14"/>
        <v>0</v>
      </c>
      <c r="Q183" t="str">
        <f t="shared" si="15"/>
        <v>No</v>
      </c>
      <c r="R183" t="str" cm="1">
        <f t="array" ref="R183">_xlfn.IFS(K183=0,"On Time",K183&lt;=2,"Minor",K183&lt;=5,"Major",K183&gt;5,"Severe")</f>
        <v>Major</v>
      </c>
      <c r="S183">
        <f t="shared" si="16"/>
        <v>1547</v>
      </c>
      <c r="T183">
        <f t="shared" si="17"/>
        <v>871</v>
      </c>
      <c r="U183">
        <f t="shared" si="18"/>
        <v>2024</v>
      </c>
      <c r="V183">
        <f t="shared" si="19"/>
        <v>8</v>
      </c>
      <c r="W183" s="11">
        <f t="shared" si="20"/>
        <v>1</v>
      </c>
    </row>
    <row r="184" spans="1:23">
      <c r="A184" t="s">
        <v>197</v>
      </c>
      <c r="B184" s="4">
        <v>45410</v>
      </c>
      <c r="C184" t="s">
        <v>2015</v>
      </c>
      <c r="D184" t="s">
        <v>2020</v>
      </c>
      <c r="E184" t="s">
        <v>2027</v>
      </c>
      <c r="F184" t="s">
        <v>2031</v>
      </c>
      <c r="G184" t="s">
        <v>2037</v>
      </c>
      <c r="H184" t="s">
        <v>2038</v>
      </c>
      <c r="I184">
        <v>3</v>
      </c>
      <c r="J184">
        <v>7</v>
      </c>
      <c r="K184">
        <v>4</v>
      </c>
      <c r="L184" t="s">
        <v>2041</v>
      </c>
      <c r="M184">
        <v>331</v>
      </c>
      <c r="N184">
        <v>3700</v>
      </c>
      <c r="O184">
        <v>15000</v>
      </c>
      <c r="P184" s="13">
        <f t="shared" si="14"/>
        <v>0</v>
      </c>
      <c r="Q184" t="str">
        <f t="shared" si="15"/>
        <v>No</v>
      </c>
      <c r="R184" t="str" cm="1">
        <f t="array" ref="R184">_xlfn.IFS(K184=0,"On Time",K184&lt;=2,"Minor",K184&lt;=5,"Major",K184&gt;5,"Severe")</f>
        <v>Major</v>
      </c>
      <c r="S184">
        <f t="shared" si="16"/>
        <v>3750</v>
      </c>
      <c r="T184">
        <f t="shared" si="17"/>
        <v>925</v>
      </c>
      <c r="U184">
        <f t="shared" si="18"/>
        <v>2024</v>
      </c>
      <c r="V184">
        <f t="shared" si="19"/>
        <v>4</v>
      </c>
      <c r="W184" s="11">
        <f t="shared" si="20"/>
        <v>1</v>
      </c>
    </row>
    <row r="185" spans="1:23">
      <c r="A185" t="s">
        <v>198</v>
      </c>
      <c r="B185" s="4">
        <v>45460</v>
      </c>
      <c r="C185" t="s">
        <v>2015</v>
      </c>
      <c r="D185" t="s">
        <v>2020</v>
      </c>
      <c r="E185" t="s">
        <v>2028</v>
      </c>
      <c r="F185" t="s">
        <v>2030</v>
      </c>
      <c r="G185" t="s">
        <v>2037</v>
      </c>
      <c r="H185" t="s">
        <v>2038</v>
      </c>
      <c r="I185">
        <v>1</v>
      </c>
      <c r="J185">
        <v>3</v>
      </c>
      <c r="K185">
        <v>2</v>
      </c>
      <c r="L185" t="s">
        <v>2041</v>
      </c>
      <c r="M185">
        <v>246</v>
      </c>
      <c r="N185">
        <v>2290</v>
      </c>
      <c r="O185">
        <v>9690</v>
      </c>
      <c r="P185" s="13">
        <f t="shared" si="14"/>
        <v>0</v>
      </c>
      <c r="Q185" t="str">
        <f t="shared" si="15"/>
        <v>No</v>
      </c>
      <c r="R185" t="str" cm="1">
        <f t="array" ref="R185">_xlfn.IFS(K185=0,"On Time",K185&lt;=2,"Minor",K185&lt;=5,"Major",K185&gt;5,"Severe")</f>
        <v>Minor</v>
      </c>
      <c r="S185">
        <f t="shared" si="16"/>
        <v>4845</v>
      </c>
      <c r="T185">
        <f t="shared" si="17"/>
        <v>1145</v>
      </c>
      <c r="U185">
        <f t="shared" si="18"/>
        <v>2024</v>
      </c>
      <c r="V185">
        <f t="shared" si="19"/>
        <v>6</v>
      </c>
      <c r="W185" s="11">
        <f t="shared" si="20"/>
        <v>1</v>
      </c>
    </row>
    <row r="186" spans="1:23">
      <c r="A186" t="s">
        <v>199</v>
      </c>
      <c r="B186" s="4">
        <v>45563</v>
      </c>
      <c r="C186" t="s">
        <v>2016</v>
      </c>
      <c r="D186" t="s">
        <v>2021</v>
      </c>
      <c r="E186" t="s">
        <v>2029</v>
      </c>
      <c r="F186" t="s">
        <v>2031</v>
      </c>
      <c r="G186" t="s">
        <v>2035</v>
      </c>
      <c r="H186" t="s">
        <v>2038</v>
      </c>
      <c r="I186">
        <v>3</v>
      </c>
      <c r="J186">
        <v>7</v>
      </c>
      <c r="K186">
        <v>4</v>
      </c>
      <c r="L186" t="s">
        <v>2041</v>
      </c>
      <c r="M186">
        <v>390</v>
      </c>
      <c r="N186">
        <v>7368</v>
      </c>
      <c r="O186">
        <v>9924</v>
      </c>
      <c r="P186" s="13">
        <f t="shared" si="14"/>
        <v>0</v>
      </c>
      <c r="Q186" t="str">
        <f t="shared" si="15"/>
        <v>No</v>
      </c>
      <c r="R186" t="str" cm="1">
        <f t="array" ref="R186">_xlfn.IFS(K186=0,"On Time",K186&lt;=2,"Minor",K186&lt;=5,"Major",K186&gt;5,"Severe")</f>
        <v>Major</v>
      </c>
      <c r="S186">
        <f t="shared" si="16"/>
        <v>2481</v>
      </c>
      <c r="T186">
        <f t="shared" si="17"/>
        <v>1842</v>
      </c>
      <c r="U186">
        <f t="shared" si="18"/>
        <v>2024</v>
      </c>
      <c r="V186">
        <f t="shared" si="19"/>
        <v>9</v>
      </c>
      <c r="W186" s="11">
        <f t="shared" si="20"/>
        <v>1</v>
      </c>
    </row>
    <row r="187" spans="1:23">
      <c r="A187" t="s">
        <v>200</v>
      </c>
      <c r="B187" s="4">
        <v>45618</v>
      </c>
      <c r="C187" t="s">
        <v>2017</v>
      </c>
      <c r="D187" t="s">
        <v>2023</v>
      </c>
      <c r="E187" t="s">
        <v>2029</v>
      </c>
      <c r="F187" t="s">
        <v>2031</v>
      </c>
      <c r="G187" t="s">
        <v>2034</v>
      </c>
      <c r="H187" t="s">
        <v>2040</v>
      </c>
      <c r="I187">
        <v>2</v>
      </c>
      <c r="J187">
        <v>7</v>
      </c>
      <c r="K187">
        <v>5</v>
      </c>
      <c r="L187" t="s">
        <v>2041</v>
      </c>
      <c r="M187">
        <v>398</v>
      </c>
      <c r="N187">
        <v>6340</v>
      </c>
      <c r="O187">
        <v>18625</v>
      </c>
      <c r="P187" s="13">
        <f t="shared" si="14"/>
        <v>0</v>
      </c>
      <c r="Q187" t="str">
        <f t="shared" si="15"/>
        <v>No</v>
      </c>
      <c r="R187" t="str" cm="1">
        <f t="array" ref="R187">_xlfn.IFS(K187=0,"On Time",K187&lt;=2,"Minor",K187&lt;=5,"Major",K187&gt;5,"Severe")</f>
        <v>Major</v>
      </c>
      <c r="S187">
        <f t="shared" si="16"/>
        <v>3725</v>
      </c>
      <c r="T187">
        <f t="shared" si="17"/>
        <v>1268</v>
      </c>
      <c r="U187">
        <f t="shared" si="18"/>
        <v>2024</v>
      </c>
      <c r="V187">
        <f t="shared" si="19"/>
        <v>11</v>
      </c>
      <c r="W187" s="11">
        <f t="shared" si="20"/>
        <v>1</v>
      </c>
    </row>
    <row r="188" spans="1:23">
      <c r="A188" t="s">
        <v>201</v>
      </c>
      <c r="B188" s="4">
        <v>45417</v>
      </c>
      <c r="C188" t="s">
        <v>2015</v>
      </c>
      <c r="D188" t="s">
        <v>2020</v>
      </c>
      <c r="E188" t="s">
        <v>2028</v>
      </c>
      <c r="F188" t="s">
        <v>2031</v>
      </c>
      <c r="G188" t="s">
        <v>2036</v>
      </c>
      <c r="H188" t="s">
        <v>2038</v>
      </c>
      <c r="I188">
        <v>2</v>
      </c>
      <c r="J188">
        <v>5</v>
      </c>
      <c r="K188">
        <v>3</v>
      </c>
      <c r="L188" t="s">
        <v>2041</v>
      </c>
      <c r="M188">
        <v>345</v>
      </c>
      <c r="N188">
        <v>2511</v>
      </c>
      <c r="O188">
        <v>13005</v>
      </c>
      <c r="P188" s="13">
        <f t="shared" si="14"/>
        <v>0</v>
      </c>
      <c r="Q188" t="str">
        <f t="shared" si="15"/>
        <v>No</v>
      </c>
      <c r="R188" t="str" cm="1">
        <f t="array" ref="R188">_xlfn.IFS(K188=0,"On Time",K188&lt;=2,"Minor",K188&lt;=5,"Major",K188&gt;5,"Severe")</f>
        <v>Major</v>
      </c>
      <c r="S188">
        <f t="shared" si="16"/>
        <v>4335</v>
      </c>
      <c r="T188">
        <f t="shared" si="17"/>
        <v>837</v>
      </c>
      <c r="U188">
        <f t="shared" si="18"/>
        <v>2024</v>
      </c>
      <c r="V188">
        <f t="shared" si="19"/>
        <v>5</v>
      </c>
      <c r="W188" s="11">
        <f t="shared" si="20"/>
        <v>1</v>
      </c>
    </row>
    <row r="189" spans="1:23">
      <c r="A189" t="s">
        <v>202</v>
      </c>
      <c r="B189" s="4">
        <v>45554</v>
      </c>
      <c r="C189" t="s">
        <v>2017</v>
      </c>
      <c r="D189" t="s">
        <v>2023</v>
      </c>
      <c r="E189" t="s">
        <v>2028</v>
      </c>
      <c r="F189" t="s">
        <v>2031</v>
      </c>
      <c r="G189" t="s">
        <v>2035</v>
      </c>
      <c r="H189" t="s">
        <v>2040</v>
      </c>
      <c r="I189">
        <v>1</v>
      </c>
      <c r="J189">
        <v>7</v>
      </c>
      <c r="K189">
        <v>6</v>
      </c>
      <c r="L189" t="s">
        <v>2041</v>
      </c>
      <c r="M189">
        <v>395</v>
      </c>
      <c r="N189">
        <v>12774</v>
      </c>
      <c r="O189">
        <v>22896</v>
      </c>
      <c r="P189" s="13">
        <f t="shared" si="14"/>
        <v>0</v>
      </c>
      <c r="Q189" t="str">
        <f t="shared" si="15"/>
        <v>No</v>
      </c>
      <c r="R189" t="str" cm="1">
        <f t="array" ref="R189">_xlfn.IFS(K189=0,"On Time",K189&lt;=2,"Minor",K189&lt;=5,"Major",K189&gt;5,"Severe")</f>
        <v>Severe</v>
      </c>
      <c r="S189">
        <f t="shared" si="16"/>
        <v>3816</v>
      </c>
      <c r="T189">
        <f t="shared" si="17"/>
        <v>2129</v>
      </c>
      <c r="U189">
        <f t="shared" si="18"/>
        <v>2024</v>
      </c>
      <c r="V189">
        <f t="shared" si="19"/>
        <v>9</v>
      </c>
      <c r="W189" s="11">
        <f t="shared" si="20"/>
        <v>1</v>
      </c>
    </row>
    <row r="190" spans="1:23">
      <c r="A190" t="s">
        <v>203</v>
      </c>
      <c r="B190" s="4">
        <v>45353</v>
      </c>
      <c r="C190" t="s">
        <v>2018</v>
      </c>
      <c r="D190" t="s">
        <v>2024</v>
      </c>
      <c r="E190" t="s">
        <v>2029</v>
      </c>
      <c r="F190" t="s">
        <v>2030</v>
      </c>
      <c r="G190" t="s">
        <v>2037</v>
      </c>
      <c r="H190" t="s">
        <v>2038</v>
      </c>
      <c r="I190">
        <v>1</v>
      </c>
      <c r="J190">
        <v>5</v>
      </c>
      <c r="K190">
        <v>4</v>
      </c>
      <c r="L190" t="s">
        <v>2041</v>
      </c>
      <c r="M190">
        <v>381</v>
      </c>
      <c r="N190">
        <v>9400</v>
      </c>
      <c r="O190">
        <v>13180</v>
      </c>
      <c r="P190" s="13">
        <f t="shared" si="14"/>
        <v>0</v>
      </c>
      <c r="Q190" t="str">
        <f t="shared" si="15"/>
        <v>No</v>
      </c>
      <c r="R190" t="str" cm="1">
        <f t="array" ref="R190">_xlfn.IFS(K190=0,"On Time",K190&lt;=2,"Minor",K190&lt;=5,"Major",K190&gt;5,"Severe")</f>
        <v>Major</v>
      </c>
      <c r="S190">
        <f t="shared" si="16"/>
        <v>3295</v>
      </c>
      <c r="T190">
        <f t="shared" si="17"/>
        <v>2350</v>
      </c>
      <c r="U190">
        <f t="shared" si="18"/>
        <v>2024</v>
      </c>
      <c r="V190">
        <f t="shared" si="19"/>
        <v>3</v>
      </c>
      <c r="W190" s="11">
        <f t="shared" si="20"/>
        <v>1</v>
      </c>
    </row>
    <row r="191" spans="1:23">
      <c r="A191" t="s">
        <v>204</v>
      </c>
      <c r="B191" s="4">
        <v>45294</v>
      </c>
      <c r="C191" t="s">
        <v>2017</v>
      </c>
      <c r="D191" t="s">
        <v>2023</v>
      </c>
      <c r="E191" t="s">
        <v>2027</v>
      </c>
      <c r="F191" t="s">
        <v>2030</v>
      </c>
      <c r="G191" t="s">
        <v>2035</v>
      </c>
      <c r="H191" t="s">
        <v>2039</v>
      </c>
      <c r="I191">
        <v>3</v>
      </c>
      <c r="J191">
        <v>3</v>
      </c>
      <c r="K191">
        <v>0</v>
      </c>
      <c r="L191" t="s">
        <v>2042</v>
      </c>
      <c r="M191">
        <v>204</v>
      </c>
      <c r="N191">
        <v>0</v>
      </c>
      <c r="O191">
        <v>0</v>
      </c>
      <c r="P191" s="13">
        <f t="shared" si="14"/>
        <v>1</v>
      </c>
      <c r="Q191" t="str">
        <f t="shared" si="15"/>
        <v>No</v>
      </c>
      <c r="R191" t="str" cm="1">
        <f t="array" ref="R191">_xlfn.IFS(K191=0,"On Time",K191&lt;=2,"Minor",K191&lt;=5,"Major",K191&gt;5,"Severe")</f>
        <v>On Time</v>
      </c>
      <c r="S191">
        <f t="shared" si="16"/>
        <v>0</v>
      </c>
      <c r="T191">
        <f t="shared" si="17"/>
        <v>0</v>
      </c>
      <c r="U191">
        <f t="shared" si="18"/>
        <v>2024</v>
      </c>
      <c r="V191">
        <f t="shared" si="19"/>
        <v>1</v>
      </c>
      <c r="W191" s="11">
        <f t="shared" si="20"/>
        <v>0</v>
      </c>
    </row>
    <row r="192" spans="1:23">
      <c r="A192" t="s">
        <v>205</v>
      </c>
      <c r="B192" s="4">
        <v>45490</v>
      </c>
      <c r="C192" t="s">
        <v>2016</v>
      </c>
      <c r="D192" t="s">
        <v>2025</v>
      </c>
      <c r="E192" t="s">
        <v>2028</v>
      </c>
      <c r="F192" t="s">
        <v>2031</v>
      </c>
      <c r="G192" t="s">
        <v>2034</v>
      </c>
      <c r="H192" t="s">
        <v>2039</v>
      </c>
      <c r="I192">
        <v>1</v>
      </c>
      <c r="J192">
        <v>6</v>
      </c>
      <c r="K192">
        <v>5</v>
      </c>
      <c r="L192" t="s">
        <v>2041</v>
      </c>
      <c r="M192">
        <v>456</v>
      </c>
      <c r="N192">
        <v>8970</v>
      </c>
      <c r="O192">
        <v>24210</v>
      </c>
      <c r="P192" s="13">
        <f t="shared" si="14"/>
        <v>0</v>
      </c>
      <c r="Q192" t="str">
        <f t="shared" si="15"/>
        <v>No</v>
      </c>
      <c r="R192" t="str" cm="1">
        <f t="array" ref="R192">_xlfn.IFS(K192=0,"On Time",K192&lt;=2,"Minor",K192&lt;=5,"Major",K192&gt;5,"Severe")</f>
        <v>Major</v>
      </c>
      <c r="S192">
        <f t="shared" si="16"/>
        <v>4842</v>
      </c>
      <c r="T192">
        <f t="shared" si="17"/>
        <v>1794</v>
      </c>
      <c r="U192">
        <f t="shared" si="18"/>
        <v>2024</v>
      </c>
      <c r="V192">
        <f t="shared" si="19"/>
        <v>7</v>
      </c>
      <c r="W192" s="11">
        <f t="shared" si="20"/>
        <v>1</v>
      </c>
    </row>
    <row r="193" spans="1:23">
      <c r="A193" t="s">
        <v>206</v>
      </c>
      <c r="B193" s="4">
        <v>45538</v>
      </c>
      <c r="C193" t="s">
        <v>2016</v>
      </c>
      <c r="D193" t="s">
        <v>2025</v>
      </c>
      <c r="E193" t="s">
        <v>2027</v>
      </c>
      <c r="F193" t="s">
        <v>2032</v>
      </c>
      <c r="G193" t="s">
        <v>2036</v>
      </c>
      <c r="H193" t="s">
        <v>2039</v>
      </c>
      <c r="I193">
        <v>1</v>
      </c>
      <c r="J193">
        <v>4</v>
      </c>
      <c r="K193">
        <v>3</v>
      </c>
      <c r="L193" t="s">
        <v>2041</v>
      </c>
      <c r="M193">
        <v>370</v>
      </c>
      <c r="N193">
        <v>3744</v>
      </c>
      <c r="O193">
        <v>9759</v>
      </c>
      <c r="P193" s="13">
        <f t="shared" si="14"/>
        <v>0</v>
      </c>
      <c r="Q193" t="str">
        <f t="shared" si="15"/>
        <v>No</v>
      </c>
      <c r="R193" t="str" cm="1">
        <f t="array" ref="R193">_xlfn.IFS(K193=0,"On Time",K193&lt;=2,"Minor",K193&lt;=5,"Major",K193&gt;5,"Severe")</f>
        <v>Major</v>
      </c>
      <c r="S193">
        <f t="shared" si="16"/>
        <v>3253</v>
      </c>
      <c r="T193">
        <f t="shared" si="17"/>
        <v>1248</v>
      </c>
      <c r="U193">
        <f t="shared" si="18"/>
        <v>2024</v>
      </c>
      <c r="V193">
        <f t="shared" si="19"/>
        <v>9</v>
      </c>
      <c r="W193" s="11">
        <f t="shared" si="20"/>
        <v>1</v>
      </c>
    </row>
    <row r="194" spans="1:23">
      <c r="A194" t="s">
        <v>207</v>
      </c>
      <c r="B194" s="4">
        <v>45365</v>
      </c>
      <c r="C194" t="s">
        <v>2018</v>
      </c>
      <c r="D194" t="s">
        <v>2024</v>
      </c>
      <c r="E194" t="s">
        <v>2029</v>
      </c>
      <c r="F194" t="s">
        <v>2031</v>
      </c>
      <c r="G194" t="s">
        <v>2033</v>
      </c>
      <c r="H194" t="s">
        <v>2040</v>
      </c>
      <c r="I194">
        <v>3</v>
      </c>
      <c r="J194">
        <v>11</v>
      </c>
      <c r="K194">
        <v>8</v>
      </c>
      <c r="L194" t="s">
        <v>2041</v>
      </c>
      <c r="M194">
        <v>350</v>
      </c>
      <c r="N194">
        <v>7864</v>
      </c>
      <c r="O194">
        <v>24336</v>
      </c>
      <c r="P194" s="13">
        <f t="shared" si="14"/>
        <v>0</v>
      </c>
      <c r="Q194" t="str">
        <f t="shared" si="15"/>
        <v>No</v>
      </c>
      <c r="R194" t="str" cm="1">
        <f t="array" ref="R194">_xlfn.IFS(K194=0,"On Time",K194&lt;=2,"Minor",K194&lt;=5,"Major",K194&gt;5,"Severe")</f>
        <v>Severe</v>
      </c>
      <c r="S194">
        <f t="shared" si="16"/>
        <v>3042</v>
      </c>
      <c r="T194">
        <f t="shared" si="17"/>
        <v>983</v>
      </c>
      <c r="U194">
        <f t="shared" si="18"/>
        <v>2024</v>
      </c>
      <c r="V194">
        <f t="shared" si="19"/>
        <v>3</v>
      </c>
      <c r="W194" s="11">
        <f t="shared" si="20"/>
        <v>1</v>
      </c>
    </row>
    <row r="195" spans="1:23">
      <c r="A195" t="s">
        <v>208</v>
      </c>
      <c r="B195" s="4">
        <v>45397</v>
      </c>
      <c r="C195" t="s">
        <v>2018</v>
      </c>
      <c r="D195" t="s">
        <v>2026</v>
      </c>
      <c r="E195" t="s">
        <v>2029</v>
      </c>
      <c r="F195" t="s">
        <v>2031</v>
      </c>
      <c r="G195" t="s">
        <v>2034</v>
      </c>
      <c r="H195" t="s">
        <v>2038</v>
      </c>
      <c r="I195">
        <v>2</v>
      </c>
      <c r="J195">
        <v>2</v>
      </c>
      <c r="K195">
        <v>0</v>
      </c>
      <c r="L195" t="s">
        <v>2042</v>
      </c>
      <c r="M195">
        <v>355</v>
      </c>
      <c r="N195">
        <v>0</v>
      </c>
      <c r="O195">
        <v>0</v>
      </c>
      <c r="P195" s="13">
        <f t="shared" ref="P195:P258" si="21">IF(L195="Yes",0,1)</f>
        <v>1</v>
      </c>
      <c r="Q195" t="str">
        <f t="shared" ref="Q195:Q258" si="22">IF(K195&gt;J195,"Yes","No")</f>
        <v>No</v>
      </c>
      <c r="R195" t="str" cm="1">
        <f t="array" ref="R195">_xlfn.IFS(K195=0,"On Time",K195&lt;=2,"Minor",K195&lt;=5,"Major",K195&gt;5,"Severe")</f>
        <v>On Time</v>
      </c>
      <c r="S195">
        <f t="shared" ref="S195:S258" si="23">IFERROR(O195/K195,0)</f>
        <v>0</v>
      </c>
      <c r="T195">
        <f t="shared" ref="T195:T258" si="24">IFERROR(N195/K195,0)</f>
        <v>0</v>
      </c>
      <c r="U195">
        <f t="shared" ref="U195:U258" si="25">YEAR(B195)</f>
        <v>2024</v>
      </c>
      <c r="V195">
        <f t="shared" ref="V195:V258" si="26">MONTH(B195)</f>
        <v>4</v>
      </c>
      <c r="W195" s="11">
        <f t="shared" ref="W195:W258" si="27">IF(L195="Yes",1,0)</f>
        <v>0</v>
      </c>
    </row>
    <row r="196" spans="1:23">
      <c r="A196" t="s">
        <v>209</v>
      </c>
      <c r="B196" s="4">
        <v>45559</v>
      </c>
      <c r="C196" t="s">
        <v>2017</v>
      </c>
      <c r="D196" t="s">
        <v>2022</v>
      </c>
      <c r="E196" t="s">
        <v>2027</v>
      </c>
      <c r="F196" t="s">
        <v>2031</v>
      </c>
      <c r="G196" t="s">
        <v>2034</v>
      </c>
      <c r="H196" t="s">
        <v>2040</v>
      </c>
      <c r="I196">
        <v>2</v>
      </c>
      <c r="J196">
        <v>9</v>
      </c>
      <c r="K196">
        <v>7</v>
      </c>
      <c r="L196" t="s">
        <v>2041</v>
      </c>
      <c r="M196">
        <v>181</v>
      </c>
      <c r="N196">
        <v>14098</v>
      </c>
      <c r="O196">
        <v>32067</v>
      </c>
      <c r="P196" s="13">
        <f t="shared" si="21"/>
        <v>0</v>
      </c>
      <c r="Q196" t="str">
        <f t="shared" si="22"/>
        <v>No</v>
      </c>
      <c r="R196" t="str" cm="1">
        <f t="array" ref="R196">_xlfn.IFS(K196=0,"On Time",K196&lt;=2,"Minor",K196&lt;=5,"Major",K196&gt;5,"Severe")</f>
        <v>Severe</v>
      </c>
      <c r="S196">
        <f t="shared" si="23"/>
        <v>4581</v>
      </c>
      <c r="T196">
        <f t="shared" si="24"/>
        <v>2014</v>
      </c>
      <c r="U196">
        <f t="shared" si="25"/>
        <v>2024</v>
      </c>
      <c r="V196">
        <f t="shared" si="26"/>
        <v>9</v>
      </c>
      <c r="W196" s="11">
        <f t="shared" si="27"/>
        <v>1</v>
      </c>
    </row>
    <row r="197" spans="1:23">
      <c r="A197" t="s">
        <v>210</v>
      </c>
      <c r="B197" s="4">
        <v>45455</v>
      </c>
      <c r="C197" t="s">
        <v>2015</v>
      </c>
      <c r="D197" t="s">
        <v>2020</v>
      </c>
      <c r="E197" t="s">
        <v>2027</v>
      </c>
      <c r="F197" t="s">
        <v>2031</v>
      </c>
      <c r="G197" t="s">
        <v>2037</v>
      </c>
      <c r="H197" t="s">
        <v>2038</v>
      </c>
      <c r="I197">
        <v>2</v>
      </c>
      <c r="J197">
        <v>3</v>
      </c>
      <c r="K197">
        <v>1</v>
      </c>
      <c r="L197" t="s">
        <v>2041</v>
      </c>
      <c r="M197">
        <v>131</v>
      </c>
      <c r="N197">
        <v>1833</v>
      </c>
      <c r="O197">
        <v>3722</v>
      </c>
      <c r="P197" s="13">
        <f t="shared" si="21"/>
        <v>0</v>
      </c>
      <c r="Q197" t="str">
        <f t="shared" si="22"/>
        <v>No</v>
      </c>
      <c r="R197" t="str" cm="1">
        <f t="array" ref="R197">_xlfn.IFS(K197=0,"On Time",K197&lt;=2,"Minor",K197&lt;=5,"Major",K197&gt;5,"Severe")</f>
        <v>Minor</v>
      </c>
      <c r="S197">
        <f t="shared" si="23"/>
        <v>3722</v>
      </c>
      <c r="T197">
        <f t="shared" si="24"/>
        <v>1833</v>
      </c>
      <c r="U197">
        <f t="shared" si="25"/>
        <v>2024</v>
      </c>
      <c r="V197">
        <f t="shared" si="26"/>
        <v>6</v>
      </c>
      <c r="W197" s="11">
        <f t="shared" si="27"/>
        <v>1</v>
      </c>
    </row>
    <row r="198" spans="1:23">
      <c r="A198" t="s">
        <v>211</v>
      </c>
      <c r="B198" s="4">
        <v>45382</v>
      </c>
      <c r="C198" t="s">
        <v>2017</v>
      </c>
      <c r="D198" t="s">
        <v>2023</v>
      </c>
      <c r="E198" t="s">
        <v>2029</v>
      </c>
      <c r="F198" t="s">
        <v>2030</v>
      </c>
      <c r="G198" t="s">
        <v>2036</v>
      </c>
      <c r="H198" t="s">
        <v>2039</v>
      </c>
      <c r="I198">
        <v>3</v>
      </c>
      <c r="J198">
        <v>4</v>
      </c>
      <c r="K198">
        <v>1</v>
      </c>
      <c r="L198" t="s">
        <v>2041</v>
      </c>
      <c r="M198">
        <v>146</v>
      </c>
      <c r="N198">
        <v>2292</v>
      </c>
      <c r="O198">
        <v>3428</v>
      </c>
      <c r="P198" s="13">
        <f t="shared" si="21"/>
        <v>0</v>
      </c>
      <c r="Q198" t="str">
        <f t="shared" si="22"/>
        <v>No</v>
      </c>
      <c r="R198" t="str" cm="1">
        <f t="array" ref="R198">_xlfn.IFS(K198=0,"On Time",K198&lt;=2,"Minor",K198&lt;=5,"Major",K198&gt;5,"Severe")</f>
        <v>Minor</v>
      </c>
      <c r="S198">
        <f t="shared" si="23"/>
        <v>3428</v>
      </c>
      <c r="T198">
        <f t="shared" si="24"/>
        <v>2292</v>
      </c>
      <c r="U198">
        <f t="shared" si="25"/>
        <v>2024</v>
      </c>
      <c r="V198">
        <f t="shared" si="26"/>
        <v>3</v>
      </c>
      <c r="W198" s="11">
        <f t="shared" si="27"/>
        <v>1</v>
      </c>
    </row>
    <row r="199" spans="1:23">
      <c r="A199" t="s">
        <v>212</v>
      </c>
      <c r="B199" s="4">
        <v>45600</v>
      </c>
      <c r="C199" t="s">
        <v>2015</v>
      </c>
      <c r="D199" t="s">
        <v>2020</v>
      </c>
      <c r="E199" t="s">
        <v>2029</v>
      </c>
      <c r="F199" t="s">
        <v>2031</v>
      </c>
      <c r="G199" t="s">
        <v>2033</v>
      </c>
      <c r="H199" t="s">
        <v>2039</v>
      </c>
      <c r="I199">
        <v>5</v>
      </c>
      <c r="J199">
        <v>6</v>
      </c>
      <c r="K199">
        <v>1</v>
      </c>
      <c r="L199" t="s">
        <v>2041</v>
      </c>
      <c r="M199">
        <v>144</v>
      </c>
      <c r="N199">
        <v>2488</v>
      </c>
      <c r="O199">
        <v>4833</v>
      </c>
      <c r="P199" s="13">
        <f t="shared" si="21"/>
        <v>0</v>
      </c>
      <c r="Q199" t="str">
        <f t="shared" si="22"/>
        <v>No</v>
      </c>
      <c r="R199" t="str" cm="1">
        <f t="array" ref="R199">_xlfn.IFS(K199=0,"On Time",K199&lt;=2,"Minor",K199&lt;=5,"Major",K199&gt;5,"Severe")</f>
        <v>Minor</v>
      </c>
      <c r="S199">
        <f t="shared" si="23"/>
        <v>4833</v>
      </c>
      <c r="T199">
        <f t="shared" si="24"/>
        <v>2488</v>
      </c>
      <c r="U199">
        <f t="shared" si="25"/>
        <v>2024</v>
      </c>
      <c r="V199">
        <f t="shared" si="26"/>
        <v>11</v>
      </c>
      <c r="W199" s="11">
        <f t="shared" si="27"/>
        <v>1</v>
      </c>
    </row>
    <row r="200" spans="1:23">
      <c r="A200" t="s">
        <v>213</v>
      </c>
      <c r="B200" s="4">
        <v>45319</v>
      </c>
      <c r="C200" t="s">
        <v>2017</v>
      </c>
      <c r="D200" t="s">
        <v>2022</v>
      </c>
      <c r="E200" t="s">
        <v>2028</v>
      </c>
      <c r="F200" t="s">
        <v>2031</v>
      </c>
      <c r="G200" t="s">
        <v>2036</v>
      </c>
      <c r="H200" t="s">
        <v>2038</v>
      </c>
      <c r="I200">
        <v>2</v>
      </c>
      <c r="J200">
        <v>7</v>
      </c>
      <c r="K200">
        <v>5</v>
      </c>
      <c r="L200" t="s">
        <v>2041</v>
      </c>
      <c r="M200">
        <v>385</v>
      </c>
      <c r="N200">
        <v>8240</v>
      </c>
      <c r="O200">
        <v>15120</v>
      </c>
      <c r="P200" s="13">
        <f t="shared" si="21"/>
        <v>0</v>
      </c>
      <c r="Q200" t="str">
        <f t="shared" si="22"/>
        <v>No</v>
      </c>
      <c r="R200" t="str" cm="1">
        <f t="array" ref="R200">_xlfn.IFS(K200=0,"On Time",K200&lt;=2,"Minor",K200&lt;=5,"Major",K200&gt;5,"Severe")</f>
        <v>Major</v>
      </c>
      <c r="S200">
        <f t="shared" si="23"/>
        <v>3024</v>
      </c>
      <c r="T200">
        <f t="shared" si="24"/>
        <v>1648</v>
      </c>
      <c r="U200">
        <f t="shared" si="25"/>
        <v>2024</v>
      </c>
      <c r="V200">
        <f t="shared" si="26"/>
        <v>1</v>
      </c>
      <c r="W200" s="11">
        <f t="shared" si="27"/>
        <v>1</v>
      </c>
    </row>
    <row r="201" spans="1:23">
      <c r="A201" t="s">
        <v>214</v>
      </c>
      <c r="B201" s="4">
        <v>45458</v>
      </c>
      <c r="C201" t="s">
        <v>2017</v>
      </c>
      <c r="D201" t="s">
        <v>2022</v>
      </c>
      <c r="E201" t="s">
        <v>2028</v>
      </c>
      <c r="F201" t="s">
        <v>2030</v>
      </c>
      <c r="G201" t="s">
        <v>2036</v>
      </c>
      <c r="H201" t="s">
        <v>2039</v>
      </c>
      <c r="I201">
        <v>3</v>
      </c>
      <c r="J201">
        <v>8</v>
      </c>
      <c r="K201">
        <v>5</v>
      </c>
      <c r="L201" t="s">
        <v>2041</v>
      </c>
      <c r="M201">
        <v>264</v>
      </c>
      <c r="N201">
        <v>8095</v>
      </c>
      <c r="O201">
        <v>24820</v>
      </c>
      <c r="P201" s="13">
        <f t="shared" si="21"/>
        <v>0</v>
      </c>
      <c r="Q201" t="str">
        <f t="shared" si="22"/>
        <v>No</v>
      </c>
      <c r="R201" t="str" cm="1">
        <f t="array" ref="R201">_xlfn.IFS(K201=0,"On Time",K201&lt;=2,"Minor",K201&lt;=5,"Major",K201&gt;5,"Severe")</f>
        <v>Major</v>
      </c>
      <c r="S201">
        <f t="shared" si="23"/>
        <v>4964</v>
      </c>
      <c r="T201">
        <f t="shared" si="24"/>
        <v>1619</v>
      </c>
      <c r="U201">
        <f t="shared" si="25"/>
        <v>2024</v>
      </c>
      <c r="V201">
        <f t="shared" si="26"/>
        <v>6</v>
      </c>
      <c r="W201" s="11">
        <f t="shared" si="27"/>
        <v>1</v>
      </c>
    </row>
    <row r="202" spans="1:23">
      <c r="A202" t="s">
        <v>215</v>
      </c>
      <c r="B202" s="4">
        <v>45448</v>
      </c>
      <c r="C202" t="s">
        <v>2016</v>
      </c>
      <c r="D202" t="s">
        <v>2025</v>
      </c>
      <c r="E202" t="s">
        <v>2029</v>
      </c>
      <c r="F202" t="s">
        <v>2031</v>
      </c>
      <c r="G202" t="s">
        <v>2037</v>
      </c>
      <c r="H202" t="s">
        <v>2038</v>
      </c>
      <c r="I202">
        <v>2</v>
      </c>
      <c r="J202">
        <v>6</v>
      </c>
      <c r="K202">
        <v>4</v>
      </c>
      <c r="L202" t="s">
        <v>2041</v>
      </c>
      <c r="M202">
        <v>135</v>
      </c>
      <c r="N202">
        <v>4480</v>
      </c>
      <c r="O202">
        <v>13972</v>
      </c>
      <c r="P202" s="13">
        <f t="shared" si="21"/>
        <v>0</v>
      </c>
      <c r="Q202" t="str">
        <f t="shared" si="22"/>
        <v>No</v>
      </c>
      <c r="R202" t="str" cm="1">
        <f t="array" ref="R202">_xlfn.IFS(K202=0,"On Time",K202&lt;=2,"Minor",K202&lt;=5,"Major",K202&gt;5,"Severe")</f>
        <v>Major</v>
      </c>
      <c r="S202">
        <f t="shared" si="23"/>
        <v>3493</v>
      </c>
      <c r="T202">
        <f t="shared" si="24"/>
        <v>1120</v>
      </c>
      <c r="U202">
        <f t="shared" si="25"/>
        <v>2024</v>
      </c>
      <c r="V202">
        <f t="shared" si="26"/>
        <v>6</v>
      </c>
      <c r="W202" s="11">
        <f t="shared" si="27"/>
        <v>1</v>
      </c>
    </row>
    <row r="203" spans="1:23">
      <c r="A203" t="s">
        <v>216</v>
      </c>
      <c r="B203" s="4">
        <v>45613</v>
      </c>
      <c r="C203" t="s">
        <v>2017</v>
      </c>
      <c r="D203" t="s">
        <v>2022</v>
      </c>
      <c r="E203" t="s">
        <v>2029</v>
      </c>
      <c r="F203" t="s">
        <v>2031</v>
      </c>
      <c r="G203" t="s">
        <v>2037</v>
      </c>
      <c r="H203" t="s">
        <v>2039</v>
      </c>
      <c r="I203">
        <v>1</v>
      </c>
      <c r="J203">
        <v>3</v>
      </c>
      <c r="K203">
        <v>2</v>
      </c>
      <c r="L203" t="s">
        <v>2041</v>
      </c>
      <c r="M203">
        <v>86</v>
      </c>
      <c r="N203">
        <v>1802</v>
      </c>
      <c r="O203">
        <v>8586</v>
      </c>
      <c r="P203" s="13">
        <f t="shared" si="21"/>
        <v>0</v>
      </c>
      <c r="Q203" t="str">
        <f t="shared" si="22"/>
        <v>No</v>
      </c>
      <c r="R203" t="str" cm="1">
        <f t="array" ref="R203">_xlfn.IFS(K203=0,"On Time",K203&lt;=2,"Minor",K203&lt;=5,"Major",K203&gt;5,"Severe")</f>
        <v>Minor</v>
      </c>
      <c r="S203">
        <f t="shared" si="23"/>
        <v>4293</v>
      </c>
      <c r="T203">
        <f t="shared" si="24"/>
        <v>901</v>
      </c>
      <c r="U203">
        <f t="shared" si="25"/>
        <v>2024</v>
      </c>
      <c r="V203">
        <f t="shared" si="26"/>
        <v>11</v>
      </c>
      <c r="W203" s="11">
        <f t="shared" si="27"/>
        <v>1</v>
      </c>
    </row>
    <row r="204" spans="1:23">
      <c r="A204" t="s">
        <v>217</v>
      </c>
      <c r="B204" s="4">
        <v>45646</v>
      </c>
      <c r="C204" t="s">
        <v>2015</v>
      </c>
      <c r="D204" t="s">
        <v>2020</v>
      </c>
      <c r="E204" t="s">
        <v>2029</v>
      </c>
      <c r="F204" t="s">
        <v>2031</v>
      </c>
      <c r="G204" t="s">
        <v>2036</v>
      </c>
      <c r="H204" t="s">
        <v>2038</v>
      </c>
      <c r="I204">
        <v>2</v>
      </c>
      <c r="J204">
        <v>4</v>
      </c>
      <c r="K204">
        <v>2</v>
      </c>
      <c r="L204" t="s">
        <v>2041</v>
      </c>
      <c r="M204">
        <v>55</v>
      </c>
      <c r="N204">
        <v>2670</v>
      </c>
      <c r="O204">
        <v>5696</v>
      </c>
      <c r="P204" s="13">
        <f t="shared" si="21"/>
        <v>0</v>
      </c>
      <c r="Q204" t="str">
        <f t="shared" si="22"/>
        <v>No</v>
      </c>
      <c r="R204" t="str" cm="1">
        <f t="array" ref="R204">_xlfn.IFS(K204=0,"On Time",K204&lt;=2,"Minor",K204&lt;=5,"Major",K204&gt;5,"Severe")</f>
        <v>Minor</v>
      </c>
      <c r="S204">
        <f t="shared" si="23"/>
        <v>2848</v>
      </c>
      <c r="T204">
        <f t="shared" si="24"/>
        <v>1335</v>
      </c>
      <c r="U204">
        <f t="shared" si="25"/>
        <v>2024</v>
      </c>
      <c r="V204">
        <f t="shared" si="26"/>
        <v>12</v>
      </c>
      <c r="W204" s="11">
        <f t="shared" si="27"/>
        <v>1</v>
      </c>
    </row>
    <row r="205" spans="1:23">
      <c r="A205" t="s">
        <v>218</v>
      </c>
      <c r="B205" s="4">
        <v>45488</v>
      </c>
      <c r="C205" t="s">
        <v>2015</v>
      </c>
      <c r="D205" t="s">
        <v>2020</v>
      </c>
      <c r="E205" t="s">
        <v>2028</v>
      </c>
      <c r="F205" t="s">
        <v>2032</v>
      </c>
      <c r="G205" t="s">
        <v>2034</v>
      </c>
      <c r="H205" t="s">
        <v>2039</v>
      </c>
      <c r="I205">
        <v>1</v>
      </c>
      <c r="J205">
        <v>4</v>
      </c>
      <c r="K205">
        <v>3</v>
      </c>
      <c r="L205" t="s">
        <v>2041</v>
      </c>
      <c r="M205">
        <v>187</v>
      </c>
      <c r="N205">
        <v>7173</v>
      </c>
      <c r="O205">
        <v>9930</v>
      </c>
      <c r="P205" s="13">
        <f t="shared" si="21"/>
        <v>0</v>
      </c>
      <c r="Q205" t="str">
        <f t="shared" si="22"/>
        <v>No</v>
      </c>
      <c r="R205" t="str" cm="1">
        <f t="array" ref="R205">_xlfn.IFS(K205=0,"On Time",K205&lt;=2,"Minor",K205&lt;=5,"Major",K205&gt;5,"Severe")</f>
        <v>Major</v>
      </c>
      <c r="S205">
        <f t="shared" si="23"/>
        <v>3310</v>
      </c>
      <c r="T205">
        <f t="shared" si="24"/>
        <v>2391</v>
      </c>
      <c r="U205">
        <f t="shared" si="25"/>
        <v>2024</v>
      </c>
      <c r="V205">
        <f t="shared" si="26"/>
        <v>7</v>
      </c>
      <c r="W205" s="11">
        <f t="shared" si="27"/>
        <v>1</v>
      </c>
    </row>
    <row r="206" spans="1:23">
      <c r="A206" t="s">
        <v>219</v>
      </c>
      <c r="B206" s="4">
        <v>45407</v>
      </c>
      <c r="C206" t="s">
        <v>2016</v>
      </c>
      <c r="D206" t="s">
        <v>2021</v>
      </c>
      <c r="E206" t="s">
        <v>2027</v>
      </c>
      <c r="F206" t="s">
        <v>2030</v>
      </c>
      <c r="G206" t="s">
        <v>2036</v>
      </c>
      <c r="H206" t="s">
        <v>2038</v>
      </c>
      <c r="I206">
        <v>3</v>
      </c>
      <c r="J206">
        <v>5</v>
      </c>
      <c r="K206">
        <v>2</v>
      </c>
      <c r="L206" t="s">
        <v>2041</v>
      </c>
      <c r="M206">
        <v>468</v>
      </c>
      <c r="N206">
        <v>4018</v>
      </c>
      <c r="O206">
        <v>3596</v>
      </c>
      <c r="P206" s="13">
        <f t="shared" si="21"/>
        <v>0</v>
      </c>
      <c r="Q206" t="str">
        <f t="shared" si="22"/>
        <v>No</v>
      </c>
      <c r="R206" t="str" cm="1">
        <f t="array" ref="R206">_xlfn.IFS(K206=0,"On Time",K206&lt;=2,"Minor",K206&lt;=5,"Major",K206&gt;5,"Severe")</f>
        <v>Minor</v>
      </c>
      <c r="S206">
        <f t="shared" si="23"/>
        <v>1798</v>
      </c>
      <c r="T206">
        <f t="shared" si="24"/>
        <v>2009</v>
      </c>
      <c r="U206">
        <f t="shared" si="25"/>
        <v>2024</v>
      </c>
      <c r="V206">
        <f t="shared" si="26"/>
        <v>4</v>
      </c>
      <c r="W206" s="11">
        <f t="shared" si="27"/>
        <v>1</v>
      </c>
    </row>
    <row r="207" spans="1:23">
      <c r="A207" t="s">
        <v>220</v>
      </c>
      <c r="B207" s="4">
        <v>45544</v>
      </c>
      <c r="C207" t="s">
        <v>2015</v>
      </c>
      <c r="D207" t="s">
        <v>2019</v>
      </c>
      <c r="E207" t="s">
        <v>2028</v>
      </c>
      <c r="F207" t="s">
        <v>2032</v>
      </c>
      <c r="G207" t="s">
        <v>2035</v>
      </c>
      <c r="H207" t="s">
        <v>2040</v>
      </c>
      <c r="I207">
        <v>1</v>
      </c>
      <c r="J207">
        <v>5</v>
      </c>
      <c r="K207">
        <v>4</v>
      </c>
      <c r="L207" t="s">
        <v>2041</v>
      </c>
      <c r="M207">
        <v>288</v>
      </c>
      <c r="N207">
        <v>7184</v>
      </c>
      <c r="O207">
        <v>6584</v>
      </c>
      <c r="P207" s="13">
        <f t="shared" si="21"/>
        <v>0</v>
      </c>
      <c r="Q207" t="str">
        <f t="shared" si="22"/>
        <v>No</v>
      </c>
      <c r="R207" t="str" cm="1">
        <f t="array" ref="R207">_xlfn.IFS(K207=0,"On Time",K207&lt;=2,"Minor",K207&lt;=5,"Major",K207&gt;5,"Severe")</f>
        <v>Major</v>
      </c>
      <c r="S207">
        <f t="shared" si="23"/>
        <v>1646</v>
      </c>
      <c r="T207">
        <f t="shared" si="24"/>
        <v>1796</v>
      </c>
      <c r="U207">
        <f t="shared" si="25"/>
        <v>2024</v>
      </c>
      <c r="V207">
        <f t="shared" si="26"/>
        <v>9</v>
      </c>
      <c r="W207" s="11">
        <f t="shared" si="27"/>
        <v>1</v>
      </c>
    </row>
    <row r="208" spans="1:23">
      <c r="A208" t="s">
        <v>221</v>
      </c>
      <c r="B208" s="4">
        <v>45450</v>
      </c>
      <c r="C208" t="s">
        <v>2018</v>
      </c>
      <c r="D208" t="s">
        <v>2024</v>
      </c>
      <c r="E208" t="s">
        <v>2029</v>
      </c>
      <c r="F208" t="s">
        <v>2031</v>
      </c>
      <c r="G208" t="s">
        <v>2033</v>
      </c>
      <c r="H208" t="s">
        <v>2038</v>
      </c>
      <c r="I208">
        <v>5</v>
      </c>
      <c r="J208">
        <v>5</v>
      </c>
      <c r="K208">
        <v>0</v>
      </c>
      <c r="L208" t="s">
        <v>2042</v>
      </c>
      <c r="M208">
        <v>293</v>
      </c>
      <c r="N208">
        <v>0</v>
      </c>
      <c r="O208">
        <v>0</v>
      </c>
      <c r="P208" s="13">
        <f t="shared" si="21"/>
        <v>1</v>
      </c>
      <c r="Q208" t="str">
        <f t="shared" si="22"/>
        <v>No</v>
      </c>
      <c r="R208" t="str" cm="1">
        <f t="array" ref="R208">_xlfn.IFS(K208=0,"On Time",K208&lt;=2,"Minor",K208&lt;=5,"Major",K208&gt;5,"Severe")</f>
        <v>On Time</v>
      </c>
      <c r="S208">
        <f t="shared" si="23"/>
        <v>0</v>
      </c>
      <c r="T208">
        <f t="shared" si="24"/>
        <v>0</v>
      </c>
      <c r="U208">
        <f t="shared" si="25"/>
        <v>2024</v>
      </c>
      <c r="V208">
        <f t="shared" si="26"/>
        <v>6</v>
      </c>
      <c r="W208" s="11">
        <f t="shared" si="27"/>
        <v>0</v>
      </c>
    </row>
    <row r="209" spans="1:23">
      <c r="A209" t="s">
        <v>222</v>
      </c>
      <c r="B209" s="4">
        <v>45462</v>
      </c>
      <c r="C209" t="s">
        <v>2016</v>
      </c>
      <c r="D209" t="s">
        <v>2021</v>
      </c>
      <c r="E209" t="s">
        <v>2027</v>
      </c>
      <c r="F209" t="s">
        <v>2031</v>
      </c>
      <c r="G209" t="s">
        <v>2033</v>
      </c>
      <c r="H209" t="s">
        <v>2038</v>
      </c>
      <c r="I209">
        <v>2</v>
      </c>
      <c r="J209">
        <v>4</v>
      </c>
      <c r="K209">
        <v>2</v>
      </c>
      <c r="L209" t="s">
        <v>2041</v>
      </c>
      <c r="M209">
        <v>375</v>
      </c>
      <c r="N209">
        <v>3090</v>
      </c>
      <c r="O209">
        <v>3106</v>
      </c>
      <c r="P209" s="13">
        <f t="shared" si="21"/>
        <v>0</v>
      </c>
      <c r="Q209" t="str">
        <f t="shared" si="22"/>
        <v>No</v>
      </c>
      <c r="R209" t="str" cm="1">
        <f t="array" ref="R209">_xlfn.IFS(K209=0,"On Time",K209&lt;=2,"Minor",K209&lt;=5,"Major",K209&gt;5,"Severe")</f>
        <v>Minor</v>
      </c>
      <c r="S209">
        <f t="shared" si="23"/>
        <v>1553</v>
      </c>
      <c r="T209">
        <f t="shared" si="24"/>
        <v>1545</v>
      </c>
      <c r="U209">
        <f t="shared" si="25"/>
        <v>2024</v>
      </c>
      <c r="V209">
        <f t="shared" si="26"/>
        <v>6</v>
      </c>
      <c r="W209" s="11">
        <f t="shared" si="27"/>
        <v>1</v>
      </c>
    </row>
    <row r="210" spans="1:23">
      <c r="A210" t="s">
        <v>223</v>
      </c>
      <c r="B210" s="4">
        <v>45513</v>
      </c>
      <c r="C210" t="s">
        <v>2015</v>
      </c>
      <c r="D210" t="s">
        <v>2019</v>
      </c>
      <c r="E210" t="s">
        <v>2029</v>
      </c>
      <c r="F210" t="s">
        <v>2030</v>
      </c>
      <c r="G210" t="s">
        <v>2033</v>
      </c>
      <c r="H210" t="s">
        <v>2040</v>
      </c>
      <c r="I210">
        <v>3</v>
      </c>
      <c r="J210">
        <v>6</v>
      </c>
      <c r="K210">
        <v>3</v>
      </c>
      <c r="L210" t="s">
        <v>2041</v>
      </c>
      <c r="M210">
        <v>329</v>
      </c>
      <c r="N210">
        <v>4206</v>
      </c>
      <c r="O210">
        <v>7176</v>
      </c>
      <c r="P210" s="13">
        <f t="shared" si="21"/>
        <v>0</v>
      </c>
      <c r="Q210" t="str">
        <f t="shared" si="22"/>
        <v>No</v>
      </c>
      <c r="R210" t="str" cm="1">
        <f t="array" ref="R210">_xlfn.IFS(K210=0,"On Time",K210&lt;=2,"Minor",K210&lt;=5,"Major",K210&gt;5,"Severe")</f>
        <v>Major</v>
      </c>
      <c r="S210">
        <f t="shared" si="23"/>
        <v>2392</v>
      </c>
      <c r="T210">
        <f t="shared" si="24"/>
        <v>1402</v>
      </c>
      <c r="U210">
        <f t="shared" si="25"/>
        <v>2024</v>
      </c>
      <c r="V210">
        <f t="shared" si="26"/>
        <v>8</v>
      </c>
      <c r="W210" s="11">
        <f t="shared" si="27"/>
        <v>1</v>
      </c>
    </row>
    <row r="211" spans="1:23">
      <c r="A211" t="s">
        <v>224</v>
      </c>
      <c r="B211" s="4">
        <v>45405</v>
      </c>
      <c r="C211" t="s">
        <v>2016</v>
      </c>
      <c r="D211" t="s">
        <v>2021</v>
      </c>
      <c r="E211" t="s">
        <v>2028</v>
      </c>
      <c r="F211" t="s">
        <v>2031</v>
      </c>
      <c r="G211" t="s">
        <v>2035</v>
      </c>
      <c r="H211" t="s">
        <v>2038</v>
      </c>
      <c r="I211">
        <v>3</v>
      </c>
      <c r="J211">
        <v>4</v>
      </c>
      <c r="K211">
        <v>1</v>
      </c>
      <c r="L211" t="s">
        <v>2041</v>
      </c>
      <c r="M211">
        <v>202</v>
      </c>
      <c r="N211">
        <v>904</v>
      </c>
      <c r="O211">
        <v>4100</v>
      </c>
      <c r="P211" s="13">
        <f t="shared" si="21"/>
        <v>0</v>
      </c>
      <c r="Q211" t="str">
        <f t="shared" si="22"/>
        <v>No</v>
      </c>
      <c r="R211" t="str" cm="1">
        <f t="array" ref="R211">_xlfn.IFS(K211=0,"On Time",K211&lt;=2,"Minor",K211&lt;=5,"Major",K211&gt;5,"Severe")</f>
        <v>Minor</v>
      </c>
      <c r="S211">
        <f t="shared" si="23"/>
        <v>4100</v>
      </c>
      <c r="T211">
        <f t="shared" si="24"/>
        <v>904</v>
      </c>
      <c r="U211">
        <f t="shared" si="25"/>
        <v>2024</v>
      </c>
      <c r="V211">
        <f t="shared" si="26"/>
        <v>4</v>
      </c>
      <c r="W211" s="11">
        <f t="shared" si="27"/>
        <v>1</v>
      </c>
    </row>
    <row r="212" spans="1:23">
      <c r="A212" t="s">
        <v>225</v>
      </c>
      <c r="B212" s="4">
        <v>45301</v>
      </c>
      <c r="C212" t="s">
        <v>2015</v>
      </c>
      <c r="D212" t="s">
        <v>2019</v>
      </c>
      <c r="E212" t="s">
        <v>2027</v>
      </c>
      <c r="F212" t="s">
        <v>2030</v>
      </c>
      <c r="G212" t="s">
        <v>2037</v>
      </c>
      <c r="H212" t="s">
        <v>2038</v>
      </c>
      <c r="I212">
        <v>2</v>
      </c>
      <c r="J212">
        <v>4</v>
      </c>
      <c r="K212">
        <v>2</v>
      </c>
      <c r="L212" t="s">
        <v>2041</v>
      </c>
      <c r="M212">
        <v>263</v>
      </c>
      <c r="N212">
        <v>4310</v>
      </c>
      <c r="O212">
        <v>7934</v>
      </c>
      <c r="P212" s="13">
        <f t="shared" si="21"/>
        <v>0</v>
      </c>
      <c r="Q212" t="str">
        <f t="shared" si="22"/>
        <v>No</v>
      </c>
      <c r="R212" t="str" cm="1">
        <f t="array" ref="R212">_xlfn.IFS(K212=0,"On Time",K212&lt;=2,"Minor",K212&lt;=5,"Major",K212&gt;5,"Severe")</f>
        <v>Minor</v>
      </c>
      <c r="S212">
        <f t="shared" si="23"/>
        <v>3967</v>
      </c>
      <c r="T212">
        <f t="shared" si="24"/>
        <v>2155</v>
      </c>
      <c r="U212">
        <f t="shared" si="25"/>
        <v>2024</v>
      </c>
      <c r="V212">
        <f t="shared" si="26"/>
        <v>1</v>
      </c>
      <c r="W212" s="11">
        <f t="shared" si="27"/>
        <v>1</v>
      </c>
    </row>
    <row r="213" spans="1:23">
      <c r="A213" t="s">
        <v>226</v>
      </c>
      <c r="B213" s="4">
        <v>45354</v>
      </c>
      <c r="C213" t="s">
        <v>2015</v>
      </c>
      <c r="D213" t="s">
        <v>2019</v>
      </c>
      <c r="E213" t="s">
        <v>2028</v>
      </c>
      <c r="F213" t="s">
        <v>2030</v>
      </c>
      <c r="G213" t="s">
        <v>2034</v>
      </c>
      <c r="H213" t="s">
        <v>2039</v>
      </c>
      <c r="I213">
        <v>2</v>
      </c>
      <c r="J213">
        <v>5</v>
      </c>
      <c r="K213">
        <v>3</v>
      </c>
      <c r="L213" t="s">
        <v>2041</v>
      </c>
      <c r="M213">
        <v>299</v>
      </c>
      <c r="N213">
        <v>4119</v>
      </c>
      <c r="O213">
        <v>10797</v>
      </c>
      <c r="P213" s="13">
        <f t="shared" si="21"/>
        <v>0</v>
      </c>
      <c r="Q213" t="str">
        <f t="shared" si="22"/>
        <v>No</v>
      </c>
      <c r="R213" t="str" cm="1">
        <f t="array" ref="R213">_xlfn.IFS(K213=0,"On Time",K213&lt;=2,"Minor",K213&lt;=5,"Major",K213&gt;5,"Severe")</f>
        <v>Major</v>
      </c>
      <c r="S213">
        <f t="shared" si="23"/>
        <v>3599</v>
      </c>
      <c r="T213">
        <f t="shared" si="24"/>
        <v>1373</v>
      </c>
      <c r="U213">
        <f t="shared" si="25"/>
        <v>2024</v>
      </c>
      <c r="V213">
        <f t="shared" si="26"/>
        <v>3</v>
      </c>
      <c r="W213" s="11">
        <f t="shared" si="27"/>
        <v>1</v>
      </c>
    </row>
    <row r="214" spans="1:23">
      <c r="A214" t="s">
        <v>227</v>
      </c>
      <c r="B214" s="4">
        <v>45508</v>
      </c>
      <c r="C214" t="s">
        <v>2018</v>
      </c>
      <c r="D214" t="s">
        <v>2024</v>
      </c>
      <c r="E214" t="s">
        <v>2028</v>
      </c>
      <c r="F214" t="s">
        <v>2030</v>
      </c>
      <c r="G214" t="s">
        <v>2037</v>
      </c>
      <c r="H214" t="s">
        <v>2040</v>
      </c>
      <c r="I214">
        <v>1</v>
      </c>
      <c r="J214">
        <v>6</v>
      </c>
      <c r="K214">
        <v>5</v>
      </c>
      <c r="L214" t="s">
        <v>2041</v>
      </c>
      <c r="M214">
        <v>476</v>
      </c>
      <c r="N214">
        <v>10155</v>
      </c>
      <c r="O214">
        <v>16725</v>
      </c>
      <c r="P214" s="13">
        <f t="shared" si="21"/>
        <v>0</v>
      </c>
      <c r="Q214" t="str">
        <f t="shared" si="22"/>
        <v>No</v>
      </c>
      <c r="R214" t="str" cm="1">
        <f t="array" ref="R214">_xlfn.IFS(K214=0,"On Time",K214&lt;=2,"Minor",K214&lt;=5,"Major",K214&gt;5,"Severe")</f>
        <v>Major</v>
      </c>
      <c r="S214">
        <f t="shared" si="23"/>
        <v>3345</v>
      </c>
      <c r="T214">
        <f t="shared" si="24"/>
        <v>2031</v>
      </c>
      <c r="U214">
        <f t="shared" si="25"/>
        <v>2024</v>
      </c>
      <c r="V214">
        <f t="shared" si="26"/>
        <v>8</v>
      </c>
      <c r="W214" s="11">
        <f t="shared" si="27"/>
        <v>1</v>
      </c>
    </row>
    <row r="215" spans="1:23">
      <c r="A215" t="s">
        <v>228</v>
      </c>
      <c r="B215" s="4">
        <v>45397</v>
      </c>
      <c r="C215" t="s">
        <v>2017</v>
      </c>
      <c r="D215" t="s">
        <v>2022</v>
      </c>
      <c r="E215" t="s">
        <v>2028</v>
      </c>
      <c r="F215" t="s">
        <v>2031</v>
      </c>
      <c r="G215" t="s">
        <v>2033</v>
      </c>
      <c r="H215" t="s">
        <v>2040</v>
      </c>
      <c r="I215">
        <v>1</v>
      </c>
      <c r="J215">
        <v>7</v>
      </c>
      <c r="K215">
        <v>6</v>
      </c>
      <c r="L215" t="s">
        <v>2041</v>
      </c>
      <c r="M215">
        <v>62</v>
      </c>
      <c r="N215">
        <v>5970</v>
      </c>
      <c r="O215">
        <v>13338</v>
      </c>
      <c r="P215" s="13">
        <f t="shared" si="21"/>
        <v>0</v>
      </c>
      <c r="Q215" t="str">
        <f t="shared" si="22"/>
        <v>No</v>
      </c>
      <c r="R215" t="str" cm="1">
        <f t="array" ref="R215">_xlfn.IFS(K215=0,"On Time",K215&lt;=2,"Minor",K215&lt;=5,"Major",K215&gt;5,"Severe")</f>
        <v>Severe</v>
      </c>
      <c r="S215">
        <f t="shared" si="23"/>
        <v>2223</v>
      </c>
      <c r="T215">
        <f t="shared" si="24"/>
        <v>995</v>
      </c>
      <c r="U215">
        <f t="shared" si="25"/>
        <v>2024</v>
      </c>
      <c r="V215">
        <f t="shared" si="26"/>
        <v>4</v>
      </c>
      <c r="W215" s="11">
        <f t="shared" si="27"/>
        <v>1</v>
      </c>
    </row>
    <row r="216" spans="1:23">
      <c r="A216" t="s">
        <v>229</v>
      </c>
      <c r="B216" s="4">
        <v>45486</v>
      </c>
      <c r="C216" t="s">
        <v>2016</v>
      </c>
      <c r="D216" t="s">
        <v>2021</v>
      </c>
      <c r="E216" t="s">
        <v>2027</v>
      </c>
      <c r="F216" t="s">
        <v>2032</v>
      </c>
      <c r="G216" t="s">
        <v>2037</v>
      </c>
      <c r="H216" t="s">
        <v>2038</v>
      </c>
      <c r="I216">
        <v>1</v>
      </c>
      <c r="J216">
        <v>6</v>
      </c>
      <c r="K216">
        <v>5</v>
      </c>
      <c r="L216" t="s">
        <v>2041</v>
      </c>
      <c r="M216">
        <v>104</v>
      </c>
      <c r="N216">
        <v>6615</v>
      </c>
      <c r="O216">
        <v>9910</v>
      </c>
      <c r="P216" s="13">
        <f t="shared" si="21"/>
        <v>0</v>
      </c>
      <c r="Q216" t="str">
        <f t="shared" si="22"/>
        <v>No</v>
      </c>
      <c r="R216" t="str" cm="1">
        <f t="array" ref="R216">_xlfn.IFS(K216=0,"On Time",K216&lt;=2,"Minor",K216&lt;=5,"Major",K216&gt;5,"Severe")</f>
        <v>Major</v>
      </c>
      <c r="S216">
        <f t="shared" si="23"/>
        <v>1982</v>
      </c>
      <c r="T216">
        <f t="shared" si="24"/>
        <v>1323</v>
      </c>
      <c r="U216">
        <f t="shared" si="25"/>
        <v>2024</v>
      </c>
      <c r="V216">
        <f t="shared" si="26"/>
        <v>7</v>
      </c>
      <c r="W216" s="11">
        <f t="shared" si="27"/>
        <v>1</v>
      </c>
    </row>
    <row r="217" spans="1:23">
      <c r="A217" t="s">
        <v>230</v>
      </c>
      <c r="B217" s="4">
        <v>45519</v>
      </c>
      <c r="C217" t="s">
        <v>2017</v>
      </c>
      <c r="D217" t="s">
        <v>2023</v>
      </c>
      <c r="E217" t="s">
        <v>2029</v>
      </c>
      <c r="F217" t="s">
        <v>2030</v>
      </c>
      <c r="G217" t="s">
        <v>2037</v>
      </c>
      <c r="H217" t="s">
        <v>2038</v>
      </c>
      <c r="I217">
        <v>2</v>
      </c>
      <c r="J217">
        <v>2</v>
      </c>
      <c r="K217">
        <v>0</v>
      </c>
      <c r="L217" t="s">
        <v>2042</v>
      </c>
      <c r="M217">
        <v>142</v>
      </c>
      <c r="N217">
        <v>0</v>
      </c>
      <c r="O217">
        <v>0</v>
      </c>
      <c r="P217" s="13">
        <f t="shared" si="21"/>
        <v>1</v>
      </c>
      <c r="Q217" t="str">
        <f t="shared" si="22"/>
        <v>No</v>
      </c>
      <c r="R217" t="str" cm="1">
        <f t="array" ref="R217">_xlfn.IFS(K217=0,"On Time",K217&lt;=2,"Minor",K217&lt;=5,"Major",K217&gt;5,"Severe")</f>
        <v>On Time</v>
      </c>
      <c r="S217">
        <f t="shared" si="23"/>
        <v>0</v>
      </c>
      <c r="T217">
        <f t="shared" si="24"/>
        <v>0</v>
      </c>
      <c r="U217">
        <f t="shared" si="25"/>
        <v>2024</v>
      </c>
      <c r="V217">
        <f t="shared" si="26"/>
        <v>8</v>
      </c>
      <c r="W217" s="11">
        <f t="shared" si="27"/>
        <v>0</v>
      </c>
    </row>
    <row r="218" spans="1:23">
      <c r="A218" t="s">
        <v>231</v>
      </c>
      <c r="B218" s="4">
        <v>45585</v>
      </c>
      <c r="C218" t="s">
        <v>2018</v>
      </c>
      <c r="D218" t="s">
        <v>2024</v>
      </c>
      <c r="E218" t="s">
        <v>2028</v>
      </c>
      <c r="F218" t="s">
        <v>2031</v>
      </c>
      <c r="G218" t="s">
        <v>2037</v>
      </c>
      <c r="H218" t="s">
        <v>2039</v>
      </c>
      <c r="I218">
        <v>1</v>
      </c>
      <c r="J218">
        <v>5</v>
      </c>
      <c r="K218">
        <v>4</v>
      </c>
      <c r="L218" t="s">
        <v>2041</v>
      </c>
      <c r="M218">
        <v>435</v>
      </c>
      <c r="N218">
        <v>8532</v>
      </c>
      <c r="O218">
        <v>9748</v>
      </c>
      <c r="P218" s="13">
        <f t="shared" si="21"/>
        <v>0</v>
      </c>
      <c r="Q218" t="str">
        <f t="shared" si="22"/>
        <v>No</v>
      </c>
      <c r="R218" t="str" cm="1">
        <f t="array" ref="R218">_xlfn.IFS(K218=0,"On Time",K218&lt;=2,"Minor",K218&lt;=5,"Major",K218&gt;5,"Severe")</f>
        <v>Major</v>
      </c>
      <c r="S218">
        <f t="shared" si="23"/>
        <v>2437</v>
      </c>
      <c r="T218">
        <f t="shared" si="24"/>
        <v>2133</v>
      </c>
      <c r="U218">
        <f t="shared" si="25"/>
        <v>2024</v>
      </c>
      <c r="V218">
        <f t="shared" si="26"/>
        <v>10</v>
      </c>
      <c r="W218" s="11">
        <f t="shared" si="27"/>
        <v>1</v>
      </c>
    </row>
    <row r="219" spans="1:23">
      <c r="A219" t="s">
        <v>232</v>
      </c>
      <c r="B219" s="4">
        <v>45639</v>
      </c>
      <c r="C219" t="s">
        <v>2015</v>
      </c>
      <c r="D219" t="s">
        <v>2019</v>
      </c>
      <c r="E219" t="s">
        <v>2028</v>
      </c>
      <c r="F219" t="s">
        <v>2032</v>
      </c>
      <c r="G219" t="s">
        <v>2034</v>
      </c>
      <c r="H219" t="s">
        <v>2038</v>
      </c>
      <c r="I219">
        <v>3</v>
      </c>
      <c r="J219">
        <v>9</v>
      </c>
      <c r="K219">
        <v>6</v>
      </c>
      <c r="L219" t="s">
        <v>2041</v>
      </c>
      <c r="M219">
        <v>248</v>
      </c>
      <c r="N219">
        <v>12090</v>
      </c>
      <c r="O219">
        <v>25728</v>
      </c>
      <c r="P219" s="13">
        <f t="shared" si="21"/>
        <v>0</v>
      </c>
      <c r="Q219" t="str">
        <f t="shared" si="22"/>
        <v>No</v>
      </c>
      <c r="R219" t="str" cm="1">
        <f t="array" ref="R219">_xlfn.IFS(K219=0,"On Time",K219&lt;=2,"Minor",K219&lt;=5,"Major",K219&gt;5,"Severe")</f>
        <v>Severe</v>
      </c>
      <c r="S219">
        <f t="shared" si="23"/>
        <v>4288</v>
      </c>
      <c r="T219">
        <f t="shared" si="24"/>
        <v>2015</v>
      </c>
      <c r="U219">
        <f t="shared" si="25"/>
        <v>2024</v>
      </c>
      <c r="V219">
        <f t="shared" si="26"/>
        <v>12</v>
      </c>
      <c r="W219" s="11">
        <f t="shared" si="27"/>
        <v>1</v>
      </c>
    </row>
    <row r="220" spans="1:23">
      <c r="A220" t="s">
        <v>233</v>
      </c>
      <c r="B220" s="4">
        <v>45387</v>
      </c>
      <c r="C220" t="s">
        <v>2018</v>
      </c>
      <c r="D220" t="s">
        <v>2024</v>
      </c>
      <c r="E220" t="s">
        <v>2029</v>
      </c>
      <c r="F220" t="s">
        <v>2031</v>
      </c>
      <c r="G220" t="s">
        <v>2033</v>
      </c>
      <c r="H220" t="s">
        <v>2038</v>
      </c>
      <c r="I220">
        <v>1</v>
      </c>
      <c r="J220">
        <v>6</v>
      </c>
      <c r="K220">
        <v>5</v>
      </c>
      <c r="L220" t="s">
        <v>2041</v>
      </c>
      <c r="M220">
        <v>482</v>
      </c>
      <c r="N220">
        <v>9340</v>
      </c>
      <c r="O220">
        <v>19945</v>
      </c>
      <c r="P220" s="13">
        <f t="shared" si="21"/>
        <v>0</v>
      </c>
      <c r="Q220" t="str">
        <f t="shared" si="22"/>
        <v>No</v>
      </c>
      <c r="R220" t="str" cm="1">
        <f t="array" ref="R220">_xlfn.IFS(K220=0,"On Time",K220&lt;=2,"Minor",K220&lt;=5,"Major",K220&gt;5,"Severe")</f>
        <v>Major</v>
      </c>
      <c r="S220">
        <f t="shared" si="23"/>
        <v>3989</v>
      </c>
      <c r="T220">
        <f t="shared" si="24"/>
        <v>1868</v>
      </c>
      <c r="U220">
        <f t="shared" si="25"/>
        <v>2024</v>
      </c>
      <c r="V220">
        <f t="shared" si="26"/>
        <v>4</v>
      </c>
      <c r="W220" s="11">
        <f t="shared" si="27"/>
        <v>1</v>
      </c>
    </row>
    <row r="221" spans="1:23">
      <c r="A221" t="s">
        <v>234</v>
      </c>
      <c r="B221" s="4">
        <v>45647</v>
      </c>
      <c r="C221" t="s">
        <v>2015</v>
      </c>
      <c r="D221" t="s">
        <v>2020</v>
      </c>
      <c r="E221" t="s">
        <v>2029</v>
      </c>
      <c r="F221" t="s">
        <v>2031</v>
      </c>
      <c r="G221" t="s">
        <v>2033</v>
      </c>
      <c r="H221" t="s">
        <v>2040</v>
      </c>
      <c r="I221">
        <v>3</v>
      </c>
      <c r="J221">
        <v>5</v>
      </c>
      <c r="K221">
        <v>2</v>
      </c>
      <c r="L221" t="s">
        <v>2041</v>
      </c>
      <c r="M221">
        <v>158</v>
      </c>
      <c r="N221">
        <v>3068</v>
      </c>
      <c r="O221">
        <v>7770</v>
      </c>
      <c r="P221" s="13">
        <f t="shared" si="21"/>
        <v>0</v>
      </c>
      <c r="Q221" t="str">
        <f t="shared" si="22"/>
        <v>No</v>
      </c>
      <c r="R221" t="str" cm="1">
        <f t="array" ref="R221">_xlfn.IFS(K221=0,"On Time",K221&lt;=2,"Minor",K221&lt;=5,"Major",K221&gt;5,"Severe")</f>
        <v>Minor</v>
      </c>
      <c r="S221">
        <f t="shared" si="23"/>
        <v>3885</v>
      </c>
      <c r="T221">
        <f t="shared" si="24"/>
        <v>1534</v>
      </c>
      <c r="U221">
        <f t="shared" si="25"/>
        <v>2024</v>
      </c>
      <c r="V221">
        <f t="shared" si="26"/>
        <v>12</v>
      </c>
      <c r="W221" s="11">
        <f t="shared" si="27"/>
        <v>1</v>
      </c>
    </row>
    <row r="222" spans="1:23">
      <c r="A222" t="s">
        <v>235</v>
      </c>
      <c r="B222" s="4">
        <v>45636</v>
      </c>
      <c r="C222" t="s">
        <v>2015</v>
      </c>
      <c r="D222" t="s">
        <v>2019</v>
      </c>
      <c r="E222" t="s">
        <v>2029</v>
      </c>
      <c r="F222" t="s">
        <v>2032</v>
      </c>
      <c r="G222" t="s">
        <v>2034</v>
      </c>
      <c r="H222" t="s">
        <v>2038</v>
      </c>
      <c r="I222">
        <v>2</v>
      </c>
      <c r="J222">
        <v>5</v>
      </c>
      <c r="K222">
        <v>3</v>
      </c>
      <c r="L222" t="s">
        <v>2041</v>
      </c>
      <c r="M222">
        <v>130</v>
      </c>
      <c r="N222">
        <v>3573</v>
      </c>
      <c r="O222">
        <v>11082</v>
      </c>
      <c r="P222" s="13">
        <f t="shared" si="21"/>
        <v>0</v>
      </c>
      <c r="Q222" t="str">
        <f t="shared" si="22"/>
        <v>No</v>
      </c>
      <c r="R222" t="str" cm="1">
        <f t="array" ref="R222">_xlfn.IFS(K222=0,"On Time",K222&lt;=2,"Minor",K222&lt;=5,"Major",K222&gt;5,"Severe")</f>
        <v>Major</v>
      </c>
      <c r="S222">
        <f t="shared" si="23"/>
        <v>3694</v>
      </c>
      <c r="T222">
        <f t="shared" si="24"/>
        <v>1191</v>
      </c>
      <c r="U222">
        <f t="shared" si="25"/>
        <v>2024</v>
      </c>
      <c r="V222">
        <f t="shared" si="26"/>
        <v>12</v>
      </c>
      <c r="W222" s="11">
        <f t="shared" si="27"/>
        <v>1</v>
      </c>
    </row>
    <row r="223" spans="1:23">
      <c r="A223" t="s">
        <v>236</v>
      </c>
      <c r="B223" s="4">
        <v>45635</v>
      </c>
      <c r="C223" t="s">
        <v>2016</v>
      </c>
      <c r="D223" t="s">
        <v>2021</v>
      </c>
      <c r="E223" t="s">
        <v>2027</v>
      </c>
      <c r="F223" t="s">
        <v>2031</v>
      </c>
      <c r="G223" t="s">
        <v>2035</v>
      </c>
      <c r="H223" t="s">
        <v>2040</v>
      </c>
      <c r="I223">
        <v>1</v>
      </c>
      <c r="J223">
        <v>6</v>
      </c>
      <c r="K223">
        <v>5</v>
      </c>
      <c r="L223" t="s">
        <v>2041</v>
      </c>
      <c r="M223">
        <v>129</v>
      </c>
      <c r="N223">
        <v>8505</v>
      </c>
      <c r="O223">
        <v>9750</v>
      </c>
      <c r="P223" s="13">
        <f t="shared" si="21"/>
        <v>0</v>
      </c>
      <c r="Q223" t="str">
        <f t="shared" si="22"/>
        <v>No</v>
      </c>
      <c r="R223" t="str" cm="1">
        <f t="array" ref="R223">_xlfn.IFS(K223=0,"On Time",K223&lt;=2,"Minor",K223&lt;=5,"Major",K223&gt;5,"Severe")</f>
        <v>Major</v>
      </c>
      <c r="S223">
        <f t="shared" si="23"/>
        <v>1950</v>
      </c>
      <c r="T223">
        <f t="shared" si="24"/>
        <v>1701</v>
      </c>
      <c r="U223">
        <f t="shared" si="25"/>
        <v>2024</v>
      </c>
      <c r="V223">
        <f t="shared" si="26"/>
        <v>12</v>
      </c>
      <c r="W223" s="11">
        <f t="shared" si="27"/>
        <v>1</v>
      </c>
    </row>
    <row r="224" spans="1:23">
      <c r="A224" t="s">
        <v>237</v>
      </c>
      <c r="B224" s="4">
        <v>45297</v>
      </c>
      <c r="C224" t="s">
        <v>2016</v>
      </c>
      <c r="D224" t="s">
        <v>2025</v>
      </c>
      <c r="E224" t="s">
        <v>2029</v>
      </c>
      <c r="F224" t="s">
        <v>2031</v>
      </c>
      <c r="G224" t="s">
        <v>2036</v>
      </c>
      <c r="H224" t="s">
        <v>2039</v>
      </c>
      <c r="I224">
        <v>2</v>
      </c>
      <c r="J224">
        <v>2</v>
      </c>
      <c r="K224">
        <v>0</v>
      </c>
      <c r="L224" t="s">
        <v>2042</v>
      </c>
      <c r="M224">
        <v>251</v>
      </c>
      <c r="N224">
        <v>0</v>
      </c>
      <c r="O224">
        <v>0</v>
      </c>
      <c r="P224" s="13">
        <f t="shared" si="21"/>
        <v>1</v>
      </c>
      <c r="Q224" t="str">
        <f t="shared" si="22"/>
        <v>No</v>
      </c>
      <c r="R224" t="str" cm="1">
        <f t="array" ref="R224">_xlfn.IFS(K224=0,"On Time",K224&lt;=2,"Minor",K224&lt;=5,"Major",K224&gt;5,"Severe")</f>
        <v>On Time</v>
      </c>
      <c r="S224">
        <f t="shared" si="23"/>
        <v>0</v>
      </c>
      <c r="T224">
        <f t="shared" si="24"/>
        <v>0</v>
      </c>
      <c r="U224">
        <f t="shared" si="25"/>
        <v>2024</v>
      </c>
      <c r="V224">
        <f t="shared" si="26"/>
        <v>1</v>
      </c>
      <c r="W224" s="11">
        <f t="shared" si="27"/>
        <v>0</v>
      </c>
    </row>
    <row r="225" spans="1:23">
      <c r="A225" t="s">
        <v>238</v>
      </c>
      <c r="B225" s="4">
        <v>45430</v>
      </c>
      <c r="C225" t="s">
        <v>2015</v>
      </c>
      <c r="D225" t="s">
        <v>2019</v>
      </c>
      <c r="E225" t="s">
        <v>2028</v>
      </c>
      <c r="F225" t="s">
        <v>2031</v>
      </c>
      <c r="G225" t="s">
        <v>2033</v>
      </c>
      <c r="H225" t="s">
        <v>2038</v>
      </c>
      <c r="I225">
        <v>1</v>
      </c>
      <c r="J225">
        <v>2</v>
      </c>
      <c r="K225">
        <v>1</v>
      </c>
      <c r="L225" t="s">
        <v>2041</v>
      </c>
      <c r="M225">
        <v>265</v>
      </c>
      <c r="N225">
        <v>1328</v>
      </c>
      <c r="O225">
        <v>3354</v>
      </c>
      <c r="P225" s="13">
        <f t="shared" si="21"/>
        <v>0</v>
      </c>
      <c r="Q225" t="str">
        <f t="shared" si="22"/>
        <v>No</v>
      </c>
      <c r="R225" t="str" cm="1">
        <f t="array" ref="R225">_xlfn.IFS(K225=0,"On Time",K225&lt;=2,"Minor",K225&lt;=5,"Major",K225&gt;5,"Severe")</f>
        <v>Minor</v>
      </c>
      <c r="S225">
        <f t="shared" si="23"/>
        <v>3354</v>
      </c>
      <c r="T225">
        <f t="shared" si="24"/>
        <v>1328</v>
      </c>
      <c r="U225">
        <f t="shared" si="25"/>
        <v>2024</v>
      </c>
      <c r="V225">
        <f t="shared" si="26"/>
        <v>5</v>
      </c>
      <c r="W225" s="11">
        <f t="shared" si="27"/>
        <v>1</v>
      </c>
    </row>
    <row r="226" spans="1:23">
      <c r="A226" t="s">
        <v>239</v>
      </c>
      <c r="B226" s="4">
        <v>45518</v>
      </c>
      <c r="C226" t="s">
        <v>2016</v>
      </c>
      <c r="D226" t="s">
        <v>2025</v>
      </c>
      <c r="E226" t="s">
        <v>2027</v>
      </c>
      <c r="F226" t="s">
        <v>2031</v>
      </c>
      <c r="G226" t="s">
        <v>2034</v>
      </c>
      <c r="H226" t="s">
        <v>2038</v>
      </c>
      <c r="I226">
        <v>3</v>
      </c>
      <c r="J226">
        <v>4</v>
      </c>
      <c r="K226">
        <v>1</v>
      </c>
      <c r="L226" t="s">
        <v>2041</v>
      </c>
      <c r="M226">
        <v>398</v>
      </c>
      <c r="N226">
        <v>1077</v>
      </c>
      <c r="O226">
        <v>3499</v>
      </c>
      <c r="P226" s="13">
        <f t="shared" si="21"/>
        <v>0</v>
      </c>
      <c r="Q226" t="str">
        <f t="shared" si="22"/>
        <v>No</v>
      </c>
      <c r="R226" t="str" cm="1">
        <f t="array" ref="R226">_xlfn.IFS(K226=0,"On Time",K226&lt;=2,"Minor",K226&lt;=5,"Major",K226&gt;5,"Severe")</f>
        <v>Minor</v>
      </c>
      <c r="S226">
        <f t="shared" si="23"/>
        <v>3499</v>
      </c>
      <c r="T226">
        <f t="shared" si="24"/>
        <v>1077</v>
      </c>
      <c r="U226">
        <f t="shared" si="25"/>
        <v>2024</v>
      </c>
      <c r="V226">
        <f t="shared" si="26"/>
        <v>8</v>
      </c>
      <c r="W226" s="11">
        <f t="shared" si="27"/>
        <v>1</v>
      </c>
    </row>
    <row r="227" spans="1:23">
      <c r="A227" t="s">
        <v>240</v>
      </c>
      <c r="B227" s="4">
        <v>45425</v>
      </c>
      <c r="C227" t="s">
        <v>2016</v>
      </c>
      <c r="D227" t="s">
        <v>2021</v>
      </c>
      <c r="E227" t="s">
        <v>2027</v>
      </c>
      <c r="F227" t="s">
        <v>2030</v>
      </c>
      <c r="G227" t="s">
        <v>2036</v>
      </c>
      <c r="H227" t="s">
        <v>2039</v>
      </c>
      <c r="I227">
        <v>1</v>
      </c>
      <c r="J227">
        <v>4</v>
      </c>
      <c r="K227">
        <v>3</v>
      </c>
      <c r="L227" t="s">
        <v>2041</v>
      </c>
      <c r="M227">
        <v>486</v>
      </c>
      <c r="N227">
        <v>3789</v>
      </c>
      <c r="O227">
        <v>8820</v>
      </c>
      <c r="P227" s="13">
        <f t="shared" si="21"/>
        <v>0</v>
      </c>
      <c r="Q227" t="str">
        <f t="shared" si="22"/>
        <v>No</v>
      </c>
      <c r="R227" t="str" cm="1">
        <f t="array" ref="R227">_xlfn.IFS(K227=0,"On Time",K227&lt;=2,"Minor",K227&lt;=5,"Major",K227&gt;5,"Severe")</f>
        <v>Major</v>
      </c>
      <c r="S227">
        <f t="shared" si="23"/>
        <v>2940</v>
      </c>
      <c r="T227">
        <f t="shared" si="24"/>
        <v>1263</v>
      </c>
      <c r="U227">
        <f t="shared" si="25"/>
        <v>2024</v>
      </c>
      <c r="V227">
        <f t="shared" si="26"/>
        <v>5</v>
      </c>
      <c r="W227" s="11">
        <f t="shared" si="27"/>
        <v>1</v>
      </c>
    </row>
    <row r="228" spans="1:23">
      <c r="A228" t="s">
        <v>241</v>
      </c>
      <c r="B228" s="4">
        <v>45607</v>
      </c>
      <c r="C228" t="s">
        <v>2016</v>
      </c>
      <c r="D228" t="s">
        <v>2025</v>
      </c>
      <c r="E228" t="s">
        <v>2027</v>
      </c>
      <c r="F228" t="s">
        <v>2031</v>
      </c>
      <c r="G228" t="s">
        <v>2036</v>
      </c>
      <c r="H228" t="s">
        <v>2040</v>
      </c>
      <c r="I228">
        <v>3</v>
      </c>
      <c r="J228">
        <v>9</v>
      </c>
      <c r="K228">
        <v>6</v>
      </c>
      <c r="L228" t="s">
        <v>2041</v>
      </c>
      <c r="M228">
        <v>198</v>
      </c>
      <c r="N228">
        <v>8928</v>
      </c>
      <c r="O228">
        <v>10662</v>
      </c>
      <c r="P228" s="13">
        <f t="shared" si="21"/>
        <v>0</v>
      </c>
      <c r="Q228" t="str">
        <f t="shared" si="22"/>
        <v>No</v>
      </c>
      <c r="R228" t="str" cm="1">
        <f t="array" ref="R228">_xlfn.IFS(K228=0,"On Time",K228&lt;=2,"Minor",K228&lt;=5,"Major",K228&gt;5,"Severe")</f>
        <v>Severe</v>
      </c>
      <c r="S228">
        <f t="shared" si="23"/>
        <v>1777</v>
      </c>
      <c r="T228">
        <f t="shared" si="24"/>
        <v>1488</v>
      </c>
      <c r="U228">
        <f t="shared" si="25"/>
        <v>2024</v>
      </c>
      <c r="V228">
        <f t="shared" si="26"/>
        <v>11</v>
      </c>
      <c r="W228" s="11">
        <f t="shared" si="27"/>
        <v>1</v>
      </c>
    </row>
    <row r="229" spans="1:23">
      <c r="A229" t="s">
        <v>242</v>
      </c>
      <c r="B229" s="4">
        <v>45472</v>
      </c>
      <c r="C229" t="s">
        <v>2016</v>
      </c>
      <c r="D229" t="s">
        <v>2021</v>
      </c>
      <c r="E229" t="s">
        <v>2027</v>
      </c>
      <c r="F229" t="s">
        <v>2030</v>
      </c>
      <c r="G229" t="s">
        <v>2034</v>
      </c>
      <c r="H229" t="s">
        <v>2038</v>
      </c>
      <c r="I229">
        <v>1</v>
      </c>
      <c r="J229">
        <v>3</v>
      </c>
      <c r="K229">
        <v>2</v>
      </c>
      <c r="L229" t="s">
        <v>2041</v>
      </c>
      <c r="M229">
        <v>197</v>
      </c>
      <c r="N229">
        <v>4986</v>
      </c>
      <c r="O229">
        <v>6472</v>
      </c>
      <c r="P229" s="13">
        <f t="shared" si="21"/>
        <v>0</v>
      </c>
      <c r="Q229" t="str">
        <f t="shared" si="22"/>
        <v>No</v>
      </c>
      <c r="R229" t="str" cm="1">
        <f t="array" ref="R229">_xlfn.IFS(K229=0,"On Time",K229&lt;=2,"Minor",K229&lt;=5,"Major",K229&gt;5,"Severe")</f>
        <v>Minor</v>
      </c>
      <c r="S229">
        <f t="shared" si="23"/>
        <v>3236</v>
      </c>
      <c r="T229">
        <f t="shared" si="24"/>
        <v>2493</v>
      </c>
      <c r="U229">
        <f t="shared" si="25"/>
        <v>2024</v>
      </c>
      <c r="V229">
        <f t="shared" si="26"/>
        <v>6</v>
      </c>
      <c r="W229" s="11">
        <f t="shared" si="27"/>
        <v>1</v>
      </c>
    </row>
    <row r="230" spans="1:23">
      <c r="A230" t="s">
        <v>243</v>
      </c>
      <c r="B230" s="4">
        <v>45343</v>
      </c>
      <c r="C230" t="s">
        <v>2018</v>
      </c>
      <c r="D230" t="s">
        <v>2026</v>
      </c>
      <c r="E230" t="s">
        <v>2028</v>
      </c>
      <c r="F230" t="s">
        <v>2031</v>
      </c>
      <c r="G230" t="s">
        <v>2034</v>
      </c>
      <c r="H230" t="s">
        <v>2039</v>
      </c>
      <c r="I230">
        <v>1</v>
      </c>
      <c r="J230">
        <v>4</v>
      </c>
      <c r="K230">
        <v>3</v>
      </c>
      <c r="L230" t="s">
        <v>2041</v>
      </c>
      <c r="M230">
        <v>486</v>
      </c>
      <c r="N230">
        <v>3408</v>
      </c>
      <c r="O230">
        <v>8688</v>
      </c>
      <c r="P230" s="13">
        <f t="shared" si="21"/>
        <v>0</v>
      </c>
      <c r="Q230" t="str">
        <f t="shared" si="22"/>
        <v>No</v>
      </c>
      <c r="R230" t="str" cm="1">
        <f t="array" ref="R230">_xlfn.IFS(K230=0,"On Time",K230&lt;=2,"Minor",K230&lt;=5,"Major",K230&gt;5,"Severe")</f>
        <v>Major</v>
      </c>
      <c r="S230">
        <f t="shared" si="23"/>
        <v>2896</v>
      </c>
      <c r="T230">
        <f t="shared" si="24"/>
        <v>1136</v>
      </c>
      <c r="U230">
        <f t="shared" si="25"/>
        <v>2024</v>
      </c>
      <c r="V230">
        <f t="shared" si="26"/>
        <v>2</v>
      </c>
      <c r="W230" s="11">
        <f t="shared" si="27"/>
        <v>1</v>
      </c>
    </row>
    <row r="231" spans="1:23">
      <c r="A231" t="s">
        <v>244</v>
      </c>
      <c r="B231" s="4">
        <v>45588</v>
      </c>
      <c r="C231" t="s">
        <v>2015</v>
      </c>
      <c r="D231" t="s">
        <v>2019</v>
      </c>
      <c r="E231" t="s">
        <v>2028</v>
      </c>
      <c r="F231" t="s">
        <v>2031</v>
      </c>
      <c r="G231" t="s">
        <v>2033</v>
      </c>
      <c r="H231" t="s">
        <v>2039</v>
      </c>
      <c r="I231">
        <v>2</v>
      </c>
      <c r="J231">
        <v>2</v>
      </c>
      <c r="K231">
        <v>0</v>
      </c>
      <c r="L231" t="s">
        <v>2042</v>
      </c>
      <c r="M231">
        <v>496</v>
      </c>
      <c r="N231">
        <v>0</v>
      </c>
      <c r="O231">
        <v>0</v>
      </c>
      <c r="P231" s="13">
        <f t="shared" si="21"/>
        <v>1</v>
      </c>
      <c r="Q231" t="str">
        <f t="shared" si="22"/>
        <v>No</v>
      </c>
      <c r="R231" t="str" cm="1">
        <f t="array" ref="R231">_xlfn.IFS(K231=0,"On Time",K231&lt;=2,"Minor",K231&lt;=5,"Major",K231&gt;5,"Severe")</f>
        <v>On Time</v>
      </c>
      <c r="S231">
        <f t="shared" si="23"/>
        <v>0</v>
      </c>
      <c r="T231">
        <f t="shared" si="24"/>
        <v>0</v>
      </c>
      <c r="U231">
        <f t="shared" si="25"/>
        <v>2024</v>
      </c>
      <c r="V231">
        <f t="shared" si="26"/>
        <v>10</v>
      </c>
      <c r="W231" s="11">
        <f t="shared" si="27"/>
        <v>0</v>
      </c>
    </row>
    <row r="232" spans="1:23">
      <c r="A232" t="s">
        <v>245</v>
      </c>
      <c r="B232" s="4">
        <v>45437</v>
      </c>
      <c r="C232" t="s">
        <v>2018</v>
      </c>
      <c r="D232" t="s">
        <v>2024</v>
      </c>
      <c r="E232" t="s">
        <v>2027</v>
      </c>
      <c r="F232" t="s">
        <v>2031</v>
      </c>
      <c r="G232" t="s">
        <v>2035</v>
      </c>
      <c r="H232" t="s">
        <v>2038</v>
      </c>
      <c r="I232">
        <v>3</v>
      </c>
      <c r="J232">
        <v>3</v>
      </c>
      <c r="K232">
        <v>0</v>
      </c>
      <c r="L232" t="s">
        <v>2042</v>
      </c>
      <c r="M232">
        <v>444</v>
      </c>
      <c r="N232">
        <v>0</v>
      </c>
      <c r="O232">
        <v>0</v>
      </c>
      <c r="P232" s="13">
        <f t="shared" si="21"/>
        <v>1</v>
      </c>
      <c r="Q232" t="str">
        <f t="shared" si="22"/>
        <v>No</v>
      </c>
      <c r="R232" t="str" cm="1">
        <f t="array" ref="R232">_xlfn.IFS(K232=0,"On Time",K232&lt;=2,"Minor",K232&lt;=5,"Major",K232&gt;5,"Severe")</f>
        <v>On Time</v>
      </c>
      <c r="S232">
        <f t="shared" si="23"/>
        <v>0</v>
      </c>
      <c r="T232">
        <f t="shared" si="24"/>
        <v>0</v>
      </c>
      <c r="U232">
        <f t="shared" si="25"/>
        <v>2024</v>
      </c>
      <c r="V232">
        <f t="shared" si="26"/>
        <v>5</v>
      </c>
      <c r="W232" s="11">
        <f t="shared" si="27"/>
        <v>0</v>
      </c>
    </row>
    <row r="233" spans="1:23">
      <c r="A233" t="s">
        <v>246</v>
      </c>
      <c r="B233" s="4">
        <v>45500</v>
      </c>
      <c r="C233" t="s">
        <v>2018</v>
      </c>
      <c r="D233" t="s">
        <v>2026</v>
      </c>
      <c r="E233" t="s">
        <v>2029</v>
      </c>
      <c r="F233" t="s">
        <v>2031</v>
      </c>
      <c r="G233" t="s">
        <v>2037</v>
      </c>
      <c r="H233" t="s">
        <v>2039</v>
      </c>
      <c r="I233">
        <v>1</v>
      </c>
      <c r="J233">
        <v>4</v>
      </c>
      <c r="K233">
        <v>3</v>
      </c>
      <c r="L233" t="s">
        <v>2041</v>
      </c>
      <c r="M233">
        <v>150</v>
      </c>
      <c r="N233">
        <v>4332</v>
      </c>
      <c r="O233">
        <v>14466</v>
      </c>
      <c r="P233" s="13">
        <f t="shared" si="21"/>
        <v>0</v>
      </c>
      <c r="Q233" t="str">
        <f t="shared" si="22"/>
        <v>No</v>
      </c>
      <c r="R233" t="str" cm="1">
        <f t="array" ref="R233">_xlfn.IFS(K233=0,"On Time",K233&lt;=2,"Minor",K233&lt;=5,"Major",K233&gt;5,"Severe")</f>
        <v>Major</v>
      </c>
      <c r="S233">
        <f t="shared" si="23"/>
        <v>4822</v>
      </c>
      <c r="T233">
        <f t="shared" si="24"/>
        <v>1444</v>
      </c>
      <c r="U233">
        <f t="shared" si="25"/>
        <v>2024</v>
      </c>
      <c r="V233">
        <f t="shared" si="26"/>
        <v>7</v>
      </c>
      <c r="W233" s="11">
        <f t="shared" si="27"/>
        <v>1</v>
      </c>
    </row>
    <row r="234" spans="1:23">
      <c r="A234" t="s">
        <v>247</v>
      </c>
      <c r="B234" s="4">
        <v>45626</v>
      </c>
      <c r="C234" t="s">
        <v>2016</v>
      </c>
      <c r="D234" t="s">
        <v>2021</v>
      </c>
      <c r="E234" t="s">
        <v>2027</v>
      </c>
      <c r="F234" t="s">
        <v>2031</v>
      </c>
      <c r="G234" t="s">
        <v>2037</v>
      </c>
      <c r="H234" t="s">
        <v>2039</v>
      </c>
      <c r="I234">
        <v>3</v>
      </c>
      <c r="J234">
        <v>3</v>
      </c>
      <c r="K234">
        <v>0</v>
      </c>
      <c r="L234" t="s">
        <v>2042</v>
      </c>
      <c r="M234">
        <v>221</v>
      </c>
      <c r="N234">
        <v>0</v>
      </c>
      <c r="O234">
        <v>0</v>
      </c>
      <c r="P234" s="13">
        <f t="shared" si="21"/>
        <v>1</v>
      </c>
      <c r="Q234" t="str">
        <f t="shared" si="22"/>
        <v>No</v>
      </c>
      <c r="R234" t="str" cm="1">
        <f t="array" ref="R234">_xlfn.IFS(K234=0,"On Time",K234&lt;=2,"Minor",K234&lt;=5,"Major",K234&gt;5,"Severe")</f>
        <v>On Time</v>
      </c>
      <c r="S234">
        <f t="shared" si="23"/>
        <v>0</v>
      </c>
      <c r="T234">
        <f t="shared" si="24"/>
        <v>0</v>
      </c>
      <c r="U234">
        <f t="shared" si="25"/>
        <v>2024</v>
      </c>
      <c r="V234">
        <f t="shared" si="26"/>
        <v>11</v>
      </c>
      <c r="W234" s="11">
        <f t="shared" si="27"/>
        <v>0</v>
      </c>
    </row>
    <row r="235" spans="1:23">
      <c r="A235" t="s">
        <v>248</v>
      </c>
      <c r="B235" s="4">
        <v>45432</v>
      </c>
      <c r="C235" t="s">
        <v>2018</v>
      </c>
      <c r="D235" t="s">
        <v>2026</v>
      </c>
      <c r="E235" t="s">
        <v>2029</v>
      </c>
      <c r="F235" t="s">
        <v>2030</v>
      </c>
      <c r="G235" t="s">
        <v>2036</v>
      </c>
      <c r="H235" t="s">
        <v>2038</v>
      </c>
      <c r="I235">
        <v>1</v>
      </c>
      <c r="J235">
        <v>4</v>
      </c>
      <c r="K235">
        <v>3</v>
      </c>
      <c r="L235" t="s">
        <v>2041</v>
      </c>
      <c r="M235">
        <v>311</v>
      </c>
      <c r="N235">
        <v>4362</v>
      </c>
      <c r="O235">
        <v>6333</v>
      </c>
      <c r="P235" s="13">
        <f t="shared" si="21"/>
        <v>0</v>
      </c>
      <c r="Q235" t="str">
        <f t="shared" si="22"/>
        <v>No</v>
      </c>
      <c r="R235" t="str" cm="1">
        <f t="array" ref="R235">_xlfn.IFS(K235=0,"On Time",K235&lt;=2,"Minor",K235&lt;=5,"Major",K235&gt;5,"Severe")</f>
        <v>Major</v>
      </c>
      <c r="S235">
        <f t="shared" si="23"/>
        <v>2111</v>
      </c>
      <c r="T235">
        <f t="shared" si="24"/>
        <v>1454</v>
      </c>
      <c r="U235">
        <f t="shared" si="25"/>
        <v>2024</v>
      </c>
      <c r="V235">
        <f t="shared" si="26"/>
        <v>5</v>
      </c>
      <c r="W235" s="11">
        <f t="shared" si="27"/>
        <v>1</v>
      </c>
    </row>
    <row r="236" spans="1:23">
      <c r="A236" t="s">
        <v>249</v>
      </c>
      <c r="B236" s="4">
        <v>45417</v>
      </c>
      <c r="C236" t="s">
        <v>2018</v>
      </c>
      <c r="D236" t="s">
        <v>2026</v>
      </c>
      <c r="E236" t="s">
        <v>2028</v>
      </c>
      <c r="F236" t="s">
        <v>2031</v>
      </c>
      <c r="G236" t="s">
        <v>2036</v>
      </c>
      <c r="H236" t="s">
        <v>2038</v>
      </c>
      <c r="I236">
        <v>1</v>
      </c>
      <c r="J236">
        <v>3</v>
      </c>
      <c r="K236">
        <v>2</v>
      </c>
      <c r="L236" t="s">
        <v>2041</v>
      </c>
      <c r="M236">
        <v>124</v>
      </c>
      <c r="N236">
        <v>4052</v>
      </c>
      <c r="O236">
        <v>5664</v>
      </c>
      <c r="P236" s="13">
        <f t="shared" si="21"/>
        <v>0</v>
      </c>
      <c r="Q236" t="str">
        <f t="shared" si="22"/>
        <v>No</v>
      </c>
      <c r="R236" t="str" cm="1">
        <f t="array" ref="R236">_xlfn.IFS(K236=0,"On Time",K236&lt;=2,"Minor",K236&lt;=5,"Major",K236&gt;5,"Severe")</f>
        <v>Minor</v>
      </c>
      <c r="S236">
        <f t="shared" si="23"/>
        <v>2832</v>
      </c>
      <c r="T236">
        <f t="shared" si="24"/>
        <v>2026</v>
      </c>
      <c r="U236">
        <f t="shared" si="25"/>
        <v>2024</v>
      </c>
      <c r="V236">
        <f t="shared" si="26"/>
        <v>5</v>
      </c>
      <c r="W236" s="11">
        <f t="shared" si="27"/>
        <v>1</v>
      </c>
    </row>
    <row r="237" spans="1:23">
      <c r="A237" t="s">
        <v>250</v>
      </c>
      <c r="B237" s="4">
        <v>45490</v>
      </c>
      <c r="C237" t="s">
        <v>2017</v>
      </c>
      <c r="D237" t="s">
        <v>2023</v>
      </c>
      <c r="E237" t="s">
        <v>2029</v>
      </c>
      <c r="F237" t="s">
        <v>2031</v>
      </c>
      <c r="G237" t="s">
        <v>2036</v>
      </c>
      <c r="H237" t="s">
        <v>2040</v>
      </c>
      <c r="I237">
        <v>2</v>
      </c>
      <c r="J237">
        <v>7</v>
      </c>
      <c r="K237">
        <v>5</v>
      </c>
      <c r="L237" t="s">
        <v>2041</v>
      </c>
      <c r="M237">
        <v>140</v>
      </c>
      <c r="N237">
        <v>6180</v>
      </c>
      <c r="O237">
        <v>8475</v>
      </c>
      <c r="P237" s="13">
        <f t="shared" si="21"/>
        <v>0</v>
      </c>
      <c r="Q237" t="str">
        <f t="shared" si="22"/>
        <v>No</v>
      </c>
      <c r="R237" t="str" cm="1">
        <f t="array" ref="R237">_xlfn.IFS(K237=0,"On Time",K237&lt;=2,"Minor",K237&lt;=5,"Major",K237&gt;5,"Severe")</f>
        <v>Major</v>
      </c>
      <c r="S237">
        <f t="shared" si="23"/>
        <v>1695</v>
      </c>
      <c r="T237">
        <f t="shared" si="24"/>
        <v>1236</v>
      </c>
      <c r="U237">
        <f t="shared" si="25"/>
        <v>2024</v>
      </c>
      <c r="V237">
        <f t="shared" si="26"/>
        <v>7</v>
      </c>
      <c r="W237" s="11">
        <f t="shared" si="27"/>
        <v>1</v>
      </c>
    </row>
    <row r="238" spans="1:23">
      <c r="A238" t="s">
        <v>251</v>
      </c>
      <c r="B238" s="4">
        <v>45309</v>
      </c>
      <c r="C238" t="s">
        <v>2015</v>
      </c>
      <c r="D238" t="s">
        <v>2020</v>
      </c>
      <c r="E238" t="s">
        <v>2027</v>
      </c>
      <c r="F238" t="s">
        <v>2030</v>
      </c>
      <c r="G238" t="s">
        <v>2036</v>
      </c>
      <c r="H238" t="s">
        <v>2038</v>
      </c>
      <c r="I238">
        <v>2</v>
      </c>
      <c r="J238">
        <v>2</v>
      </c>
      <c r="K238">
        <v>0</v>
      </c>
      <c r="L238" t="s">
        <v>2042</v>
      </c>
      <c r="M238">
        <v>266</v>
      </c>
      <c r="N238">
        <v>0</v>
      </c>
      <c r="O238">
        <v>0</v>
      </c>
      <c r="P238" s="13">
        <f t="shared" si="21"/>
        <v>1</v>
      </c>
      <c r="Q238" t="str">
        <f t="shared" si="22"/>
        <v>No</v>
      </c>
      <c r="R238" t="str" cm="1">
        <f t="array" ref="R238">_xlfn.IFS(K238=0,"On Time",K238&lt;=2,"Minor",K238&lt;=5,"Major",K238&gt;5,"Severe")</f>
        <v>On Time</v>
      </c>
      <c r="S238">
        <f t="shared" si="23"/>
        <v>0</v>
      </c>
      <c r="T238">
        <f t="shared" si="24"/>
        <v>0</v>
      </c>
      <c r="U238">
        <f t="shared" si="25"/>
        <v>2024</v>
      </c>
      <c r="V238">
        <f t="shared" si="26"/>
        <v>1</v>
      </c>
      <c r="W238" s="11">
        <f t="shared" si="27"/>
        <v>0</v>
      </c>
    </row>
    <row r="239" spans="1:23">
      <c r="A239" t="s">
        <v>252</v>
      </c>
      <c r="B239" s="4">
        <v>45477</v>
      </c>
      <c r="C239" t="s">
        <v>2015</v>
      </c>
      <c r="D239" t="s">
        <v>2019</v>
      </c>
      <c r="E239" t="s">
        <v>2029</v>
      </c>
      <c r="F239" t="s">
        <v>2031</v>
      </c>
      <c r="G239" t="s">
        <v>2035</v>
      </c>
      <c r="H239" t="s">
        <v>2038</v>
      </c>
      <c r="I239">
        <v>2</v>
      </c>
      <c r="J239">
        <v>3</v>
      </c>
      <c r="K239">
        <v>1</v>
      </c>
      <c r="L239" t="s">
        <v>2041</v>
      </c>
      <c r="M239">
        <v>320</v>
      </c>
      <c r="N239">
        <v>2044</v>
      </c>
      <c r="O239">
        <v>2891</v>
      </c>
      <c r="P239" s="13">
        <f t="shared" si="21"/>
        <v>0</v>
      </c>
      <c r="Q239" t="str">
        <f t="shared" si="22"/>
        <v>No</v>
      </c>
      <c r="R239" t="str" cm="1">
        <f t="array" ref="R239">_xlfn.IFS(K239=0,"On Time",K239&lt;=2,"Minor",K239&lt;=5,"Major",K239&gt;5,"Severe")</f>
        <v>Minor</v>
      </c>
      <c r="S239">
        <f t="shared" si="23"/>
        <v>2891</v>
      </c>
      <c r="T239">
        <f t="shared" si="24"/>
        <v>2044</v>
      </c>
      <c r="U239">
        <f t="shared" si="25"/>
        <v>2024</v>
      </c>
      <c r="V239">
        <f t="shared" si="26"/>
        <v>7</v>
      </c>
      <c r="W239" s="11">
        <f t="shared" si="27"/>
        <v>1</v>
      </c>
    </row>
    <row r="240" spans="1:23">
      <c r="A240" t="s">
        <v>253</v>
      </c>
      <c r="B240" s="4">
        <v>45433</v>
      </c>
      <c r="C240" t="s">
        <v>2018</v>
      </c>
      <c r="D240" t="s">
        <v>2024</v>
      </c>
      <c r="E240" t="s">
        <v>2027</v>
      </c>
      <c r="F240" t="s">
        <v>2030</v>
      </c>
      <c r="G240" t="s">
        <v>2034</v>
      </c>
      <c r="H240" t="s">
        <v>2038</v>
      </c>
      <c r="I240">
        <v>1</v>
      </c>
      <c r="J240">
        <v>1</v>
      </c>
      <c r="K240">
        <v>0</v>
      </c>
      <c r="L240" t="s">
        <v>2042</v>
      </c>
      <c r="M240">
        <v>484</v>
      </c>
      <c r="N240">
        <v>0</v>
      </c>
      <c r="O240">
        <v>0</v>
      </c>
      <c r="P240" s="13">
        <f t="shared" si="21"/>
        <v>1</v>
      </c>
      <c r="Q240" t="str">
        <f t="shared" si="22"/>
        <v>No</v>
      </c>
      <c r="R240" t="str" cm="1">
        <f t="array" ref="R240">_xlfn.IFS(K240=0,"On Time",K240&lt;=2,"Minor",K240&lt;=5,"Major",K240&gt;5,"Severe")</f>
        <v>On Time</v>
      </c>
      <c r="S240">
        <f t="shared" si="23"/>
        <v>0</v>
      </c>
      <c r="T240">
        <f t="shared" si="24"/>
        <v>0</v>
      </c>
      <c r="U240">
        <f t="shared" si="25"/>
        <v>2024</v>
      </c>
      <c r="V240">
        <f t="shared" si="26"/>
        <v>5</v>
      </c>
      <c r="W240" s="11">
        <f t="shared" si="27"/>
        <v>0</v>
      </c>
    </row>
    <row r="241" spans="1:23">
      <c r="A241" t="s">
        <v>254</v>
      </c>
      <c r="B241" s="4">
        <v>45319</v>
      </c>
      <c r="C241" t="s">
        <v>2016</v>
      </c>
      <c r="D241" t="s">
        <v>2025</v>
      </c>
      <c r="E241" t="s">
        <v>2029</v>
      </c>
      <c r="F241" t="s">
        <v>2030</v>
      </c>
      <c r="G241" t="s">
        <v>2037</v>
      </c>
      <c r="H241" t="s">
        <v>2039</v>
      </c>
      <c r="I241">
        <v>5</v>
      </c>
      <c r="J241">
        <v>5</v>
      </c>
      <c r="K241">
        <v>0</v>
      </c>
      <c r="L241" t="s">
        <v>2042</v>
      </c>
      <c r="M241">
        <v>88</v>
      </c>
      <c r="N241">
        <v>0</v>
      </c>
      <c r="O241">
        <v>0</v>
      </c>
      <c r="P241" s="13">
        <f t="shared" si="21"/>
        <v>1</v>
      </c>
      <c r="Q241" t="str">
        <f t="shared" si="22"/>
        <v>No</v>
      </c>
      <c r="R241" t="str" cm="1">
        <f t="array" ref="R241">_xlfn.IFS(K241=0,"On Time",K241&lt;=2,"Minor",K241&lt;=5,"Major",K241&gt;5,"Severe")</f>
        <v>On Time</v>
      </c>
      <c r="S241">
        <f t="shared" si="23"/>
        <v>0</v>
      </c>
      <c r="T241">
        <f t="shared" si="24"/>
        <v>0</v>
      </c>
      <c r="U241">
        <f t="shared" si="25"/>
        <v>2024</v>
      </c>
      <c r="V241">
        <f t="shared" si="26"/>
        <v>1</v>
      </c>
      <c r="W241" s="11">
        <f t="shared" si="27"/>
        <v>0</v>
      </c>
    </row>
    <row r="242" spans="1:23">
      <c r="A242" t="s">
        <v>255</v>
      </c>
      <c r="B242" s="4">
        <v>45395</v>
      </c>
      <c r="C242" t="s">
        <v>2018</v>
      </c>
      <c r="D242" t="s">
        <v>2024</v>
      </c>
      <c r="E242" t="s">
        <v>2027</v>
      </c>
      <c r="F242" t="s">
        <v>2031</v>
      </c>
      <c r="G242" t="s">
        <v>2033</v>
      </c>
      <c r="H242" t="s">
        <v>2039</v>
      </c>
      <c r="I242">
        <v>2</v>
      </c>
      <c r="J242">
        <v>5</v>
      </c>
      <c r="K242">
        <v>3</v>
      </c>
      <c r="L242" t="s">
        <v>2041</v>
      </c>
      <c r="M242">
        <v>101</v>
      </c>
      <c r="N242">
        <v>6609</v>
      </c>
      <c r="O242">
        <v>13509</v>
      </c>
      <c r="P242" s="13">
        <f t="shared" si="21"/>
        <v>0</v>
      </c>
      <c r="Q242" t="str">
        <f t="shared" si="22"/>
        <v>No</v>
      </c>
      <c r="R242" t="str" cm="1">
        <f t="array" ref="R242">_xlfn.IFS(K242=0,"On Time",K242&lt;=2,"Minor",K242&lt;=5,"Major",K242&gt;5,"Severe")</f>
        <v>Major</v>
      </c>
      <c r="S242">
        <f t="shared" si="23"/>
        <v>4503</v>
      </c>
      <c r="T242">
        <f t="shared" si="24"/>
        <v>2203</v>
      </c>
      <c r="U242">
        <f t="shared" si="25"/>
        <v>2024</v>
      </c>
      <c r="V242">
        <f t="shared" si="26"/>
        <v>4</v>
      </c>
      <c r="W242" s="11">
        <f t="shared" si="27"/>
        <v>1</v>
      </c>
    </row>
    <row r="243" spans="1:23">
      <c r="A243" t="s">
        <v>256</v>
      </c>
      <c r="B243" s="4">
        <v>45317</v>
      </c>
      <c r="C243" t="s">
        <v>2018</v>
      </c>
      <c r="D243" t="s">
        <v>2026</v>
      </c>
      <c r="E243" t="s">
        <v>2029</v>
      </c>
      <c r="F243" t="s">
        <v>2031</v>
      </c>
      <c r="G243" t="s">
        <v>2037</v>
      </c>
      <c r="H243" t="s">
        <v>2038</v>
      </c>
      <c r="I243">
        <v>2</v>
      </c>
      <c r="J243">
        <v>4</v>
      </c>
      <c r="K243">
        <v>2</v>
      </c>
      <c r="L243" t="s">
        <v>2041</v>
      </c>
      <c r="M243">
        <v>104</v>
      </c>
      <c r="N243">
        <v>3896</v>
      </c>
      <c r="O243">
        <v>8904</v>
      </c>
      <c r="P243" s="13">
        <f t="shared" si="21"/>
        <v>0</v>
      </c>
      <c r="Q243" t="str">
        <f t="shared" si="22"/>
        <v>No</v>
      </c>
      <c r="R243" t="str" cm="1">
        <f t="array" ref="R243">_xlfn.IFS(K243=0,"On Time",K243&lt;=2,"Minor",K243&lt;=5,"Major",K243&gt;5,"Severe")</f>
        <v>Minor</v>
      </c>
      <c r="S243">
        <f t="shared" si="23"/>
        <v>4452</v>
      </c>
      <c r="T243">
        <f t="shared" si="24"/>
        <v>1948</v>
      </c>
      <c r="U243">
        <f t="shared" si="25"/>
        <v>2024</v>
      </c>
      <c r="V243">
        <f t="shared" si="26"/>
        <v>1</v>
      </c>
      <c r="W243" s="11">
        <f t="shared" si="27"/>
        <v>1</v>
      </c>
    </row>
    <row r="244" spans="1:23">
      <c r="A244" t="s">
        <v>257</v>
      </c>
      <c r="B244" s="4">
        <v>45428</v>
      </c>
      <c r="C244" t="s">
        <v>2017</v>
      </c>
      <c r="D244" t="s">
        <v>2023</v>
      </c>
      <c r="E244" t="s">
        <v>2027</v>
      </c>
      <c r="F244" t="s">
        <v>2032</v>
      </c>
      <c r="G244" t="s">
        <v>2033</v>
      </c>
      <c r="H244" t="s">
        <v>2039</v>
      </c>
      <c r="I244">
        <v>2</v>
      </c>
      <c r="J244">
        <v>4</v>
      </c>
      <c r="K244">
        <v>2</v>
      </c>
      <c r="L244" t="s">
        <v>2041</v>
      </c>
      <c r="M244">
        <v>211</v>
      </c>
      <c r="N244">
        <v>3340</v>
      </c>
      <c r="O244">
        <v>6766</v>
      </c>
      <c r="P244" s="13">
        <f t="shared" si="21"/>
        <v>0</v>
      </c>
      <c r="Q244" t="str">
        <f t="shared" si="22"/>
        <v>No</v>
      </c>
      <c r="R244" t="str" cm="1">
        <f t="array" ref="R244">_xlfn.IFS(K244=0,"On Time",K244&lt;=2,"Minor",K244&lt;=5,"Major",K244&gt;5,"Severe")</f>
        <v>Minor</v>
      </c>
      <c r="S244">
        <f t="shared" si="23"/>
        <v>3383</v>
      </c>
      <c r="T244">
        <f t="shared" si="24"/>
        <v>1670</v>
      </c>
      <c r="U244">
        <f t="shared" si="25"/>
        <v>2024</v>
      </c>
      <c r="V244">
        <f t="shared" si="26"/>
        <v>5</v>
      </c>
      <c r="W244" s="11">
        <f t="shared" si="27"/>
        <v>1</v>
      </c>
    </row>
    <row r="245" spans="1:23">
      <c r="A245" t="s">
        <v>258</v>
      </c>
      <c r="B245" s="4">
        <v>45628</v>
      </c>
      <c r="C245" t="s">
        <v>2015</v>
      </c>
      <c r="D245" t="s">
        <v>2019</v>
      </c>
      <c r="E245" t="s">
        <v>2027</v>
      </c>
      <c r="F245" t="s">
        <v>2031</v>
      </c>
      <c r="G245" t="s">
        <v>2033</v>
      </c>
      <c r="H245" t="s">
        <v>2039</v>
      </c>
      <c r="I245">
        <v>5</v>
      </c>
      <c r="J245">
        <v>9</v>
      </c>
      <c r="K245">
        <v>4</v>
      </c>
      <c r="L245" t="s">
        <v>2041</v>
      </c>
      <c r="M245">
        <v>127</v>
      </c>
      <c r="N245">
        <v>7952</v>
      </c>
      <c r="O245">
        <v>10104</v>
      </c>
      <c r="P245" s="13">
        <f t="shared" si="21"/>
        <v>0</v>
      </c>
      <c r="Q245" t="str">
        <f t="shared" si="22"/>
        <v>No</v>
      </c>
      <c r="R245" t="str" cm="1">
        <f t="array" ref="R245">_xlfn.IFS(K245=0,"On Time",K245&lt;=2,"Minor",K245&lt;=5,"Major",K245&gt;5,"Severe")</f>
        <v>Major</v>
      </c>
      <c r="S245">
        <f t="shared" si="23"/>
        <v>2526</v>
      </c>
      <c r="T245">
        <f t="shared" si="24"/>
        <v>1988</v>
      </c>
      <c r="U245">
        <f t="shared" si="25"/>
        <v>2024</v>
      </c>
      <c r="V245">
        <f t="shared" si="26"/>
        <v>12</v>
      </c>
      <c r="W245" s="11">
        <f t="shared" si="27"/>
        <v>1</v>
      </c>
    </row>
    <row r="246" spans="1:23">
      <c r="A246" t="s">
        <v>259</v>
      </c>
      <c r="B246" s="4">
        <v>45381</v>
      </c>
      <c r="C246" t="s">
        <v>2018</v>
      </c>
      <c r="D246" t="s">
        <v>2024</v>
      </c>
      <c r="E246" t="s">
        <v>2027</v>
      </c>
      <c r="F246" t="s">
        <v>2030</v>
      </c>
      <c r="G246" t="s">
        <v>2037</v>
      </c>
      <c r="H246" t="s">
        <v>2039</v>
      </c>
      <c r="I246">
        <v>2</v>
      </c>
      <c r="J246">
        <v>6</v>
      </c>
      <c r="K246">
        <v>4</v>
      </c>
      <c r="L246" t="s">
        <v>2041</v>
      </c>
      <c r="M246">
        <v>173</v>
      </c>
      <c r="N246">
        <v>7888</v>
      </c>
      <c r="O246">
        <v>8804</v>
      </c>
      <c r="P246" s="13">
        <f t="shared" si="21"/>
        <v>0</v>
      </c>
      <c r="Q246" t="str">
        <f t="shared" si="22"/>
        <v>No</v>
      </c>
      <c r="R246" t="str" cm="1">
        <f t="array" ref="R246">_xlfn.IFS(K246=0,"On Time",K246&lt;=2,"Minor",K246&lt;=5,"Major",K246&gt;5,"Severe")</f>
        <v>Major</v>
      </c>
      <c r="S246">
        <f t="shared" si="23"/>
        <v>2201</v>
      </c>
      <c r="T246">
        <f t="shared" si="24"/>
        <v>1972</v>
      </c>
      <c r="U246">
        <f t="shared" si="25"/>
        <v>2024</v>
      </c>
      <c r="V246">
        <f t="shared" si="26"/>
        <v>3</v>
      </c>
      <c r="W246" s="11">
        <f t="shared" si="27"/>
        <v>1</v>
      </c>
    </row>
    <row r="247" spans="1:23">
      <c r="A247" t="s">
        <v>260</v>
      </c>
      <c r="B247" s="4">
        <v>45402</v>
      </c>
      <c r="C247" t="s">
        <v>2016</v>
      </c>
      <c r="D247" t="s">
        <v>2021</v>
      </c>
      <c r="E247" t="s">
        <v>2028</v>
      </c>
      <c r="F247" t="s">
        <v>2031</v>
      </c>
      <c r="G247" t="s">
        <v>2037</v>
      </c>
      <c r="H247" t="s">
        <v>2040</v>
      </c>
      <c r="I247">
        <v>1</v>
      </c>
      <c r="J247">
        <v>4</v>
      </c>
      <c r="K247">
        <v>3</v>
      </c>
      <c r="L247" t="s">
        <v>2041</v>
      </c>
      <c r="M247">
        <v>285</v>
      </c>
      <c r="N247">
        <v>3471</v>
      </c>
      <c r="O247">
        <v>12921</v>
      </c>
      <c r="P247" s="13">
        <f t="shared" si="21"/>
        <v>0</v>
      </c>
      <c r="Q247" t="str">
        <f t="shared" si="22"/>
        <v>No</v>
      </c>
      <c r="R247" t="str" cm="1">
        <f t="array" ref="R247">_xlfn.IFS(K247=0,"On Time",K247&lt;=2,"Minor",K247&lt;=5,"Major",K247&gt;5,"Severe")</f>
        <v>Major</v>
      </c>
      <c r="S247">
        <f t="shared" si="23"/>
        <v>4307</v>
      </c>
      <c r="T247">
        <f t="shared" si="24"/>
        <v>1157</v>
      </c>
      <c r="U247">
        <f t="shared" si="25"/>
        <v>2024</v>
      </c>
      <c r="V247">
        <f t="shared" si="26"/>
        <v>4</v>
      </c>
      <c r="W247" s="11">
        <f t="shared" si="27"/>
        <v>1</v>
      </c>
    </row>
    <row r="248" spans="1:23">
      <c r="A248" t="s">
        <v>261</v>
      </c>
      <c r="B248" s="4">
        <v>45474</v>
      </c>
      <c r="C248" t="s">
        <v>2017</v>
      </c>
      <c r="D248" t="s">
        <v>2023</v>
      </c>
      <c r="E248" t="s">
        <v>2027</v>
      </c>
      <c r="F248" t="s">
        <v>2031</v>
      </c>
      <c r="G248" t="s">
        <v>2035</v>
      </c>
      <c r="H248" t="s">
        <v>2039</v>
      </c>
      <c r="I248">
        <v>2</v>
      </c>
      <c r="J248">
        <v>3</v>
      </c>
      <c r="K248">
        <v>1</v>
      </c>
      <c r="L248" t="s">
        <v>2041</v>
      </c>
      <c r="M248">
        <v>383</v>
      </c>
      <c r="N248">
        <v>2024</v>
      </c>
      <c r="O248">
        <v>4882</v>
      </c>
      <c r="P248" s="13">
        <f t="shared" si="21"/>
        <v>0</v>
      </c>
      <c r="Q248" t="str">
        <f t="shared" si="22"/>
        <v>No</v>
      </c>
      <c r="R248" t="str" cm="1">
        <f t="array" ref="R248">_xlfn.IFS(K248=0,"On Time",K248&lt;=2,"Minor",K248&lt;=5,"Major",K248&gt;5,"Severe")</f>
        <v>Minor</v>
      </c>
      <c r="S248">
        <f t="shared" si="23"/>
        <v>4882</v>
      </c>
      <c r="T248">
        <f t="shared" si="24"/>
        <v>2024</v>
      </c>
      <c r="U248">
        <f t="shared" si="25"/>
        <v>2024</v>
      </c>
      <c r="V248">
        <f t="shared" si="26"/>
        <v>7</v>
      </c>
      <c r="W248" s="11">
        <f t="shared" si="27"/>
        <v>1</v>
      </c>
    </row>
    <row r="249" spans="1:23">
      <c r="A249" t="s">
        <v>262</v>
      </c>
      <c r="B249" s="4">
        <v>45474</v>
      </c>
      <c r="C249" t="s">
        <v>2017</v>
      </c>
      <c r="D249" t="s">
        <v>2022</v>
      </c>
      <c r="E249" t="s">
        <v>2028</v>
      </c>
      <c r="F249" t="s">
        <v>2031</v>
      </c>
      <c r="G249" t="s">
        <v>2034</v>
      </c>
      <c r="H249" t="s">
        <v>2038</v>
      </c>
      <c r="I249">
        <v>2</v>
      </c>
      <c r="J249">
        <v>4</v>
      </c>
      <c r="K249">
        <v>2</v>
      </c>
      <c r="L249" t="s">
        <v>2041</v>
      </c>
      <c r="M249">
        <v>97</v>
      </c>
      <c r="N249">
        <v>2720</v>
      </c>
      <c r="O249">
        <v>3920</v>
      </c>
      <c r="P249" s="13">
        <f t="shared" si="21"/>
        <v>0</v>
      </c>
      <c r="Q249" t="str">
        <f t="shared" si="22"/>
        <v>No</v>
      </c>
      <c r="R249" t="str" cm="1">
        <f t="array" ref="R249">_xlfn.IFS(K249=0,"On Time",K249&lt;=2,"Minor",K249&lt;=5,"Major",K249&gt;5,"Severe")</f>
        <v>Minor</v>
      </c>
      <c r="S249">
        <f t="shared" si="23"/>
        <v>1960</v>
      </c>
      <c r="T249">
        <f t="shared" si="24"/>
        <v>1360</v>
      </c>
      <c r="U249">
        <f t="shared" si="25"/>
        <v>2024</v>
      </c>
      <c r="V249">
        <f t="shared" si="26"/>
        <v>7</v>
      </c>
      <c r="W249" s="11">
        <f t="shared" si="27"/>
        <v>1</v>
      </c>
    </row>
    <row r="250" spans="1:23">
      <c r="A250" t="s">
        <v>263</v>
      </c>
      <c r="B250" s="4">
        <v>45309</v>
      </c>
      <c r="C250" t="s">
        <v>2015</v>
      </c>
      <c r="D250" t="s">
        <v>2020</v>
      </c>
      <c r="E250" t="s">
        <v>2027</v>
      </c>
      <c r="F250" t="s">
        <v>2032</v>
      </c>
      <c r="G250" t="s">
        <v>2034</v>
      </c>
      <c r="H250" t="s">
        <v>2039</v>
      </c>
      <c r="I250">
        <v>1</v>
      </c>
      <c r="J250">
        <v>3</v>
      </c>
      <c r="K250">
        <v>2</v>
      </c>
      <c r="L250" t="s">
        <v>2041</v>
      </c>
      <c r="M250">
        <v>219</v>
      </c>
      <c r="N250">
        <v>2730</v>
      </c>
      <c r="O250">
        <v>8828</v>
      </c>
      <c r="P250" s="13">
        <f t="shared" si="21"/>
        <v>0</v>
      </c>
      <c r="Q250" t="str">
        <f t="shared" si="22"/>
        <v>No</v>
      </c>
      <c r="R250" t="str" cm="1">
        <f t="array" ref="R250">_xlfn.IFS(K250=0,"On Time",K250&lt;=2,"Minor",K250&lt;=5,"Major",K250&gt;5,"Severe")</f>
        <v>Minor</v>
      </c>
      <c r="S250">
        <f t="shared" si="23"/>
        <v>4414</v>
      </c>
      <c r="T250">
        <f t="shared" si="24"/>
        <v>1365</v>
      </c>
      <c r="U250">
        <f t="shared" si="25"/>
        <v>2024</v>
      </c>
      <c r="V250">
        <f t="shared" si="26"/>
        <v>1</v>
      </c>
      <c r="W250" s="11">
        <f t="shared" si="27"/>
        <v>1</v>
      </c>
    </row>
    <row r="251" spans="1:23">
      <c r="A251" t="s">
        <v>264</v>
      </c>
      <c r="B251" s="4">
        <v>45428</v>
      </c>
      <c r="C251" t="s">
        <v>2016</v>
      </c>
      <c r="D251" t="s">
        <v>2021</v>
      </c>
      <c r="E251" t="s">
        <v>2029</v>
      </c>
      <c r="F251" t="s">
        <v>2031</v>
      </c>
      <c r="G251" t="s">
        <v>2033</v>
      </c>
      <c r="H251" t="s">
        <v>2040</v>
      </c>
      <c r="I251">
        <v>2</v>
      </c>
      <c r="J251">
        <v>10</v>
      </c>
      <c r="K251">
        <v>8</v>
      </c>
      <c r="L251" t="s">
        <v>2041</v>
      </c>
      <c r="M251">
        <v>399</v>
      </c>
      <c r="N251">
        <v>7608</v>
      </c>
      <c r="O251">
        <v>31496</v>
      </c>
      <c r="P251" s="13">
        <f t="shared" si="21"/>
        <v>0</v>
      </c>
      <c r="Q251" t="str">
        <f t="shared" si="22"/>
        <v>No</v>
      </c>
      <c r="R251" t="str" cm="1">
        <f t="array" ref="R251">_xlfn.IFS(K251=0,"On Time",K251&lt;=2,"Minor",K251&lt;=5,"Major",K251&gt;5,"Severe")</f>
        <v>Severe</v>
      </c>
      <c r="S251">
        <f t="shared" si="23"/>
        <v>3937</v>
      </c>
      <c r="T251">
        <f t="shared" si="24"/>
        <v>951</v>
      </c>
      <c r="U251">
        <f t="shared" si="25"/>
        <v>2024</v>
      </c>
      <c r="V251">
        <f t="shared" si="26"/>
        <v>5</v>
      </c>
      <c r="W251" s="11">
        <f t="shared" si="27"/>
        <v>1</v>
      </c>
    </row>
    <row r="252" spans="1:23">
      <c r="A252" t="s">
        <v>265</v>
      </c>
      <c r="B252" s="4">
        <v>45448</v>
      </c>
      <c r="C252" t="s">
        <v>2017</v>
      </c>
      <c r="D252" t="s">
        <v>2022</v>
      </c>
      <c r="E252" t="s">
        <v>2028</v>
      </c>
      <c r="F252" t="s">
        <v>2031</v>
      </c>
      <c r="G252" t="s">
        <v>2036</v>
      </c>
      <c r="H252" t="s">
        <v>2040</v>
      </c>
      <c r="I252">
        <v>2</v>
      </c>
      <c r="J252">
        <v>6</v>
      </c>
      <c r="K252">
        <v>4</v>
      </c>
      <c r="L252" t="s">
        <v>2041</v>
      </c>
      <c r="M252">
        <v>276</v>
      </c>
      <c r="N252">
        <v>8760</v>
      </c>
      <c r="O252">
        <v>19352</v>
      </c>
      <c r="P252" s="13">
        <f t="shared" si="21"/>
        <v>0</v>
      </c>
      <c r="Q252" t="str">
        <f t="shared" si="22"/>
        <v>No</v>
      </c>
      <c r="R252" t="str" cm="1">
        <f t="array" ref="R252">_xlfn.IFS(K252=0,"On Time",K252&lt;=2,"Minor",K252&lt;=5,"Major",K252&gt;5,"Severe")</f>
        <v>Major</v>
      </c>
      <c r="S252">
        <f t="shared" si="23"/>
        <v>4838</v>
      </c>
      <c r="T252">
        <f t="shared" si="24"/>
        <v>2190</v>
      </c>
      <c r="U252">
        <f t="shared" si="25"/>
        <v>2024</v>
      </c>
      <c r="V252">
        <f t="shared" si="26"/>
        <v>6</v>
      </c>
      <c r="W252" s="11">
        <f t="shared" si="27"/>
        <v>1</v>
      </c>
    </row>
    <row r="253" spans="1:23">
      <c r="A253" t="s">
        <v>266</v>
      </c>
      <c r="B253" s="4">
        <v>45346</v>
      </c>
      <c r="C253" t="s">
        <v>2018</v>
      </c>
      <c r="D253" t="s">
        <v>2026</v>
      </c>
      <c r="E253" t="s">
        <v>2027</v>
      </c>
      <c r="F253" t="s">
        <v>2031</v>
      </c>
      <c r="G253" t="s">
        <v>2037</v>
      </c>
      <c r="H253" t="s">
        <v>2038</v>
      </c>
      <c r="I253">
        <v>2</v>
      </c>
      <c r="J253">
        <v>2</v>
      </c>
      <c r="K253">
        <v>0</v>
      </c>
      <c r="L253" t="s">
        <v>2042</v>
      </c>
      <c r="M253">
        <v>128</v>
      </c>
      <c r="N253">
        <v>0</v>
      </c>
      <c r="O253">
        <v>0</v>
      </c>
      <c r="P253" s="13">
        <f t="shared" si="21"/>
        <v>1</v>
      </c>
      <c r="Q253" t="str">
        <f t="shared" si="22"/>
        <v>No</v>
      </c>
      <c r="R253" t="str" cm="1">
        <f t="array" ref="R253">_xlfn.IFS(K253=0,"On Time",K253&lt;=2,"Minor",K253&lt;=5,"Major",K253&gt;5,"Severe")</f>
        <v>On Time</v>
      </c>
      <c r="S253">
        <f t="shared" si="23"/>
        <v>0</v>
      </c>
      <c r="T253">
        <f t="shared" si="24"/>
        <v>0</v>
      </c>
      <c r="U253">
        <f t="shared" si="25"/>
        <v>2024</v>
      </c>
      <c r="V253">
        <f t="shared" si="26"/>
        <v>2</v>
      </c>
      <c r="W253" s="11">
        <f t="shared" si="27"/>
        <v>0</v>
      </c>
    </row>
    <row r="254" spans="1:23">
      <c r="A254" t="s">
        <v>267</v>
      </c>
      <c r="B254" s="4">
        <v>45575</v>
      </c>
      <c r="C254" t="s">
        <v>2016</v>
      </c>
      <c r="D254" t="s">
        <v>2021</v>
      </c>
      <c r="E254" t="s">
        <v>2029</v>
      </c>
      <c r="F254" t="s">
        <v>2031</v>
      </c>
      <c r="G254" t="s">
        <v>2034</v>
      </c>
      <c r="H254" t="s">
        <v>2038</v>
      </c>
      <c r="I254">
        <v>2</v>
      </c>
      <c r="J254">
        <v>3</v>
      </c>
      <c r="K254">
        <v>1</v>
      </c>
      <c r="L254" t="s">
        <v>2041</v>
      </c>
      <c r="M254">
        <v>470</v>
      </c>
      <c r="N254">
        <v>1405</v>
      </c>
      <c r="O254">
        <v>3773</v>
      </c>
      <c r="P254" s="13">
        <f t="shared" si="21"/>
        <v>0</v>
      </c>
      <c r="Q254" t="str">
        <f t="shared" si="22"/>
        <v>No</v>
      </c>
      <c r="R254" t="str" cm="1">
        <f t="array" ref="R254">_xlfn.IFS(K254=0,"On Time",K254&lt;=2,"Minor",K254&lt;=5,"Major",K254&gt;5,"Severe")</f>
        <v>Minor</v>
      </c>
      <c r="S254">
        <f t="shared" si="23"/>
        <v>3773</v>
      </c>
      <c r="T254">
        <f t="shared" si="24"/>
        <v>1405</v>
      </c>
      <c r="U254">
        <f t="shared" si="25"/>
        <v>2024</v>
      </c>
      <c r="V254">
        <f t="shared" si="26"/>
        <v>10</v>
      </c>
      <c r="W254" s="11">
        <f t="shared" si="27"/>
        <v>1</v>
      </c>
    </row>
    <row r="255" spans="1:23">
      <c r="A255" t="s">
        <v>268</v>
      </c>
      <c r="B255" s="4">
        <v>45454</v>
      </c>
      <c r="C255" t="s">
        <v>2018</v>
      </c>
      <c r="D255" t="s">
        <v>2026</v>
      </c>
      <c r="E255" t="s">
        <v>2028</v>
      </c>
      <c r="F255" t="s">
        <v>2032</v>
      </c>
      <c r="G255" t="s">
        <v>2035</v>
      </c>
      <c r="H255" t="s">
        <v>2038</v>
      </c>
      <c r="I255">
        <v>2</v>
      </c>
      <c r="J255">
        <v>5</v>
      </c>
      <c r="K255">
        <v>3</v>
      </c>
      <c r="L255" t="s">
        <v>2041</v>
      </c>
      <c r="M255">
        <v>154</v>
      </c>
      <c r="N255">
        <v>7200</v>
      </c>
      <c r="O255">
        <v>6096</v>
      </c>
      <c r="P255" s="13">
        <f t="shared" si="21"/>
        <v>0</v>
      </c>
      <c r="Q255" t="str">
        <f t="shared" si="22"/>
        <v>No</v>
      </c>
      <c r="R255" t="str" cm="1">
        <f t="array" ref="R255">_xlfn.IFS(K255=0,"On Time",K255&lt;=2,"Minor",K255&lt;=5,"Major",K255&gt;5,"Severe")</f>
        <v>Major</v>
      </c>
      <c r="S255">
        <f t="shared" si="23"/>
        <v>2032</v>
      </c>
      <c r="T255">
        <f t="shared" si="24"/>
        <v>2400</v>
      </c>
      <c r="U255">
        <f t="shared" si="25"/>
        <v>2024</v>
      </c>
      <c r="V255">
        <f t="shared" si="26"/>
        <v>6</v>
      </c>
      <c r="W255" s="11">
        <f t="shared" si="27"/>
        <v>1</v>
      </c>
    </row>
    <row r="256" spans="1:23">
      <c r="A256" t="s">
        <v>269</v>
      </c>
      <c r="B256" s="4">
        <v>45581</v>
      </c>
      <c r="C256" t="s">
        <v>2015</v>
      </c>
      <c r="D256" t="s">
        <v>2019</v>
      </c>
      <c r="E256" t="s">
        <v>2029</v>
      </c>
      <c r="F256" t="s">
        <v>2030</v>
      </c>
      <c r="G256" t="s">
        <v>2035</v>
      </c>
      <c r="H256" t="s">
        <v>2039</v>
      </c>
      <c r="I256">
        <v>2</v>
      </c>
      <c r="J256">
        <v>5</v>
      </c>
      <c r="K256">
        <v>3</v>
      </c>
      <c r="L256" t="s">
        <v>2041</v>
      </c>
      <c r="M256">
        <v>451</v>
      </c>
      <c r="N256">
        <v>3084</v>
      </c>
      <c r="O256">
        <v>12849</v>
      </c>
      <c r="P256" s="13">
        <f t="shared" si="21"/>
        <v>0</v>
      </c>
      <c r="Q256" t="str">
        <f t="shared" si="22"/>
        <v>No</v>
      </c>
      <c r="R256" t="str" cm="1">
        <f t="array" ref="R256">_xlfn.IFS(K256=0,"On Time",K256&lt;=2,"Minor",K256&lt;=5,"Major",K256&gt;5,"Severe")</f>
        <v>Major</v>
      </c>
      <c r="S256">
        <f t="shared" si="23"/>
        <v>4283</v>
      </c>
      <c r="T256">
        <f t="shared" si="24"/>
        <v>1028</v>
      </c>
      <c r="U256">
        <f t="shared" si="25"/>
        <v>2024</v>
      </c>
      <c r="V256">
        <f t="shared" si="26"/>
        <v>10</v>
      </c>
      <c r="W256" s="11">
        <f t="shared" si="27"/>
        <v>1</v>
      </c>
    </row>
    <row r="257" spans="1:23">
      <c r="A257" t="s">
        <v>270</v>
      </c>
      <c r="B257" s="4">
        <v>45308</v>
      </c>
      <c r="C257" t="s">
        <v>2016</v>
      </c>
      <c r="D257" t="s">
        <v>2021</v>
      </c>
      <c r="E257" t="s">
        <v>2028</v>
      </c>
      <c r="F257" t="s">
        <v>2030</v>
      </c>
      <c r="G257" t="s">
        <v>2033</v>
      </c>
      <c r="H257" t="s">
        <v>2038</v>
      </c>
      <c r="I257">
        <v>2</v>
      </c>
      <c r="J257">
        <v>5</v>
      </c>
      <c r="K257">
        <v>3</v>
      </c>
      <c r="L257" t="s">
        <v>2041</v>
      </c>
      <c r="M257">
        <v>420</v>
      </c>
      <c r="N257">
        <v>5850</v>
      </c>
      <c r="O257">
        <v>7833</v>
      </c>
      <c r="P257" s="13">
        <f t="shared" si="21"/>
        <v>0</v>
      </c>
      <c r="Q257" t="str">
        <f t="shared" si="22"/>
        <v>No</v>
      </c>
      <c r="R257" t="str" cm="1">
        <f t="array" ref="R257">_xlfn.IFS(K257=0,"On Time",K257&lt;=2,"Minor",K257&lt;=5,"Major",K257&gt;5,"Severe")</f>
        <v>Major</v>
      </c>
      <c r="S257">
        <f t="shared" si="23"/>
        <v>2611</v>
      </c>
      <c r="T257">
        <f t="shared" si="24"/>
        <v>1950</v>
      </c>
      <c r="U257">
        <f t="shared" si="25"/>
        <v>2024</v>
      </c>
      <c r="V257">
        <f t="shared" si="26"/>
        <v>1</v>
      </c>
      <c r="W257" s="11">
        <f t="shared" si="27"/>
        <v>1</v>
      </c>
    </row>
    <row r="258" spans="1:23">
      <c r="A258" t="s">
        <v>271</v>
      </c>
      <c r="B258" s="4">
        <v>45377</v>
      </c>
      <c r="C258" t="s">
        <v>2016</v>
      </c>
      <c r="D258" t="s">
        <v>2025</v>
      </c>
      <c r="E258" t="s">
        <v>2028</v>
      </c>
      <c r="F258" t="s">
        <v>2031</v>
      </c>
      <c r="G258" t="s">
        <v>2034</v>
      </c>
      <c r="H258" t="s">
        <v>2038</v>
      </c>
      <c r="I258">
        <v>1</v>
      </c>
      <c r="J258">
        <v>5</v>
      </c>
      <c r="K258">
        <v>4</v>
      </c>
      <c r="L258" t="s">
        <v>2041</v>
      </c>
      <c r="M258">
        <v>325</v>
      </c>
      <c r="N258">
        <v>7012</v>
      </c>
      <c r="O258">
        <v>11404</v>
      </c>
      <c r="P258" s="13">
        <f t="shared" si="21"/>
        <v>0</v>
      </c>
      <c r="Q258" t="str">
        <f t="shared" si="22"/>
        <v>No</v>
      </c>
      <c r="R258" t="str" cm="1">
        <f t="array" ref="R258">_xlfn.IFS(K258=0,"On Time",K258&lt;=2,"Minor",K258&lt;=5,"Major",K258&gt;5,"Severe")</f>
        <v>Major</v>
      </c>
      <c r="S258">
        <f t="shared" si="23"/>
        <v>2851</v>
      </c>
      <c r="T258">
        <f t="shared" si="24"/>
        <v>1753</v>
      </c>
      <c r="U258">
        <f t="shared" si="25"/>
        <v>2024</v>
      </c>
      <c r="V258">
        <f t="shared" si="26"/>
        <v>3</v>
      </c>
      <c r="W258" s="11">
        <f t="shared" si="27"/>
        <v>1</v>
      </c>
    </row>
    <row r="259" spans="1:23">
      <c r="A259" t="s">
        <v>272</v>
      </c>
      <c r="B259" s="4">
        <v>45529</v>
      </c>
      <c r="C259" t="s">
        <v>2016</v>
      </c>
      <c r="D259" t="s">
        <v>2021</v>
      </c>
      <c r="E259" t="s">
        <v>2027</v>
      </c>
      <c r="F259" t="s">
        <v>2031</v>
      </c>
      <c r="G259" t="s">
        <v>2036</v>
      </c>
      <c r="H259" t="s">
        <v>2038</v>
      </c>
      <c r="I259">
        <v>1</v>
      </c>
      <c r="J259">
        <v>5</v>
      </c>
      <c r="K259">
        <v>4</v>
      </c>
      <c r="L259" t="s">
        <v>2041</v>
      </c>
      <c r="M259">
        <v>245</v>
      </c>
      <c r="N259">
        <v>9604</v>
      </c>
      <c r="O259">
        <v>13900</v>
      </c>
      <c r="P259" s="13">
        <f t="shared" ref="P259:P322" si="28">IF(L259="Yes",0,1)</f>
        <v>0</v>
      </c>
      <c r="Q259" t="str">
        <f t="shared" ref="Q259:Q322" si="29">IF(K259&gt;J259,"Yes","No")</f>
        <v>No</v>
      </c>
      <c r="R259" t="str" cm="1">
        <f t="array" ref="R259">_xlfn.IFS(K259=0,"On Time",K259&lt;=2,"Minor",K259&lt;=5,"Major",K259&gt;5,"Severe")</f>
        <v>Major</v>
      </c>
      <c r="S259">
        <f t="shared" ref="S259:S322" si="30">IFERROR(O259/K259,0)</f>
        <v>3475</v>
      </c>
      <c r="T259">
        <f t="shared" ref="T259:T322" si="31">IFERROR(N259/K259,0)</f>
        <v>2401</v>
      </c>
      <c r="U259">
        <f t="shared" ref="U259:U322" si="32">YEAR(B259)</f>
        <v>2024</v>
      </c>
      <c r="V259">
        <f t="shared" ref="V259:V322" si="33">MONTH(B259)</f>
        <v>8</v>
      </c>
      <c r="W259" s="11">
        <f t="shared" ref="W259:W322" si="34">IF(L259="Yes",1,0)</f>
        <v>1</v>
      </c>
    </row>
    <row r="260" spans="1:23">
      <c r="A260" t="s">
        <v>273</v>
      </c>
      <c r="B260" s="4">
        <v>45586</v>
      </c>
      <c r="C260" t="s">
        <v>2017</v>
      </c>
      <c r="D260" t="s">
        <v>2023</v>
      </c>
      <c r="E260" t="s">
        <v>2029</v>
      </c>
      <c r="F260" t="s">
        <v>2031</v>
      </c>
      <c r="G260" t="s">
        <v>2037</v>
      </c>
      <c r="H260" t="s">
        <v>2038</v>
      </c>
      <c r="I260">
        <v>3</v>
      </c>
      <c r="J260">
        <v>6</v>
      </c>
      <c r="K260">
        <v>3</v>
      </c>
      <c r="L260" t="s">
        <v>2041</v>
      </c>
      <c r="M260">
        <v>247</v>
      </c>
      <c r="N260">
        <v>5952</v>
      </c>
      <c r="O260">
        <v>14976</v>
      </c>
      <c r="P260" s="13">
        <f t="shared" si="28"/>
        <v>0</v>
      </c>
      <c r="Q260" t="str">
        <f t="shared" si="29"/>
        <v>No</v>
      </c>
      <c r="R260" t="str" cm="1">
        <f t="array" ref="R260">_xlfn.IFS(K260=0,"On Time",K260&lt;=2,"Minor",K260&lt;=5,"Major",K260&gt;5,"Severe")</f>
        <v>Major</v>
      </c>
      <c r="S260">
        <f t="shared" si="30"/>
        <v>4992</v>
      </c>
      <c r="T260">
        <f t="shared" si="31"/>
        <v>1984</v>
      </c>
      <c r="U260">
        <f t="shared" si="32"/>
        <v>2024</v>
      </c>
      <c r="V260">
        <f t="shared" si="33"/>
        <v>10</v>
      </c>
      <c r="W260" s="11">
        <f t="shared" si="34"/>
        <v>1</v>
      </c>
    </row>
    <row r="261" spans="1:23">
      <c r="A261" t="s">
        <v>274</v>
      </c>
      <c r="B261" s="4">
        <v>45635</v>
      </c>
      <c r="C261" t="s">
        <v>2016</v>
      </c>
      <c r="D261" t="s">
        <v>2021</v>
      </c>
      <c r="E261" t="s">
        <v>2027</v>
      </c>
      <c r="F261" t="s">
        <v>2031</v>
      </c>
      <c r="G261" t="s">
        <v>2036</v>
      </c>
      <c r="H261" t="s">
        <v>2038</v>
      </c>
      <c r="I261">
        <v>1</v>
      </c>
      <c r="J261">
        <v>2</v>
      </c>
      <c r="K261">
        <v>1</v>
      </c>
      <c r="L261" t="s">
        <v>2041</v>
      </c>
      <c r="M261">
        <v>433</v>
      </c>
      <c r="N261">
        <v>954</v>
      </c>
      <c r="O261">
        <v>3107</v>
      </c>
      <c r="P261" s="13">
        <f t="shared" si="28"/>
        <v>0</v>
      </c>
      <c r="Q261" t="str">
        <f t="shared" si="29"/>
        <v>No</v>
      </c>
      <c r="R261" t="str" cm="1">
        <f t="array" ref="R261">_xlfn.IFS(K261=0,"On Time",K261&lt;=2,"Minor",K261&lt;=5,"Major",K261&gt;5,"Severe")</f>
        <v>Minor</v>
      </c>
      <c r="S261">
        <f t="shared" si="30"/>
        <v>3107</v>
      </c>
      <c r="T261">
        <f t="shared" si="31"/>
        <v>954</v>
      </c>
      <c r="U261">
        <f t="shared" si="32"/>
        <v>2024</v>
      </c>
      <c r="V261">
        <f t="shared" si="33"/>
        <v>12</v>
      </c>
      <c r="W261" s="11">
        <f t="shared" si="34"/>
        <v>1</v>
      </c>
    </row>
    <row r="262" spans="1:23">
      <c r="A262" t="s">
        <v>275</v>
      </c>
      <c r="B262" s="4">
        <v>45466</v>
      </c>
      <c r="C262" t="s">
        <v>2015</v>
      </c>
      <c r="D262" t="s">
        <v>2020</v>
      </c>
      <c r="E262" t="s">
        <v>2029</v>
      </c>
      <c r="F262" t="s">
        <v>2031</v>
      </c>
      <c r="G262" t="s">
        <v>2035</v>
      </c>
      <c r="H262" t="s">
        <v>2038</v>
      </c>
      <c r="I262">
        <v>5</v>
      </c>
      <c r="J262">
        <v>8</v>
      </c>
      <c r="K262">
        <v>3</v>
      </c>
      <c r="L262" t="s">
        <v>2041</v>
      </c>
      <c r="M262">
        <v>336</v>
      </c>
      <c r="N262">
        <v>3474</v>
      </c>
      <c r="O262">
        <v>13569</v>
      </c>
      <c r="P262" s="13">
        <f t="shared" si="28"/>
        <v>0</v>
      </c>
      <c r="Q262" t="str">
        <f t="shared" si="29"/>
        <v>No</v>
      </c>
      <c r="R262" t="str" cm="1">
        <f t="array" ref="R262">_xlfn.IFS(K262=0,"On Time",K262&lt;=2,"Minor",K262&lt;=5,"Major",K262&gt;5,"Severe")</f>
        <v>Major</v>
      </c>
      <c r="S262">
        <f t="shared" si="30"/>
        <v>4523</v>
      </c>
      <c r="T262">
        <f t="shared" si="31"/>
        <v>1158</v>
      </c>
      <c r="U262">
        <f t="shared" si="32"/>
        <v>2024</v>
      </c>
      <c r="V262">
        <f t="shared" si="33"/>
        <v>6</v>
      </c>
      <c r="W262" s="11">
        <f t="shared" si="34"/>
        <v>1</v>
      </c>
    </row>
    <row r="263" spans="1:23">
      <c r="A263" t="s">
        <v>276</v>
      </c>
      <c r="B263" s="4">
        <v>45641</v>
      </c>
      <c r="C263" t="s">
        <v>2015</v>
      </c>
      <c r="D263" t="s">
        <v>2019</v>
      </c>
      <c r="E263" t="s">
        <v>2029</v>
      </c>
      <c r="F263" t="s">
        <v>2031</v>
      </c>
      <c r="G263" t="s">
        <v>2035</v>
      </c>
      <c r="H263" t="s">
        <v>2039</v>
      </c>
      <c r="I263">
        <v>1</v>
      </c>
      <c r="J263">
        <v>6</v>
      </c>
      <c r="K263">
        <v>5</v>
      </c>
      <c r="L263" t="s">
        <v>2041</v>
      </c>
      <c r="M263">
        <v>370</v>
      </c>
      <c r="N263">
        <v>11475</v>
      </c>
      <c r="O263">
        <v>18185</v>
      </c>
      <c r="P263" s="13">
        <f t="shared" si="28"/>
        <v>0</v>
      </c>
      <c r="Q263" t="str">
        <f t="shared" si="29"/>
        <v>No</v>
      </c>
      <c r="R263" t="str" cm="1">
        <f t="array" ref="R263">_xlfn.IFS(K263=0,"On Time",K263&lt;=2,"Minor",K263&lt;=5,"Major",K263&gt;5,"Severe")</f>
        <v>Major</v>
      </c>
      <c r="S263">
        <f t="shared" si="30"/>
        <v>3637</v>
      </c>
      <c r="T263">
        <f t="shared" si="31"/>
        <v>2295</v>
      </c>
      <c r="U263">
        <f t="shared" si="32"/>
        <v>2024</v>
      </c>
      <c r="V263">
        <f t="shared" si="33"/>
        <v>12</v>
      </c>
      <c r="W263" s="11">
        <f t="shared" si="34"/>
        <v>1</v>
      </c>
    </row>
    <row r="264" spans="1:23">
      <c r="A264" t="s">
        <v>277</v>
      </c>
      <c r="B264" s="4">
        <v>45543</v>
      </c>
      <c r="C264" t="s">
        <v>2017</v>
      </c>
      <c r="D264" t="s">
        <v>2023</v>
      </c>
      <c r="E264" t="s">
        <v>2029</v>
      </c>
      <c r="F264" t="s">
        <v>2032</v>
      </c>
      <c r="G264" t="s">
        <v>2037</v>
      </c>
      <c r="H264" t="s">
        <v>2038</v>
      </c>
      <c r="I264">
        <v>2</v>
      </c>
      <c r="J264">
        <v>5</v>
      </c>
      <c r="K264">
        <v>3</v>
      </c>
      <c r="L264" t="s">
        <v>2041</v>
      </c>
      <c r="M264">
        <v>321</v>
      </c>
      <c r="N264">
        <v>5724</v>
      </c>
      <c r="O264">
        <v>14559</v>
      </c>
      <c r="P264" s="13">
        <f t="shared" si="28"/>
        <v>0</v>
      </c>
      <c r="Q264" t="str">
        <f t="shared" si="29"/>
        <v>No</v>
      </c>
      <c r="R264" t="str" cm="1">
        <f t="array" ref="R264">_xlfn.IFS(K264=0,"On Time",K264&lt;=2,"Minor",K264&lt;=5,"Major",K264&gt;5,"Severe")</f>
        <v>Major</v>
      </c>
      <c r="S264">
        <f t="shared" si="30"/>
        <v>4853</v>
      </c>
      <c r="T264">
        <f t="shared" si="31"/>
        <v>1908</v>
      </c>
      <c r="U264">
        <f t="shared" si="32"/>
        <v>2024</v>
      </c>
      <c r="V264">
        <f t="shared" si="33"/>
        <v>9</v>
      </c>
      <c r="W264" s="11">
        <f t="shared" si="34"/>
        <v>1</v>
      </c>
    </row>
    <row r="265" spans="1:23">
      <c r="A265" t="s">
        <v>278</v>
      </c>
      <c r="B265" s="4">
        <v>45345</v>
      </c>
      <c r="C265" t="s">
        <v>2016</v>
      </c>
      <c r="D265" t="s">
        <v>2025</v>
      </c>
      <c r="E265" t="s">
        <v>2029</v>
      </c>
      <c r="F265" t="s">
        <v>2031</v>
      </c>
      <c r="G265" t="s">
        <v>2036</v>
      </c>
      <c r="H265" t="s">
        <v>2039</v>
      </c>
      <c r="I265">
        <v>2</v>
      </c>
      <c r="J265">
        <v>2</v>
      </c>
      <c r="K265">
        <v>0</v>
      </c>
      <c r="L265" t="s">
        <v>2042</v>
      </c>
      <c r="M265">
        <v>419</v>
      </c>
      <c r="N265">
        <v>0</v>
      </c>
      <c r="O265">
        <v>0</v>
      </c>
      <c r="P265" s="13">
        <f t="shared" si="28"/>
        <v>1</v>
      </c>
      <c r="Q265" t="str">
        <f t="shared" si="29"/>
        <v>No</v>
      </c>
      <c r="R265" t="str" cm="1">
        <f t="array" ref="R265">_xlfn.IFS(K265=0,"On Time",K265&lt;=2,"Minor",K265&lt;=5,"Major",K265&gt;5,"Severe")</f>
        <v>On Time</v>
      </c>
      <c r="S265">
        <f t="shared" si="30"/>
        <v>0</v>
      </c>
      <c r="T265">
        <f t="shared" si="31"/>
        <v>0</v>
      </c>
      <c r="U265">
        <f t="shared" si="32"/>
        <v>2024</v>
      </c>
      <c r="V265">
        <f t="shared" si="33"/>
        <v>2</v>
      </c>
      <c r="W265" s="11">
        <f t="shared" si="34"/>
        <v>0</v>
      </c>
    </row>
    <row r="266" spans="1:23">
      <c r="A266" t="s">
        <v>279</v>
      </c>
      <c r="B266" s="4">
        <v>45374</v>
      </c>
      <c r="C266" t="s">
        <v>2017</v>
      </c>
      <c r="D266" t="s">
        <v>2022</v>
      </c>
      <c r="E266" t="s">
        <v>2027</v>
      </c>
      <c r="F266" t="s">
        <v>2031</v>
      </c>
      <c r="G266" t="s">
        <v>2035</v>
      </c>
      <c r="H266" t="s">
        <v>2039</v>
      </c>
      <c r="I266">
        <v>2</v>
      </c>
      <c r="J266">
        <v>3</v>
      </c>
      <c r="K266">
        <v>1</v>
      </c>
      <c r="L266" t="s">
        <v>2041</v>
      </c>
      <c r="M266">
        <v>375</v>
      </c>
      <c r="N266">
        <v>1998</v>
      </c>
      <c r="O266">
        <v>4787</v>
      </c>
      <c r="P266" s="13">
        <f t="shared" si="28"/>
        <v>0</v>
      </c>
      <c r="Q266" t="str">
        <f t="shared" si="29"/>
        <v>No</v>
      </c>
      <c r="R266" t="str" cm="1">
        <f t="array" ref="R266">_xlfn.IFS(K266=0,"On Time",K266&lt;=2,"Minor",K266&lt;=5,"Major",K266&gt;5,"Severe")</f>
        <v>Minor</v>
      </c>
      <c r="S266">
        <f t="shared" si="30"/>
        <v>4787</v>
      </c>
      <c r="T266">
        <f t="shared" si="31"/>
        <v>1998</v>
      </c>
      <c r="U266">
        <f t="shared" si="32"/>
        <v>2024</v>
      </c>
      <c r="V266">
        <f t="shared" si="33"/>
        <v>3</v>
      </c>
      <c r="W266" s="11">
        <f t="shared" si="34"/>
        <v>1</v>
      </c>
    </row>
    <row r="267" spans="1:23">
      <c r="A267" t="s">
        <v>280</v>
      </c>
      <c r="B267" s="4">
        <v>45551</v>
      </c>
      <c r="C267" t="s">
        <v>2016</v>
      </c>
      <c r="D267" t="s">
        <v>2021</v>
      </c>
      <c r="E267" t="s">
        <v>2027</v>
      </c>
      <c r="F267" t="s">
        <v>2031</v>
      </c>
      <c r="G267" t="s">
        <v>2035</v>
      </c>
      <c r="H267" t="s">
        <v>2040</v>
      </c>
      <c r="I267">
        <v>2</v>
      </c>
      <c r="J267">
        <v>4</v>
      </c>
      <c r="K267">
        <v>2</v>
      </c>
      <c r="L267" t="s">
        <v>2041</v>
      </c>
      <c r="M267">
        <v>444</v>
      </c>
      <c r="N267">
        <v>4000</v>
      </c>
      <c r="O267">
        <v>7832</v>
      </c>
      <c r="P267" s="13">
        <f t="shared" si="28"/>
        <v>0</v>
      </c>
      <c r="Q267" t="str">
        <f t="shared" si="29"/>
        <v>No</v>
      </c>
      <c r="R267" t="str" cm="1">
        <f t="array" ref="R267">_xlfn.IFS(K267=0,"On Time",K267&lt;=2,"Minor",K267&lt;=5,"Major",K267&gt;5,"Severe")</f>
        <v>Minor</v>
      </c>
      <c r="S267">
        <f t="shared" si="30"/>
        <v>3916</v>
      </c>
      <c r="T267">
        <f t="shared" si="31"/>
        <v>2000</v>
      </c>
      <c r="U267">
        <f t="shared" si="32"/>
        <v>2024</v>
      </c>
      <c r="V267">
        <f t="shared" si="33"/>
        <v>9</v>
      </c>
      <c r="W267" s="11">
        <f t="shared" si="34"/>
        <v>1</v>
      </c>
    </row>
    <row r="268" spans="1:23">
      <c r="A268" t="s">
        <v>281</v>
      </c>
      <c r="B268" s="4">
        <v>45509</v>
      </c>
      <c r="C268" t="s">
        <v>2015</v>
      </c>
      <c r="D268" t="s">
        <v>2020</v>
      </c>
      <c r="E268" t="s">
        <v>2028</v>
      </c>
      <c r="F268" t="s">
        <v>2030</v>
      </c>
      <c r="G268" t="s">
        <v>2037</v>
      </c>
      <c r="H268" t="s">
        <v>2039</v>
      </c>
      <c r="I268">
        <v>1</v>
      </c>
      <c r="J268">
        <v>4</v>
      </c>
      <c r="K268">
        <v>3</v>
      </c>
      <c r="L268" t="s">
        <v>2041</v>
      </c>
      <c r="M268">
        <v>319</v>
      </c>
      <c r="N268">
        <v>5673</v>
      </c>
      <c r="O268">
        <v>14187</v>
      </c>
      <c r="P268" s="13">
        <f t="shared" si="28"/>
        <v>0</v>
      </c>
      <c r="Q268" t="str">
        <f t="shared" si="29"/>
        <v>No</v>
      </c>
      <c r="R268" t="str" cm="1">
        <f t="array" ref="R268">_xlfn.IFS(K268=0,"On Time",K268&lt;=2,"Minor",K268&lt;=5,"Major",K268&gt;5,"Severe")</f>
        <v>Major</v>
      </c>
      <c r="S268">
        <f t="shared" si="30"/>
        <v>4729</v>
      </c>
      <c r="T268">
        <f t="shared" si="31"/>
        <v>1891</v>
      </c>
      <c r="U268">
        <f t="shared" si="32"/>
        <v>2024</v>
      </c>
      <c r="V268">
        <f t="shared" si="33"/>
        <v>8</v>
      </c>
      <c r="W268" s="11">
        <f t="shared" si="34"/>
        <v>1</v>
      </c>
    </row>
    <row r="269" spans="1:23">
      <c r="A269" t="s">
        <v>282</v>
      </c>
      <c r="B269" s="4">
        <v>45529</v>
      </c>
      <c r="C269" t="s">
        <v>2015</v>
      </c>
      <c r="D269" t="s">
        <v>2020</v>
      </c>
      <c r="E269" t="s">
        <v>2028</v>
      </c>
      <c r="F269" t="s">
        <v>2032</v>
      </c>
      <c r="G269" t="s">
        <v>2033</v>
      </c>
      <c r="H269" t="s">
        <v>2038</v>
      </c>
      <c r="I269">
        <v>5</v>
      </c>
      <c r="J269">
        <v>10</v>
      </c>
      <c r="K269">
        <v>5</v>
      </c>
      <c r="L269" t="s">
        <v>2041</v>
      </c>
      <c r="M269">
        <v>234</v>
      </c>
      <c r="N269">
        <v>4865</v>
      </c>
      <c r="O269">
        <v>23700</v>
      </c>
      <c r="P269" s="13">
        <f t="shared" si="28"/>
        <v>0</v>
      </c>
      <c r="Q269" t="str">
        <f t="shared" si="29"/>
        <v>No</v>
      </c>
      <c r="R269" t="str" cm="1">
        <f t="array" ref="R269">_xlfn.IFS(K269=0,"On Time",K269&lt;=2,"Minor",K269&lt;=5,"Major",K269&gt;5,"Severe")</f>
        <v>Major</v>
      </c>
      <c r="S269">
        <f t="shared" si="30"/>
        <v>4740</v>
      </c>
      <c r="T269">
        <f t="shared" si="31"/>
        <v>973</v>
      </c>
      <c r="U269">
        <f t="shared" si="32"/>
        <v>2024</v>
      </c>
      <c r="V269">
        <f t="shared" si="33"/>
        <v>8</v>
      </c>
      <c r="W269" s="11">
        <f t="shared" si="34"/>
        <v>1</v>
      </c>
    </row>
    <row r="270" spans="1:23">
      <c r="A270" t="s">
        <v>283</v>
      </c>
      <c r="B270" s="4">
        <v>45368</v>
      </c>
      <c r="C270" t="s">
        <v>2015</v>
      </c>
      <c r="D270" t="s">
        <v>2020</v>
      </c>
      <c r="E270" t="s">
        <v>2028</v>
      </c>
      <c r="F270" t="s">
        <v>2031</v>
      </c>
      <c r="G270" t="s">
        <v>2035</v>
      </c>
      <c r="H270" t="s">
        <v>2038</v>
      </c>
      <c r="I270">
        <v>2</v>
      </c>
      <c r="J270">
        <v>4</v>
      </c>
      <c r="K270">
        <v>2</v>
      </c>
      <c r="L270" t="s">
        <v>2041</v>
      </c>
      <c r="M270">
        <v>491</v>
      </c>
      <c r="N270">
        <v>3202</v>
      </c>
      <c r="O270">
        <v>8922</v>
      </c>
      <c r="P270" s="13">
        <f t="shared" si="28"/>
        <v>0</v>
      </c>
      <c r="Q270" t="str">
        <f t="shared" si="29"/>
        <v>No</v>
      </c>
      <c r="R270" t="str" cm="1">
        <f t="array" ref="R270">_xlfn.IFS(K270=0,"On Time",K270&lt;=2,"Minor",K270&lt;=5,"Major",K270&gt;5,"Severe")</f>
        <v>Minor</v>
      </c>
      <c r="S270">
        <f t="shared" si="30"/>
        <v>4461</v>
      </c>
      <c r="T270">
        <f t="shared" si="31"/>
        <v>1601</v>
      </c>
      <c r="U270">
        <f t="shared" si="32"/>
        <v>2024</v>
      </c>
      <c r="V270">
        <f t="shared" si="33"/>
        <v>3</v>
      </c>
      <c r="W270" s="11">
        <f t="shared" si="34"/>
        <v>1</v>
      </c>
    </row>
    <row r="271" spans="1:23">
      <c r="A271" t="s">
        <v>284</v>
      </c>
      <c r="B271" s="4">
        <v>45587</v>
      </c>
      <c r="C271" t="s">
        <v>2017</v>
      </c>
      <c r="D271" t="s">
        <v>2023</v>
      </c>
      <c r="E271" t="s">
        <v>2028</v>
      </c>
      <c r="F271" t="s">
        <v>2031</v>
      </c>
      <c r="G271" t="s">
        <v>2036</v>
      </c>
      <c r="H271" t="s">
        <v>2039</v>
      </c>
      <c r="I271">
        <v>2</v>
      </c>
      <c r="J271">
        <v>6</v>
      </c>
      <c r="K271">
        <v>4</v>
      </c>
      <c r="L271" t="s">
        <v>2041</v>
      </c>
      <c r="M271">
        <v>430</v>
      </c>
      <c r="N271">
        <v>6780</v>
      </c>
      <c r="O271">
        <v>17720</v>
      </c>
      <c r="P271" s="13">
        <f t="shared" si="28"/>
        <v>0</v>
      </c>
      <c r="Q271" t="str">
        <f t="shared" si="29"/>
        <v>No</v>
      </c>
      <c r="R271" t="str" cm="1">
        <f t="array" ref="R271">_xlfn.IFS(K271=0,"On Time",K271&lt;=2,"Minor",K271&lt;=5,"Major",K271&gt;5,"Severe")</f>
        <v>Major</v>
      </c>
      <c r="S271">
        <f t="shared" si="30"/>
        <v>4430</v>
      </c>
      <c r="T271">
        <f t="shared" si="31"/>
        <v>1695</v>
      </c>
      <c r="U271">
        <f t="shared" si="32"/>
        <v>2024</v>
      </c>
      <c r="V271">
        <f t="shared" si="33"/>
        <v>10</v>
      </c>
      <c r="W271" s="11">
        <f t="shared" si="34"/>
        <v>1</v>
      </c>
    </row>
    <row r="272" spans="1:23">
      <c r="A272" t="s">
        <v>285</v>
      </c>
      <c r="B272" s="4">
        <v>45327</v>
      </c>
      <c r="C272" t="s">
        <v>2015</v>
      </c>
      <c r="D272" t="s">
        <v>2020</v>
      </c>
      <c r="E272" t="s">
        <v>2028</v>
      </c>
      <c r="F272" t="s">
        <v>2030</v>
      </c>
      <c r="G272" t="s">
        <v>2036</v>
      </c>
      <c r="H272" t="s">
        <v>2039</v>
      </c>
      <c r="I272">
        <v>5</v>
      </c>
      <c r="J272">
        <v>10</v>
      </c>
      <c r="K272">
        <v>5</v>
      </c>
      <c r="L272" t="s">
        <v>2041</v>
      </c>
      <c r="M272">
        <v>306</v>
      </c>
      <c r="N272">
        <v>11765</v>
      </c>
      <c r="O272">
        <v>17740</v>
      </c>
      <c r="P272" s="13">
        <f t="shared" si="28"/>
        <v>0</v>
      </c>
      <c r="Q272" t="str">
        <f t="shared" si="29"/>
        <v>No</v>
      </c>
      <c r="R272" t="str" cm="1">
        <f t="array" ref="R272">_xlfn.IFS(K272=0,"On Time",K272&lt;=2,"Minor",K272&lt;=5,"Major",K272&gt;5,"Severe")</f>
        <v>Major</v>
      </c>
      <c r="S272">
        <f t="shared" si="30"/>
        <v>3548</v>
      </c>
      <c r="T272">
        <f t="shared" si="31"/>
        <v>2353</v>
      </c>
      <c r="U272">
        <f t="shared" si="32"/>
        <v>2024</v>
      </c>
      <c r="V272">
        <f t="shared" si="33"/>
        <v>2</v>
      </c>
      <c r="W272" s="11">
        <f t="shared" si="34"/>
        <v>1</v>
      </c>
    </row>
    <row r="273" spans="1:23">
      <c r="A273" t="s">
        <v>286</v>
      </c>
      <c r="B273" s="4">
        <v>45513</v>
      </c>
      <c r="C273" t="s">
        <v>2018</v>
      </c>
      <c r="D273" t="s">
        <v>2024</v>
      </c>
      <c r="E273" t="s">
        <v>2029</v>
      </c>
      <c r="F273" t="s">
        <v>2030</v>
      </c>
      <c r="G273" t="s">
        <v>2036</v>
      </c>
      <c r="H273" t="s">
        <v>2038</v>
      </c>
      <c r="I273">
        <v>1</v>
      </c>
      <c r="J273">
        <v>5</v>
      </c>
      <c r="K273">
        <v>4</v>
      </c>
      <c r="L273" t="s">
        <v>2041</v>
      </c>
      <c r="M273">
        <v>490</v>
      </c>
      <c r="N273">
        <v>6280</v>
      </c>
      <c r="O273">
        <v>17452</v>
      </c>
      <c r="P273" s="13">
        <f t="shared" si="28"/>
        <v>0</v>
      </c>
      <c r="Q273" t="str">
        <f t="shared" si="29"/>
        <v>No</v>
      </c>
      <c r="R273" t="str" cm="1">
        <f t="array" ref="R273">_xlfn.IFS(K273=0,"On Time",K273&lt;=2,"Minor",K273&lt;=5,"Major",K273&gt;5,"Severe")</f>
        <v>Major</v>
      </c>
      <c r="S273">
        <f t="shared" si="30"/>
        <v>4363</v>
      </c>
      <c r="T273">
        <f t="shared" si="31"/>
        <v>1570</v>
      </c>
      <c r="U273">
        <f t="shared" si="32"/>
        <v>2024</v>
      </c>
      <c r="V273">
        <f t="shared" si="33"/>
        <v>8</v>
      </c>
      <c r="W273" s="11">
        <f t="shared" si="34"/>
        <v>1</v>
      </c>
    </row>
    <row r="274" spans="1:23">
      <c r="A274" t="s">
        <v>287</v>
      </c>
      <c r="B274" s="4">
        <v>45443</v>
      </c>
      <c r="C274" t="s">
        <v>2017</v>
      </c>
      <c r="D274" t="s">
        <v>2023</v>
      </c>
      <c r="E274" t="s">
        <v>2028</v>
      </c>
      <c r="F274" t="s">
        <v>2030</v>
      </c>
      <c r="G274" t="s">
        <v>2033</v>
      </c>
      <c r="H274" t="s">
        <v>2038</v>
      </c>
      <c r="I274">
        <v>3</v>
      </c>
      <c r="J274">
        <v>6</v>
      </c>
      <c r="K274">
        <v>3</v>
      </c>
      <c r="L274" t="s">
        <v>2041</v>
      </c>
      <c r="M274">
        <v>300</v>
      </c>
      <c r="N274">
        <v>4926</v>
      </c>
      <c r="O274">
        <v>10020</v>
      </c>
      <c r="P274" s="13">
        <f t="shared" si="28"/>
        <v>0</v>
      </c>
      <c r="Q274" t="str">
        <f t="shared" si="29"/>
        <v>No</v>
      </c>
      <c r="R274" t="str" cm="1">
        <f t="array" ref="R274">_xlfn.IFS(K274=0,"On Time",K274&lt;=2,"Minor",K274&lt;=5,"Major",K274&gt;5,"Severe")</f>
        <v>Major</v>
      </c>
      <c r="S274">
        <f t="shared" si="30"/>
        <v>3340</v>
      </c>
      <c r="T274">
        <f t="shared" si="31"/>
        <v>1642</v>
      </c>
      <c r="U274">
        <f t="shared" si="32"/>
        <v>2024</v>
      </c>
      <c r="V274">
        <f t="shared" si="33"/>
        <v>5</v>
      </c>
      <c r="W274" s="11">
        <f t="shared" si="34"/>
        <v>1</v>
      </c>
    </row>
    <row r="275" spans="1:23">
      <c r="A275" t="s">
        <v>288</v>
      </c>
      <c r="B275" s="4">
        <v>45417</v>
      </c>
      <c r="C275" t="s">
        <v>2018</v>
      </c>
      <c r="D275" t="s">
        <v>2026</v>
      </c>
      <c r="E275" t="s">
        <v>2027</v>
      </c>
      <c r="F275" t="s">
        <v>2030</v>
      </c>
      <c r="G275" t="s">
        <v>2033</v>
      </c>
      <c r="H275" t="s">
        <v>2040</v>
      </c>
      <c r="I275">
        <v>1</v>
      </c>
      <c r="J275">
        <v>5</v>
      </c>
      <c r="K275">
        <v>4</v>
      </c>
      <c r="L275" t="s">
        <v>2041</v>
      </c>
      <c r="M275">
        <v>66</v>
      </c>
      <c r="N275">
        <v>7512</v>
      </c>
      <c r="O275">
        <v>10048</v>
      </c>
      <c r="P275" s="13">
        <f t="shared" si="28"/>
        <v>0</v>
      </c>
      <c r="Q275" t="str">
        <f t="shared" si="29"/>
        <v>No</v>
      </c>
      <c r="R275" t="str" cm="1">
        <f t="array" ref="R275">_xlfn.IFS(K275=0,"On Time",K275&lt;=2,"Minor",K275&lt;=5,"Major",K275&gt;5,"Severe")</f>
        <v>Major</v>
      </c>
      <c r="S275">
        <f t="shared" si="30"/>
        <v>2512</v>
      </c>
      <c r="T275">
        <f t="shared" si="31"/>
        <v>1878</v>
      </c>
      <c r="U275">
        <f t="shared" si="32"/>
        <v>2024</v>
      </c>
      <c r="V275">
        <f t="shared" si="33"/>
        <v>5</v>
      </c>
      <c r="W275" s="11">
        <f t="shared" si="34"/>
        <v>1</v>
      </c>
    </row>
    <row r="276" spans="1:23">
      <c r="A276" t="s">
        <v>289</v>
      </c>
      <c r="B276" s="4">
        <v>45508</v>
      </c>
      <c r="C276" t="s">
        <v>2017</v>
      </c>
      <c r="D276" t="s">
        <v>2023</v>
      </c>
      <c r="E276" t="s">
        <v>2029</v>
      </c>
      <c r="F276" t="s">
        <v>2031</v>
      </c>
      <c r="G276" t="s">
        <v>2034</v>
      </c>
      <c r="H276" t="s">
        <v>2039</v>
      </c>
      <c r="I276">
        <v>5</v>
      </c>
      <c r="J276">
        <v>8</v>
      </c>
      <c r="K276">
        <v>3</v>
      </c>
      <c r="L276" t="s">
        <v>2041</v>
      </c>
      <c r="M276">
        <v>422</v>
      </c>
      <c r="N276">
        <v>4833</v>
      </c>
      <c r="O276">
        <v>11862</v>
      </c>
      <c r="P276" s="13">
        <f t="shared" si="28"/>
        <v>0</v>
      </c>
      <c r="Q276" t="str">
        <f t="shared" si="29"/>
        <v>No</v>
      </c>
      <c r="R276" t="str" cm="1">
        <f t="array" ref="R276">_xlfn.IFS(K276=0,"On Time",K276&lt;=2,"Minor",K276&lt;=5,"Major",K276&gt;5,"Severe")</f>
        <v>Major</v>
      </c>
      <c r="S276">
        <f t="shared" si="30"/>
        <v>3954</v>
      </c>
      <c r="T276">
        <f t="shared" si="31"/>
        <v>1611</v>
      </c>
      <c r="U276">
        <f t="shared" si="32"/>
        <v>2024</v>
      </c>
      <c r="V276">
        <f t="shared" si="33"/>
        <v>8</v>
      </c>
      <c r="W276" s="11">
        <f t="shared" si="34"/>
        <v>1</v>
      </c>
    </row>
    <row r="277" spans="1:23">
      <c r="A277" t="s">
        <v>290</v>
      </c>
      <c r="B277" s="4">
        <v>45433</v>
      </c>
      <c r="C277" t="s">
        <v>2016</v>
      </c>
      <c r="D277" t="s">
        <v>2025</v>
      </c>
      <c r="E277" t="s">
        <v>2028</v>
      </c>
      <c r="F277" t="s">
        <v>2032</v>
      </c>
      <c r="G277" t="s">
        <v>2037</v>
      </c>
      <c r="H277" t="s">
        <v>2040</v>
      </c>
      <c r="I277">
        <v>2</v>
      </c>
      <c r="J277">
        <v>11</v>
      </c>
      <c r="K277">
        <v>9</v>
      </c>
      <c r="L277" t="s">
        <v>2041</v>
      </c>
      <c r="M277">
        <v>118</v>
      </c>
      <c r="N277">
        <v>15597</v>
      </c>
      <c r="O277">
        <v>31185</v>
      </c>
      <c r="P277" s="13">
        <f t="shared" si="28"/>
        <v>0</v>
      </c>
      <c r="Q277" t="str">
        <f t="shared" si="29"/>
        <v>No</v>
      </c>
      <c r="R277" t="str" cm="1">
        <f t="array" ref="R277">_xlfn.IFS(K277=0,"On Time",K277&lt;=2,"Minor",K277&lt;=5,"Major",K277&gt;5,"Severe")</f>
        <v>Severe</v>
      </c>
      <c r="S277">
        <f t="shared" si="30"/>
        <v>3465</v>
      </c>
      <c r="T277">
        <f t="shared" si="31"/>
        <v>1733</v>
      </c>
      <c r="U277">
        <f t="shared" si="32"/>
        <v>2024</v>
      </c>
      <c r="V277">
        <f t="shared" si="33"/>
        <v>5</v>
      </c>
      <c r="W277" s="11">
        <f t="shared" si="34"/>
        <v>1</v>
      </c>
    </row>
    <row r="278" spans="1:23">
      <c r="A278" t="s">
        <v>291</v>
      </c>
      <c r="B278" s="4">
        <v>45402</v>
      </c>
      <c r="C278" t="s">
        <v>2016</v>
      </c>
      <c r="D278" t="s">
        <v>2025</v>
      </c>
      <c r="E278" t="s">
        <v>2028</v>
      </c>
      <c r="F278" t="s">
        <v>2030</v>
      </c>
      <c r="G278" t="s">
        <v>2037</v>
      </c>
      <c r="H278" t="s">
        <v>2038</v>
      </c>
      <c r="I278">
        <v>3</v>
      </c>
      <c r="J278">
        <v>6</v>
      </c>
      <c r="K278">
        <v>3</v>
      </c>
      <c r="L278" t="s">
        <v>2041</v>
      </c>
      <c r="M278">
        <v>160</v>
      </c>
      <c r="N278">
        <v>6270</v>
      </c>
      <c r="O278">
        <v>13677</v>
      </c>
      <c r="P278" s="13">
        <f t="shared" si="28"/>
        <v>0</v>
      </c>
      <c r="Q278" t="str">
        <f t="shared" si="29"/>
        <v>No</v>
      </c>
      <c r="R278" t="str" cm="1">
        <f t="array" ref="R278">_xlfn.IFS(K278=0,"On Time",K278&lt;=2,"Minor",K278&lt;=5,"Major",K278&gt;5,"Severe")</f>
        <v>Major</v>
      </c>
      <c r="S278">
        <f t="shared" si="30"/>
        <v>4559</v>
      </c>
      <c r="T278">
        <f t="shared" si="31"/>
        <v>2090</v>
      </c>
      <c r="U278">
        <f t="shared" si="32"/>
        <v>2024</v>
      </c>
      <c r="V278">
        <f t="shared" si="33"/>
        <v>4</v>
      </c>
      <c r="W278" s="11">
        <f t="shared" si="34"/>
        <v>1</v>
      </c>
    </row>
    <row r="279" spans="1:23">
      <c r="A279" t="s">
        <v>292</v>
      </c>
      <c r="B279" s="4">
        <v>45517</v>
      </c>
      <c r="C279" t="s">
        <v>2015</v>
      </c>
      <c r="D279" t="s">
        <v>2020</v>
      </c>
      <c r="E279" t="s">
        <v>2029</v>
      </c>
      <c r="F279" t="s">
        <v>2031</v>
      </c>
      <c r="G279" t="s">
        <v>2037</v>
      </c>
      <c r="H279" t="s">
        <v>2039</v>
      </c>
      <c r="I279">
        <v>2</v>
      </c>
      <c r="J279">
        <v>6</v>
      </c>
      <c r="K279">
        <v>4</v>
      </c>
      <c r="L279" t="s">
        <v>2041</v>
      </c>
      <c r="M279">
        <v>389</v>
      </c>
      <c r="N279">
        <v>7776</v>
      </c>
      <c r="O279">
        <v>16256</v>
      </c>
      <c r="P279" s="13">
        <f t="shared" si="28"/>
        <v>0</v>
      </c>
      <c r="Q279" t="str">
        <f t="shared" si="29"/>
        <v>No</v>
      </c>
      <c r="R279" t="str" cm="1">
        <f t="array" ref="R279">_xlfn.IFS(K279=0,"On Time",K279&lt;=2,"Minor",K279&lt;=5,"Major",K279&gt;5,"Severe")</f>
        <v>Major</v>
      </c>
      <c r="S279">
        <f t="shared" si="30"/>
        <v>4064</v>
      </c>
      <c r="T279">
        <f t="shared" si="31"/>
        <v>1944</v>
      </c>
      <c r="U279">
        <f t="shared" si="32"/>
        <v>2024</v>
      </c>
      <c r="V279">
        <f t="shared" si="33"/>
        <v>8</v>
      </c>
      <c r="W279" s="11">
        <f t="shared" si="34"/>
        <v>1</v>
      </c>
    </row>
    <row r="280" spans="1:23">
      <c r="A280" t="s">
        <v>293</v>
      </c>
      <c r="B280" s="4">
        <v>45295</v>
      </c>
      <c r="C280" t="s">
        <v>2018</v>
      </c>
      <c r="D280" t="s">
        <v>2026</v>
      </c>
      <c r="E280" t="s">
        <v>2027</v>
      </c>
      <c r="F280" t="s">
        <v>2031</v>
      </c>
      <c r="G280" t="s">
        <v>2033</v>
      </c>
      <c r="H280" t="s">
        <v>2038</v>
      </c>
      <c r="I280">
        <v>2</v>
      </c>
      <c r="J280">
        <v>7</v>
      </c>
      <c r="K280">
        <v>5</v>
      </c>
      <c r="L280" t="s">
        <v>2041</v>
      </c>
      <c r="M280">
        <v>130</v>
      </c>
      <c r="N280">
        <v>6670</v>
      </c>
      <c r="O280">
        <v>14580</v>
      </c>
      <c r="P280" s="13">
        <f t="shared" si="28"/>
        <v>0</v>
      </c>
      <c r="Q280" t="str">
        <f t="shared" si="29"/>
        <v>No</v>
      </c>
      <c r="R280" t="str" cm="1">
        <f t="array" ref="R280">_xlfn.IFS(K280=0,"On Time",K280&lt;=2,"Minor",K280&lt;=5,"Major",K280&gt;5,"Severe")</f>
        <v>Major</v>
      </c>
      <c r="S280">
        <f t="shared" si="30"/>
        <v>2916</v>
      </c>
      <c r="T280">
        <f t="shared" si="31"/>
        <v>1334</v>
      </c>
      <c r="U280">
        <f t="shared" si="32"/>
        <v>2024</v>
      </c>
      <c r="V280">
        <f t="shared" si="33"/>
        <v>1</v>
      </c>
      <c r="W280" s="11">
        <f t="shared" si="34"/>
        <v>1</v>
      </c>
    </row>
    <row r="281" spans="1:23">
      <c r="A281" t="s">
        <v>294</v>
      </c>
      <c r="B281" s="4">
        <v>45602</v>
      </c>
      <c r="C281" t="s">
        <v>2017</v>
      </c>
      <c r="D281" t="s">
        <v>2023</v>
      </c>
      <c r="E281" t="s">
        <v>2027</v>
      </c>
      <c r="F281" t="s">
        <v>2031</v>
      </c>
      <c r="G281" t="s">
        <v>2036</v>
      </c>
      <c r="H281" t="s">
        <v>2038</v>
      </c>
      <c r="I281">
        <v>1</v>
      </c>
      <c r="J281">
        <v>3</v>
      </c>
      <c r="K281">
        <v>2</v>
      </c>
      <c r="L281" t="s">
        <v>2041</v>
      </c>
      <c r="M281">
        <v>254</v>
      </c>
      <c r="N281">
        <v>4850</v>
      </c>
      <c r="O281">
        <v>8492</v>
      </c>
      <c r="P281" s="13">
        <f t="shared" si="28"/>
        <v>0</v>
      </c>
      <c r="Q281" t="str">
        <f t="shared" si="29"/>
        <v>No</v>
      </c>
      <c r="R281" t="str" cm="1">
        <f t="array" ref="R281">_xlfn.IFS(K281=0,"On Time",K281&lt;=2,"Minor",K281&lt;=5,"Major",K281&gt;5,"Severe")</f>
        <v>Minor</v>
      </c>
      <c r="S281">
        <f t="shared" si="30"/>
        <v>4246</v>
      </c>
      <c r="T281">
        <f t="shared" si="31"/>
        <v>2425</v>
      </c>
      <c r="U281">
        <f t="shared" si="32"/>
        <v>2024</v>
      </c>
      <c r="V281">
        <f t="shared" si="33"/>
        <v>11</v>
      </c>
      <c r="W281" s="11">
        <f t="shared" si="34"/>
        <v>1</v>
      </c>
    </row>
    <row r="282" spans="1:23">
      <c r="A282" t="s">
        <v>295</v>
      </c>
      <c r="B282" s="4">
        <v>45470</v>
      </c>
      <c r="C282" t="s">
        <v>2015</v>
      </c>
      <c r="D282" t="s">
        <v>2020</v>
      </c>
      <c r="E282" t="s">
        <v>2027</v>
      </c>
      <c r="F282" t="s">
        <v>2031</v>
      </c>
      <c r="G282" t="s">
        <v>2037</v>
      </c>
      <c r="H282" t="s">
        <v>2038</v>
      </c>
      <c r="I282">
        <v>2</v>
      </c>
      <c r="J282">
        <v>6</v>
      </c>
      <c r="K282">
        <v>4</v>
      </c>
      <c r="L282" t="s">
        <v>2041</v>
      </c>
      <c r="M282">
        <v>384</v>
      </c>
      <c r="N282">
        <v>5128</v>
      </c>
      <c r="O282">
        <v>19632</v>
      </c>
      <c r="P282" s="13">
        <f t="shared" si="28"/>
        <v>0</v>
      </c>
      <c r="Q282" t="str">
        <f t="shared" si="29"/>
        <v>No</v>
      </c>
      <c r="R282" t="str" cm="1">
        <f t="array" ref="R282">_xlfn.IFS(K282=0,"On Time",K282&lt;=2,"Minor",K282&lt;=5,"Major",K282&gt;5,"Severe")</f>
        <v>Major</v>
      </c>
      <c r="S282">
        <f t="shared" si="30"/>
        <v>4908</v>
      </c>
      <c r="T282">
        <f t="shared" si="31"/>
        <v>1282</v>
      </c>
      <c r="U282">
        <f t="shared" si="32"/>
        <v>2024</v>
      </c>
      <c r="V282">
        <f t="shared" si="33"/>
        <v>6</v>
      </c>
      <c r="W282" s="11">
        <f t="shared" si="34"/>
        <v>1</v>
      </c>
    </row>
    <row r="283" spans="1:23">
      <c r="A283" t="s">
        <v>296</v>
      </c>
      <c r="B283" s="4">
        <v>45561</v>
      </c>
      <c r="C283" t="s">
        <v>2015</v>
      </c>
      <c r="D283" t="s">
        <v>2020</v>
      </c>
      <c r="E283" t="s">
        <v>2028</v>
      </c>
      <c r="F283" t="s">
        <v>2031</v>
      </c>
      <c r="G283" t="s">
        <v>2036</v>
      </c>
      <c r="H283" t="s">
        <v>2039</v>
      </c>
      <c r="I283">
        <v>5</v>
      </c>
      <c r="J283">
        <v>6</v>
      </c>
      <c r="K283">
        <v>1</v>
      </c>
      <c r="L283" t="s">
        <v>2041</v>
      </c>
      <c r="M283">
        <v>79</v>
      </c>
      <c r="N283">
        <v>924</v>
      </c>
      <c r="O283">
        <v>3725</v>
      </c>
      <c r="P283" s="13">
        <f t="shared" si="28"/>
        <v>0</v>
      </c>
      <c r="Q283" t="str">
        <f t="shared" si="29"/>
        <v>No</v>
      </c>
      <c r="R283" t="str" cm="1">
        <f t="array" ref="R283">_xlfn.IFS(K283=0,"On Time",K283&lt;=2,"Minor",K283&lt;=5,"Major",K283&gt;5,"Severe")</f>
        <v>Minor</v>
      </c>
      <c r="S283">
        <f t="shared" si="30"/>
        <v>3725</v>
      </c>
      <c r="T283">
        <f t="shared" si="31"/>
        <v>924</v>
      </c>
      <c r="U283">
        <f t="shared" si="32"/>
        <v>2024</v>
      </c>
      <c r="V283">
        <f t="shared" si="33"/>
        <v>9</v>
      </c>
      <c r="W283" s="11">
        <f t="shared" si="34"/>
        <v>1</v>
      </c>
    </row>
    <row r="284" spans="1:23">
      <c r="A284" t="s">
        <v>297</v>
      </c>
      <c r="B284" s="4">
        <v>45312</v>
      </c>
      <c r="C284" t="s">
        <v>2016</v>
      </c>
      <c r="D284" t="s">
        <v>2025</v>
      </c>
      <c r="E284" t="s">
        <v>2028</v>
      </c>
      <c r="F284" t="s">
        <v>2031</v>
      </c>
      <c r="G284" t="s">
        <v>2037</v>
      </c>
      <c r="H284" t="s">
        <v>2038</v>
      </c>
      <c r="I284">
        <v>1</v>
      </c>
      <c r="J284">
        <v>5</v>
      </c>
      <c r="K284">
        <v>4</v>
      </c>
      <c r="L284" t="s">
        <v>2041</v>
      </c>
      <c r="M284">
        <v>441</v>
      </c>
      <c r="N284">
        <v>4208</v>
      </c>
      <c r="O284">
        <v>7248</v>
      </c>
      <c r="P284" s="13">
        <f t="shared" si="28"/>
        <v>0</v>
      </c>
      <c r="Q284" t="str">
        <f t="shared" si="29"/>
        <v>No</v>
      </c>
      <c r="R284" t="str" cm="1">
        <f t="array" ref="R284">_xlfn.IFS(K284=0,"On Time",K284&lt;=2,"Minor",K284&lt;=5,"Major",K284&gt;5,"Severe")</f>
        <v>Major</v>
      </c>
      <c r="S284">
        <f t="shared" si="30"/>
        <v>1812</v>
      </c>
      <c r="T284">
        <f t="shared" si="31"/>
        <v>1052</v>
      </c>
      <c r="U284">
        <f t="shared" si="32"/>
        <v>2024</v>
      </c>
      <c r="V284">
        <f t="shared" si="33"/>
        <v>1</v>
      </c>
      <c r="W284" s="11">
        <f t="shared" si="34"/>
        <v>1</v>
      </c>
    </row>
    <row r="285" spans="1:23">
      <c r="A285" t="s">
        <v>298</v>
      </c>
      <c r="B285" s="4">
        <v>45343</v>
      </c>
      <c r="C285" t="s">
        <v>2017</v>
      </c>
      <c r="D285" t="s">
        <v>2022</v>
      </c>
      <c r="E285" t="s">
        <v>2029</v>
      </c>
      <c r="F285" t="s">
        <v>2031</v>
      </c>
      <c r="G285" t="s">
        <v>2035</v>
      </c>
      <c r="H285" t="s">
        <v>2039</v>
      </c>
      <c r="I285">
        <v>3</v>
      </c>
      <c r="J285">
        <v>8</v>
      </c>
      <c r="K285">
        <v>5</v>
      </c>
      <c r="L285" t="s">
        <v>2041</v>
      </c>
      <c r="M285">
        <v>218</v>
      </c>
      <c r="N285">
        <v>6590</v>
      </c>
      <c r="O285">
        <v>10940</v>
      </c>
      <c r="P285" s="13">
        <f t="shared" si="28"/>
        <v>0</v>
      </c>
      <c r="Q285" t="str">
        <f t="shared" si="29"/>
        <v>No</v>
      </c>
      <c r="R285" t="str" cm="1">
        <f t="array" ref="R285">_xlfn.IFS(K285=0,"On Time",K285&lt;=2,"Minor",K285&lt;=5,"Major",K285&gt;5,"Severe")</f>
        <v>Major</v>
      </c>
      <c r="S285">
        <f t="shared" si="30"/>
        <v>2188</v>
      </c>
      <c r="T285">
        <f t="shared" si="31"/>
        <v>1318</v>
      </c>
      <c r="U285">
        <f t="shared" si="32"/>
        <v>2024</v>
      </c>
      <c r="V285">
        <f t="shared" si="33"/>
        <v>2</v>
      </c>
      <c r="W285" s="11">
        <f t="shared" si="34"/>
        <v>1</v>
      </c>
    </row>
    <row r="286" spans="1:23">
      <c r="A286" t="s">
        <v>299</v>
      </c>
      <c r="B286" s="4">
        <v>45551</v>
      </c>
      <c r="C286" t="s">
        <v>2017</v>
      </c>
      <c r="D286" t="s">
        <v>2022</v>
      </c>
      <c r="E286" t="s">
        <v>2028</v>
      </c>
      <c r="F286" t="s">
        <v>2030</v>
      </c>
      <c r="G286" t="s">
        <v>2033</v>
      </c>
      <c r="H286" t="s">
        <v>2039</v>
      </c>
      <c r="I286">
        <v>3</v>
      </c>
      <c r="J286">
        <v>7</v>
      </c>
      <c r="K286">
        <v>4</v>
      </c>
      <c r="L286" t="s">
        <v>2041</v>
      </c>
      <c r="M286">
        <v>59</v>
      </c>
      <c r="N286">
        <v>5096</v>
      </c>
      <c r="O286">
        <v>11300</v>
      </c>
      <c r="P286" s="13">
        <f t="shared" si="28"/>
        <v>0</v>
      </c>
      <c r="Q286" t="str">
        <f t="shared" si="29"/>
        <v>No</v>
      </c>
      <c r="R286" t="str" cm="1">
        <f t="array" ref="R286">_xlfn.IFS(K286=0,"On Time",K286&lt;=2,"Minor",K286&lt;=5,"Major",K286&gt;5,"Severe")</f>
        <v>Major</v>
      </c>
      <c r="S286">
        <f t="shared" si="30"/>
        <v>2825</v>
      </c>
      <c r="T286">
        <f t="shared" si="31"/>
        <v>1274</v>
      </c>
      <c r="U286">
        <f t="shared" si="32"/>
        <v>2024</v>
      </c>
      <c r="V286">
        <f t="shared" si="33"/>
        <v>9</v>
      </c>
      <c r="W286" s="11">
        <f t="shared" si="34"/>
        <v>1</v>
      </c>
    </row>
    <row r="287" spans="1:23">
      <c r="A287" t="s">
        <v>300</v>
      </c>
      <c r="B287" s="4">
        <v>45451</v>
      </c>
      <c r="C287" t="s">
        <v>2017</v>
      </c>
      <c r="D287" t="s">
        <v>2023</v>
      </c>
      <c r="E287" t="s">
        <v>2028</v>
      </c>
      <c r="F287" t="s">
        <v>2031</v>
      </c>
      <c r="G287" t="s">
        <v>2035</v>
      </c>
      <c r="H287" t="s">
        <v>2039</v>
      </c>
      <c r="I287">
        <v>3</v>
      </c>
      <c r="J287">
        <v>3</v>
      </c>
      <c r="K287">
        <v>0</v>
      </c>
      <c r="L287" t="s">
        <v>2042</v>
      </c>
      <c r="M287">
        <v>265</v>
      </c>
      <c r="N287">
        <v>0</v>
      </c>
      <c r="O287">
        <v>0</v>
      </c>
      <c r="P287" s="13">
        <f t="shared" si="28"/>
        <v>1</v>
      </c>
      <c r="Q287" t="str">
        <f t="shared" si="29"/>
        <v>No</v>
      </c>
      <c r="R287" t="str" cm="1">
        <f t="array" ref="R287">_xlfn.IFS(K287=0,"On Time",K287&lt;=2,"Minor",K287&lt;=5,"Major",K287&gt;5,"Severe")</f>
        <v>On Time</v>
      </c>
      <c r="S287">
        <f t="shared" si="30"/>
        <v>0</v>
      </c>
      <c r="T287">
        <f t="shared" si="31"/>
        <v>0</v>
      </c>
      <c r="U287">
        <f t="shared" si="32"/>
        <v>2024</v>
      </c>
      <c r="V287">
        <f t="shared" si="33"/>
        <v>6</v>
      </c>
      <c r="W287" s="11">
        <f t="shared" si="34"/>
        <v>0</v>
      </c>
    </row>
    <row r="288" spans="1:23">
      <c r="A288" t="s">
        <v>301</v>
      </c>
      <c r="B288" s="4">
        <v>45359</v>
      </c>
      <c r="C288" t="s">
        <v>2015</v>
      </c>
      <c r="D288" t="s">
        <v>2020</v>
      </c>
      <c r="E288" t="s">
        <v>2027</v>
      </c>
      <c r="F288" t="s">
        <v>2031</v>
      </c>
      <c r="G288" t="s">
        <v>2035</v>
      </c>
      <c r="H288" t="s">
        <v>2039</v>
      </c>
      <c r="I288">
        <v>1</v>
      </c>
      <c r="J288">
        <v>2</v>
      </c>
      <c r="K288">
        <v>1</v>
      </c>
      <c r="L288" t="s">
        <v>2041</v>
      </c>
      <c r="M288">
        <v>288</v>
      </c>
      <c r="N288">
        <v>1132</v>
      </c>
      <c r="O288">
        <v>3904</v>
      </c>
      <c r="P288" s="13">
        <f t="shared" si="28"/>
        <v>0</v>
      </c>
      <c r="Q288" t="str">
        <f t="shared" si="29"/>
        <v>No</v>
      </c>
      <c r="R288" t="str" cm="1">
        <f t="array" ref="R288">_xlfn.IFS(K288=0,"On Time",K288&lt;=2,"Minor",K288&lt;=5,"Major",K288&gt;5,"Severe")</f>
        <v>Minor</v>
      </c>
      <c r="S288">
        <f t="shared" si="30"/>
        <v>3904</v>
      </c>
      <c r="T288">
        <f t="shared" si="31"/>
        <v>1132</v>
      </c>
      <c r="U288">
        <f t="shared" si="32"/>
        <v>2024</v>
      </c>
      <c r="V288">
        <f t="shared" si="33"/>
        <v>3</v>
      </c>
      <c r="W288" s="11">
        <f t="shared" si="34"/>
        <v>1</v>
      </c>
    </row>
    <row r="289" spans="1:23">
      <c r="A289" t="s">
        <v>302</v>
      </c>
      <c r="B289" s="4">
        <v>45519</v>
      </c>
      <c r="C289" t="s">
        <v>2015</v>
      </c>
      <c r="D289" t="s">
        <v>2019</v>
      </c>
      <c r="E289" t="s">
        <v>2027</v>
      </c>
      <c r="F289" t="s">
        <v>2031</v>
      </c>
      <c r="G289" t="s">
        <v>2035</v>
      </c>
      <c r="H289" t="s">
        <v>2039</v>
      </c>
      <c r="I289">
        <v>1</v>
      </c>
      <c r="J289">
        <v>6</v>
      </c>
      <c r="K289">
        <v>5</v>
      </c>
      <c r="L289" t="s">
        <v>2041</v>
      </c>
      <c r="M289">
        <v>387</v>
      </c>
      <c r="N289">
        <v>4165</v>
      </c>
      <c r="O289">
        <v>11745</v>
      </c>
      <c r="P289" s="13">
        <f t="shared" si="28"/>
        <v>0</v>
      </c>
      <c r="Q289" t="str">
        <f t="shared" si="29"/>
        <v>No</v>
      </c>
      <c r="R289" t="str" cm="1">
        <f t="array" ref="R289">_xlfn.IFS(K289=0,"On Time",K289&lt;=2,"Minor",K289&lt;=5,"Major",K289&gt;5,"Severe")</f>
        <v>Major</v>
      </c>
      <c r="S289">
        <f t="shared" si="30"/>
        <v>2349</v>
      </c>
      <c r="T289">
        <f t="shared" si="31"/>
        <v>833</v>
      </c>
      <c r="U289">
        <f t="shared" si="32"/>
        <v>2024</v>
      </c>
      <c r="V289">
        <f t="shared" si="33"/>
        <v>8</v>
      </c>
      <c r="W289" s="11">
        <f t="shared" si="34"/>
        <v>1</v>
      </c>
    </row>
    <row r="290" spans="1:23">
      <c r="A290" t="s">
        <v>303</v>
      </c>
      <c r="B290" s="4">
        <v>45632</v>
      </c>
      <c r="C290" t="s">
        <v>2018</v>
      </c>
      <c r="D290" t="s">
        <v>2026</v>
      </c>
      <c r="E290" t="s">
        <v>2029</v>
      </c>
      <c r="F290" t="s">
        <v>2030</v>
      </c>
      <c r="G290" t="s">
        <v>2036</v>
      </c>
      <c r="H290" t="s">
        <v>2039</v>
      </c>
      <c r="I290">
        <v>3</v>
      </c>
      <c r="J290">
        <v>8</v>
      </c>
      <c r="K290">
        <v>5</v>
      </c>
      <c r="L290" t="s">
        <v>2041</v>
      </c>
      <c r="M290">
        <v>257</v>
      </c>
      <c r="N290">
        <v>12125</v>
      </c>
      <c r="O290">
        <v>18180</v>
      </c>
      <c r="P290" s="13">
        <f t="shared" si="28"/>
        <v>0</v>
      </c>
      <c r="Q290" t="str">
        <f t="shared" si="29"/>
        <v>No</v>
      </c>
      <c r="R290" t="str" cm="1">
        <f t="array" ref="R290">_xlfn.IFS(K290=0,"On Time",K290&lt;=2,"Minor",K290&lt;=5,"Major",K290&gt;5,"Severe")</f>
        <v>Major</v>
      </c>
      <c r="S290">
        <f t="shared" si="30"/>
        <v>3636</v>
      </c>
      <c r="T290">
        <f t="shared" si="31"/>
        <v>2425</v>
      </c>
      <c r="U290">
        <f t="shared" si="32"/>
        <v>2024</v>
      </c>
      <c r="V290">
        <f t="shared" si="33"/>
        <v>12</v>
      </c>
      <c r="W290" s="11">
        <f t="shared" si="34"/>
        <v>1</v>
      </c>
    </row>
    <row r="291" spans="1:23">
      <c r="A291" t="s">
        <v>304</v>
      </c>
      <c r="B291" s="4">
        <v>45535</v>
      </c>
      <c r="C291" t="s">
        <v>2017</v>
      </c>
      <c r="D291" t="s">
        <v>2023</v>
      </c>
      <c r="E291" t="s">
        <v>2029</v>
      </c>
      <c r="F291" t="s">
        <v>2030</v>
      </c>
      <c r="G291" t="s">
        <v>2036</v>
      </c>
      <c r="H291" t="s">
        <v>2038</v>
      </c>
      <c r="I291">
        <v>3</v>
      </c>
      <c r="J291">
        <v>4</v>
      </c>
      <c r="K291">
        <v>1</v>
      </c>
      <c r="L291" t="s">
        <v>2041</v>
      </c>
      <c r="M291">
        <v>439</v>
      </c>
      <c r="N291">
        <v>2282</v>
      </c>
      <c r="O291">
        <v>2329</v>
      </c>
      <c r="P291" s="13">
        <f t="shared" si="28"/>
        <v>0</v>
      </c>
      <c r="Q291" t="str">
        <f t="shared" si="29"/>
        <v>No</v>
      </c>
      <c r="R291" t="str" cm="1">
        <f t="array" ref="R291">_xlfn.IFS(K291=0,"On Time",K291&lt;=2,"Minor",K291&lt;=5,"Major",K291&gt;5,"Severe")</f>
        <v>Minor</v>
      </c>
      <c r="S291">
        <f t="shared" si="30"/>
        <v>2329</v>
      </c>
      <c r="T291">
        <f t="shared" si="31"/>
        <v>2282</v>
      </c>
      <c r="U291">
        <f t="shared" si="32"/>
        <v>2024</v>
      </c>
      <c r="V291">
        <f t="shared" si="33"/>
        <v>8</v>
      </c>
      <c r="W291" s="11">
        <f t="shared" si="34"/>
        <v>1</v>
      </c>
    </row>
    <row r="292" spans="1:23">
      <c r="A292" t="s">
        <v>305</v>
      </c>
      <c r="B292" s="4">
        <v>45577</v>
      </c>
      <c r="C292" t="s">
        <v>2016</v>
      </c>
      <c r="D292" t="s">
        <v>2025</v>
      </c>
      <c r="E292" t="s">
        <v>2029</v>
      </c>
      <c r="F292" t="s">
        <v>2031</v>
      </c>
      <c r="G292" t="s">
        <v>2035</v>
      </c>
      <c r="H292" t="s">
        <v>2038</v>
      </c>
      <c r="I292">
        <v>2</v>
      </c>
      <c r="J292">
        <v>7</v>
      </c>
      <c r="K292">
        <v>5</v>
      </c>
      <c r="L292" t="s">
        <v>2041</v>
      </c>
      <c r="M292">
        <v>375</v>
      </c>
      <c r="N292">
        <v>5770</v>
      </c>
      <c r="O292">
        <v>8660</v>
      </c>
      <c r="P292" s="13">
        <f t="shared" si="28"/>
        <v>0</v>
      </c>
      <c r="Q292" t="str">
        <f t="shared" si="29"/>
        <v>No</v>
      </c>
      <c r="R292" t="str" cm="1">
        <f t="array" ref="R292">_xlfn.IFS(K292=0,"On Time",K292&lt;=2,"Minor",K292&lt;=5,"Major",K292&gt;5,"Severe")</f>
        <v>Major</v>
      </c>
      <c r="S292">
        <f t="shared" si="30"/>
        <v>1732</v>
      </c>
      <c r="T292">
        <f t="shared" si="31"/>
        <v>1154</v>
      </c>
      <c r="U292">
        <f t="shared" si="32"/>
        <v>2024</v>
      </c>
      <c r="V292">
        <f t="shared" si="33"/>
        <v>10</v>
      </c>
      <c r="W292" s="11">
        <f t="shared" si="34"/>
        <v>1</v>
      </c>
    </row>
    <row r="293" spans="1:23">
      <c r="A293" t="s">
        <v>306</v>
      </c>
      <c r="B293" s="4">
        <v>45579</v>
      </c>
      <c r="C293" t="s">
        <v>2018</v>
      </c>
      <c r="D293" t="s">
        <v>2024</v>
      </c>
      <c r="E293" t="s">
        <v>2027</v>
      </c>
      <c r="F293" t="s">
        <v>2031</v>
      </c>
      <c r="G293" t="s">
        <v>2033</v>
      </c>
      <c r="H293" t="s">
        <v>2039</v>
      </c>
      <c r="I293">
        <v>5</v>
      </c>
      <c r="J293">
        <v>9</v>
      </c>
      <c r="K293">
        <v>4</v>
      </c>
      <c r="L293" t="s">
        <v>2041</v>
      </c>
      <c r="M293">
        <v>299</v>
      </c>
      <c r="N293">
        <v>9260</v>
      </c>
      <c r="O293">
        <v>19016</v>
      </c>
      <c r="P293" s="13">
        <f t="shared" si="28"/>
        <v>0</v>
      </c>
      <c r="Q293" t="str">
        <f t="shared" si="29"/>
        <v>No</v>
      </c>
      <c r="R293" t="str" cm="1">
        <f t="array" ref="R293">_xlfn.IFS(K293=0,"On Time",K293&lt;=2,"Minor",K293&lt;=5,"Major",K293&gt;5,"Severe")</f>
        <v>Major</v>
      </c>
      <c r="S293">
        <f t="shared" si="30"/>
        <v>4754</v>
      </c>
      <c r="T293">
        <f t="shared" si="31"/>
        <v>2315</v>
      </c>
      <c r="U293">
        <f t="shared" si="32"/>
        <v>2024</v>
      </c>
      <c r="V293">
        <f t="shared" si="33"/>
        <v>10</v>
      </c>
      <c r="W293" s="11">
        <f t="shared" si="34"/>
        <v>1</v>
      </c>
    </row>
    <row r="294" spans="1:23">
      <c r="A294" t="s">
        <v>307</v>
      </c>
      <c r="B294" s="4">
        <v>45561</v>
      </c>
      <c r="C294" t="s">
        <v>2016</v>
      </c>
      <c r="D294" t="s">
        <v>2025</v>
      </c>
      <c r="E294" t="s">
        <v>2029</v>
      </c>
      <c r="F294" t="s">
        <v>2032</v>
      </c>
      <c r="G294" t="s">
        <v>2037</v>
      </c>
      <c r="H294" t="s">
        <v>2038</v>
      </c>
      <c r="I294">
        <v>1</v>
      </c>
      <c r="J294">
        <v>2</v>
      </c>
      <c r="K294">
        <v>1</v>
      </c>
      <c r="L294" t="s">
        <v>2041</v>
      </c>
      <c r="M294">
        <v>186</v>
      </c>
      <c r="N294">
        <v>1399</v>
      </c>
      <c r="O294">
        <v>3271</v>
      </c>
      <c r="P294" s="13">
        <f t="shared" si="28"/>
        <v>0</v>
      </c>
      <c r="Q294" t="str">
        <f t="shared" si="29"/>
        <v>No</v>
      </c>
      <c r="R294" t="str" cm="1">
        <f t="array" ref="R294">_xlfn.IFS(K294=0,"On Time",K294&lt;=2,"Minor",K294&lt;=5,"Major",K294&gt;5,"Severe")</f>
        <v>Minor</v>
      </c>
      <c r="S294">
        <f t="shared" si="30"/>
        <v>3271</v>
      </c>
      <c r="T294">
        <f t="shared" si="31"/>
        <v>1399</v>
      </c>
      <c r="U294">
        <f t="shared" si="32"/>
        <v>2024</v>
      </c>
      <c r="V294">
        <f t="shared" si="33"/>
        <v>9</v>
      </c>
      <c r="W294" s="11">
        <f t="shared" si="34"/>
        <v>1</v>
      </c>
    </row>
    <row r="295" spans="1:23">
      <c r="A295" t="s">
        <v>308</v>
      </c>
      <c r="B295" s="4">
        <v>45456</v>
      </c>
      <c r="C295" t="s">
        <v>2017</v>
      </c>
      <c r="D295" t="s">
        <v>2023</v>
      </c>
      <c r="E295" t="s">
        <v>2027</v>
      </c>
      <c r="F295" t="s">
        <v>2031</v>
      </c>
      <c r="G295" t="s">
        <v>2037</v>
      </c>
      <c r="H295" t="s">
        <v>2040</v>
      </c>
      <c r="I295">
        <v>1</v>
      </c>
      <c r="J295">
        <v>4</v>
      </c>
      <c r="K295">
        <v>3</v>
      </c>
      <c r="L295" t="s">
        <v>2041</v>
      </c>
      <c r="M295">
        <v>415</v>
      </c>
      <c r="N295">
        <v>7212</v>
      </c>
      <c r="O295">
        <v>7095</v>
      </c>
      <c r="P295" s="13">
        <f t="shared" si="28"/>
        <v>0</v>
      </c>
      <c r="Q295" t="str">
        <f t="shared" si="29"/>
        <v>No</v>
      </c>
      <c r="R295" t="str" cm="1">
        <f t="array" ref="R295">_xlfn.IFS(K295=0,"On Time",K295&lt;=2,"Minor",K295&lt;=5,"Major",K295&gt;5,"Severe")</f>
        <v>Major</v>
      </c>
      <c r="S295">
        <f t="shared" si="30"/>
        <v>2365</v>
      </c>
      <c r="T295">
        <f t="shared" si="31"/>
        <v>2404</v>
      </c>
      <c r="U295">
        <f t="shared" si="32"/>
        <v>2024</v>
      </c>
      <c r="V295">
        <f t="shared" si="33"/>
        <v>6</v>
      </c>
      <c r="W295" s="11">
        <f t="shared" si="34"/>
        <v>1</v>
      </c>
    </row>
    <row r="296" spans="1:23">
      <c r="A296" t="s">
        <v>309</v>
      </c>
      <c r="B296" s="4">
        <v>45457</v>
      </c>
      <c r="C296" t="s">
        <v>2018</v>
      </c>
      <c r="D296" t="s">
        <v>2024</v>
      </c>
      <c r="E296" t="s">
        <v>2029</v>
      </c>
      <c r="F296" t="s">
        <v>2030</v>
      </c>
      <c r="G296" t="s">
        <v>2033</v>
      </c>
      <c r="H296" t="s">
        <v>2039</v>
      </c>
      <c r="I296">
        <v>3</v>
      </c>
      <c r="J296">
        <v>5</v>
      </c>
      <c r="K296">
        <v>2</v>
      </c>
      <c r="L296" t="s">
        <v>2041</v>
      </c>
      <c r="M296">
        <v>119</v>
      </c>
      <c r="N296">
        <v>3348</v>
      </c>
      <c r="O296">
        <v>3582</v>
      </c>
      <c r="P296" s="13">
        <f t="shared" si="28"/>
        <v>0</v>
      </c>
      <c r="Q296" t="str">
        <f t="shared" si="29"/>
        <v>No</v>
      </c>
      <c r="R296" t="str" cm="1">
        <f t="array" ref="R296">_xlfn.IFS(K296=0,"On Time",K296&lt;=2,"Minor",K296&lt;=5,"Major",K296&gt;5,"Severe")</f>
        <v>Minor</v>
      </c>
      <c r="S296">
        <f t="shared" si="30"/>
        <v>1791</v>
      </c>
      <c r="T296">
        <f t="shared" si="31"/>
        <v>1674</v>
      </c>
      <c r="U296">
        <f t="shared" si="32"/>
        <v>2024</v>
      </c>
      <c r="V296">
        <f t="shared" si="33"/>
        <v>6</v>
      </c>
      <c r="W296" s="11">
        <f t="shared" si="34"/>
        <v>1</v>
      </c>
    </row>
    <row r="297" spans="1:23">
      <c r="A297" t="s">
        <v>310</v>
      </c>
      <c r="B297" s="4">
        <v>45606</v>
      </c>
      <c r="C297" t="s">
        <v>2018</v>
      </c>
      <c r="D297" t="s">
        <v>2026</v>
      </c>
      <c r="E297" t="s">
        <v>2029</v>
      </c>
      <c r="F297" t="s">
        <v>2032</v>
      </c>
      <c r="G297" t="s">
        <v>2033</v>
      </c>
      <c r="H297" t="s">
        <v>2040</v>
      </c>
      <c r="I297">
        <v>2</v>
      </c>
      <c r="J297">
        <v>7</v>
      </c>
      <c r="K297">
        <v>5</v>
      </c>
      <c r="L297" t="s">
        <v>2041</v>
      </c>
      <c r="M297">
        <v>304</v>
      </c>
      <c r="N297">
        <v>7540</v>
      </c>
      <c r="O297">
        <v>22180</v>
      </c>
      <c r="P297" s="13">
        <f t="shared" si="28"/>
        <v>0</v>
      </c>
      <c r="Q297" t="str">
        <f t="shared" si="29"/>
        <v>No</v>
      </c>
      <c r="R297" t="str" cm="1">
        <f t="array" ref="R297">_xlfn.IFS(K297=0,"On Time",K297&lt;=2,"Minor",K297&lt;=5,"Major",K297&gt;5,"Severe")</f>
        <v>Major</v>
      </c>
      <c r="S297">
        <f t="shared" si="30"/>
        <v>4436</v>
      </c>
      <c r="T297">
        <f t="shared" si="31"/>
        <v>1508</v>
      </c>
      <c r="U297">
        <f t="shared" si="32"/>
        <v>2024</v>
      </c>
      <c r="V297">
        <f t="shared" si="33"/>
        <v>11</v>
      </c>
      <c r="W297" s="11">
        <f t="shared" si="34"/>
        <v>1</v>
      </c>
    </row>
    <row r="298" spans="1:23">
      <c r="A298" t="s">
        <v>311</v>
      </c>
      <c r="B298" s="4">
        <v>45441</v>
      </c>
      <c r="C298" t="s">
        <v>2018</v>
      </c>
      <c r="D298" t="s">
        <v>2026</v>
      </c>
      <c r="E298" t="s">
        <v>2029</v>
      </c>
      <c r="F298" t="s">
        <v>2031</v>
      </c>
      <c r="G298" t="s">
        <v>2035</v>
      </c>
      <c r="H298" t="s">
        <v>2040</v>
      </c>
      <c r="I298">
        <v>1</v>
      </c>
      <c r="J298">
        <v>6</v>
      </c>
      <c r="K298">
        <v>5</v>
      </c>
      <c r="L298" t="s">
        <v>2041</v>
      </c>
      <c r="M298">
        <v>168</v>
      </c>
      <c r="N298">
        <v>10945</v>
      </c>
      <c r="O298">
        <v>10695</v>
      </c>
      <c r="P298" s="13">
        <f t="shared" si="28"/>
        <v>0</v>
      </c>
      <c r="Q298" t="str">
        <f t="shared" si="29"/>
        <v>No</v>
      </c>
      <c r="R298" t="str" cm="1">
        <f t="array" ref="R298">_xlfn.IFS(K298=0,"On Time",K298&lt;=2,"Minor",K298&lt;=5,"Major",K298&gt;5,"Severe")</f>
        <v>Major</v>
      </c>
      <c r="S298">
        <f t="shared" si="30"/>
        <v>2139</v>
      </c>
      <c r="T298">
        <f t="shared" si="31"/>
        <v>2189</v>
      </c>
      <c r="U298">
        <f t="shared" si="32"/>
        <v>2024</v>
      </c>
      <c r="V298">
        <f t="shared" si="33"/>
        <v>5</v>
      </c>
      <c r="W298" s="11">
        <f t="shared" si="34"/>
        <v>1</v>
      </c>
    </row>
    <row r="299" spans="1:23">
      <c r="A299" t="s">
        <v>312</v>
      </c>
      <c r="B299" s="4">
        <v>45511</v>
      </c>
      <c r="C299" t="s">
        <v>2015</v>
      </c>
      <c r="D299" t="s">
        <v>2020</v>
      </c>
      <c r="E299" t="s">
        <v>2029</v>
      </c>
      <c r="F299" t="s">
        <v>2030</v>
      </c>
      <c r="G299" t="s">
        <v>2034</v>
      </c>
      <c r="H299" t="s">
        <v>2039</v>
      </c>
      <c r="I299">
        <v>3</v>
      </c>
      <c r="J299">
        <v>8</v>
      </c>
      <c r="K299">
        <v>5</v>
      </c>
      <c r="L299" t="s">
        <v>2041</v>
      </c>
      <c r="M299">
        <v>113</v>
      </c>
      <c r="N299">
        <v>4030</v>
      </c>
      <c r="O299">
        <v>22605</v>
      </c>
      <c r="P299" s="13">
        <f t="shared" si="28"/>
        <v>0</v>
      </c>
      <c r="Q299" t="str">
        <f t="shared" si="29"/>
        <v>No</v>
      </c>
      <c r="R299" t="str" cm="1">
        <f t="array" ref="R299">_xlfn.IFS(K299=0,"On Time",K299&lt;=2,"Minor",K299&lt;=5,"Major",K299&gt;5,"Severe")</f>
        <v>Major</v>
      </c>
      <c r="S299">
        <f t="shared" si="30"/>
        <v>4521</v>
      </c>
      <c r="T299">
        <f t="shared" si="31"/>
        <v>806</v>
      </c>
      <c r="U299">
        <f t="shared" si="32"/>
        <v>2024</v>
      </c>
      <c r="V299">
        <f t="shared" si="33"/>
        <v>8</v>
      </c>
      <c r="W299" s="11">
        <f t="shared" si="34"/>
        <v>1</v>
      </c>
    </row>
    <row r="300" spans="1:23">
      <c r="A300" t="s">
        <v>313</v>
      </c>
      <c r="B300" s="4">
        <v>45644</v>
      </c>
      <c r="C300" t="s">
        <v>2015</v>
      </c>
      <c r="D300" t="s">
        <v>2019</v>
      </c>
      <c r="E300" t="s">
        <v>2028</v>
      </c>
      <c r="F300" t="s">
        <v>2031</v>
      </c>
      <c r="G300" t="s">
        <v>2034</v>
      </c>
      <c r="H300" t="s">
        <v>2038</v>
      </c>
      <c r="I300">
        <v>3</v>
      </c>
      <c r="J300">
        <v>3</v>
      </c>
      <c r="K300">
        <v>0</v>
      </c>
      <c r="L300" t="s">
        <v>2042</v>
      </c>
      <c r="M300">
        <v>301</v>
      </c>
      <c r="N300">
        <v>0</v>
      </c>
      <c r="O300">
        <v>0</v>
      </c>
      <c r="P300" s="13">
        <f t="shared" si="28"/>
        <v>1</v>
      </c>
      <c r="Q300" t="str">
        <f t="shared" si="29"/>
        <v>No</v>
      </c>
      <c r="R300" t="str" cm="1">
        <f t="array" ref="R300">_xlfn.IFS(K300=0,"On Time",K300&lt;=2,"Minor",K300&lt;=5,"Major",K300&gt;5,"Severe")</f>
        <v>On Time</v>
      </c>
      <c r="S300">
        <f t="shared" si="30"/>
        <v>0</v>
      </c>
      <c r="T300">
        <f t="shared" si="31"/>
        <v>0</v>
      </c>
      <c r="U300">
        <f t="shared" si="32"/>
        <v>2024</v>
      </c>
      <c r="V300">
        <f t="shared" si="33"/>
        <v>12</v>
      </c>
      <c r="W300" s="11">
        <f t="shared" si="34"/>
        <v>0</v>
      </c>
    </row>
    <row r="301" spans="1:23">
      <c r="A301" t="s">
        <v>314</v>
      </c>
      <c r="B301" s="4">
        <v>45518</v>
      </c>
      <c r="C301" t="s">
        <v>2016</v>
      </c>
      <c r="D301" t="s">
        <v>2025</v>
      </c>
      <c r="E301" t="s">
        <v>2029</v>
      </c>
      <c r="F301" t="s">
        <v>2031</v>
      </c>
      <c r="G301" t="s">
        <v>2036</v>
      </c>
      <c r="H301" t="s">
        <v>2038</v>
      </c>
      <c r="I301">
        <v>1</v>
      </c>
      <c r="J301">
        <v>1</v>
      </c>
      <c r="K301">
        <v>0</v>
      </c>
      <c r="L301" t="s">
        <v>2042</v>
      </c>
      <c r="M301">
        <v>116</v>
      </c>
      <c r="N301">
        <v>0</v>
      </c>
      <c r="O301">
        <v>0</v>
      </c>
      <c r="P301" s="13">
        <f t="shared" si="28"/>
        <v>1</v>
      </c>
      <c r="Q301" t="str">
        <f t="shared" si="29"/>
        <v>No</v>
      </c>
      <c r="R301" t="str" cm="1">
        <f t="array" ref="R301">_xlfn.IFS(K301=0,"On Time",K301&lt;=2,"Minor",K301&lt;=5,"Major",K301&gt;5,"Severe")</f>
        <v>On Time</v>
      </c>
      <c r="S301">
        <f t="shared" si="30"/>
        <v>0</v>
      </c>
      <c r="T301">
        <f t="shared" si="31"/>
        <v>0</v>
      </c>
      <c r="U301">
        <f t="shared" si="32"/>
        <v>2024</v>
      </c>
      <c r="V301">
        <f t="shared" si="33"/>
        <v>8</v>
      </c>
      <c r="W301" s="11">
        <f t="shared" si="34"/>
        <v>0</v>
      </c>
    </row>
    <row r="302" spans="1:23">
      <c r="A302" t="s">
        <v>315</v>
      </c>
      <c r="B302" s="4">
        <v>45385</v>
      </c>
      <c r="C302" t="s">
        <v>2015</v>
      </c>
      <c r="D302" t="s">
        <v>2020</v>
      </c>
      <c r="E302" t="s">
        <v>2027</v>
      </c>
      <c r="F302" t="s">
        <v>2031</v>
      </c>
      <c r="G302" t="s">
        <v>2035</v>
      </c>
      <c r="H302" t="s">
        <v>2038</v>
      </c>
      <c r="I302">
        <v>2</v>
      </c>
      <c r="J302">
        <v>4</v>
      </c>
      <c r="K302">
        <v>2</v>
      </c>
      <c r="L302" t="s">
        <v>2041</v>
      </c>
      <c r="M302">
        <v>178</v>
      </c>
      <c r="N302">
        <v>2992</v>
      </c>
      <c r="O302">
        <v>8758</v>
      </c>
      <c r="P302" s="13">
        <f t="shared" si="28"/>
        <v>0</v>
      </c>
      <c r="Q302" t="str">
        <f t="shared" si="29"/>
        <v>No</v>
      </c>
      <c r="R302" t="str" cm="1">
        <f t="array" ref="R302">_xlfn.IFS(K302=0,"On Time",K302&lt;=2,"Minor",K302&lt;=5,"Major",K302&gt;5,"Severe")</f>
        <v>Minor</v>
      </c>
      <c r="S302">
        <f t="shared" si="30"/>
        <v>4379</v>
      </c>
      <c r="T302">
        <f t="shared" si="31"/>
        <v>1496</v>
      </c>
      <c r="U302">
        <f t="shared" si="32"/>
        <v>2024</v>
      </c>
      <c r="V302">
        <f t="shared" si="33"/>
        <v>4</v>
      </c>
      <c r="W302" s="11">
        <f t="shared" si="34"/>
        <v>1</v>
      </c>
    </row>
    <row r="303" spans="1:23">
      <c r="A303" t="s">
        <v>316</v>
      </c>
      <c r="B303" s="4">
        <v>45534</v>
      </c>
      <c r="C303" t="s">
        <v>2015</v>
      </c>
      <c r="D303" t="s">
        <v>2020</v>
      </c>
      <c r="E303" t="s">
        <v>2028</v>
      </c>
      <c r="F303" t="s">
        <v>2031</v>
      </c>
      <c r="G303" t="s">
        <v>2036</v>
      </c>
      <c r="H303" t="s">
        <v>2040</v>
      </c>
      <c r="I303">
        <v>2</v>
      </c>
      <c r="J303">
        <v>10</v>
      </c>
      <c r="K303">
        <v>8</v>
      </c>
      <c r="L303" t="s">
        <v>2041</v>
      </c>
      <c r="M303">
        <v>175</v>
      </c>
      <c r="N303">
        <v>11720</v>
      </c>
      <c r="O303">
        <v>21648</v>
      </c>
      <c r="P303" s="13">
        <f t="shared" si="28"/>
        <v>0</v>
      </c>
      <c r="Q303" t="str">
        <f t="shared" si="29"/>
        <v>No</v>
      </c>
      <c r="R303" t="str" cm="1">
        <f t="array" ref="R303">_xlfn.IFS(K303=0,"On Time",K303&lt;=2,"Minor",K303&lt;=5,"Major",K303&gt;5,"Severe")</f>
        <v>Severe</v>
      </c>
      <c r="S303">
        <f t="shared" si="30"/>
        <v>2706</v>
      </c>
      <c r="T303">
        <f t="shared" si="31"/>
        <v>1465</v>
      </c>
      <c r="U303">
        <f t="shared" si="32"/>
        <v>2024</v>
      </c>
      <c r="V303">
        <f t="shared" si="33"/>
        <v>8</v>
      </c>
      <c r="W303" s="11">
        <f t="shared" si="34"/>
        <v>1</v>
      </c>
    </row>
    <row r="304" spans="1:23">
      <c r="A304" t="s">
        <v>317</v>
      </c>
      <c r="B304" s="4">
        <v>45542</v>
      </c>
      <c r="C304" t="s">
        <v>2015</v>
      </c>
      <c r="D304" t="s">
        <v>2019</v>
      </c>
      <c r="E304" t="s">
        <v>2029</v>
      </c>
      <c r="F304" t="s">
        <v>2031</v>
      </c>
      <c r="G304" t="s">
        <v>2036</v>
      </c>
      <c r="H304" t="s">
        <v>2039</v>
      </c>
      <c r="I304">
        <v>3</v>
      </c>
      <c r="J304">
        <v>3</v>
      </c>
      <c r="K304">
        <v>0</v>
      </c>
      <c r="L304" t="s">
        <v>2042</v>
      </c>
      <c r="M304">
        <v>161</v>
      </c>
      <c r="N304">
        <v>0</v>
      </c>
      <c r="O304">
        <v>0</v>
      </c>
      <c r="P304" s="13">
        <f t="shared" si="28"/>
        <v>1</v>
      </c>
      <c r="Q304" t="str">
        <f t="shared" si="29"/>
        <v>No</v>
      </c>
      <c r="R304" t="str" cm="1">
        <f t="array" ref="R304">_xlfn.IFS(K304=0,"On Time",K304&lt;=2,"Minor",K304&lt;=5,"Major",K304&gt;5,"Severe")</f>
        <v>On Time</v>
      </c>
      <c r="S304">
        <f t="shared" si="30"/>
        <v>0</v>
      </c>
      <c r="T304">
        <f t="shared" si="31"/>
        <v>0</v>
      </c>
      <c r="U304">
        <f t="shared" si="32"/>
        <v>2024</v>
      </c>
      <c r="V304">
        <f t="shared" si="33"/>
        <v>9</v>
      </c>
      <c r="W304" s="11">
        <f t="shared" si="34"/>
        <v>0</v>
      </c>
    </row>
    <row r="305" spans="1:23">
      <c r="A305" t="s">
        <v>318</v>
      </c>
      <c r="B305" s="4">
        <v>45438</v>
      </c>
      <c r="C305" t="s">
        <v>2017</v>
      </c>
      <c r="D305" t="s">
        <v>2023</v>
      </c>
      <c r="E305" t="s">
        <v>2028</v>
      </c>
      <c r="F305" t="s">
        <v>2031</v>
      </c>
      <c r="G305" t="s">
        <v>2037</v>
      </c>
      <c r="H305" t="s">
        <v>2038</v>
      </c>
      <c r="I305">
        <v>3</v>
      </c>
      <c r="J305">
        <v>7</v>
      </c>
      <c r="K305">
        <v>4</v>
      </c>
      <c r="L305" t="s">
        <v>2041</v>
      </c>
      <c r="M305">
        <v>464</v>
      </c>
      <c r="N305">
        <v>6740</v>
      </c>
      <c r="O305">
        <v>17620</v>
      </c>
      <c r="P305" s="13">
        <f t="shared" si="28"/>
        <v>0</v>
      </c>
      <c r="Q305" t="str">
        <f t="shared" si="29"/>
        <v>No</v>
      </c>
      <c r="R305" t="str" cm="1">
        <f t="array" ref="R305">_xlfn.IFS(K305=0,"On Time",K305&lt;=2,"Minor",K305&lt;=5,"Major",K305&gt;5,"Severe")</f>
        <v>Major</v>
      </c>
      <c r="S305">
        <f t="shared" si="30"/>
        <v>4405</v>
      </c>
      <c r="T305">
        <f t="shared" si="31"/>
        <v>1685</v>
      </c>
      <c r="U305">
        <f t="shared" si="32"/>
        <v>2024</v>
      </c>
      <c r="V305">
        <f t="shared" si="33"/>
        <v>5</v>
      </c>
      <c r="W305" s="11">
        <f t="shared" si="34"/>
        <v>1</v>
      </c>
    </row>
    <row r="306" spans="1:23">
      <c r="A306" t="s">
        <v>319</v>
      </c>
      <c r="B306" s="4">
        <v>45340</v>
      </c>
      <c r="C306" t="s">
        <v>2016</v>
      </c>
      <c r="D306" t="s">
        <v>2025</v>
      </c>
      <c r="E306" t="s">
        <v>2027</v>
      </c>
      <c r="F306" t="s">
        <v>2031</v>
      </c>
      <c r="G306" t="s">
        <v>2035</v>
      </c>
      <c r="H306" t="s">
        <v>2040</v>
      </c>
      <c r="I306">
        <v>3</v>
      </c>
      <c r="J306">
        <v>6</v>
      </c>
      <c r="K306">
        <v>3</v>
      </c>
      <c r="L306" t="s">
        <v>2041</v>
      </c>
      <c r="M306">
        <v>130</v>
      </c>
      <c r="N306">
        <v>3069</v>
      </c>
      <c r="O306">
        <v>13587</v>
      </c>
      <c r="P306" s="13">
        <f t="shared" si="28"/>
        <v>0</v>
      </c>
      <c r="Q306" t="str">
        <f t="shared" si="29"/>
        <v>No</v>
      </c>
      <c r="R306" t="str" cm="1">
        <f t="array" ref="R306">_xlfn.IFS(K306=0,"On Time",K306&lt;=2,"Minor",K306&lt;=5,"Major",K306&gt;5,"Severe")</f>
        <v>Major</v>
      </c>
      <c r="S306">
        <f t="shared" si="30"/>
        <v>4529</v>
      </c>
      <c r="T306">
        <f t="shared" si="31"/>
        <v>1023</v>
      </c>
      <c r="U306">
        <f t="shared" si="32"/>
        <v>2024</v>
      </c>
      <c r="V306">
        <f t="shared" si="33"/>
        <v>2</v>
      </c>
      <c r="W306" s="11">
        <f t="shared" si="34"/>
        <v>1</v>
      </c>
    </row>
    <row r="307" spans="1:23">
      <c r="A307" t="s">
        <v>320</v>
      </c>
      <c r="B307" s="4">
        <v>45520</v>
      </c>
      <c r="C307" t="s">
        <v>2017</v>
      </c>
      <c r="D307" t="s">
        <v>2023</v>
      </c>
      <c r="E307" t="s">
        <v>2027</v>
      </c>
      <c r="F307" t="s">
        <v>2031</v>
      </c>
      <c r="G307" t="s">
        <v>2036</v>
      </c>
      <c r="H307" t="s">
        <v>2038</v>
      </c>
      <c r="I307">
        <v>1</v>
      </c>
      <c r="J307">
        <v>5</v>
      </c>
      <c r="K307">
        <v>4</v>
      </c>
      <c r="L307" t="s">
        <v>2041</v>
      </c>
      <c r="M307">
        <v>471</v>
      </c>
      <c r="N307">
        <v>5840</v>
      </c>
      <c r="O307">
        <v>7120</v>
      </c>
      <c r="P307" s="13">
        <f t="shared" si="28"/>
        <v>0</v>
      </c>
      <c r="Q307" t="str">
        <f t="shared" si="29"/>
        <v>No</v>
      </c>
      <c r="R307" t="str" cm="1">
        <f t="array" ref="R307">_xlfn.IFS(K307=0,"On Time",K307&lt;=2,"Minor",K307&lt;=5,"Major",K307&gt;5,"Severe")</f>
        <v>Major</v>
      </c>
      <c r="S307">
        <f t="shared" si="30"/>
        <v>1780</v>
      </c>
      <c r="T307">
        <f t="shared" si="31"/>
        <v>1460</v>
      </c>
      <c r="U307">
        <f t="shared" si="32"/>
        <v>2024</v>
      </c>
      <c r="V307">
        <f t="shared" si="33"/>
        <v>8</v>
      </c>
      <c r="W307" s="11">
        <f t="shared" si="34"/>
        <v>1</v>
      </c>
    </row>
    <row r="308" spans="1:23">
      <c r="A308" t="s">
        <v>321</v>
      </c>
      <c r="B308" s="4">
        <v>45555</v>
      </c>
      <c r="C308" t="s">
        <v>2015</v>
      </c>
      <c r="D308" t="s">
        <v>2019</v>
      </c>
      <c r="E308" t="s">
        <v>2029</v>
      </c>
      <c r="F308" t="s">
        <v>2031</v>
      </c>
      <c r="G308" t="s">
        <v>2033</v>
      </c>
      <c r="H308" t="s">
        <v>2040</v>
      </c>
      <c r="I308">
        <v>2</v>
      </c>
      <c r="J308">
        <v>10</v>
      </c>
      <c r="K308">
        <v>8</v>
      </c>
      <c r="L308" t="s">
        <v>2041</v>
      </c>
      <c r="M308">
        <v>287</v>
      </c>
      <c r="N308">
        <v>7216</v>
      </c>
      <c r="O308">
        <v>23760</v>
      </c>
      <c r="P308" s="13">
        <f t="shared" si="28"/>
        <v>0</v>
      </c>
      <c r="Q308" t="str">
        <f t="shared" si="29"/>
        <v>No</v>
      </c>
      <c r="R308" t="str" cm="1">
        <f t="array" ref="R308">_xlfn.IFS(K308=0,"On Time",K308&lt;=2,"Minor",K308&lt;=5,"Major",K308&gt;5,"Severe")</f>
        <v>Severe</v>
      </c>
      <c r="S308">
        <f t="shared" si="30"/>
        <v>2970</v>
      </c>
      <c r="T308">
        <f t="shared" si="31"/>
        <v>902</v>
      </c>
      <c r="U308">
        <f t="shared" si="32"/>
        <v>2024</v>
      </c>
      <c r="V308">
        <f t="shared" si="33"/>
        <v>9</v>
      </c>
      <c r="W308" s="11">
        <f t="shared" si="34"/>
        <v>1</v>
      </c>
    </row>
    <row r="309" spans="1:23">
      <c r="A309" t="s">
        <v>322</v>
      </c>
      <c r="B309" s="4">
        <v>45494</v>
      </c>
      <c r="C309" t="s">
        <v>2015</v>
      </c>
      <c r="D309" t="s">
        <v>2020</v>
      </c>
      <c r="E309" t="s">
        <v>2029</v>
      </c>
      <c r="F309" t="s">
        <v>2030</v>
      </c>
      <c r="G309" t="s">
        <v>2034</v>
      </c>
      <c r="H309" t="s">
        <v>2038</v>
      </c>
      <c r="I309">
        <v>3</v>
      </c>
      <c r="J309">
        <v>4</v>
      </c>
      <c r="K309">
        <v>1</v>
      </c>
      <c r="L309" t="s">
        <v>2041</v>
      </c>
      <c r="M309">
        <v>468</v>
      </c>
      <c r="N309">
        <v>871</v>
      </c>
      <c r="O309">
        <v>1853</v>
      </c>
      <c r="P309" s="13">
        <f t="shared" si="28"/>
        <v>0</v>
      </c>
      <c r="Q309" t="str">
        <f t="shared" si="29"/>
        <v>No</v>
      </c>
      <c r="R309" t="str" cm="1">
        <f t="array" ref="R309">_xlfn.IFS(K309=0,"On Time",K309&lt;=2,"Minor",K309&lt;=5,"Major",K309&gt;5,"Severe")</f>
        <v>Minor</v>
      </c>
      <c r="S309">
        <f t="shared" si="30"/>
        <v>1853</v>
      </c>
      <c r="T309">
        <f t="shared" si="31"/>
        <v>871</v>
      </c>
      <c r="U309">
        <f t="shared" si="32"/>
        <v>2024</v>
      </c>
      <c r="V309">
        <f t="shared" si="33"/>
        <v>7</v>
      </c>
      <c r="W309" s="11">
        <f t="shared" si="34"/>
        <v>1</v>
      </c>
    </row>
    <row r="310" spans="1:23">
      <c r="A310" t="s">
        <v>323</v>
      </c>
      <c r="B310" s="4">
        <v>45613</v>
      </c>
      <c r="C310" t="s">
        <v>2018</v>
      </c>
      <c r="D310" t="s">
        <v>2026</v>
      </c>
      <c r="E310" t="s">
        <v>2027</v>
      </c>
      <c r="F310" t="s">
        <v>2031</v>
      </c>
      <c r="G310" t="s">
        <v>2033</v>
      </c>
      <c r="H310" t="s">
        <v>2038</v>
      </c>
      <c r="I310">
        <v>3</v>
      </c>
      <c r="J310">
        <v>6</v>
      </c>
      <c r="K310">
        <v>3</v>
      </c>
      <c r="L310" t="s">
        <v>2041</v>
      </c>
      <c r="M310">
        <v>226</v>
      </c>
      <c r="N310">
        <v>7239</v>
      </c>
      <c r="O310">
        <v>7374</v>
      </c>
      <c r="P310" s="13">
        <f t="shared" si="28"/>
        <v>0</v>
      </c>
      <c r="Q310" t="str">
        <f t="shared" si="29"/>
        <v>No</v>
      </c>
      <c r="R310" t="str" cm="1">
        <f t="array" ref="R310">_xlfn.IFS(K310=0,"On Time",K310&lt;=2,"Minor",K310&lt;=5,"Major",K310&gt;5,"Severe")</f>
        <v>Major</v>
      </c>
      <c r="S310">
        <f t="shared" si="30"/>
        <v>2458</v>
      </c>
      <c r="T310">
        <f t="shared" si="31"/>
        <v>2413</v>
      </c>
      <c r="U310">
        <f t="shared" si="32"/>
        <v>2024</v>
      </c>
      <c r="V310">
        <f t="shared" si="33"/>
        <v>11</v>
      </c>
      <c r="W310" s="11">
        <f t="shared" si="34"/>
        <v>1</v>
      </c>
    </row>
    <row r="311" spans="1:23">
      <c r="A311" t="s">
        <v>324</v>
      </c>
      <c r="B311" s="4">
        <v>45631</v>
      </c>
      <c r="C311" t="s">
        <v>2018</v>
      </c>
      <c r="D311" t="s">
        <v>2024</v>
      </c>
      <c r="E311" t="s">
        <v>2029</v>
      </c>
      <c r="F311" t="s">
        <v>2030</v>
      </c>
      <c r="G311" t="s">
        <v>2036</v>
      </c>
      <c r="H311" t="s">
        <v>2038</v>
      </c>
      <c r="I311">
        <v>3</v>
      </c>
      <c r="J311">
        <v>5</v>
      </c>
      <c r="K311">
        <v>2</v>
      </c>
      <c r="L311" t="s">
        <v>2041</v>
      </c>
      <c r="M311">
        <v>414</v>
      </c>
      <c r="N311">
        <v>1776</v>
      </c>
      <c r="O311">
        <v>9512</v>
      </c>
      <c r="P311" s="13">
        <f t="shared" si="28"/>
        <v>0</v>
      </c>
      <c r="Q311" t="str">
        <f t="shared" si="29"/>
        <v>No</v>
      </c>
      <c r="R311" t="str" cm="1">
        <f t="array" ref="R311">_xlfn.IFS(K311=0,"On Time",K311&lt;=2,"Minor",K311&lt;=5,"Major",K311&gt;5,"Severe")</f>
        <v>Minor</v>
      </c>
      <c r="S311">
        <f t="shared" si="30"/>
        <v>4756</v>
      </c>
      <c r="T311">
        <f t="shared" si="31"/>
        <v>888</v>
      </c>
      <c r="U311">
        <f t="shared" si="32"/>
        <v>2024</v>
      </c>
      <c r="V311">
        <f t="shared" si="33"/>
        <v>12</v>
      </c>
      <c r="W311" s="11">
        <f t="shared" si="34"/>
        <v>1</v>
      </c>
    </row>
    <row r="312" spans="1:23">
      <c r="A312" t="s">
        <v>325</v>
      </c>
      <c r="B312" s="4">
        <v>45301</v>
      </c>
      <c r="C312" t="s">
        <v>2016</v>
      </c>
      <c r="D312" t="s">
        <v>2021</v>
      </c>
      <c r="E312" t="s">
        <v>2028</v>
      </c>
      <c r="F312" t="s">
        <v>2030</v>
      </c>
      <c r="G312" t="s">
        <v>2035</v>
      </c>
      <c r="H312" t="s">
        <v>2038</v>
      </c>
      <c r="I312">
        <v>2</v>
      </c>
      <c r="J312">
        <v>7</v>
      </c>
      <c r="K312">
        <v>5</v>
      </c>
      <c r="L312" t="s">
        <v>2041</v>
      </c>
      <c r="M312">
        <v>489</v>
      </c>
      <c r="N312">
        <v>7560</v>
      </c>
      <c r="O312">
        <v>15390</v>
      </c>
      <c r="P312" s="13">
        <f t="shared" si="28"/>
        <v>0</v>
      </c>
      <c r="Q312" t="str">
        <f t="shared" si="29"/>
        <v>No</v>
      </c>
      <c r="R312" t="str" cm="1">
        <f t="array" ref="R312">_xlfn.IFS(K312=0,"On Time",K312&lt;=2,"Minor",K312&lt;=5,"Major",K312&gt;5,"Severe")</f>
        <v>Major</v>
      </c>
      <c r="S312">
        <f t="shared" si="30"/>
        <v>3078</v>
      </c>
      <c r="T312">
        <f t="shared" si="31"/>
        <v>1512</v>
      </c>
      <c r="U312">
        <f t="shared" si="32"/>
        <v>2024</v>
      </c>
      <c r="V312">
        <f t="shared" si="33"/>
        <v>1</v>
      </c>
      <c r="W312" s="11">
        <f t="shared" si="34"/>
        <v>1</v>
      </c>
    </row>
    <row r="313" spans="1:23">
      <c r="A313" t="s">
        <v>326</v>
      </c>
      <c r="B313" s="4">
        <v>45516</v>
      </c>
      <c r="C313" t="s">
        <v>2016</v>
      </c>
      <c r="D313" t="s">
        <v>2021</v>
      </c>
      <c r="E313" t="s">
        <v>2027</v>
      </c>
      <c r="F313" t="s">
        <v>2032</v>
      </c>
      <c r="G313" t="s">
        <v>2033</v>
      </c>
      <c r="H313" t="s">
        <v>2039</v>
      </c>
      <c r="I313">
        <v>1</v>
      </c>
      <c r="J313">
        <v>5</v>
      </c>
      <c r="K313">
        <v>4</v>
      </c>
      <c r="L313" t="s">
        <v>2041</v>
      </c>
      <c r="M313">
        <v>376</v>
      </c>
      <c r="N313">
        <v>5260</v>
      </c>
      <c r="O313">
        <v>18880</v>
      </c>
      <c r="P313" s="13">
        <f t="shared" si="28"/>
        <v>0</v>
      </c>
      <c r="Q313" t="str">
        <f t="shared" si="29"/>
        <v>No</v>
      </c>
      <c r="R313" t="str" cm="1">
        <f t="array" ref="R313">_xlfn.IFS(K313=0,"On Time",K313&lt;=2,"Minor",K313&lt;=5,"Major",K313&gt;5,"Severe")</f>
        <v>Major</v>
      </c>
      <c r="S313">
        <f t="shared" si="30"/>
        <v>4720</v>
      </c>
      <c r="T313">
        <f t="shared" si="31"/>
        <v>1315</v>
      </c>
      <c r="U313">
        <f t="shared" si="32"/>
        <v>2024</v>
      </c>
      <c r="V313">
        <f t="shared" si="33"/>
        <v>8</v>
      </c>
      <c r="W313" s="11">
        <f t="shared" si="34"/>
        <v>1</v>
      </c>
    </row>
    <row r="314" spans="1:23">
      <c r="A314" t="s">
        <v>327</v>
      </c>
      <c r="B314" s="4">
        <v>45622</v>
      </c>
      <c r="C314" t="s">
        <v>2015</v>
      </c>
      <c r="D314" t="s">
        <v>2020</v>
      </c>
      <c r="E314" t="s">
        <v>2028</v>
      </c>
      <c r="F314" t="s">
        <v>2032</v>
      </c>
      <c r="G314" t="s">
        <v>2036</v>
      </c>
      <c r="H314" t="s">
        <v>2038</v>
      </c>
      <c r="I314">
        <v>3</v>
      </c>
      <c r="J314">
        <v>4</v>
      </c>
      <c r="K314">
        <v>1</v>
      </c>
      <c r="L314" t="s">
        <v>2041</v>
      </c>
      <c r="M314">
        <v>374</v>
      </c>
      <c r="N314">
        <v>1365</v>
      </c>
      <c r="O314">
        <v>4016</v>
      </c>
      <c r="P314" s="13">
        <f t="shared" si="28"/>
        <v>0</v>
      </c>
      <c r="Q314" t="str">
        <f t="shared" si="29"/>
        <v>No</v>
      </c>
      <c r="R314" t="str" cm="1">
        <f t="array" ref="R314">_xlfn.IFS(K314=0,"On Time",K314&lt;=2,"Minor",K314&lt;=5,"Major",K314&gt;5,"Severe")</f>
        <v>Minor</v>
      </c>
      <c r="S314">
        <f t="shared" si="30"/>
        <v>4016</v>
      </c>
      <c r="T314">
        <f t="shared" si="31"/>
        <v>1365</v>
      </c>
      <c r="U314">
        <f t="shared" si="32"/>
        <v>2024</v>
      </c>
      <c r="V314">
        <f t="shared" si="33"/>
        <v>11</v>
      </c>
      <c r="W314" s="11">
        <f t="shared" si="34"/>
        <v>1</v>
      </c>
    </row>
    <row r="315" spans="1:23">
      <c r="A315" t="s">
        <v>328</v>
      </c>
      <c r="B315" s="4">
        <v>45326</v>
      </c>
      <c r="C315" t="s">
        <v>2016</v>
      </c>
      <c r="D315" t="s">
        <v>2025</v>
      </c>
      <c r="E315" t="s">
        <v>2028</v>
      </c>
      <c r="F315" t="s">
        <v>2032</v>
      </c>
      <c r="G315" t="s">
        <v>2034</v>
      </c>
      <c r="H315" t="s">
        <v>2039</v>
      </c>
      <c r="I315">
        <v>3</v>
      </c>
      <c r="J315">
        <v>5</v>
      </c>
      <c r="K315">
        <v>2</v>
      </c>
      <c r="L315" t="s">
        <v>2041</v>
      </c>
      <c r="M315">
        <v>282</v>
      </c>
      <c r="N315">
        <v>2798</v>
      </c>
      <c r="O315">
        <v>4722</v>
      </c>
      <c r="P315" s="13">
        <f t="shared" si="28"/>
        <v>0</v>
      </c>
      <c r="Q315" t="str">
        <f t="shared" si="29"/>
        <v>No</v>
      </c>
      <c r="R315" t="str" cm="1">
        <f t="array" ref="R315">_xlfn.IFS(K315=0,"On Time",K315&lt;=2,"Minor",K315&lt;=5,"Major",K315&gt;5,"Severe")</f>
        <v>Minor</v>
      </c>
      <c r="S315">
        <f t="shared" si="30"/>
        <v>2361</v>
      </c>
      <c r="T315">
        <f t="shared" si="31"/>
        <v>1399</v>
      </c>
      <c r="U315">
        <f t="shared" si="32"/>
        <v>2024</v>
      </c>
      <c r="V315">
        <f t="shared" si="33"/>
        <v>2</v>
      </c>
      <c r="W315" s="11">
        <f t="shared" si="34"/>
        <v>1</v>
      </c>
    </row>
    <row r="316" spans="1:23">
      <c r="A316" t="s">
        <v>329</v>
      </c>
      <c r="B316" s="4">
        <v>45555</v>
      </c>
      <c r="C316" t="s">
        <v>2018</v>
      </c>
      <c r="D316" t="s">
        <v>2024</v>
      </c>
      <c r="E316" t="s">
        <v>2027</v>
      </c>
      <c r="F316" t="s">
        <v>2031</v>
      </c>
      <c r="G316" t="s">
        <v>2037</v>
      </c>
      <c r="H316" t="s">
        <v>2039</v>
      </c>
      <c r="I316">
        <v>2</v>
      </c>
      <c r="J316">
        <v>7</v>
      </c>
      <c r="K316">
        <v>5</v>
      </c>
      <c r="L316" t="s">
        <v>2041</v>
      </c>
      <c r="M316">
        <v>109</v>
      </c>
      <c r="N316">
        <v>8845</v>
      </c>
      <c r="O316">
        <v>18525</v>
      </c>
      <c r="P316" s="13">
        <f t="shared" si="28"/>
        <v>0</v>
      </c>
      <c r="Q316" t="str">
        <f t="shared" si="29"/>
        <v>No</v>
      </c>
      <c r="R316" t="str" cm="1">
        <f t="array" ref="R316">_xlfn.IFS(K316=0,"On Time",K316&lt;=2,"Minor",K316&lt;=5,"Major",K316&gt;5,"Severe")</f>
        <v>Major</v>
      </c>
      <c r="S316">
        <f t="shared" si="30"/>
        <v>3705</v>
      </c>
      <c r="T316">
        <f t="shared" si="31"/>
        <v>1769</v>
      </c>
      <c r="U316">
        <f t="shared" si="32"/>
        <v>2024</v>
      </c>
      <c r="V316">
        <f t="shared" si="33"/>
        <v>9</v>
      </c>
      <c r="W316" s="11">
        <f t="shared" si="34"/>
        <v>1</v>
      </c>
    </row>
    <row r="317" spans="1:23">
      <c r="A317" t="s">
        <v>330</v>
      </c>
      <c r="B317" s="4">
        <v>45530</v>
      </c>
      <c r="C317" t="s">
        <v>2017</v>
      </c>
      <c r="D317" t="s">
        <v>2023</v>
      </c>
      <c r="E317" t="s">
        <v>2029</v>
      </c>
      <c r="F317" t="s">
        <v>2030</v>
      </c>
      <c r="G317" t="s">
        <v>2033</v>
      </c>
      <c r="H317" t="s">
        <v>2039</v>
      </c>
      <c r="I317">
        <v>2</v>
      </c>
      <c r="J317">
        <v>2</v>
      </c>
      <c r="K317">
        <v>0</v>
      </c>
      <c r="L317" t="s">
        <v>2042</v>
      </c>
      <c r="M317">
        <v>296</v>
      </c>
      <c r="N317">
        <v>0</v>
      </c>
      <c r="O317">
        <v>0</v>
      </c>
      <c r="P317" s="13">
        <f t="shared" si="28"/>
        <v>1</v>
      </c>
      <c r="Q317" t="str">
        <f t="shared" si="29"/>
        <v>No</v>
      </c>
      <c r="R317" t="str" cm="1">
        <f t="array" ref="R317">_xlfn.IFS(K317=0,"On Time",K317&lt;=2,"Minor",K317&lt;=5,"Major",K317&gt;5,"Severe")</f>
        <v>On Time</v>
      </c>
      <c r="S317">
        <f t="shared" si="30"/>
        <v>0</v>
      </c>
      <c r="T317">
        <f t="shared" si="31"/>
        <v>0</v>
      </c>
      <c r="U317">
        <f t="shared" si="32"/>
        <v>2024</v>
      </c>
      <c r="V317">
        <f t="shared" si="33"/>
        <v>8</v>
      </c>
      <c r="W317" s="11">
        <f t="shared" si="34"/>
        <v>0</v>
      </c>
    </row>
    <row r="318" spans="1:23">
      <c r="A318" t="s">
        <v>331</v>
      </c>
      <c r="B318" s="4">
        <v>45648</v>
      </c>
      <c r="C318" t="s">
        <v>2016</v>
      </c>
      <c r="D318" t="s">
        <v>2021</v>
      </c>
      <c r="E318" t="s">
        <v>2027</v>
      </c>
      <c r="F318" t="s">
        <v>2030</v>
      </c>
      <c r="G318" t="s">
        <v>2034</v>
      </c>
      <c r="H318" t="s">
        <v>2039</v>
      </c>
      <c r="I318">
        <v>1</v>
      </c>
      <c r="J318">
        <v>4</v>
      </c>
      <c r="K318">
        <v>3</v>
      </c>
      <c r="L318" t="s">
        <v>2041</v>
      </c>
      <c r="M318">
        <v>396</v>
      </c>
      <c r="N318">
        <v>2805</v>
      </c>
      <c r="O318">
        <v>6600</v>
      </c>
      <c r="P318" s="13">
        <f t="shared" si="28"/>
        <v>0</v>
      </c>
      <c r="Q318" t="str">
        <f t="shared" si="29"/>
        <v>No</v>
      </c>
      <c r="R318" t="str" cm="1">
        <f t="array" ref="R318">_xlfn.IFS(K318=0,"On Time",K318&lt;=2,"Minor",K318&lt;=5,"Major",K318&gt;5,"Severe")</f>
        <v>Major</v>
      </c>
      <c r="S318">
        <f t="shared" si="30"/>
        <v>2200</v>
      </c>
      <c r="T318">
        <f t="shared" si="31"/>
        <v>935</v>
      </c>
      <c r="U318">
        <f t="shared" si="32"/>
        <v>2024</v>
      </c>
      <c r="V318">
        <f t="shared" si="33"/>
        <v>12</v>
      </c>
      <c r="W318" s="11">
        <f t="shared" si="34"/>
        <v>1</v>
      </c>
    </row>
    <row r="319" spans="1:23">
      <c r="A319" t="s">
        <v>332</v>
      </c>
      <c r="B319" s="4">
        <v>45629</v>
      </c>
      <c r="C319" t="s">
        <v>2015</v>
      </c>
      <c r="D319" t="s">
        <v>2020</v>
      </c>
      <c r="E319" t="s">
        <v>2029</v>
      </c>
      <c r="F319" t="s">
        <v>2030</v>
      </c>
      <c r="G319" t="s">
        <v>2034</v>
      </c>
      <c r="H319" t="s">
        <v>2039</v>
      </c>
      <c r="I319">
        <v>2</v>
      </c>
      <c r="J319">
        <v>5</v>
      </c>
      <c r="K319">
        <v>3</v>
      </c>
      <c r="L319" t="s">
        <v>2041</v>
      </c>
      <c r="M319">
        <v>346</v>
      </c>
      <c r="N319">
        <v>7056</v>
      </c>
      <c r="O319">
        <v>10899</v>
      </c>
      <c r="P319" s="13">
        <f t="shared" si="28"/>
        <v>0</v>
      </c>
      <c r="Q319" t="str">
        <f t="shared" si="29"/>
        <v>No</v>
      </c>
      <c r="R319" t="str" cm="1">
        <f t="array" ref="R319">_xlfn.IFS(K319=0,"On Time",K319&lt;=2,"Minor",K319&lt;=5,"Major",K319&gt;5,"Severe")</f>
        <v>Major</v>
      </c>
      <c r="S319">
        <f t="shared" si="30"/>
        <v>3633</v>
      </c>
      <c r="T319">
        <f t="shared" si="31"/>
        <v>2352</v>
      </c>
      <c r="U319">
        <f t="shared" si="32"/>
        <v>2024</v>
      </c>
      <c r="V319">
        <f t="shared" si="33"/>
        <v>12</v>
      </c>
      <c r="W319" s="11">
        <f t="shared" si="34"/>
        <v>1</v>
      </c>
    </row>
    <row r="320" spans="1:23">
      <c r="A320" t="s">
        <v>333</v>
      </c>
      <c r="B320" s="4">
        <v>45445</v>
      </c>
      <c r="C320" t="s">
        <v>2015</v>
      </c>
      <c r="D320" t="s">
        <v>2019</v>
      </c>
      <c r="E320" t="s">
        <v>2028</v>
      </c>
      <c r="F320" t="s">
        <v>2031</v>
      </c>
      <c r="G320" t="s">
        <v>2035</v>
      </c>
      <c r="H320" t="s">
        <v>2040</v>
      </c>
      <c r="I320">
        <v>2</v>
      </c>
      <c r="J320">
        <v>5</v>
      </c>
      <c r="K320">
        <v>3</v>
      </c>
      <c r="L320" t="s">
        <v>2041</v>
      </c>
      <c r="M320">
        <v>150</v>
      </c>
      <c r="N320">
        <v>7476</v>
      </c>
      <c r="O320">
        <v>10917</v>
      </c>
      <c r="P320" s="13">
        <f t="shared" si="28"/>
        <v>0</v>
      </c>
      <c r="Q320" t="str">
        <f t="shared" si="29"/>
        <v>No</v>
      </c>
      <c r="R320" t="str" cm="1">
        <f t="array" ref="R320">_xlfn.IFS(K320=0,"On Time",K320&lt;=2,"Minor",K320&lt;=5,"Major",K320&gt;5,"Severe")</f>
        <v>Major</v>
      </c>
      <c r="S320">
        <f t="shared" si="30"/>
        <v>3639</v>
      </c>
      <c r="T320">
        <f t="shared" si="31"/>
        <v>2492</v>
      </c>
      <c r="U320">
        <f t="shared" si="32"/>
        <v>2024</v>
      </c>
      <c r="V320">
        <f t="shared" si="33"/>
        <v>6</v>
      </c>
      <c r="W320" s="11">
        <f t="shared" si="34"/>
        <v>1</v>
      </c>
    </row>
    <row r="321" spans="1:23">
      <c r="A321" t="s">
        <v>334</v>
      </c>
      <c r="B321" s="4">
        <v>45383</v>
      </c>
      <c r="C321" t="s">
        <v>2015</v>
      </c>
      <c r="D321" t="s">
        <v>2019</v>
      </c>
      <c r="E321" t="s">
        <v>2029</v>
      </c>
      <c r="F321" t="s">
        <v>2030</v>
      </c>
      <c r="G321" t="s">
        <v>2034</v>
      </c>
      <c r="H321" t="s">
        <v>2039</v>
      </c>
      <c r="I321">
        <v>1</v>
      </c>
      <c r="J321">
        <v>5</v>
      </c>
      <c r="K321">
        <v>4</v>
      </c>
      <c r="L321" t="s">
        <v>2041</v>
      </c>
      <c r="M321">
        <v>417</v>
      </c>
      <c r="N321">
        <v>3872</v>
      </c>
      <c r="O321">
        <v>15156</v>
      </c>
      <c r="P321" s="13">
        <f t="shared" si="28"/>
        <v>0</v>
      </c>
      <c r="Q321" t="str">
        <f t="shared" si="29"/>
        <v>No</v>
      </c>
      <c r="R321" t="str" cm="1">
        <f t="array" ref="R321">_xlfn.IFS(K321=0,"On Time",K321&lt;=2,"Minor",K321&lt;=5,"Major",K321&gt;5,"Severe")</f>
        <v>Major</v>
      </c>
      <c r="S321">
        <f t="shared" si="30"/>
        <v>3789</v>
      </c>
      <c r="T321">
        <f t="shared" si="31"/>
        <v>968</v>
      </c>
      <c r="U321">
        <f t="shared" si="32"/>
        <v>2024</v>
      </c>
      <c r="V321">
        <f t="shared" si="33"/>
        <v>4</v>
      </c>
      <c r="W321" s="11">
        <f t="shared" si="34"/>
        <v>1</v>
      </c>
    </row>
    <row r="322" spans="1:23">
      <c r="A322" t="s">
        <v>335</v>
      </c>
      <c r="B322" s="4">
        <v>45362</v>
      </c>
      <c r="C322" t="s">
        <v>2016</v>
      </c>
      <c r="D322" t="s">
        <v>2025</v>
      </c>
      <c r="E322" t="s">
        <v>2028</v>
      </c>
      <c r="F322" t="s">
        <v>2030</v>
      </c>
      <c r="G322" t="s">
        <v>2036</v>
      </c>
      <c r="H322" t="s">
        <v>2038</v>
      </c>
      <c r="I322">
        <v>1</v>
      </c>
      <c r="J322">
        <v>5</v>
      </c>
      <c r="K322">
        <v>4</v>
      </c>
      <c r="L322" t="s">
        <v>2041</v>
      </c>
      <c r="M322">
        <v>471</v>
      </c>
      <c r="N322">
        <v>3828</v>
      </c>
      <c r="O322">
        <v>11844</v>
      </c>
      <c r="P322" s="13">
        <f t="shared" si="28"/>
        <v>0</v>
      </c>
      <c r="Q322" t="str">
        <f t="shared" si="29"/>
        <v>No</v>
      </c>
      <c r="R322" t="str" cm="1">
        <f t="array" ref="R322">_xlfn.IFS(K322=0,"On Time",K322&lt;=2,"Minor",K322&lt;=5,"Major",K322&gt;5,"Severe")</f>
        <v>Major</v>
      </c>
      <c r="S322">
        <f t="shared" si="30"/>
        <v>2961</v>
      </c>
      <c r="T322">
        <f t="shared" si="31"/>
        <v>957</v>
      </c>
      <c r="U322">
        <f t="shared" si="32"/>
        <v>2024</v>
      </c>
      <c r="V322">
        <f t="shared" si="33"/>
        <v>3</v>
      </c>
      <c r="W322" s="11">
        <f t="shared" si="34"/>
        <v>1</v>
      </c>
    </row>
    <row r="323" spans="1:23">
      <c r="A323" t="s">
        <v>336</v>
      </c>
      <c r="B323" s="4">
        <v>45386</v>
      </c>
      <c r="C323" t="s">
        <v>2015</v>
      </c>
      <c r="D323" t="s">
        <v>2020</v>
      </c>
      <c r="E323" t="s">
        <v>2028</v>
      </c>
      <c r="F323" t="s">
        <v>2031</v>
      </c>
      <c r="G323" t="s">
        <v>2035</v>
      </c>
      <c r="H323" t="s">
        <v>2038</v>
      </c>
      <c r="I323">
        <v>1</v>
      </c>
      <c r="J323">
        <v>3</v>
      </c>
      <c r="K323">
        <v>2</v>
      </c>
      <c r="L323" t="s">
        <v>2041</v>
      </c>
      <c r="M323">
        <v>382</v>
      </c>
      <c r="N323">
        <v>2184</v>
      </c>
      <c r="O323">
        <v>3530</v>
      </c>
      <c r="P323" s="13">
        <f t="shared" ref="P323:P386" si="35">IF(L323="Yes",0,1)</f>
        <v>0</v>
      </c>
      <c r="Q323" t="str">
        <f t="shared" ref="Q323:Q386" si="36">IF(K323&gt;J323,"Yes","No")</f>
        <v>No</v>
      </c>
      <c r="R323" t="str" cm="1">
        <f t="array" ref="R323">_xlfn.IFS(K323=0,"On Time",K323&lt;=2,"Minor",K323&lt;=5,"Major",K323&gt;5,"Severe")</f>
        <v>Minor</v>
      </c>
      <c r="S323">
        <f t="shared" ref="S323:S386" si="37">IFERROR(O323/K323,0)</f>
        <v>1765</v>
      </c>
      <c r="T323">
        <f t="shared" ref="T323:T386" si="38">IFERROR(N323/K323,0)</f>
        <v>1092</v>
      </c>
      <c r="U323">
        <f t="shared" ref="U323:U386" si="39">YEAR(B323)</f>
        <v>2024</v>
      </c>
      <c r="V323">
        <f t="shared" ref="V323:V386" si="40">MONTH(B323)</f>
        <v>4</v>
      </c>
      <c r="W323" s="11">
        <f t="shared" ref="W323:W386" si="41">IF(L323="Yes",1,0)</f>
        <v>1</v>
      </c>
    </row>
    <row r="324" spans="1:23">
      <c r="A324" t="s">
        <v>337</v>
      </c>
      <c r="B324" s="4">
        <v>45648</v>
      </c>
      <c r="C324" t="s">
        <v>2017</v>
      </c>
      <c r="D324" t="s">
        <v>2023</v>
      </c>
      <c r="E324" t="s">
        <v>2028</v>
      </c>
      <c r="F324" t="s">
        <v>2030</v>
      </c>
      <c r="G324" t="s">
        <v>2034</v>
      </c>
      <c r="H324" t="s">
        <v>2040</v>
      </c>
      <c r="I324">
        <v>1</v>
      </c>
      <c r="J324">
        <v>5</v>
      </c>
      <c r="K324">
        <v>4</v>
      </c>
      <c r="L324" t="s">
        <v>2041</v>
      </c>
      <c r="M324">
        <v>368</v>
      </c>
      <c r="N324">
        <v>6756</v>
      </c>
      <c r="O324">
        <v>12036</v>
      </c>
      <c r="P324" s="13">
        <f t="shared" si="35"/>
        <v>0</v>
      </c>
      <c r="Q324" t="str">
        <f t="shared" si="36"/>
        <v>No</v>
      </c>
      <c r="R324" t="str" cm="1">
        <f t="array" ref="R324">_xlfn.IFS(K324=0,"On Time",K324&lt;=2,"Minor",K324&lt;=5,"Major",K324&gt;5,"Severe")</f>
        <v>Major</v>
      </c>
      <c r="S324">
        <f t="shared" si="37"/>
        <v>3009</v>
      </c>
      <c r="T324">
        <f t="shared" si="38"/>
        <v>1689</v>
      </c>
      <c r="U324">
        <f t="shared" si="39"/>
        <v>2024</v>
      </c>
      <c r="V324">
        <f t="shared" si="40"/>
        <v>12</v>
      </c>
      <c r="W324" s="11">
        <f t="shared" si="41"/>
        <v>1</v>
      </c>
    </row>
    <row r="325" spans="1:23">
      <c r="A325" t="s">
        <v>338</v>
      </c>
      <c r="B325" s="4">
        <v>45553</v>
      </c>
      <c r="C325" t="s">
        <v>2017</v>
      </c>
      <c r="D325" t="s">
        <v>2022</v>
      </c>
      <c r="E325" t="s">
        <v>2028</v>
      </c>
      <c r="F325" t="s">
        <v>2031</v>
      </c>
      <c r="G325" t="s">
        <v>2033</v>
      </c>
      <c r="H325" t="s">
        <v>2038</v>
      </c>
      <c r="I325">
        <v>1</v>
      </c>
      <c r="J325">
        <v>5</v>
      </c>
      <c r="K325">
        <v>4</v>
      </c>
      <c r="L325" t="s">
        <v>2041</v>
      </c>
      <c r="M325">
        <v>397</v>
      </c>
      <c r="N325">
        <v>6580</v>
      </c>
      <c r="O325">
        <v>10976</v>
      </c>
      <c r="P325" s="13">
        <f t="shared" si="35"/>
        <v>0</v>
      </c>
      <c r="Q325" t="str">
        <f t="shared" si="36"/>
        <v>No</v>
      </c>
      <c r="R325" t="str" cm="1">
        <f t="array" ref="R325">_xlfn.IFS(K325=0,"On Time",K325&lt;=2,"Minor",K325&lt;=5,"Major",K325&gt;5,"Severe")</f>
        <v>Major</v>
      </c>
      <c r="S325">
        <f t="shared" si="37"/>
        <v>2744</v>
      </c>
      <c r="T325">
        <f t="shared" si="38"/>
        <v>1645</v>
      </c>
      <c r="U325">
        <f t="shared" si="39"/>
        <v>2024</v>
      </c>
      <c r="V325">
        <f t="shared" si="40"/>
        <v>9</v>
      </c>
      <c r="W325" s="11">
        <f t="shared" si="41"/>
        <v>1</v>
      </c>
    </row>
    <row r="326" spans="1:23">
      <c r="A326" t="s">
        <v>339</v>
      </c>
      <c r="B326" s="4">
        <v>45458</v>
      </c>
      <c r="C326" t="s">
        <v>2017</v>
      </c>
      <c r="D326" t="s">
        <v>2022</v>
      </c>
      <c r="E326" t="s">
        <v>2027</v>
      </c>
      <c r="F326" t="s">
        <v>2031</v>
      </c>
      <c r="G326" t="s">
        <v>2037</v>
      </c>
      <c r="H326" t="s">
        <v>2038</v>
      </c>
      <c r="I326">
        <v>1</v>
      </c>
      <c r="J326">
        <v>1</v>
      </c>
      <c r="K326">
        <v>0</v>
      </c>
      <c r="L326" t="s">
        <v>2042</v>
      </c>
      <c r="M326">
        <v>401</v>
      </c>
      <c r="N326">
        <v>0</v>
      </c>
      <c r="O326">
        <v>0</v>
      </c>
      <c r="P326" s="13">
        <f t="shared" si="35"/>
        <v>1</v>
      </c>
      <c r="Q326" t="str">
        <f t="shared" si="36"/>
        <v>No</v>
      </c>
      <c r="R326" t="str" cm="1">
        <f t="array" ref="R326">_xlfn.IFS(K326=0,"On Time",K326&lt;=2,"Minor",K326&lt;=5,"Major",K326&gt;5,"Severe")</f>
        <v>On Time</v>
      </c>
      <c r="S326">
        <f t="shared" si="37"/>
        <v>0</v>
      </c>
      <c r="T326">
        <f t="shared" si="38"/>
        <v>0</v>
      </c>
      <c r="U326">
        <f t="shared" si="39"/>
        <v>2024</v>
      </c>
      <c r="V326">
        <f t="shared" si="40"/>
        <v>6</v>
      </c>
      <c r="W326" s="11">
        <f t="shared" si="41"/>
        <v>0</v>
      </c>
    </row>
    <row r="327" spans="1:23">
      <c r="A327" t="s">
        <v>340</v>
      </c>
      <c r="B327" s="4">
        <v>45527</v>
      </c>
      <c r="C327" t="s">
        <v>2017</v>
      </c>
      <c r="D327" t="s">
        <v>2022</v>
      </c>
      <c r="E327" t="s">
        <v>2027</v>
      </c>
      <c r="F327" t="s">
        <v>2030</v>
      </c>
      <c r="G327" t="s">
        <v>2033</v>
      </c>
      <c r="H327" t="s">
        <v>2038</v>
      </c>
      <c r="I327">
        <v>2</v>
      </c>
      <c r="J327">
        <v>6</v>
      </c>
      <c r="K327">
        <v>4</v>
      </c>
      <c r="L327" t="s">
        <v>2041</v>
      </c>
      <c r="M327">
        <v>258</v>
      </c>
      <c r="N327">
        <v>4576</v>
      </c>
      <c r="O327">
        <v>10292</v>
      </c>
      <c r="P327" s="13">
        <f t="shared" si="35"/>
        <v>0</v>
      </c>
      <c r="Q327" t="str">
        <f t="shared" si="36"/>
        <v>No</v>
      </c>
      <c r="R327" t="str" cm="1">
        <f t="array" ref="R327">_xlfn.IFS(K327=0,"On Time",K327&lt;=2,"Minor",K327&lt;=5,"Major",K327&gt;5,"Severe")</f>
        <v>Major</v>
      </c>
      <c r="S327">
        <f t="shared" si="37"/>
        <v>2573</v>
      </c>
      <c r="T327">
        <f t="shared" si="38"/>
        <v>1144</v>
      </c>
      <c r="U327">
        <f t="shared" si="39"/>
        <v>2024</v>
      </c>
      <c r="V327">
        <f t="shared" si="40"/>
        <v>8</v>
      </c>
      <c r="W327" s="11">
        <f t="shared" si="41"/>
        <v>1</v>
      </c>
    </row>
    <row r="328" spans="1:23">
      <c r="A328" t="s">
        <v>341</v>
      </c>
      <c r="B328" s="4">
        <v>45446</v>
      </c>
      <c r="C328" t="s">
        <v>2015</v>
      </c>
      <c r="D328" t="s">
        <v>2019</v>
      </c>
      <c r="E328" t="s">
        <v>2027</v>
      </c>
      <c r="F328" t="s">
        <v>2031</v>
      </c>
      <c r="G328" t="s">
        <v>2036</v>
      </c>
      <c r="H328" t="s">
        <v>2040</v>
      </c>
      <c r="I328">
        <v>1</v>
      </c>
      <c r="J328">
        <v>6</v>
      </c>
      <c r="K328">
        <v>5</v>
      </c>
      <c r="L328" t="s">
        <v>2041</v>
      </c>
      <c r="M328">
        <v>487</v>
      </c>
      <c r="N328">
        <v>7790</v>
      </c>
      <c r="O328">
        <v>23505</v>
      </c>
      <c r="P328" s="13">
        <f t="shared" si="35"/>
        <v>0</v>
      </c>
      <c r="Q328" t="str">
        <f t="shared" si="36"/>
        <v>No</v>
      </c>
      <c r="R328" t="str" cm="1">
        <f t="array" ref="R328">_xlfn.IFS(K328=0,"On Time",K328&lt;=2,"Minor",K328&lt;=5,"Major",K328&gt;5,"Severe")</f>
        <v>Major</v>
      </c>
      <c r="S328">
        <f t="shared" si="37"/>
        <v>4701</v>
      </c>
      <c r="T328">
        <f t="shared" si="38"/>
        <v>1558</v>
      </c>
      <c r="U328">
        <f t="shared" si="39"/>
        <v>2024</v>
      </c>
      <c r="V328">
        <f t="shared" si="40"/>
        <v>6</v>
      </c>
      <c r="W328" s="11">
        <f t="shared" si="41"/>
        <v>1</v>
      </c>
    </row>
    <row r="329" spans="1:23">
      <c r="A329" t="s">
        <v>342</v>
      </c>
      <c r="B329" s="4">
        <v>45589</v>
      </c>
      <c r="C329" t="s">
        <v>2018</v>
      </c>
      <c r="D329" t="s">
        <v>2026</v>
      </c>
      <c r="E329" t="s">
        <v>2029</v>
      </c>
      <c r="F329" t="s">
        <v>2031</v>
      </c>
      <c r="G329" t="s">
        <v>2036</v>
      </c>
      <c r="H329" t="s">
        <v>2039</v>
      </c>
      <c r="I329">
        <v>2</v>
      </c>
      <c r="J329">
        <v>4</v>
      </c>
      <c r="K329">
        <v>2</v>
      </c>
      <c r="L329" t="s">
        <v>2041</v>
      </c>
      <c r="M329">
        <v>271</v>
      </c>
      <c r="N329">
        <v>2072</v>
      </c>
      <c r="O329">
        <v>4070</v>
      </c>
      <c r="P329" s="13">
        <f t="shared" si="35"/>
        <v>0</v>
      </c>
      <c r="Q329" t="str">
        <f t="shared" si="36"/>
        <v>No</v>
      </c>
      <c r="R329" t="str" cm="1">
        <f t="array" ref="R329">_xlfn.IFS(K329=0,"On Time",K329&lt;=2,"Minor",K329&lt;=5,"Major",K329&gt;5,"Severe")</f>
        <v>Minor</v>
      </c>
      <c r="S329">
        <f t="shared" si="37"/>
        <v>2035</v>
      </c>
      <c r="T329">
        <f t="shared" si="38"/>
        <v>1036</v>
      </c>
      <c r="U329">
        <f t="shared" si="39"/>
        <v>2024</v>
      </c>
      <c r="V329">
        <f t="shared" si="40"/>
        <v>10</v>
      </c>
      <c r="W329" s="11">
        <f t="shared" si="41"/>
        <v>1</v>
      </c>
    </row>
    <row r="330" spans="1:23">
      <c r="A330" t="s">
        <v>343</v>
      </c>
      <c r="B330" s="4">
        <v>45649</v>
      </c>
      <c r="C330" t="s">
        <v>2015</v>
      </c>
      <c r="D330" t="s">
        <v>2020</v>
      </c>
      <c r="E330" t="s">
        <v>2029</v>
      </c>
      <c r="F330" t="s">
        <v>2031</v>
      </c>
      <c r="G330" t="s">
        <v>2034</v>
      </c>
      <c r="H330" t="s">
        <v>2038</v>
      </c>
      <c r="I330">
        <v>1</v>
      </c>
      <c r="J330">
        <v>2</v>
      </c>
      <c r="K330">
        <v>1</v>
      </c>
      <c r="L330" t="s">
        <v>2041</v>
      </c>
      <c r="M330">
        <v>217</v>
      </c>
      <c r="N330">
        <v>1314</v>
      </c>
      <c r="O330">
        <v>2515</v>
      </c>
      <c r="P330" s="13">
        <f t="shared" si="35"/>
        <v>0</v>
      </c>
      <c r="Q330" t="str">
        <f t="shared" si="36"/>
        <v>No</v>
      </c>
      <c r="R330" t="str" cm="1">
        <f t="array" ref="R330">_xlfn.IFS(K330=0,"On Time",K330&lt;=2,"Minor",K330&lt;=5,"Major",K330&gt;5,"Severe")</f>
        <v>Minor</v>
      </c>
      <c r="S330">
        <f t="shared" si="37"/>
        <v>2515</v>
      </c>
      <c r="T330">
        <f t="shared" si="38"/>
        <v>1314</v>
      </c>
      <c r="U330">
        <f t="shared" si="39"/>
        <v>2024</v>
      </c>
      <c r="V330">
        <f t="shared" si="40"/>
        <v>12</v>
      </c>
      <c r="W330" s="11">
        <f t="shared" si="41"/>
        <v>1</v>
      </c>
    </row>
    <row r="331" spans="1:23">
      <c r="A331" t="s">
        <v>344</v>
      </c>
      <c r="B331" s="4">
        <v>45365</v>
      </c>
      <c r="C331" t="s">
        <v>2017</v>
      </c>
      <c r="D331" t="s">
        <v>2022</v>
      </c>
      <c r="E331" t="s">
        <v>2027</v>
      </c>
      <c r="F331" t="s">
        <v>2030</v>
      </c>
      <c r="G331" t="s">
        <v>2034</v>
      </c>
      <c r="H331" t="s">
        <v>2039</v>
      </c>
      <c r="I331">
        <v>2</v>
      </c>
      <c r="J331">
        <v>5</v>
      </c>
      <c r="K331">
        <v>3</v>
      </c>
      <c r="L331" t="s">
        <v>2041</v>
      </c>
      <c r="M331">
        <v>421</v>
      </c>
      <c r="N331">
        <v>5490</v>
      </c>
      <c r="O331">
        <v>12792</v>
      </c>
      <c r="P331" s="13">
        <f t="shared" si="35"/>
        <v>0</v>
      </c>
      <c r="Q331" t="str">
        <f t="shared" si="36"/>
        <v>No</v>
      </c>
      <c r="R331" t="str" cm="1">
        <f t="array" ref="R331">_xlfn.IFS(K331=0,"On Time",K331&lt;=2,"Minor",K331&lt;=5,"Major",K331&gt;5,"Severe")</f>
        <v>Major</v>
      </c>
      <c r="S331">
        <f t="shared" si="37"/>
        <v>4264</v>
      </c>
      <c r="T331">
        <f t="shared" si="38"/>
        <v>1830</v>
      </c>
      <c r="U331">
        <f t="shared" si="39"/>
        <v>2024</v>
      </c>
      <c r="V331">
        <f t="shared" si="40"/>
        <v>3</v>
      </c>
      <c r="W331" s="11">
        <f t="shared" si="41"/>
        <v>1</v>
      </c>
    </row>
    <row r="332" spans="1:23">
      <c r="A332" t="s">
        <v>345</v>
      </c>
      <c r="B332" s="4">
        <v>45606</v>
      </c>
      <c r="C332" t="s">
        <v>2016</v>
      </c>
      <c r="D332" t="s">
        <v>2021</v>
      </c>
      <c r="E332" t="s">
        <v>2027</v>
      </c>
      <c r="F332" t="s">
        <v>2031</v>
      </c>
      <c r="G332" t="s">
        <v>2037</v>
      </c>
      <c r="H332" t="s">
        <v>2040</v>
      </c>
      <c r="I332">
        <v>3</v>
      </c>
      <c r="J332">
        <v>8</v>
      </c>
      <c r="K332">
        <v>5</v>
      </c>
      <c r="L332" t="s">
        <v>2041</v>
      </c>
      <c r="M332">
        <v>353</v>
      </c>
      <c r="N332">
        <v>12130</v>
      </c>
      <c r="O332">
        <v>8290</v>
      </c>
      <c r="P332" s="13">
        <f t="shared" si="35"/>
        <v>0</v>
      </c>
      <c r="Q332" t="str">
        <f t="shared" si="36"/>
        <v>No</v>
      </c>
      <c r="R332" t="str" cm="1">
        <f t="array" ref="R332">_xlfn.IFS(K332=0,"On Time",K332&lt;=2,"Minor",K332&lt;=5,"Major",K332&gt;5,"Severe")</f>
        <v>Major</v>
      </c>
      <c r="S332">
        <f t="shared" si="37"/>
        <v>1658</v>
      </c>
      <c r="T332">
        <f t="shared" si="38"/>
        <v>2426</v>
      </c>
      <c r="U332">
        <f t="shared" si="39"/>
        <v>2024</v>
      </c>
      <c r="V332">
        <f t="shared" si="40"/>
        <v>11</v>
      </c>
      <c r="W332" s="11">
        <f t="shared" si="41"/>
        <v>1</v>
      </c>
    </row>
    <row r="333" spans="1:23">
      <c r="A333" t="s">
        <v>346</v>
      </c>
      <c r="B333" s="4">
        <v>45442</v>
      </c>
      <c r="C333" t="s">
        <v>2017</v>
      </c>
      <c r="D333" t="s">
        <v>2023</v>
      </c>
      <c r="E333" t="s">
        <v>2027</v>
      </c>
      <c r="F333" t="s">
        <v>2030</v>
      </c>
      <c r="G333" t="s">
        <v>2033</v>
      </c>
      <c r="H333" t="s">
        <v>2038</v>
      </c>
      <c r="I333">
        <v>3</v>
      </c>
      <c r="J333">
        <v>7</v>
      </c>
      <c r="K333">
        <v>4</v>
      </c>
      <c r="L333" t="s">
        <v>2041</v>
      </c>
      <c r="M333">
        <v>477</v>
      </c>
      <c r="N333">
        <v>7044</v>
      </c>
      <c r="O333">
        <v>6320</v>
      </c>
      <c r="P333" s="13">
        <f t="shared" si="35"/>
        <v>0</v>
      </c>
      <c r="Q333" t="str">
        <f t="shared" si="36"/>
        <v>No</v>
      </c>
      <c r="R333" t="str" cm="1">
        <f t="array" ref="R333">_xlfn.IFS(K333=0,"On Time",K333&lt;=2,"Minor",K333&lt;=5,"Major",K333&gt;5,"Severe")</f>
        <v>Major</v>
      </c>
      <c r="S333">
        <f t="shared" si="37"/>
        <v>1580</v>
      </c>
      <c r="T333">
        <f t="shared" si="38"/>
        <v>1761</v>
      </c>
      <c r="U333">
        <f t="shared" si="39"/>
        <v>2024</v>
      </c>
      <c r="V333">
        <f t="shared" si="40"/>
        <v>5</v>
      </c>
      <c r="W333" s="11">
        <f t="shared" si="41"/>
        <v>1</v>
      </c>
    </row>
    <row r="334" spans="1:23">
      <c r="A334" t="s">
        <v>347</v>
      </c>
      <c r="B334" s="4">
        <v>45457</v>
      </c>
      <c r="C334" t="s">
        <v>2017</v>
      </c>
      <c r="D334" t="s">
        <v>2022</v>
      </c>
      <c r="E334" t="s">
        <v>2029</v>
      </c>
      <c r="F334" t="s">
        <v>2032</v>
      </c>
      <c r="G334" t="s">
        <v>2036</v>
      </c>
      <c r="H334" t="s">
        <v>2039</v>
      </c>
      <c r="I334">
        <v>1</v>
      </c>
      <c r="J334">
        <v>4</v>
      </c>
      <c r="K334">
        <v>3</v>
      </c>
      <c r="L334" t="s">
        <v>2041</v>
      </c>
      <c r="M334">
        <v>167</v>
      </c>
      <c r="N334">
        <v>4791</v>
      </c>
      <c r="O334">
        <v>5874</v>
      </c>
      <c r="P334" s="13">
        <f t="shared" si="35"/>
        <v>0</v>
      </c>
      <c r="Q334" t="str">
        <f t="shared" si="36"/>
        <v>No</v>
      </c>
      <c r="R334" t="str" cm="1">
        <f t="array" ref="R334">_xlfn.IFS(K334=0,"On Time",K334&lt;=2,"Minor",K334&lt;=5,"Major",K334&gt;5,"Severe")</f>
        <v>Major</v>
      </c>
      <c r="S334">
        <f t="shared" si="37"/>
        <v>1958</v>
      </c>
      <c r="T334">
        <f t="shared" si="38"/>
        <v>1597</v>
      </c>
      <c r="U334">
        <f t="shared" si="39"/>
        <v>2024</v>
      </c>
      <c r="V334">
        <f t="shared" si="40"/>
        <v>6</v>
      </c>
      <c r="W334" s="11">
        <f t="shared" si="41"/>
        <v>1</v>
      </c>
    </row>
    <row r="335" spans="1:23">
      <c r="A335" t="s">
        <v>348</v>
      </c>
      <c r="B335" s="4">
        <v>45445</v>
      </c>
      <c r="C335" t="s">
        <v>2015</v>
      </c>
      <c r="D335" t="s">
        <v>2019</v>
      </c>
      <c r="E335" t="s">
        <v>2029</v>
      </c>
      <c r="F335" t="s">
        <v>2032</v>
      </c>
      <c r="G335" t="s">
        <v>2034</v>
      </c>
      <c r="H335" t="s">
        <v>2039</v>
      </c>
      <c r="I335">
        <v>5</v>
      </c>
      <c r="J335">
        <v>12</v>
      </c>
      <c r="K335">
        <v>7</v>
      </c>
      <c r="L335" t="s">
        <v>2041</v>
      </c>
      <c r="M335">
        <v>338</v>
      </c>
      <c r="N335">
        <v>9471</v>
      </c>
      <c r="O335">
        <v>33033</v>
      </c>
      <c r="P335" s="13">
        <f t="shared" si="35"/>
        <v>0</v>
      </c>
      <c r="Q335" t="str">
        <f t="shared" si="36"/>
        <v>No</v>
      </c>
      <c r="R335" t="str" cm="1">
        <f t="array" ref="R335">_xlfn.IFS(K335=0,"On Time",K335&lt;=2,"Minor",K335&lt;=5,"Major",K335&gt;5,"Severe")</f>
        <v>Severe</v>
      </c>
      <c r="S335">
        <f t="shared" si="37"/>
        <v>4719</v>
      </c>
      <c r="T335">
        <f t="shared" si="38"/>
        <v>1353</v>
      </c>
      <c r="U335">
        <f t="shared" si="39"/>
        <v>2024</v>
      </c>
      <c r="V335">
        <f t="shared" si="40"/>
        <v>6</v>
      </c>
      <c r="W335" s="11">
        <f t="shared" si="41"/>
        <v>1</v>
      </c>
    </row>
    <row r="336" spans="1:23">
      <c r="A336" t="s">
        <v>349</v>
      </c>
      <c r="B336" s="4">
        <v>45557</v>
      </c>
      <c r="C336" t="s">
        <v>2018</v>
      </c>
      <c r="D336" t="s">
        <v>2026</v>
      </c>
      <c r="E336" t="s">
        <v>2027</v>
      </c>
      <c r="F336" t="s">
        <v>2032</v>
      </c>
      <c r="G336" t="s">
        <v>2034</v>
      </c>
      <c r="H336" t="s">
        <v>2040</v>
      </c>
      <c r="I336">
        <v>1</v>
      </c>
      <c r="J336">
        <v>4</v>
      </c>
      <c r="K336">
        <v>3</v>
      </c>
      <c r="L336" t="s">
        <v>2041</v>
      </c>
      <c r="M336">
        <v>230</v>
      </c>
      <c r="N336">
        <v>2808</v>
      </c>
      <c r="O336">
        <v>13572</v>
      </c>
      <c r="P336" s="13">
        <f t="shared" si="35"/>
        <v>0</v>
      </c>
      <c r="Q336" t="str">
        <f t="shared" si="36"/>
        <v>No</v>
      </c>
      <c r="R336" t="str" cm="1">
        <f t="array" ref="R336">_xlfn.IFS(K336=0,"On Time",K336&lt;=2,"Minor",K336&lt;=5,"Major",K336&gt;5,"Severe")</f>
        <v>Major</v>
      </c>
      <c r="S336">
        <f t="shared" si="37"/>
        <v>4524</v>
      </c>
      <c r="T336">
        <f t="shared" si="38"/>
        <v>936</v>
      </c>
      <c r="U336">
        <f t="shared" si="39"/>
        <v>2024</v>
      </c>
      <c r="V336">
        <f t="shared" si="40"/>
        <v>9</v>
      </c>
      <c r="W336" s="11">
        <f t="shared" si="41"/>
        <v>1</v>
      </c>
    </row>
    <row r="337" spans="1:23">
      <c r="A337" t="s">
        <v>350</v>
      </c>
      <c r="B337" s="4">
        <v>45609</v>
      </c>
      <c r="C337" t="s">
        <v>2016</v>
      </c>
      <c r="D337" t="s">
        <v>2021</v>
      </c>
      <c r="E337" t="s">
        <v>2027</v>
      </c>
      <c r="F337" t="s">
        <v>2032</v>
      </c>
      <c r="G337" t="s">
        <v>2037</v>
      </c>
      <c r="H337" t="s">
        <v>2040</v>
      </c>
      <c r="I337">
        <v>3</v>
      </c>
      <c r="J337">
        <v>11</v>
      </c>
      <c r="K337">
        <v>8</v>
      </c>
      <c r="L337" t="s">
        <v>2041</v>
      </c>
      <c r="M337">
        <v>342</v>
      </c>
      <c r="N337">
        <v>13168</v>
      </c>
      <c r="O337">
        <v>29048</v>
      </c>
      <c r="P337" s="13">
        <f t="shared" si="35"/>
        <v>0</v>
      </c>
      <c r="Q337" t="str">
        <f t="shared" si="36"/>
        <v>No</v>
      </c>
      <c r="R337" t="str" cm="1">
        <f t="array" ref="R337">_xlfn.IFS(K337=0,"On Time",K337&lt;=2,"Minor",K337&lt;=5,"Major",K337&gt;5,"Severe")</f>
        <v>Severe</v>
      </c>
      <c r="S337">
        <f t="shared" si="37"/>
        <v>3631</v>
      </c>
      <c r="T337">
        <f t="shared" si="38"/>
        <v>1646</v>
      </c>
      <c r="U337">
        <f t="shared" si="39"/>
        <v>2024</v>
      </c>
      <c r="V337">
        <f t="shared" si="40"/>
        <v>11</v>
      </c>
      <c r="W337" s="11">
        <f t="shared" si="41"/>
        <v>1</v>
      </c>
    </row>
    <row r="338" spans="1:23">
      <c r="A338" t="s">
        <v>351</v>
      </c>
      <c r="B338" s="4">
        <v>45583</v>
      </c>
      <c r="C338" t="s">
        <v>2015</v>
      </c>
      <c r="D338" t="s">
        <v>2019</v>
      </c>
      <c r="E338" t="s">
        <v>2028</v>
      </c>
      <c r="F338" t="s">
        <v>2030</v>
      </c>
      <c r="G338" t="s">
        <v>2037</v>
      </c>
      <c r="H338" t="s">
        <v>2038</v>
      </c>
      <c r="I338">
        <v>1</v>
      </c>
      <c r="J338">
        <v>3</v>
      </c>
      <c r="K338">
        <v>2</v>
      </c>
      <c r="L338" t="s">
        <v>2041</v>
      </c>
      <c r="M338">
        <v>298</v>
      </c>
      <c r="N338">
        <v>4338</v>
      </c>
      <c r="O338">
        <v>6224</v>
      </c>
      <c r="P338" s="13">
        <f t="shared" si="35"/>
        <v>0</v>
      </c>
      <c r="Q338" t="str">
        <f t="shared" si="36"/>
        <v>No</v>
      </c>
      <c r="R338" t="str" cm="1">
        <f t="array" ref="R338">_xlfn.IFS(K338=0,"On Time",K338&lt;=2,"Minor",K338&lt;=5,"Major",K338&gt;5,"Severe")</f>
        <v>Minor</v>
      </c>
      <c r="S338">
        <f t="shared" si="37"/>
        <v>3112</v>
      </c>
      <c r="T338">
        <f t="shared" si="38"/>
        <v>2169</v>
      </c>
      <c r="U338">
        <f t="shared" si="39"/>
        <v>2024</v>
      </c>
      <c r="V338">
        <f t="shared" si="40"/>
        <v>10</v>
      </c>
      <c r="W338" s="11">
        <f t="shared" si="41"/>
        <v>1</v>
      </c>
    </row>
    <row r="339" spans="1:23">
      <c r="A339" t="s">
        <v>352</v>
      </c>
      <c r="B339" s="4">
        <v>45302</v>
      </c>
      <c r="C339" t="s">
        <v>2018</v>
      </c>
      <c r="D339" t="s">
        <v>2026</v>
      </c>
      <c r="E339" t="s">
        <v>2028</v>
      </c>
      <c r="F339" t="s">
        <v>2030</v>
      </c>
      <c r="G339" t="s">
        <v>2033</v>
      </c>
      <c r="H339" t="s">
        <v>2039</v>
      </c>
      <c r="I339">
        <v>1</v>
      </c>
      <c r="J339">
        <v>2</v>
      </c>
      <c r="K339">
        <v>1</v>
      </c>
      <c r="L339" t="s">
        <v>2041</v>
      </c>
      <c r="M339">
        <v>416</v>
      </c>
      <c r="N339">
        <v>1331</v>
      </c>
      <c r="O339">
        <v>2536</v>
      </c>
      <c r="P339" s="13">
        <f t="shared" si="35"/>
        <v>0</v>
      </c>
      <c r="Q339" t="str">
        <f t="shared" si="36"/>
        <v>No</v>
      </c>
      <c r="R339" t="str" cm="1">
        <f t="array" ref="R339">_xlfn.IFS(K339=0,"On Time",K339&lt;=2,"Minor",K339&lt;=5,"Major",K339&gt;5,"Severe")</f>
        <v>Minor</v>
      </c>
      <c r="S339">
        <f t="shared" si="37"/>
        <v>2536</v>
      </c>
      <c r="T339">
        <f t="shared" si="38"/>
        <v>1331</v>
      </c>
      <c r="U339">
        <f t="shared" si="39"/>
        <v>2024</v>
      </c>
      <c r="V339">
        <f t="shared" si="40"/>
        <v>1</v>
      </c>
      <c r="W339" s="11">
        <f t="shared" si="41"/>
        <v>1</v>
      </c>
    </row>
    <row r="340" spans="1:23">
      <c r="A340" t="s">
        <v>353</v>
      </c>
      <c r="B340" s="4">
        <v>45376</v>
      </c>
      <c r="C340" t="s">
        <v>2018</v>
      </c>
      <c r="D340" t="s">
        <v>2024</v>
      </c>
      <c r="E340" t="s">
        <v>2028</v>
      </c>
      <c r="F340" t="s">
        <v>2030</v>
      </c>
      <c r="G340" t="s">
        <v>2037</v>
      </c>
      <c r="H340" t="s">
        <v>2039</v>
      </c>
      <c r="I340">
        <v>2</v>
      </c>
      <c r="J340">
        <v>3</v>
      </c>
      <c r="K340">
        <v>1</v>
      </c>
      <c r="L340" t="s">
        <v>2041</v>
      </c>
      <c r="M340">
        <v>248</v>
      </c>
      <c r="N340">
        <v>2001</v>
      </c>
      <c r="O340">
        <v>3468</v>
      </c>
      <c r="P340" s="13">
        <f t="shared" si="35"/>
        <v>0</v>
      </c>
      <c r="Q340" t="str">
        <f t="shared" si="36"/>
        <v>No</v>
      </c>
      <c r="R340" t="str" cm="1">
        <f t="array" ref="R340">_xlfn.IFS(K340=0,"On Time",K340&lt;=2,"Minor",K340&lt;=5,"Major",K340&gt;5,"Severe")</f>
        <v>Minor</v>
      </c>
      <c r="S340">
        <f t="shared" si="37"/>
        <v>3468</v>
      </c>
      <c r="T340">
        <f t="shared" si="38"/>
        <v>2001</v>
      </c>
      <c r="U340">
        <f t="shared" si="39"/>
        <v>2024</v>
      </c>
      <c r="V340">
        <f t="shared" si="40"/>
        <v>3</v>
      </c>
      <c r="W340" s="11">
        <f t="shared" si="41"/>
        <v>1</v>
      </c>
    </row>
    <row r="341" spans="1:23">
      <c r="A341" t="s">
        <v>354</v>
      </c>
      <c r="B341" s="4">
        <v>45467</v>
      </c>
      <c r="C341" t="s">
        <v>2015</v>
      </c>
      <c r="D341" t="s">
        <v>2020</v>
      </c>
      <c r="E341" t="s">
        <v>2029</v>
      </c>
      <c r="F341" t="s">
        <v>2032</v>
      </c>
      <c r="G341" t="s">
        <v>2036</v>
      </c>
      <c r="H341" t="s">
        <v>2038</v>
      </c>
      <c r="I341">
        <v>2</v>
      </c>
      <c r="J341">
        <v>8</v>
      </c>
      <c r="K341">
        <v>6</v>
      </c>
      <c r="L341" t="s">
        <v>2041</v>
      </c>
      <c r="M341">
        <v>79</v>
      </c>
      <c r="N341">
        <v>13986</v>
      </c>
      <c r="O341">
        <v>16080</v>
      </c>
      <c r="P341" s="13">
        <f t="shared" si="35"/>
        <v>0</v>
      </c>
      <c r="Q341" t="str">
        <f t="shared" si="36"/>
        <v>No</v>
      </c>
      <c r="R341" t="str" cm="1">
        <f t="array" ref="R341">_xlfn.IFS(K341=0,"On Time",K341&lt;=2,"Minor",K341&lt;=5,"Major",K341&gt;5,"Severe")</f>
        <v>Severe</v>
      </c>
      <c r="S341">
        <f t="shared" si="37"/>
        <v>2680</v>
      </c>
      <c r="T341">
        <f t="shared" si="38"/>
        <v>2331</v>
      </c>
      <c r="U341">
        <f t="shared" si="39"/>
        <v>2024</v>
      </c>
      <c r="V341">
        <f t="shared" si="40"/>
        <v>6</v>
      </c>
      <c r="W341" s="11">
        <f t="shared" si="41"/>
        <v>1</v>
      </c>
    </row>
    <row r="342" spans="1:23">
      <c r="A342" t="s">
        <v>355</v>
      </c>
      <c r="B342" s="4">
        <v>45635</v>
      </c>
      <c r="C342" t="s">
        <v>2015</v>
      </c>
      <c r="D342" t="s">
        <v>2020</v>
      </c>
      <c r="E342" t="s">
        <v>2029</v>
      </c>
      <c r="F342" t="s">
        <v>2031</v>
      </c>
      <c r="G342" t="s">
        <v>2035</v>
      </c>
      <c r="H342" t="s">
        <v>2038</v>
      </c>
      <c r="I342">
        <v>1</v>
      </c>
      <c r="J342">
        <v>4</v>
      </c>
      <c r="K342">
        <v>3</v>
      </c>
      <c r="L342" t="s">
        <v>2041</v>
      </c>
      <c r="M342">
        <v>455</v>
      </c>
      <c r="N342">
        <v>6996</v>
      </c>
      <c r="O342">
        <v>14619</v>
      </c>
      <c r="P342" s="13">
        <f t="shared" si="35"/>
        <v>0</v>
      </c>
      <c r="Q342" t="str">
        <f t="shared" si="36"/>
        <v>No</v>
      </c>
      <c r="R342" t="str" cm="1">
        <f t="array" ref="R342">_xlfn.IFS(K342=0,"On Time",K342&lt;=2,"Minor",K342&lt;=5,"Major",K342&gt;5,"Severe")</f>
        <v>Major</v>
      </c>
      <c r="S342">
        <f t="shared" si="37"/>
        <v>4873</v>
      </c>
      <c r="T342">
        <f t="shared" si="38"/>
        <v>2332</v>
      </c>
      <c r="U342">
        <f t="shared" si="39"/>
        <v>2024</v>
      </c>
      <c r="V342">
        <f t="shared" si="40"/>
        <v>12</v>
      </c>
      <c r="W342" s="11">
        <f t="shared" si="41"/>
        <v>1</v>
      </c>
    </row>
    <row r="343" spans="1:23">
      <c r="A343" t="s">
        <v>356</v>
      </c>
      <c r="B343" s="4">
        <v>45405</v>
      </c>
      <c r="C343" t="s">
        <v>2017</v>
      </c>
      <c r="D343" t="s">
        <v>2022</v>
      </c>
      <c r="E343" t="s">
        <v>2029</v>
      </c>
      <c r="F343" t="s">
        <v>2032</v>
      </c>
      <c r="G343" t="s">
        <v>2035</v>
      </c>
      <c r="H343" t="s">
        <v>2039</v>
      </c>
      <c r="I343">
        <v>2</v>
      </c>
      <c r="J343">
        <v>8</v>
      </c>
      <c r="K343">
        <v>6</v>
      </c>
      <c r="L343" t="s">
        <v>2041</v>
      </c>
      <c r="M343">
        <v>367</v>
      </c>
      <c r="N343">
        <v>10356</v>
      </c>
      <c r="O343">
        <v>19512</v>
      </c>
      <c r="P343" s="13">
        <f t="shared" si="35"/>
        <v>0</v>
      </c>
      <c r="Q343" t="str">
        <f t="shared" si="36"/>
        <v>No</v>
      </c>
      <c r="R343" t="str" cm="1">
        <f t="array" ref="R343">_xlfn.IFS(K343=0,"On Time",K343&lt;=2,"Minor",K343&lt;=5,"Major",K343&gt;5,"Severe")</f>
        <v>Severe</v>
      </c>
      <c r="S343">
        <f t="shared" si="37"/>
        <v>3252</v>
      </c>
      <c r="T343">
        <f t="shared" si="38"/>
        <v>1726</v>
      </c>
      <c r="U343">
        <f t="shared" si="39"/>
        <v>2024</v>
      </c>
      <c r="V343">
        <f t="shared" si="40"/>
        <v>4</v>
      </c>
      <c r="W343" s="11">
        <f t="shared" si="41"/>
        <v>1</v>
      </c>
    </row>
    <row r="344" spans="1:23">
      <c r="A344" t="s">
        <v>357</v>
      </c>
      <c r="B344" s="4">
        <v>45542</v>
      </c>
      <c r="C344" t="s">
        <v>2015</v>
      </c>
      <c r="D344" t="s">
        <v>2020</v>
      </c>
      <c r="E344" t="s">
        <v>2029</v>
      </c>
      <c r="F344" t="s">
        <v>2032</v>
      </c>
      <c r="G344" t="s">
        <v>2035</v>
      </c>
      <c r="H344" t="s">
        <v>2038</v>
      </c>
      <c r="I344">
        <v>2</v>
      </c>
      <c r="J344">
        <v>8</v>
      </c>
      <c r="K344">
        <v>6</v>
      </c>
      <c r="L344" t="s">
        <v>2041</v>
      </c>
      <c r="M344">
        <v>157</v>
      </c>
      <c r="N344">
        <v>7398</v>
      </c>
      <c r="O344">
        <v>20790</v>
      </c>
      <c r="P344" s="13">
        <f t="shared" si="35"/>
        <v>0</v>
      </c>
      <c r="Q344" t="str">
        <f t="shared" si="36"/>
        <v>No</v>
      </c>
      <c r="R344" t="str" cm="1">
        <f t="array" ref="R344">_xlfn.IFS(K344=0,"On Time",K344&lt;=2,"Minor",K344&lt;=5,"Major",K344&gt;5,"Severe")</f>
        <v>Severe</v>
      </c>
      <c r="S344">
        <f t="shared" si="37"/>
        <v>3465</v>
      </c>
      <c r="T344">
        <f t="shared" si="38"/>
        <v>1233</v>
      </c>
      <c r="U344">
        <f t="shared" si="39"/>
        <v>2024</v>
      </c>
      <c r="V344">
        <f t="shared" si="40"/>
        <v>9</v>
      </c>
      <c r="W344" s="11">
        <f t="shared" si="41"/>
        <v>1</v>
      </c>
    </row>
    <row r="345" spans="1:23">
      <c r="A345" t="s">
        <v>358</v>
      </c>
      <c r="B345" s="4">
        <v>45617</v>
      </c>
      <c r="C345" t="s">
        <v>2016</v>
      </c>
      <c r="D345" t="s">
        <v>2021</v>
      </c>
      <c r="E345" t="s">
        <v>2028</v>
      </c>
      <c r="F345" t="s">
        <v>2030</v>
      </c>
      <c r="G345" t="s">
        <v>2034</v>
      </c>
      <c r="H345" t="s">
        <v>2039</v>
      </c>
      <c r="I345">
        <v>5</v>
      </c>
      <c r="J345">
        <v>10</v>
      </c>
      <c r="K345">
        <v>5</v>
      </c>
      <c r="L345" t="s">
        <v>2041</v>
      </c>
      <c r="M345">
        <v>138</v>
      </c>
      <c r="N345">
        <v>7285</v>
      </c>
      <c r="O345">
        <v>9600</v>
      </c>
      <c r="P345" s="13">
        <f t="shared" si="35"/>
        <v>0</v>
      </c>
      <c r="Q345" t="str">
        <f t="shared" si="36"/>
        <v>No</v>
      </c>
      <c r="R345" t="str" cm="1">
        <f t="array" ref="R345">_xlfn.IFS(K345=0,"On Time",K345&lt;=2,"Minor",K345&lt;=5,"Major",K345&gt;5,"Severe")</f>
        <v>Major</v>
      </c>
      <c r="S345">
        <f t="shared" si="37"/>
        <v>1920</v>
      </c>
      <c r="T345">
        <f t="shared" si="38"/>
        <v>1457</v>
      </c>
      <c r="U345">
        <f t="shared" si="39"/>
        <v>2024</v>
      </c>
      <c r="V345">
        <f t="shared" si="40"/>
        <v>11</v>
      </c>
      <c r="W345" s="11">
        <f t="shared" si="41"/>
        <v>1</v>
      </c>
    </row>
    <row r="346" spans="1:23">
      <c r="A346" t="s">
        <v>359</v>
      </c>
      <c r="B346" s="4">
        <v>45626</v>
      </c>
      <c r="C346" t="s">
        <v>2017</v>
      </c>
      <c r="D346" t="s">
        <v>2022</v>
      </c>
      <c r="E346" t="s">
        <v>2028</v>
      </c>
      <c r="F346" t="s">
        <v>2031</v>
      </c>
      <c r="G346" t="s">
        <v>2033</v>
      </c>
      <c r="H346" t="s">
        <v>2038</v>
      </c>
      <c r="I346">
        <v>1</v>
      </c>
      <c r="J346">
        <v>6</v>
      </c>
      <c r="K346">
        <v>5</v>
      </c>
      <c r="L346" t="s">
        <v>2041</v>
      </c>
      <c r="M346">
        <v>63</v>
      </c>
      <c r="N346">
        <v>9400</v>
      </c>
      <c r="O346">
        <v>21685</v>
      </c>
      <c r="P346" s="13">
        <f t="shared" si="35"/>
        <v>0</v>
      </c>
      <c r="Q346" t="str">
        <f t="shared" si="36"/>
        <v>No</v>
      </c>
      <c r="R346" t="str" cm="1">
        <f t="array" ref="R346">_xlfn.IFS(K346=0,"On Time",K346&lt;=2,"Minor",K346&lt;=5,"Major",K346&gt;5,"Severe")</f>
        <v>Major</v>
      </c>
      <c r="S346">
        <f t="shared" si="37"/>
        <v>4337</v>
      </c>
      <c r="T346">
        <f t="shared" si="38"/>
        <v>1880</v>
      </c>
      <c r="U346">
        <f t="shared" si="39"/>
        <v>2024</v>
      </c>
      <c r="V346">
        <f t="shared" si="40"/>
        <v>11</v>
      </c>
      <c r="W346" s="11">
        <f t="shared" si="41"/>
        <v>1</v>
      </c>
    </row>
    <row r="347" spans="1:23">
      <c r="A347" t="s">
        <v>360</v>
      </c>
      <c r="B347" s="4">
        <v>45314</v>
      </c>
      <c r="C347" t="s">
        <v>2016</v>
      </c>
      <c r="D347" t="s">
        <v>2021</v>
      </c>
      <c r="E347" t="s">
        <v>2027</v>
      </c>
      <c r="F347" t="s">
        <v>2031</v>
      </c>
      <c r="G347" t="s">
        <v>2035</v>
      </c>
      <c r="H347" t="s">
        <v>2039</v>
      </c>
      <c r="I347">
        <v>2</v>
      </c>
      <c r="J347">
        <v>7</v>
      </c>
      <c r="K347">
        <v>5</v>
      </c>
      <c r="L347" t="s">
        <v>2041</v>
      </c>
      <c r="M347">
        <v>203</v>
      </c>
      <c r="N347">
        <v>4750</v>
      </c>
      <c r="O347">
        <v>23300</v>
      </c>
      <c r="P347" s="13">
        <f t="shared" si="35"/>
        <v>0</v>
      </c>
      <c r="Q347" t="str">
        <f t="shared" si="36"/>
        <v>No</v>
      </c>
      <c r="R347" t="str" cm="1">
        <f t="array" ref="R347">_xlfn.IFS(K347=0,"On Time",K347&lt;=2,"Minor",K347&lt;=5,"Major",K347&gt;5,"Severe")</f>
        <v>Major</v>
      </c>
      <c r="S347">
        <f t="shared" si="37"/>
        <v>4660</v>
      </c>
      <c r="T347">
        <f t="shared" si="38"/>
        <v>950</v>
      </c>
      <c r="U347">
        <f t="shared" si="39"/>
        <v>2024</v>
      </c>
      <c r="V347">
        <f t="shared" si="40"/>
        <v>1</v>
      </c>
      <c r="W347" s="11">
        <f t="shared" si="41"/>
        <v>1</v>
      </c>
    </row>
    <row r="348" spans="1:23">
      <c r="A348" t="s">
        <v>361</v>
      </c>
      <c r="B348" s="4">
        <v>45412</v>
      </c>
      <c r="C348" t="s">
        <v>2016</v>
      </c>
      <c r="D348" t="s">
        <v>2021</v>
      </c>
      <c r="E348" t="s">
        <v>2029</v>
      </c>
      <c r="F348" t="s">
        <v>2032</v>
      </c>
      <c r="G348" t="s">
        <v>2037</v>
      </c>
      <c r="H348" t="s">
        <v>2038</v>
      </c>
      <c r="I348">
        <v>1</v>
      </c>
      <c r="J348">
        <v>7</v>
      </c>
      <c r="K348">
        <v>6</v>
      </c>
      <c r="L348" t="s">
        <v>2041</v>
      </c>
      <c r="M348">
        <v>122</v>
      </c>
      <c r="N348">
        <v>14250</v>
      </c>
      <c r="O348">
        <v>11916</v>
      </c>
      <c r="P348" s="13">
        <f t="shared" si="35"/>
        <v>0</v>
      </c>
      <c r="Q348" t="str">
        <f t="shared" si="36"/>
        <v>No</v>
      </c>
      <c r="R348" t="str" cm="1">
        <f t="array" ref="R348">_xlfn.IFS(K348=0,"On Time",K348&lt;=2,"Minor",K348&lt;=5,"Major",K348&gt;5,"Severe")</f>
        <v>Severe</v>
      </c>
      <c r="S348">
        <f t="shared" si="37"/>
        <v>1986</v>
      </c>
      <c r="T348">
        <f t="shared" si="38"/>
        <v>2375</v>
      </c>
      <c r="U348">
        <f t="shared" si="39"/>
        <v>2024</v>
      </c>
      <c r="V348">
        <f t="shared" si="40"/>
        <v>4</v>
      </c>
      <c r="W348" s="11">
        <f t="shared" si="41"/>
        <v>1</v>
      </c>
    </row>
    <row r="349" spans="1:23">
      <c r="A349" t="s">
        <v>362</v>
      </c>
      <c r="B349" s="4">
        <v>45495</v>
      </c>
      <c r="C349" t="s">
        <v>2015</v>
      </c>
      <c r="D349" t="s">
        <v>2020</v>
      </c>
      <c r="E349" t="s">
        <v>2028</v>
      </c>
      <c r="F349" t="s">
        <v>2031</v>
      </c>
      <c r="G349" t="s">
        <v>2036</v>
      </c>
      <c r="H349" t="s">
        <v>2039</v>
      </c>
      <c r="I349">
        <v>2</v>
      </c>
      <c r="J349">
        <v>6</v>
      </c>
      <c r="K349">
        <v>4</v>
      </c>
      <c r="L349" t="s">
        <v>2041</v>
      </c>
      <c r="M349">
        <v>67</v>
      </c>
      <c r="N349">
        <v>7012</v>
      </c>
      <c r="O349">
        <v>10724</v>
      </c>
      <c r="P349" s="13">
        <f t="shared" si="35"/>
        <v>0</v>
      </c>
      <c r="Q349" t="str">
        <f t="shared" si="36"/>
        <v>No</v>
      </c>
      <c r="R349" t="str" cm="1">
        <f t="array" ref="R349">_xlfn.IFS(K349=0,"On Time",K349&lt;=2,"Minor",K349&lt;=5,"Major",K349&gt;5,"Severe")</f>
        <v>Major</v>
      </c>
      <c r="S349">
        <f t="shared" si="37"/>
        <v>2681</v>
      </c>
      <c r="T349">
        <f t="shared" si="38"/>
        <v>1753</v>
      </c>
      <c r="U349">
        <f t="shared" si="39"/>
        <v>2024</v>
      </c>
      <c r="V349">
        <f t="shared" si="40"/>
        <v>7</v>
      </c>
      <c r="W349" s="11">
        <f t="shared" si="41"/>
        <v>1</v>
      </c>
    </row>
    <row r="350" spans="1:23">
      <c r="A350" t="s">
        <v>363</v>
      </c>
      <c r="B350" s="4">
        <v>45608</v>
      </c>
      <c r="C350" t="s">
        <v>2017</v>
      </c>
      <c r="D350" t="s">
        <v>2022</v>
      </c>
      <c r="E350" t="s">
        <v>2029</v>
      </c>
      <c r="F350" t="s">
        <v>2030</v>
      </c>
      <c r="G350" t="s">
        <v>2033</v>
      </c>
      <c r="H350" t="s">
        <v>2038</v>
      </c>
      <c r="I350">
        <v>2</v>
      </c>
      <c r="J350">
        <v>6</v>
      </c>
      <c r="K350">
        <v>4</v>
      </c>
      <c r="L350" t="s">
        <v>2041</v>
      </c>
      <c r="M350">
        <v>72</v>
      </c>
      <c r="N350">
        <v>9136</v>
      </c>
      <c r="O350">
        <v>12036</v>
      </c>
      <c r="P350" s="13">
        <f t="shared" si="35"/>
        <v>0</v>
      </c>
      <c r="Q350" t="str">
        <f t="shared" si="36"/>
        <v>No</v>
      </c>
      <c r="R350" t="str" cm="1">
        <f t="array" ref="R350">_xlfn.IFS(K350=0,"On Time",K350&lt;=2,"Minor",K350&lt;=5,"Major",K350&gt;5,"Severe")</f>
        <v>Major</v>
      </c>
      <c r="S350">
        <f t="shared" si="37"/>
        <v>3009</v>
      </c>
      <c r="T350">
        <f t="shared" si="38"/>
        <v>2284</v>
      </c>
      <c r="U350">
        <f t="shared" si="39"/>
        <v>2024</v>
      </c>
      <c r="V350">
        <f t="shared" si="40"/>
        <v>11</v>
      </c>
      <c r="W350" s="11">
        <f t="shared" si="41"/>
        <v>1</v>
      </c>
    </row>
    <row r="351" spans="1:23">
      <c r="A351" t="s">
        <v>364</v>
      </c>
      <c r="B351" s="4">
        <v>45511</v>
      </c>
      <c r="C351" t="s">
        <v>2015</v>
      </c>
      <c r="D351" t="s">
        <v>2020</v>
      </c>
      <c r="E351" t="s">
        <v>2029</v>
      </c>
      <c r="F351" t="s">
        <v>2030</v>
      </c>
      <c r="G351" t="s">
        <v>2034</v>
      </c>
      <c r="H351" t="s">
        <v>2039</v>
      </c>
      <c r="I351">
        <v>3</v>
      </c>
      <c r="J351">
        <v>8</v>
      </c>
      <c r="K351">
        <v>5</v>
      </c>
      <c r="L351" t="s">
        <v>2041</v>
      </c>
      <c r="M351">
        <v>170</v>
      </c>
      <c r="N351">
        <v>12105</v>
      </c>
      <c r="O351">
        <v>22470</v>
      </c>
      <c r="P351" s="13">
        <f t="shared" si="35"/>
        <v>0</v>
      </c>
      <c r="Q351" t="str">
        <f t="shared" si="36"/>
        <v>No</v>
      </c>
      <c r="R351" t="str" cm="1">
        <f t="array" ref="R351">_xlfn.IFS(K351=0,"On Time",K351&lt;=2,"Minor",K351&lt;=5,"Major",K351&gt;5,"Severe")</f>
        <v>Major</v>
      </c>
      <c r="S351">
        <f t="shared" si="37"/>
        <v>4494</v>
      </c>
      <c r="T351">
        <f t="shared" si="38"/>
        <v>2421</v>
      </c>
      <c r="U351">
        <f t="shared" si="39"/>
        <v>2024</v>
      </c>
      <c r="V351">
        <f t="shared" si="40"/>
        <v>8</v>
      </c>
      <c r="W351" s="11">
        <f t="shared" si="41"/>
        <v>1</v>
      </c>
    </row>
    <row r="352" spans="1:23">
      <c r="A352" t="s">
        <v>365</v>
      </c>
      <c r="B352" s="4">
        <v>45347</v>
      </c>
      <c r="C352" t="s">
        <v>2016</v>
      </c>
      <c r="D352" t="s">
        <v>2025</v>
      </c>
      <c r="E352" t="s">
        <v>2028</v>
      </c>
      <c r="F352" t="s">
        <v>2030</v>
      </c>
      <c r="G352" t="s">
        <v>2033</v>
      </c>
      <c r="H352" t="s">
        <v>2038</v>
      </c>
      <c r="I352">
        <v>1</v>
      </c>
      <c r="J352">
        <v>5</v>
      </c>
      <c r="K352">
        <v>4</v>
      </c>
      <c r="L352" t="s">
        <v>2041</v>
      </c>
      <c r="M352">
        <v>467</v>
      </c>
      <c r="N352">
        <v>4008</v>
      </c>
      <c r="O352">
        <v>11964</v>
      </c>
      <c r="P352" s="13">
        <f t="shared" si="35"/>
        <v>0</v>
      </c>
      <c r="Q352" t="str">
        <f t="shared" si="36"/>
        <v>No</v>
      </c>
      <c r="R352" t="str" cm="1">
        <f t="array" ref="R352">_xlfn.IFS(K352=0,"On Time",K352&lt;=2,"Minor",K352&lt;=5,"Major",K352&gt;5,"Severe")</f>
        <v>Major</v>
      </c>
      <c r="S352">
        <f t="shared" si="37"/>
        <v>2991</v>
      </c>
      <c r="T352">
        <f t="shared" si="38"/>
        <v>1002</v>
      </c>
      <c r="U352">
        <f t="shared" si="39"/>
        <v>2024</v>
      </c>
      <c r="V352">
        <f t="shared" si="40"/>
        <v>2</v>
      </c>
      <c r="W352" s="11">
        <f t="shared" si="41"/>
        <v>1</v>
      </c>
    </row>
    <row r="353" spans="1:23">
      <c r="A353" t="s">
        <v>366</v>
      </c>
      <c r="B353" s="4">
        <v>45655</v>
      </c>
      <c r="C353" t="s">
        <v>2018</v>
      </c>
      <c r="D353" t="s">
        <v>2026</v>
      </c>
      <c r="E353" t="s">
        <v>2028</v>
      </c>
      <c r="F353" t="s">
        <v>2031</v>
      </c>
      <c r="G353" t="s">
        <v>2036</v>
      </c>
      <c r="H353" t="s">
        <v>2039</v>
      </c>
      <c r="I353">
        <v>1</v>
      </c>
      <c r="J353">
        <v>5</v>
      </c>
      <c r="K353">
        <v>4</v>
      </c>
      <c r="L353" t="s">
        <v>2041</v>
      </c>
      <c r="M353">
        <v>67</v>
      </c>
      <c r="N353">
        <v>6932</v>
      </c>
      <c r="O353">
        <v>10052</v>
      </c>
      <c r="P353" s="13">
        <f t="shared" si="35"/>
        <v>0</v>
      </c>
      <c r="Q353" t="str">
        <f t="shared" si="36"/>
        <v>No</v>
      </c>
      <c r="R353" t="str" cm="1">
        <f t="array" ref="R353">_xlfn.IFS(K353=0,"On Time",K353&lt;=2,"Minor",K353&lt;=5,"Major",K353&gt;5,"Severe")</f>
        <v>Major</v>
      </c>
      <c r="S353">
        <f t="shared" si="37"/>
        <v>2513</v>
      </c>
      <c r="T353">
        <f t="shared" si="38"/>
        <v>1733</v>
      </c>
      <c r="U353">
        <f t="shared" si="39"/>
        <v>2024</v>
      </c>
      <c r="V353">
        <f t="shared" si="40"/>
        <v>12</v>
      </c>
      <c r="W353" s="11">
        <f t="shared" si="41"/>
        <v>1</v>
      </c>
    </row>
    <row r="354" spans="1:23">
      <c r="A354" t="s">
        <v>367</v>
      </c>
      <c r="B354" s="4">
        <v>45549</v>
      </c>
      <c r="C354" t="s">
        <v>2015</v>
      </c>
      <c r="D354" t="s">
        <v>2020</v>
      </c>
      <c r="E354" t="s">
        <v>2029</v>
      </c>
      <c r="F354" t="s">
        <v>2030</v>
      </c>
      <c r="G354" t="s">
        <v>2035</v>
      </c>
      <c r="H354" t="s">
        <v>2038</v>
      </c>
      <c r="I354">
        <v>2</v>
      </c>
      <c r="J354">
        <v>5</v>
      </c>
      <c r="K354">
        <v>3</v>
      </c>
      <c r="L354" t="s">
        <v>2041</v>
      </c>
      <c r="M354">
        <v>184</v>
      </c>
      <c r="N354">
        <v>5277</v>
      </c>
      <c r="O354">
        <v>11145</v>
      </c>
      <c r="P354" s="13">
        <f t="shared" si="35"/>
        <v>0</v>
      </c>
      <c r="Q354" t="str">
        <f t="shared" si="36"/>
        <v>No</v>
      </c>
      <c r="R354" t="str" cm="1">
        <f t="array" ref="R354">_xlfn.IFS(K354=0,"On Time",K354&lt;=2,"Minor",K354&lt;=5,"Major",K354&gt;5,"Severe")</f>
        <v>Major</v>
      </c>
      <c r="S354">
        <f t="shared" si="37"/>
        <v>3715</v>
      </c>
      <c r="T354">
        <f t="shared" si="38"/>
        <v>1759</v>
      </c>
      <c r="U354">
        <f t="shared" si="39"/>
        <v>2024</v>
      </c>
      <c r="V354">
        <f t="shared" si="40"/>
        <v>9</v>
      </c>
      <c r="W354" s="11">
        <f t="shared" si="41"/>
        <v>1</v>
      </c>
    </row>
    <row r="355" spans="1:23">
      <c r="A355" t="s">
        <v>368</v>
      </c>
      <c r="B355" s="4">
        <v>45425</v>
      </c>
      <c r="C355" t="s">
        <v>2017</v>
      </c>
      <c r="D355" t="s">
        <v>2022</v>
      </c>
      <c r="E355" t="s">
        <v>2029</v>
      </c>
      <c r="F355" t="s">
        <v>2031</v>
      </c>
      <c r="G355" t="s">
        <v>2033</v>
      </c>
      <c r="H355" t="s">
        <v>2040</v>
      </c>
      <c r="I355">
        <v>3</v>
      </c>
      <c r="J355">
        <v>11</v>
      </c>
      <c r="K355">
        <v>8</v>
      </c>
      <c r="L355" t="s">
        <v>2041</v>
      </c>
      <c r="M355">
        <v>218</v>
      </c>
      <c r="N355">
        <v>10384</v>
      </c>
      <c r="O355">
        <v>29032</v>
      </c>
      <c r="P355" s="13">
        <f t="shared" si="35"/>
        <v>0</v>
      </c>
      <c r="Q355" t="str">
        <f t="shared" si="36"/>
        <v>No</v>
      </c>
      <c r="R355" t="str" cm="1">
        <f t="array" ref="R355">_xlfn.IFS(K355=0,"On Time",K355&lt;=2,"Minor",K355&lt;=5,"Major",K355&gt;5,"Severe")</f>
        <v>Severe</v>
      </c>
      <c r="S355">
        <f t="shared" si="37"/>
        <v>3629</v>
      </c>
      <c r="T355">
        <f t="shared" si="38"/>
        <v>1298</v>
      </c>
      <c r="U355">
        <f t="shared" si="39"/>
        <v>2024</v>
      </c>
      <c r="V355">
        <f t="shared" si="40"/>
        <v>5</v>
      </c>
      <c r="W355" s="11">
        <f t="shared" si="41"/>
        <v>1</v>
      </c>
    </row>
    <row r="356" spans="1:23">
      <c r="A356" t="s">
        <v>369</v>
      </c>
      <c r="B356" s="4">
        <v>45556</v>
      </c>
      <c r="C356" t="s">
        <v>2018</v>
      </c>
      <c r="D356" t="s">
        <v>2024</v>
      </c>
      <c r="E356" t="s">
        <v>2029</v>
      </c>
      <c r="F356" t="s">
        <v>2031</v>
      </c>
      <c r="G356" t="s">
        <v>2034</v>
      </c>
      <c r="H356" t="s">
        <v>2038</v>
      </c>
      <c r="I356">
        <v>1</v>
      </c>
      <c r="J356">
        <v>1</v>
      </c>
      <c r="K356">
        <v>0</v>
      </c>
      <c r="L356" t="s">
        <v>2042</v>
      </c>
      <c r="M356">
        <v>145</v>
      </c>
      <c r="N356">
        <v>0</v>
      </c>
      <c r="O356">
        <v>0</v>
      </c>
      <c r="P356" s="13">
        <f t="shared" si="35"/>
        <v>1</v>
      </c>
      <c r="Q356" t="str">
        <f t="shared" si="36"/>
        <v>No</v>
      </c>
      <c r="R356" t="str" cm="1">
        <f t="array" ref="R356">_xlfn.IFS(K356=0,"On Time",K356&lt;=2,"Minor",K356&lt;=5,"Major",K356&gt;5,"Severe")</f>
        <v>On Time</v>
      </c>
      <c r="S356">
        <f t="shared" si="37"/>
        <v>0</v>
      </c>
      <c r="T356">
        <f t="shared" si="38"/>
        <v>0</v>
      </c>
      <c r="U356">
        <f t="shared" si="39"/>
        <v>2024</v>
      </c>
      <c r="V356">
        <f t="shared" si="40"/>
        <v>9</v>
      </c>
      <c r="W356" s="11">
        <f t="shared" si="41"/>
        <v>0</v>
      </c>
    </row>
    <row r="357" spans="1:23">
      <c r="A357" t="s">
        <v>370</v>
      </c>
      <c r="B357" s="4">
        <v>45424</v>
      </c>
      <c r="C357" t="s">
        <v>2017</v>
      </c>
      <c r="D357" t="s">
        <v>2023</v>
      </c>
      <c r="E357" t="s">
        <v>2029</v>
      </c>
      <c r="F357" t="s">
        <v>2031</v>
      </c>
      <c r="G357" t="s">
        <v>2037</v>
      </c>
      <c r="H357" t="s">
        <v>2038</v>
      </c>
      <c r="I357">
        <v>2</v>
      </c>
      <c r="J357">
        <v>3</v>
      </c>
      <c r="K357">
        <v>1</v>
      </c>
      <c r="L357" t="s">
        <v>2041</v>
      </c>
      <c r="M357">
        <v>268</v>
      </c>
      <c r="N357">
        <v>2461</v>
      </c>
      <c r="O357">
        <v>2835</v>
      </c>
      <c r="P357" s="13">
        <f t="shared" si="35"/>
        <v>0</v>
      </c>
      <c r="Q357" t="str">
        <f t="shared" si="36"/>
        <v>No</v>
      </c>
      <c r="R357" t="str" cm="1">
        <f t="array" ref="R357">_xlfn.IFS(K357=0,"On Time",K357&lt;=2,"Minor",K357&lt;=5,"Major",K357&gt;5,"Severe")</f>
        <v>Minor</v>
      </c>
      <c r="S357">
        <f t="shared" si="37"/>
        <v>2835</v>
      </c>
      <c r="T357">
        <f t="shared" si="38"/>
        <v>2461</v>
      </c>
      <c r="U357">
        <f t="shared" si="39"/>
        <v>2024</v>
      </c>
      <c r="V357">
        <f t="shared" si="40"/>
        <v>5</v>
      </c>
      <c r="W357" s="11">
        <f t="shared" si="41"/>
        <v>1</v>
      </c>
    </row>
    <row r="358" spans="1:23">
      <c r="A358" t="s">
        <v>371</v>
      </c>
      <c r="B358" s="4">
        <v>45378</v>
      </c>
      <c r="C358" t="s">
        <v>2016</v>
      </c>
      <c r="D358" t="s">
        <v>2021</v>
      </c>
      <c r="E358" t="s">
        <v>2029</v>
      </c>
      <c r="F358" t="s">
        <v>2030</v>
      </c>
      <c r="G358" t="s">
        <v>2033</v>
      </c>
      <c r="H358" t="s">
        <v>2038</v>
      </c>
      <c r="I358">
        <v>2</v>
      </c>
      <c r="J358">
        <v>7</v>
      </c>
      <c r="K358">
        <v>5</v>
      </c>
      <c r="L358" t="s">
        <v>2041</v>
      </c>
      <c r="M358">
        <v>208</v>
      </c>
      <c r="N358">
        <v>9590</v>
      </c>
      <c r="O358">
        <v>11170</v>
      </c>
      <c r="P358" s="13">
        <f t="shared" si="35"/>
        <v>0</v>
      </c>
      <c r="Q358" t="str">
        <f t="shared" si="36"/>
        <v>No</v>
      </c>
      <c r="R358" t="str" cm="1">
        <f t="array" ref="R358">_xlfn.IFS(K358=0,"On Time",K358&lt;=2,"Minor",K358&lt;=5,"Major",K358&gt;5,"Severe")</f>
        <v>Major</v>
      </c>
      <c r="S358">
        <f t="shared" si="37"/>
        <v>2234</v>
      </c>
      <c r="T358">
        <f t="shared" si="38"/>
        <v>1918</v>
      </c>
      <c r="U358">
        <f t="shared" si="39"/>
        <v>2024</v>
      </c>
      <c r="V358">
        <f t="shared" si="40"/>
        <v>3</v>
      </c>
      <c r="W358" s="11">
        <f t="shared" si="41"/>
        <v>1</v>
      </c>
    </row>
    <row r="359" spans="1:23">
      <c r="A359" t="s">
        <v>372</v>
      </c>
      <c r="B359" s="4">
        <v>45372</v>
      </c>
      <c r="C359" t="s">
        <v>2015</v>
      </c>
      <c r="D359" t="s">
        <v>2020</v>
      </c>
      <c r="E359" t="s">
        <v>2028</v>
      </c>
      <c r="F359" t="s">
        <v>2030</v>
      </c>
      <c r="G359" t="s">
        <v>2036</v>
      </c>
      <c r="H359" t="s">
        <v>2038</v>
      </c>
      <c r="I359">
        <v>1</v>
      </c>
      <c r="J359">
        <v>1</v>
      </c>
      <c r="K359">
        <v>0</v>
      </c>
      <c r="L359" t="s">
        <v>2042</v>
      </c>
      <c r="M359">
        <v>360</v>
      </c>
      <c r="N359">
        <v>0</v>
      </c>
      <c r="O359">
        <v>0</v>
      </c>
      <c r="P359" s="13">
        <f t="shared" si="35"/>
        <v>1</v>
      </c>
      <c r="Q359" t="str">
        <f t="shared" si="36"/>
        <v>No</v>
      </c>
      <c r="R359" t="str" cm="1">
        <f t="array" ref="R359">_xlfn.IFS(K359=0,"On Time",K359&lt;=2,"Minor",K359&lt;=5,"Major",K359&gt;5,"Severe")</f>
        <v>On Time</v>
      </c>
      <c r="S359">
        <f t="shared" si="37"/>
        <v>0</v>
      </c>
      <c r="T359">
        <f t="shared" si="38"/>
        <v>0</v>
      </c>
      <c r="U359">
        <f t="shared" si="39"/>
        <v>2024</v>
      </c>
      <c r="V359">
        <f t="shared" si="40"/>
        <v>3</v>
      </c>
      <c r="W359" s="11">
        <f t="shared" si="41"/>
        <v>0</v>
      </c>
    </row>
    <row r="360" spans="1:23">
      <c r="A360" t="s">
        <v>373</v>
      </c>
      <c r="B360" s="4">
        <v>45652</v>
      </c>
      <c r="C360" t="s">
        <v>2018</v>
      </c>
      <c r="D360" t="s">
        <v>2024</v>
      </c>
      <c r="E360" t="s">
        <v>2027</v>
      </c>
      <c r="F360" t="s">
        <v>2031</v>
      </c>
      <c r="G360" t="s">
        <v>2035</v>
      </c>
      <c r="H360" t="s">
        <v>2038</v>
      </c>
      <c r="I360">
        <v>2</v>
      </c>
      <c r="J360">
        <v>5</v>
      </c>
      <c r="K360">
        <v>3</v>
      </c>
      <c r="L360" t="s">
        <v>2041</v>
      </c>
      <c r="M360">
        <v>254</v>
      </c>
      <c r="N360">
        <v>6855</v>
      </c>
      <c r="O360">
        <v>6699</v>
      </c>
      <c r="P360" s="13">
        <f t="shared" si="35"/>
        <v>0</v>
      </c>
      <c r="Q360" t="str">
        <f t="shared" si="36"/>
        <v>No</v>
      </c>
      <c r="R360" t="str" cm="1">
        <f t="array" ref="R360">_xlfn.IFS(K360=0,"On Time",K360&lt;=2,"Minor",K360&lt;=5,"Major",K360&gt;5,"Severe")</f>
        <v>Major</v>
      </c>
      <c r="S360">
        <f t="shared" si="37"/>
        <v>2233</v>
      </c>
      <c r="T360">
        <f t="shared" si="38"/>
        <v>2285</v>
      </c>
      <c r="U360">
        <f t="shared" si="39"/>
        <v>2024</v>
      </c>
      <c r="V360">
        <f t="shared" si="40"/>
        <v>12</v>
      </c>
      <c r="W360" s="11">
        <f t="shared" si="41"/>
        <v>1</v>
      </c>
    </row>
    <row r="361" spans="1:23">
      <c r="A361" t="s">
        <v>374</v>
      </c>
      <c r="B361" s="4">
        <v>45306</v>
      </c>
      <c r="C361" t="s">
        <v>2018</v>
      </c>
      <c r="D361" t="s">
        <v>2026</v>
      </c>
      <c r="E361" t="s">
        <v>2029</v>
      </c>
      <c r="F361" t="s">
        <v>2031</v>
      </c>
      <c r="G361" t="s">
        <v>2033</v>
      </c>
      <c r="H361" t="s">
        <v>2038</v>
      </c>
      <c r="I361">
        <v>2</v>
      </c>
      <c r="J361">
        <v>3</v>
      </c>
      <c r="K361">
        <v>1</v>
      </c>
      <c r="L361" t="s">
        <v>2041</v>
      </c>
      <c r="M361">
        <v>84</v>
      </c>
      <c r="N361">
        <v>1809</v>
      </c>
      <c r="O361">
        <v>4380</v>
      </c>
      <c r="P361" s="13">
        <f t="shared" si="35"/>
        <v>0</v>
      </c>
      <c r="Q361" t="str">
        <f t="shared" si="36"/>
        <v>No</v>
      </c>
      <c r="R361" t="str" cm="1">
        <f t="array" ref="R361">_xlfn.IFS(K361=0,"On Time",K361&lt;=2,"Minor",K361&lt;=5,"Major",K361&gt;5,"Severe")</f>
        <v>Minor</v>
      </c>
      <c r="S361">
        <f t="shared" si="37"/>
        <v>4380</v>
      </c>
      <c r="T361">
        <f t="shared" si="38"/>
        <v>1809</v>
      </c>
      <c r="U361">
        <f t="shared" si="39"/>
        <v>2024</v>
      </c>
      <c r="V361">
        <f t="shared" si="40"/>
        <v>1</v>
      </c>
      <c r="W361" s="11">
        <f t="shared" si="41"/>
        <v>1</v>
      </c>
    </row>
    <row r="362" spans="1:23">
      <c r="A362" t="s">
        <v>375</v>
      </c>
      <c r="B362" s="4">
        <v>45547</v>
      </c>
      <c r="C362" t="s">
        <v>2018</v>
      </c>
      <c r="D362" t="s">
        <v>2026</v>
      </c>
      <c r="E362" t="s">
        <v>2029</v>
      </c>
      <c r="F362" t="s">
        <v>2030</v>
      </c>
      <c r="G362" t="s">
        <v>2036</v>
      </c>
      <c r="H362" t="s">
        <v>2039</v>
      </c>
      <c r="I362">
        <v>2</v>
      </c>
      <c r="J362">
        <v>5</v>
      </c>
      <c r="K362">
        <v>3</v>
      </c>
      <c r="L362" t="s">
        <v>2041</v>
      </c>
      <c r="M362">
        <v>291</v>
      </c>
      <c r="N362">
        <v>4887</v>
      </c>
      <c r="O362">
        <v>13608</v>
      </c>
      <c r="P362" s="13">
        <f t="shared" si="35"/>
        <v>0</v>
      </c>
      <c r="Q362" t="str">
        <f t="shared" si="36"/>
        <v>No</v>
      </c>
      <c r="R362" t="str" cm="1">
        <f t="array" ref="R362">_xlfn.IFS(K362=0,"On Time",K362&lt;=2,"Minor",K362&lt;=5,"Major",K362&gt;5,"Severe")</f>
        <v>Major</v>
      </c>
      <c r="S362">
        <f t="shared" si="37"/>
        <v>4536</v>
      </c>
      <c r="T362">
        <f t="shared" si="38"/>
        <v>1629</v>
      </c>
      <c r="U362">
        <f t="shared" si="39"/>
        <v>2024</v>
      </c>
      <c r="V362">
        <f t="shared" si="40"/>
        <v>9</v>
      </c>
      <c r="W362" s="11">
        <f t="shared" si="41"/>
        <v>1</v>
      </c>
    </row>
    <row r="363" spans="1:23">
      <c r="A363" t="s">
        <v>376</v>
      </c>
      <c r="B363" s="4">
        <v>45526</v>
      </c>
      <c r="C363" t="s">
        <v>2015</v>
      </c>
      <c r="D363" t="s">
        <v>2019</v>
      </c>
      <c r="E363" t="s">
        <v>2027</v>
      </c>
      <c r="F363" t="s">
        <v>2032</v>
      </c>
      <c r="G363" t="s">
        <v>2037</v>
      </c>
      <c r="H363" t="s">
        <v>2038</v>
      </c>
      <c r="I363">
        <v>2</v>
      </c>
      <c r="J363">
        <v>9</v>
      </c>
      <c r="K363">
        <v>7</v>
      </c>
      <c r="L363" t="s">
        <v>2041</v>
      </c>
      <c r="M363">
        <v>110</v>
      </c>
      <c r="N363">
        <v>10486</v>
      </c>
      <c r="O363">
        <v>11172</v>
      </c>
      <c r="P363" s="13">
        <f t="shared" si="35"/>
        <v>0</v>
      </c>
      <c r="Q363" t="str">
        <f t="shared" si="36"/>
        <v>No</v>
      </c>
      <c r="R363" t="str" cm="1">
        <f t="array" ref="R363">_xlfn.IFS(K363=0,"On Time",K363&lt;=2,"Minor",K363&lt;=5,"Major",K363&gt;5,"Severe")</f>
        <v>Severe</v>
      </c>
      <c r="S363">
        <f t="shared" si="37"/>
        <v>1596</v>
      </c>
      <c r="T363">
        <f t="shared" si="38"/>
        <v>1498</v>
      </c>
      <c r="U363">
        <f t="shared" si="39"/>
        <v>2024</v>
      </c>
      <c r="V363">
        <f t="shared" si="40"/>
        <v>8</v>
      </c>
      <c r="W363" s="11">
        <f t="shared" si="41"/>
        <v>1</v>
      </c>
    </row>
    <row r="364" spans="1:23">
      <c r="A364" t="s">
        <v>377</v>
      </c>
      <c r="B364" s="4">
        <v>45368</v>
      </c>
      <c r="C364" t="s">
        <v>2016</v>
      </c>
      <c r="D364" t="s">
        <v>2021</v>
      </c>
      <c r="E364" t="s">
        <v>2028</v>
      </c>
      <c r="F364" t="s">
        <v>2030</v>
      </c>
      <c r="G364" t="s">
        <v>2034</v>
      </c>
      <c r="H364" t="s">
        <v>2039</v>
      </c>
      <c r="I364">
        <v>1</v>
      </c>
      <c r="J364">
        <v>1</v>
      </c>
      <c r="K364">
        <v>0</v>
      </c>
      <c r="L364" t="s">
        <v>2042</v>
      </c>
      <c r="M364">
        <v>220</v>
      </c>
      <c r="N364">
        <v>0</v>
      </c>
      <c r="O364">
        <v>0</v>
      </c>
      <c r="P364" s="13">
        <f t="shared" si="35"/>
        <v>1</v>
      </c>
      <c r="Q364" t="str">
        <f t="shared" si="36"/>
        <v>No</v>
      </c>
      <c r="R364" t="str" cm="1">
        <f t="array" ref="R364">_xlfn.IFS(K364=0,"On Time",K364&lt;=2,"Minor",K364&lt;=5,"Major",K364&gt;5,"Severe")</f>
        <v>On Time</v>
      </c>
      <c r="S364">
        <f t="shared" si="37"/>
        <v>0</v>
      </c>
      <c r="T364">
        <f t="shared" si="38"/>
        <v>0</v>
      </c>
      <c r="U364">
        <f t="shared" si="39"/>
        <v>2024</v>
      </c>
      <c r="V364">
        <f t="shared" si="40"/>
        <v>3</v>
      </c>
      <c r="W364" s="11">
        <f t="shared" si="41"/>
        <v>0</v>
      </c>
    </row>
    <row r="365" spans="1:23">
      <c r="A365" t="s">
        <v>378</v>
      </c>
      <c r="B365" s="4">
        <v>45338</v>
      </c>
      <c r="C365" t="s">
        <v>2017</v>
      </c>
      <c r="D365" t="s">
        <v>2022</v>
      </c>
      <c r="E365" t="s">
        <v>2029</v>
      </c>
      <c r="F365" t="s">
        <v>2030</v>
      </c>
      <c r="G365" t="s">
        <v>2037</v>
      </c>
      <c r="H365" t="s">
        <v>2038</v>
      </c>
      <c r="I365">
        <v>3</v>
      </c>
      <c r="J365">
        <v>8</v>
      </c>
      <c r="K365">
        <v>5</v>
      </c>
      <c r="L365" t="s">
        <v>2041</v>
      </c>
      <c r="M365">
        <v>107</v>
      </c>
      <c r="N365">
        <v>9190</v>
      </c>
      <c r="O365">
        <v>14765</v>
      </c>
      <c r="P365" s="13">
        <f t="shared" si="35"/>
        <v>0</v>
      </c>
      <c r="Q365" t="str">
        <f t="shared" si="36"/>
        <v>No</v>
      </c>
      <c r="R365" t="str" cm="1">
        <f t="array" ref="R365">_xlfn.IFS(K365=0,"On Time",K365&lt;=2,"Minor",K365&lt;=5,"Major",K365&gt;5,"Severe")</f>
        <v>Major</v>
      </c>
      <c r="S365">
        <f t="shared" si="37"/>
        <v>2953</v>
      </c>
      <c r="T365">
        <f t="shared" si="38"/>
        <v>1838</v>
      </c>
      <c r="U365">
        <f t="shared" si="39"/>
        <v>2024</v>
      </c>
      <c r="V365">
        <f t="shared" si="40"/>
        <v>2</v>
      </c>
      <c r="W365" s="11">
        <f t="shared" si="41"/>
        <v>1</v>
      </c>
    </row>
    <row r="366" spans="1:23">
      <c r="A366" t="s">
        <v>379</v>
      </c>
      <c r="B366" s="4">
        <v>45511</v>
      </c>
      <c r="C366" t="s">
        <v>2018</v>
      </c>
      <c r="D366" t="s">
        <v>2026</v>
      </c>
      <c r="E366" t="s">
        <v>2027</v>
      </c>
      <c r="F366" t="s">
        <v>2032</v>
      </c>
      <c r="G366" t="s">
        <v>2034</v>
      </c>
      <c r="H366" t="s">
        <v>2040</v>
      </c>
      <c r="I366">
        <v>3</v>
      </c>
      <c r="J366">
        <v>12</v>
      </c>
      <c r="K366">
        <v>9</v>
      </c>
      <c r="L366" t="s">
        <v>2041</v>
      </c>
      <c r="M366">
        <v>351</v>
      </c>
      <c r="N366">
        <v>9729</v>
      </c>
      <c r="O366">
        <v>27360</v>
      </c>
      <c r="P366" s="13">
        <f t="shared" si="35"/>
        <v>0</v>
      </c>
      <c r="Q366" t="str">
        <f t="shared" si="36"/>
        <v>No</v>
      </c>
      <c r="R366" t="str" cm="1">
        <f t="array" ref="R366">_xlfn.IFS(K366=0,"On Time",K366&lt;=2,"Minor",K366&lt;=5,"Major",K366&gt;5,"Severe")</f>
        <v>Severe</v>
      </c>
      <c r="S366">
        <f t="shared" si="37"/>
        <v>3040</v>
      </c>
      <c r="T366">
        <f t="shared" si="38"/>
        <v>1081</v>
      </c>
      <c r="U366">
        <f t="shared" si="39"/>
        <v>2024</v>
      </c>
      <c r="V366">
        <f t="shared" si="40"/>
        <v>8</v>
      </c>
      <c r="W366" s="11">
        <f t="shared" si="41"/>
        <v>1</v>
      </c>
    </row>
    <row r="367" spans="1:23">
      <c r="A367" t="s">
        <v>380</v>
      </c>
      <c r="B367" s="4">
        <v>45455</v>
      </c>
      <c r="C367" t="s">
        <v>2018</v>
      </c>
      <c r="D367" t="s">
        <v>2024</v>
      </c>
      <c r="E367" t="s">
        <v>2029</v>
      </c>
      <c r="F367" t="s">
        <v>2031</v>
      </c>
      <c r="G367" t="s">
        <v>2033</v>
      </c>
      <c r="H367" t="s">
        <v>2040</v>
      </c>
      <c r="I367">
        <v>3</v>
      </c>
      <c r="J367">
        <v>7</v>
      </c>
      <c r="K367">
        <v>4</v>
      </c>
      <c r="L367" t="s">
        <v>2041</v>
      </c>
      <c r="M367">
        <v>171</v>
      </c>
      <c r="N367">
        <v>5476</v>
      </c>
      <c r="O367">
        <v>6892</v>
      </c>
      <c r="P367" s="13">
        <f t="shared" si="35"/>
        <v>0</v>
      </c>
      <c r="Q367" t="str">
        <f t="shared" si="36"/>
        <v>No</v>
      </c>
      <c r="R367" t="str" cm="1">
        <f t="array" ref="R367">_xlfn.IFS(K367=0,"On Time",K367&lt;=2,"Minor",K367&lt;=5,"Major",K367&gt;5,"Severe")</f>
        <v>Major</v>
      </c>
      <c r="S367">
        <f t="shared" si="37"/>
        <v>1723</v>
      </c>
      <c r="T367">
        <f t="shared" si="38"/>
        <v>1369</v>
      </c>
      <c r="U367">
        <f t="shared" si="39"/>
        <v>2024</v>
      </c>
      <c r="V367">
        <f t="shared" si="40"/>
        <v>6</v>
      </c>
      <c r="W367" s="11">
        <f t="shared" si="41"/>
        <v>1</v>
      </c>
    </row>
    <row r="368" spans="1:23">
      <c r="A368" t="s">
        <v>381</v>
      </c>
      <c r="B368" s="4">
        <v>45493</v>
      </c>
      <c r="C368" t="s">
        <v>2016</v>
      </c>
      <c r="D368" t="s">
        <v>2025</v>
      </c>
      <c r="E368" t="s">
        <v>2028</v>
      </c>
      <c r="F368" t="s">
        <v>2030</v>
      </c>
      <c r="G368" t="s">
        <v>2035</v>
      </c>
      <c r="H368" t="s">
        <v>2038</v>
      </c>
      <c r="I368">
        <v>2</v>
      </c>
      <c r="J368">
        <v>4</v>
      </c>
      <c r="K368">
        <v>2</v>
      </c>
      <c r="L368" t="s">
        <v>2041</v>
      </c>
      <c r="M368">
        <v>74</v>
      </c>
      <c r="N368">
        <v>2418</v>
      </c>
      <c r="O368">
        <v>6418</v>
      </c>
      <c r="P368" s="13">
        <f t="shared" si="35"/>
        <v>0</v>
      </c>
      <c r="Q368" t="str">
        <f t="shared" si="36"/>
        <v>No</v>
      </c>
      <c r="R368" t="str" cm="1">
        <f t="array" ref="R368">_xlfn.IFS(K368=0,"On Time",K368&lt;=2,"Minor",K368&lt;=5,"Major",K368&gt;5,"Severe")</f>
        <v>Minor</v>
      </c>
      <c r="S368">
        <f t="shared" si="37"/>
        <v>3209</v>
      </c>
      <c r="T368">
        <f t="shared" si="38"/>
        <v>1209</v>
      </c>
      <c r="U368">
        <f t="shared" si="39"/>
        <v>2024</v>
      </c>
      <c r="V368">
        <f t="shared" si="40"/>
        <v>7</v>
      </c>
      <c r="W368" s="11">
        <f t="shared" si="41"/>
        <v>1</v>
      </c>
    </row>
    <row r="369" spans="1:23">
      <c r="A369" t="s">
        <v>382</v>
      </c>
      <c r="B369" s="4">
        <v>45537</v>
      </c>
      <c r="C369" t="s">
        <v>2018</v>
      </c>
      <c r="D369" t="s">
        <v>2024</v>
      </c>
      <c r="E369" t="s">
        <v>2029</v>
      </c>
      <c r="F369" t="s">
        <v>2031</v>
      </c>
      <c r="G369" t="s">
        <v>2035</v>
      </c>
      <c r="H369" t="s">
        <v>2038</v>
      </c>
      <c r="I369">
        <v>5</v>
      </c>
      <c r="J369">
        <v>9</v>
      </c>
      <c r="K369">
        <v>4</v>
      </c>
      <c r="L369" t="s">
        <v>2041</v>
      </c>
      <c r="M369">
        <v>363</v>
      </c>
      <c r="N369">
        <v>8760</v>
      </c>
      <c r="O369">
        <v>6312</v>
      </c>
      <c r="P369" s="13">
        <f t="shared" si="35"/>
        <v>0</v>
      </c>
      <c r="Q369" t="str">
        <f t="shared" si="36"/>
        <v>No</v>
      </c>
      <c r="R369" t="str" cm="1">
        <f t="array" ref="R369">_xlfn.IFS(K369=0,"On Time",K369&lt;=2,"Minor",K369&lt;=5,"Major",K369&gt;5,"Severe")</f>
        <v>Major</v>
      </c>
      <c r="S369">
        <f t="shared" si="37"/>
        <v>1578</v>
      </c>
      <c r="T369">
        <f t="shared" si="38"/>
        <v>2190</v>
      </c>
      <c r="U369">
        <f t="shared" si="39"/>
        <v>2024</v>
      </c>
      <c r="V369">
        <f t="shared" si="40"/>
        <v>9</v>
      </c>
      <c r="W369" s="11">
        <f t="shared" si="41"/>
        <v>1</v>
      </c>
    </row>
    <row r="370" spans="1:23">
      <c r="A370" t="s">
        <v>383</v>
      </c>
      <c r="B370" s="4">
        <v>45460</v>
      </c>
      <c r="C370" t="s">
        <v>2018</v>
      </c>
      <c r="D370" t="s">
        <v>2026</v>
      </c>
      <c r="E370" t="s">
        <v>2029</v>
      </c>
      <c r="F370" t="s">
        <v>2031</v>
      </c>
      <c r="G370" t="s">
        <v>2033</v>
      </c>
      <c r="H370" t="s">
        <v>2039</v>
      </c>
      <c r="I370">
        <v>1</v>
      </c>
      <c r="J370">
        <v>6</v>
      </c>
      <c r="K370">
        <v>5</v>
      </c>
      <c r="L370" t="s">
        <v>2041</v>
      </c>
      <c r="M370">
        <v>64</v>
      </c>
      <c r="N370">
        <v>8780</v>
      </c>
      <c r="O370">
        <v>19625</v>
      </c>
      <c r="P370" s="13">
        <f t="shared" si="35"/>
        <v>0</v>
      </c>
      <c r="Q370" t="str">
        <f t="shared" si="36"/>
        <v>No</v>
      </c>
      <c r="R370" t="str" cm="1">
        <f t="array" ref="R370">_xlfn.IFS(K370=0,"On Time",K370&lt;=2,"Minor",K370&lt;=5,"Major",K370&gt;5,"Severe")</f>
        <v>Major</v>
      </c>
      <c r="S370">
        <f t="shared" si="37"/>
        <v>3925</v>
      </c>
      <c r="T370">
        <f t="shared" si="38"/>
        <v>1756</v>
      </c>
      <c r="U370">
        <f t="shared" si="39"/>
        <v>2024</v>
      </c>
      <c r="V370">
        <f t="shared" si="40"/>
        <v>6</v>
      </c>
      <c r="W370" s="11">
        <f t="shared" si="41"/>
        <v>1</v>
      </c>
    </row>
    <row r="371" spans="1:23">
      <c r="A371" t="s">
        <v>384</v>
      </c>
      <c r="B371" s="4">
        <v>45446</v>
      </c>
      <c r="C371" t="s">
        <v>2016</v>
      </c>
      <c r="D371" t="s">
        <v>2021</v>
      </c>
      <c r="E371" t="s">
        <v>2028</v>
      </c>
      <c r="F371" t="s">
        <v>2030</v>
      </c>
      <c r="G371" t="s">
        <v>2035</v>
      </c>
      <c r="H371" t="s">
        <v>2039</v>
      </c>
      <c r="I371">
        <v>2</v>
      </c>
      <c r="J371">
        <v>7</v>
      </c>
      <c r="K371">
        <v>5</v>
      </c>
      <c r="L371" t="s">
        <v>2041</v>
      </c>
      <c r="M371">
        <v>72</v>
      </c>
      <c r="N371">
        <v>10610</v>
      </c>
      <c r="O371">
        <v>7550</v>
      </c>
      <c r="P371" s="13">
        <f t="shared" si="35"/>
        <v>0</v>
      </c>
      <c r="Q371" t="str">
        <f t="shared" si="36"/>
        <v>No</v>
      </c>
      <c r="R371" t="str" cm="1">
        <f t="array" ref="R371">_xlfn.IFS(K371=0,"On Time",K371&lt;=2,"Minor",K371&lt;=5,"Major",K371&gt;5,"Severe")</f>
        <v>Major</v>
      </c>
      <c r="S371">
        <f t="shared" si="37"/>
        <v>1510</v>
      </c>
      <c r="T371">
        <f t="shared" si="38"/>
        <v>2122</v>
      </c>
      <c r="U371">
        <f t="shared" si="39"/>
        <v>2024</v>
      </c>
      <c r="V371">
        <f t="shared" si="40"/>
        <v>6</v>
      </c>
      <c r="W371" s="11">
        <f t="shared" si="41"/>
        <v>1</v>
      </c>
    </row>
    <row r="372" spans="1:23">
      <c r="A372" t="s">
        <v>385</v>
      </c>
      <c r="B372" s="4">
        <v>45652</v>
      </c>
      <c r="C372" t="s">
        <v>2015</v>
      </c>
      <c r="D372" t="s">
        <v>2019</v>
      </c>
      <c r="E372" t="s">
        <v>2028</v>
      </c>
      <c r="F372" t="s">
        <v>2030</v>
      </c>
      <c r="G372" t="s">
        <v>2033</v>
      </c>
      <c r="H372" t="s">
        <v>2040</v>
      </c>
      <c r="I372">
        <v>3</v>
      </c>
      <c r="J372">
        <v>6</v>
      </c>
      <c r="K372">
        <v>3</v>
      </c>
      <c r="L372" t="s">
        <v>2041</v>
      </c>
      <c r="M372">
        <v>184</v>
      </c>
      <c r="N372">
        <v>5118</v>
      </c>
      <c r="O372">
        <v>14571</v>
      </c>
      <c r="P372" s="13">
        <f t="shared" si="35"/>
        <v>0</v>
      </c>
      <c r="Q372" t="str">
        <f t="shared" si="36"/>
        <v>No</v>
      </c>
      <c r="R372" t="str" cm="1">
        <f t="array" ref="R372">_xlfn.IFS(K372=0,"On Time",K372&lt;=2,"Minor",K372&lt;=5,"Major",K372&gt;5,"Severe")</f>
        <v>Major</v>
      </c>
      <c r="S372">
        <f t="shared" si="37"/>
        <v>4857</v>
      </c>
      <c r="T372">
        <f t="shared" si="38"/>
        <v>1706</v>
      </c>
      <c r="U372">
        <f t="shared" si="39"/>
        <v>2024</v>
      </c>
      <c r="V372">
        <f t="shared" si="40"/>
        <v>12</v>
      </c>
      <c r="W372" s="11">
        <f t="shared" si="41"/>
        <v>1</v>
      </c>
    </row>
    <row r="373" spans="1:23">
      <c r="A373" t="s">
        <v>386</v>
      </c>
      <c r="B373" s="4">
        <v>45360</v>
      </c>
      <c r="C373" t="s">
        <v>2017</v>
      </c>
      <c r="D373" t="s">
        <v>2023</v>
      </c>
      <c r="E373" t="s">
        <v>2027</v>
      </c>
      <c r="F373" t="s">
        <v>2031</v>
      </c>
      <c r="G373" t="s">
        <v>2036</v>
      </c>
      <c r="H373" t="s">
        <v>2039</v>
      </c>
      <c r="I373">
        <v>2</v>
      </c>
      <c r="J373">
        <v>4</v>
      </c>
      <c r="K373">
        <v>2</v>
      </c>
      <c r="L373" t="s">
        <v>2041</v>
      </c>
      <c r="M373">
        <v>459</v>
      </c>
      <c r="N373">
        <v>3216</v>
      </c>
      <c r="O373">
        <v>5504</v>
      </c>
      <c r="P373" s="13">
        <f t="shared" si="35"/>
        <v>0</v>
      </c>
      <c r="Q373" t="str">
        <f t="shared" si="36"/>
        <v>No</v>
      </c>
      <c r="R373" t="str" cm="1">
        <f t="array" ref="R373">_xlfn.IFS(K373=0,"On Time",K373&lt;=2,"Minor",K373&lt;=5,"Major",K373&gt;5,"Severe")</f>
        <v>Minor</v>
      </c>
      <c r="S373">
        <f t="shared" si="37"/>
        <v>2752</v>
      </c>
      <c r="T373">
        <f t="shared" si="38"/>
        <v>1608</v>
      </c>
      <c r="U373">
        <f t="shared" si="39"/>
        <v>2024</v>
      </c>
      <c r="V373">
        <f t="shared" si="40"/>
        <v>3</v>
      </c>
      <c r="W373" s="11">
        <f t="shared" si="41"/>
        <v>1</v>
      </c>
    </row>
    <row r="374" spans="1:23">
      <c r="A374" t="s">
        <v>387</v>
      </c>
      <c r="B374" s="4">
        <v>45347</v>
      </c>
      <c r="C374" t="s">
        <v>2018</v>
      </c>
      <c r="D374" t="s">
        <v>2024</v>
      </c>
      <c r="E374" t="s">
        <v>2027</v>
      </c>
      <c r="F374" t="s">
        <v>2031</v>
      </c>
      <c r="G374" t="s">
        <v>2033</v>
      </c>
      <c r="H374" t="s">
        <v>2039</v>
      </c>
      <c r="I374">
        <v>2</v>
      </c>
      <c r="J374">
        <v>4</v>
      </c>
      <c r="K374">
        <v>2</v>
      </c>
      <c r="L374" t="s">
        <v>2041</v>
      </c>
      <c r="M374">
        <v>377</v>
      </c>
      <c r="N374">
        <v>2000</v>
      </c>
      <c r="O374">
        <v>4470</v>
      </c>
      <c r="P374" s="13">
        <f t="shared" si="35"/>
        <v>0</v>
      </c>
      <c r="Q374" t="str">
        <f t="shared" si="36"/>
        <v>No</v>
      </c>
      <c r="R374" t="str" cm="1">
        <f t="array" ref="R374">_xlfn.IFS(K374=0,"On Time",K374&lt;=2,"Minor",K374&lt;=5,"Major",K374&gt;5,"Severe")</f>
        <v>Minor</v>
      </c>
      <c r="S374">
        <f t="shared" si="37"/>
        <v>2235</v>
      </c>
      <c r="T374">
        <f t="shared" si="38"/>
        <v>1000</v>
      </c>
      <c r="U374">
        <f t="shared" si="39"/>
        <v>2024</v>
      </c>
      <c r="V374">
        <f t="shared" si="40"/>
        <v>2</v>
      </c>
      <c r="W374" s="11">
        <f t="shared" si="41"/>
        <v>1</v>
      </c>
    </row>
    <row r="375" spans="1:23">
      <c r="A375" t="s">
        <v>388</v>
      </c>
      <c r="B375" s="4">
        <v>45563</v>
      </c>
      <c r="C375" t="s">
        <v>2017</v>
      </c>
      <c r="D375" t="s">
        <v>2022</v>
      </c>
      <c r="E375" t="s">
        <v>2027</v>
      </c>
      <c r="F375" t="s">
        <v>2030</v>
      </c>
      <c r="G375" t="s">
        <v>2035</v>
      </c>
      <c r="H375" t="s">
        <v>2039</v>
      </c>
      <c r="I375">
        <v>2</v>
      </c>
      <c r="J375">
        <v>4</v>
      </c>
      <c r="K375">
        <v>2</v>
      </c>
      <c r="L375" t="s">
        <v>2041</v>
      </c>
      <c r="M375">
        <v>329</v>
      </c>
      <c r="N375">
        <v>2610</v>
      </c>
      <c r="O375">
        <v>6942</v>
      </c>
      <c r="P375" s="13">
        <f t="shared" si="35"/>
        <v>0</v>
      </c>
      <c r="Q375" t="str">
        <f t="shared" si="36"/>
        <v>No</v>
      </c>
      <c r="R375" t="str" cm="1">
        <f t="array" ref="R375">_xlfn.IFS(K375=0,"On Time",K375&lt;=2,"Minor",K375&lt;=5,"Major",K375&gt;5,"Severe")</f>
        <v>Minor</v>
      </c>
      <c r="S375">
        <f t="shared" si="37"/>
        <v>3471</v>
      </c>
      <c r="T375">
        <f t="shared" si="38"/>
        <v>1305</v>
      </c>
      <c r="U375">
        <f t="shared" si="39"/>
        <v>2024</v>
      </c>
      <c r="V375">
        <f t="shared" si="40"/>
        <v>9</v>
      </c>
      <c r="W375" s="11">
        <f t="shared" si="41"/>
        <v>1</v>
      </c>
    </row>
    <row r="376" spans="1:23">
      <c r="A376" t="s">
        <v>389</v>
      </c>
      <c r="B376" s="4">
        <v>45444</v>
      </c>
      <c r="C376" t="s">
        <v>2018</v>
      </c>
      <c r="D376" t="s">
        <v>2026</v>
      </c>
      <c r="E376" t="s">
        <v>2028</v>
      </c>
      <c r="F376" t="s">
        <v>2031</v>
      </c>
      <c r="G376" t="s">
        <v>2033</v>
      </c>
      <c r="H376" t="s">
        <v>2038</v>
      </c>
      <c r="I376">
        <v>1</v>
      </c>
      <c r="J376">
        <v>5</v>
      </c>
      <c r="K376">
        <v>4</v>
      </c>
      <c r="L376" t="s">
        <v>2041</v>
      </c>
      <c r="M376">
        <v>121</v>
      </c>
      <c r="N376">
        <v>6744</v>
      </c>
      <c r="O376">
        <v>6460</v>
      </c>
      <c r="P376" s="13">
        <f t="shared" si="35"/>
        <v>0</v>
      </c>
      <c r="Q376" t="str">
        <f t="shared" si="36"/>
        <v>No</v>
      </c>
      <c r="R376" t="str" cm="1">
        <f t="array" ref="R376">_xlfn.IFS(K376=0,"On Time",K376&lt;=2,"Minor",K376&lt;=5,"Major",K376&gt;5,"Severe")</f>
        <v>Major</v>
      </c>
      <c r="S376">
        <f t="shared" si="37"/>
        <v>1615</v>
      </c>
      <c r="T376">
        <f t="shared" si="38"/>
        <v>1686</v>
      </c>
      <c r="U376">
        <f t="shared" si="39"/>
        <v>2024</v>
      </c>
      <c r="V376">
        <f t="shared" si="40"/>
        <v>6</v>
      </c>
      <c r="W376" s="11">
        <f t="shared" si="41"/>
        <v>1</v>
      </c>
    </row>
    <row r="377" spans="1:23">
      <c r="A377" t="s">
        <v>390</v>
      </c>
      <c r="B377" s="4">
        <v>45456</v>
      </c>
      <c r="C377" t="s">
        <v>2016</v>
      </c>
      <c r="D377" t="s">
        <v>2025</v>
      </c>
      <c r="E377" t="s">
        <v>2028</v>
      </c>
      <c r="F377" t="s">
        <v>2031</v>
      </c>
      <c r="G377" t="s">
        <v>2036</v>
      </c>
      <c r="H377" t="s">
        <v>2039</v>
      </c>
      <c r="I377">
        <v>2</v>
      </c>
      <c r="J377">
        <v>6</v>
      </c>
      <c r="K377">
        <v>4</v>
      </c>
      <c r="L377" t="s">
        <v>2041</v>
      </c>
      <c r="M377">
        <v>443</v>
      </c>
      <c r="N377">
        <v>3632</v>
      </c>
      <c r="O377">
        <v>12964</v>
      </c>
      <c r="P377" s="13">
        <f t="shared" si="35"/>
        <v>0</v>
      </c>
      <c r="Q377" t="str">
        <f t="shared" si="36"/>
        <v>No</v>
      </c>
      <c r="R377" t="str" cm="1">
        <f t="array" ref="R377">_xlfn.IFS(K377=0,"On Time",K377&lt;=2,"Minor",K377&lt;=5,"Major",K377&gt;5,"Severe")</f>
        <v>Major</v>
      </c>
      <c r="S377">
        <f t="shared" si="37"/>
        <v>3241</v>
      </c>
      <c r="T377">
        <f t="shared" si="38"/>
        <v>908</v>
      </c>
      <c r="U377">
        <f t="shared" si="39"/>
        <v>2024</v>
      </c>
      <c r="V377">
        <f t="shared" si="40"/>
        <v>6</v>
      </c>
      <c r="W377" s="11">
        <f t="shared" si="41"/>
        <v>1</v>
      </c>
    </row>
    <row r="378" spans="1:23">
      <c r="A378" t="s">
        <v>391</v>
      </c>
      <c r="B378" s="4">
        <v>45622</v>
      </c>
      <c r="C378" t="s">
        <v>2018</v>
      </c>
      <c r="D378" t="s">
        <v>2026</v>
      </c>
      <c r="E378" t="s">
        <v>2027</v>
      </c>
      <c r="F378" t="s">
        <v>2032</v>
      </c>
      <c r="G378" t="s">
        <v>2037</v>
      </c>
      <c r="H378" t="s">
        <v>2038</v>
      </c>
      <c r="I378">
        <v>2</v>
      </c>
      <c r="J378">
        <v>5</v>
      </c>
      <c r="K378">
        <v>3</v>
      </c>
      <c r="L378" t="s">
        <v>2041</v>
      </c>
      <c r="M378">
        <v>330</v>
      </c>
      <c r="N378">
        <v>4638</v>
      </c>
      <c r="O378">
        <v>8496</v>
      </c>
      <c r="P378" s="13">
        <f t="shared" si="35"/>
        <v>0</v>
      </c>
      <c r="Q378" t="str">
        <f t="shared" si="36"/>
        <v>No</v>
      </c>
      <c r="R378" t="str" cm="1">
        <f t="array" ref="R378">_xlfn.IFS(K378=0,"On Time",K378&lt;=2,"Minor",K378&lt;=5,"Major",K378&gt;5,"Severe")</f>
        <v>Major</v>
      </c>
      <c r="S378">
        <f t="shared" si="37"/>
        <v>2832</v>
      </c>
      <c r="T378">
        <f t="shared" si="38"/>
        <v>1546</v>
      </c>
      <c r="U378">
        <f t="shared" si="39"/>
        <v>2024</v>
      </c>
      <c r="V378">
        <f t="shared" si="40"/>
        <v>11</v>
      </c>
      <c r="W378" s="11">
        <f t="shared" si="41"/>
        <v>1</v>
      </c>
    </row>
    <row r="379" spans="1:23">
      <c r="A379" t="s">
        <v>392</v>
      </c>
      <c r="B379" s="4">
        <v>45489</v>
      </c>
      <c r="C379" t="s">
        <v>2016</v>
      </c>
      <c r="D379" t="s">
        <v>2025</v>
      </c>
      <c r="E379" t="s">
        <v>2028</v>
      </c>
      <c r="F379" t="s">
        <v>2032</v>
      </c>
      <c r="G379" t="s">
        <v>2037</v>
      </c>
      <c r="H379" t="s">
        <v>2038</v>
      </c>
      <c r="I379">
        <v>3</v>
      </c>
      <c r="J379">
        <v>9</v>
      </c>
      <c r="K379">
        <v>6</v>
      </c>
      <c r="L379" t="s">
        <v>2041</v>
      </c>
      <c r="M379">
        <v>90</v>
      </c>
      <c r="N379">
        <v>11418</v>
      </c>
      <c r="O379">
        <v>16644</v>
      </c>
      <c r="P379" s="13">
        <f t="shared" si="35"/>
        <v>0</v>
      </c>
      <c r="Q379" t="str">
        <f t="shared" si="36"/>
        <v>No</v>
      </c>
      <c r="R379" t="str" cm="1">
        <f t="array" ref="R379">_xlfn.IFS(K379=0,"On Time",K379&lt;=2,"Minor",K379&lt;=5,"Major",K379&gt;5,"Severe")</f>
        <v>Severe</v>
      </c>
      <c r="S379">
        <f t="shared" si="37"/>
        <v>2774</v>
      </c>
      <c r="T379">
        <f t="shared" si="38"/>
        <v>1903</v>
      </c>
      <c r="U379">
        <f t="shared" si="39"/>
        <v>2024</v>
      </c>
      <c r="V379">
        <f t="shared" si="40"/>
        <v>7</v>
      </c>
      <c r="W379" s="11">
        <f t="shared" si="41"/>
        <v>1</v>
      </c>
    </row>
    <row r="380" spans="1:23">
      <c r="A380" t="s">
        <v>393</v>
      </c>
      <c r="B380" s="4">
        <v>45530</v>
      </c>
      <c r="C380" t="s">
        <v>2017</v>
      </c>
      <c r="D380" t="s">
        <v>2023</v>
      </c>
      <c r="E380" t="s">
        <v>2027</v>
      </c>
      <c r="F380" t="s">
        <v>2031</v>
      </c>
      <c r="G380" t="s">
        <v>2034</v>
      </c>
      <c r="H380" t="s">
        <v>2038</v>
      </c>
      <c r="I380">
        <v>5</v>
      </c>
      <c r="J380">
        <v>7</v>
      </c>
      <c r="K380">
        <v>2</v>
      </c>
      <c r="L380" t="s">
        <v>2041</v>
      </c>
      <c r="M380">
        <v>305</v>
      </c>
      <c r="N380">
        <v>1752</v>
      </c>
      <c r="O380">
        <v>3356</v>
      </c>
      <c r="P380" s="13">
        <f t="shared" si="35"/>
        <v>0</v>
      </c>
      <c r="Q380" t="str">
        <f t="shared" si="36"/>
        <v>No</v>
      </c>
      <c r="R380" t="str" cm="1">
        <f t="array" ref="R380">_xlfn.IFS(K380=0,"On Time",K380&lt;=2,"Minor",K380&lt;=5,"Major",K380&gt;5,"Severe")</f>
        <v>Minor</v>
      </c>
      <c r="S380">
        <f t="shared" si="37"/>
        <v>1678</v>
      </c>
      <c r="T380">
        <f t="shared" si="38"/>
        <v>876</v>
      </c>
      <c r="U380">
        <f t="shared" si="39"/>
        <v>2024</v>
      </c>
      <c r="V380">
        <f t="shared" si="40"/>
        <v>8</v>
      </c>
      <c r="W380" s="11">
        <f t="shared" si="41"/>
        <v>1</v>
      </c>
    </row>
    <row r="381" spans="1:23">
      <c r="A381" t="s">
        <v>394</v>
      </c>
      <c r="B381" s="4">
        <v>45465</v>
      </c>
      <c r="C381" t="s">
        <v>2018</v>
      </c>
      <c r="D381" t="s">
        <v>2026</v>
      </c>
      <c r="E381" t="s">
        <v>2029</v>
      </c>
      <c r="F381" t="s">
        <v>2030</v>
      </c>
      <c r="G381" t="s">
        <v>2037</v>
      </c>
      <c r="H381" t="s">
        <v>2038</v>
      </c>
      <c r="I381">
        <v>5</v>
      </c>
      <c r="J381">
        <v>7</v>
      </c>
      <c r="K381">
        <v>2</v>
      </c>
      <c r="L381" t="s">
        <v>2041</v>
      </c>
      <c r="M381">
        <v>475</v>
      </c>
      <c r="N381">
        <v>2424</v>
      </c>
      <c r="O381">
        <v>8794</v>
      </c>
      <c r="P381" s="13">
        <f t="shared" si="35"/>
        <v>0</v>
      </c>
      <c r="Q381" t="str">
        <f t="shared" si="36"/>
        <v>No</v>
      </c>
      <c r="R381" t="str" cm="1">
        <f t="array" ref="R381">_xlfn.IFS(K381=0,"On Time",K381&lt;=2,"Minor",K381&lt;=5,"Major",K381&gt;5,"Severe")</f>
        <v>Minor</v>
      </c>
      <c r="S381">
        <f t="shared" si="37"/>
        <v>4397</v>
      </c>
      <c r="T381">
        <f t="shared" si="38"/>
        <v>1212</v>
      </c>
      <c r="U381">
        <f t="shared" si="39"/>
        <v>2024</v>
      </c>
      <c r="V381">
        <f t="shared" si="40"/>
        <v>6</v>
      </c>
      <c r="W381" s="11">
        <f t="shared" si="41"/>
        <v>1</v>
      </c>
    </row>
    <row r="382" spans="1:23">
      <c r="A382" t="s">
        <v>395</v>
      </c>
      <c r="B382" s="4">
        <v>45547</v>
      </c>
      <c r="C382" t="s">
        <v>2015</v>
      </c>
      <c r="D382" t="s">
        <v>2019</v>
      </c>
      <c r="E382" t="s">
        <v>2027</v>
      </c>
      <c r="F382" t="s">
        <v>2030</v>
      </c>
      <c r="G382" t="s">
        <v>2034</v>
      </c>
      <c r="H382" t="s">
        <v>2038</v>
      </c>
      <c r="I382">
        <v>2</v>
      </c>
      <c r="J382">
        <v>4</v>
      </c>
      <c r="K382">
        <v>2</v>
      </c>
      <c r="L382" t="s">
        <v>2041</v>
      </c>
      <c r="M382">
        <v>444</v>
      </c>
      <c r="N382">
        <v>4138</v>
      </c>
      <c r="O382">
        <v>5376</v>
      </c>
      <c r="P382" s="13">
        <f t="shared" si="35"/>
        <v>0</v>
      </c>
      <c r="Q382" t="str">
        <f t="shared" si="36"/>
        <v>No</v>
      </c>
      <c r="R382" t="str" cm="1">
        <f t="array" ref="R382">_xlfn.IFS(K382=0,"On Time",K382&lt;=2,"Minor",K382&lt;=5,"Major",K382&gt;5,"Severe")</f>
        <v>Minor</v>
      </c>
      <c r="S382">
        <f t="shared" si="37"/>
        <v>2688</v>
      </c>
      <c r="T382">
        <f t="shared" si="38"/>
        <v>2069</v>
      </c>
      <c r="U382">
        <f t="shared" si="39"/>
        <v>2024</v>
      </c>
      <c r="V382">
        <f t="shared" si="40"/>
        <v>9</v>
      </c>
      <c r="W382" s="11">
        <f t="shared" si="41"/>
        <v>1</v>
      </c>
    </row>
    <row r="383" spans="1:23">
      <c r="A383" t="s">
        <v>396</v>
      </c>
      <c r="B383" s="4">
        <v>45402</v>
      </c>
      <c r="C383" t="s">
        <v>2015</v>
      </c>
      <c r="D383" t="s">
        <v>2020</v>
      </c>
      <c r="E383" t="s">
        <v>2028</v>
      </c>
      <c r="F383" t="s">
        <v>2030</v>
      </c>
      <c r="G383" t="s">
        <v>2037</v>
      </c>
      <c r="H383" t="s">
        <v>2040</v>
      </c>
      <c r="I383">
        <v>1</v>
      </c>
      <c r="J383">
        <v>9</v>
      </c>
      <c r="K383">
        <v>8</v>
      </c>
      <c r="L383" t="s">
        <v>2041</v>
      </c>
      <c r="M383">
        <v>137</v>
      </c>
      <c r="N383">
        <v>8512</v>
      </c>
      <c r="O383">
        <v>27448</v>
      </c>
      <c r="P383" s="13">
        <f t="shared" si="35"/>
        <v>0</v>
      </c>
      <c r="Q383" t="str">
        <f t="shared" si="36"/>
        <v>No</v>
      </c>
      <c r="R383" t="str" cm="1">
        <f t="array" ref="R383">_xlfn.IFS(K383=0,"On Time",K383&lt;=2,"Minor",K383&lt;=5,"Major",K383&gt;5,"Severe")</f>
        <v>Severe</v>
      </c>
      <c r="S383">
        <f t="shared" si="37"/>
        <v>3431</v>
      </c>
      <c r="T383">
        <f t="shared" si="38"/>
        <v>1064</v>
      </c>
      <c r="U383">
        <f t="shared" si="39"/>
        <v>2024</v>
      </c>
      <c r="V383">
        <f t="shared" si="40"/>
        <v>4</v>
      </c>
      <c r="W383" s="11">
        <f t="shared" si="41"/>
        <v>1</v>
      </c>
    </row>
    <row r="384" spans="1:23">
      <c r="A384" t="s">
        <v>397</v>
      </c>
      <c r="B384" s="4">
        <v>45524</v>
      </c>
      <c r="C384" t="s">
        <v>2018</v>
      </c>
      <c r="D384" t="s">
        <v>2026</v>
      </c>
      <c r="E384" t="s">
        <v>2027</v>
      </c>
      <c r="F384" t="s">
        <v>2031</v>
      </c>
      <c r="G384" t="s">
        <v>2035</v>
      </c>
      <c r="H384" t="s">
        <v>2038</v>
      </c>
      <c r="I384">
        <v>2</v>
      </c>
      <c r="J384">
        <v>3</v>
      </c>
      <c r="K384">
        <v>1</v>
      </c>
      <c r="L384" t="s">
        <v>2041</v>
      </c>
      <c r="M384">
        <v>420</v>
      </c>
      <c r="N384">
        <v>2410</v>
      </c>
      <c r="O384">
        <v>3285</v>
      </c>
      <c r="P384" s="13">
        <f t="shared" si="35"/>
        <v>0</v>
      </c>
      <c r="Q384" t="str">
        <f t="shared" si="36"/>
        <v>No</v>
      </c>
      <c r="R384" t="str" cm="1">
        <f t="array" ref="R384">_xlfn.IFS(K384=0,"On Time",K384&lt;=2,"Minor",K384&lt;=5,"Major",K384&gt;5,"Severe")</f>
        <v>Minor</v>
      </c>
      <c r="S384">
        <f t="shared" si="37"/>
        <v>3285</v>
      </c>
      <c r="T384">
        <f t="shared" si="38"/>
        <v>2410</v>
      </c>
      <c r="U384">
        <f t="shared" si="39"/>
        <v>2024</v>
      </c>
      <c r="V384">
        <f t="shared" si="40"/>
        <v>8</v>
      </c>
      <c r="W384" s="11">
        <f t="shared" si="41"/>
        <v>1</v>
      </c>
    </row>
    <row r="385" spans="1:23">
      <c r="A385" t="s">
        <v>398</v>
      </c>
      <c r="B385" s="4">
        <v>45430</v>
      </c>
      <c r="C385" t="s">
        <v>2017</v>
      </c>
      <c r="D385" t="s">
        <v>2022</v>
      </c>
      <c r="E385" t="s">
        <v>2028</v>
      </c>
      <c r="F385" t="s">
        <v>2032</v>
      </c>
      <c r="G385" t="s">
        <v>2035</v>
      </c>
      <c r="H385" t="s">
        <v>2039</v>
      </c>
      <c r="I385">
        <v>3</v>
      </c>
      <c r="J385">
        <v>6</v>
      </c>
      <c r="K385">
        <v>3</v>
      </c>
      <c r="L385" t="s">
        <v>2041</v>
      </c>
      <c r="M385">
        <v>364</v>
      </c>
      <c r="N385">
        <v>6843</v>
      </c>
      <c r="O385">
        <v>7227</v>
      </c>
      <c r="P385" s="13">
        <f t="shared" si="35"/>
        <v>0</v>
      </c>
      <c r="Q385" t="str">
        <f t="shared" si="36"/>
        <v>No</v>
      </c>
      <c r="R385" t="str" cm="1">
        <f t="array" ref="R385">_xlfn.IFS(K385=0,"On Time",K385&lt;=2,"Minor",K385&lt;=5,"Major",K385&gt;5,"Severe")</f>
        <v>Major</v>
      </c>
      <c r="S385">
        <f t="shared" si="37"/>
        <v>2409</v>
      </c>
      <c r="T385">
        <f t="shared" si="38"/>
        <v>2281</v>
      </c>
      <c r="U385">
        <f t="shared" si="39"/>
        <v>2024</v>
      </c>
      <c r="V385">
        <f t="shared" si="40"/>
        <v>5</v>
      </c>
      <c r="W385" s="11">
        <f t="shared" si="41"/>
        <v>1</v>
      </c>
    </row>
    <row r="386" spans="1:23">
      <c r="A386" t="s">
        <v>399</v>
      </c>
      <c r="B386" s="4">
        <v>45588</v>
      </c>
      <c r="C386" t="s">
        <v>2016</v>
      </c>
      <c r="D386" t="s">
        <v>2021</v>
      </c>
      <c r="E386" t="s">
        <v>2028</v>
      </c>
      <c r="F386" t="s">
        <v>2031</v>
      </c>
      <c r="G386" t="s">
        <v>2037</v>
      </c>
      <c r="H386" t="s">
        <v>2040</v>
      </c>
      <c r="I386">
        <v>2</v>
      </c>
      <c r="J386">
        <v>9</v>
      </c>
      <c r="K386">
        <v>7</v>
      </c>
      <c r="L386" t="s">
        <v>2041</v>
      </c>
      <c r="M386">
        <v>137</v>
      </c>
      <c r="N386">
        <v>6223</v>
      </c>
      <c r="O386">
        <v>14420</v>
      </c>
      <c r="P386" s="13">
        <f t="shared" si="35"/>
        <v>0</v>
      </c>
      <c r="Q386" t="str">
        <f t="shared" si="36"/>
        <v>No</v>
      </c>
      <c r="R386" t="str" cm="1">
        <f t="array" ref="R386">_xlfn.IFS(K386=0,"On Time",K386&lt;=2,"Minor",K386&lt;=5,"Major",K386&gt;5,"Severe")</f>
        <v>Severe</v>
      </c>
      <c r="S386">
        <f t="shared" si="37"/>
        <v>2060</v>
      </c>
      <c r="T386">
        <f t="shared" si="38"/>
        <v>889</v>
      </c>
      <c r="U386">
        <f t="shared" si="39"/>
        <v>2024</v>
      </c>
      <c r="V386">
        <f t="shared" si="40"/>
        <v>10</v>
      </c>
      <c r="W386" s="11">
        <f t="shared" si="41"/>
        <v>1</v>
      </c>
    </row>
    <row r="387" spans="1:23">
      <c r="A387" t="s">
        <v>400</v>
      </c>
      <c r="B387" s="4">
        <v>45322</v>
      </c>
      <c r="C387" t="s">
        <v>2016</v>
      </c>
      <c r="D387" t="s">
        <v>2025</v>
      </c>
      <c r="E387" t="s">
        <v>2028</v>
      </c>
      <c r="F387" t="s">
        <v>2030</v>
      </c>
      <c r="G387" t="s">
        <v>2033</v>
      </c>
      <c r="H387" t="s">
        <v>2038</v>
      </c>
      <c r="I387">
        <v>2</v>
      </c>
      <c r="J387">
        <v>2</v>
      </c>
      <c r="K387">
        <v>0</v>
      </c>
      <c r="L387" t="s">
        <v>2042</v>
      </c>
      <c r="M387">
        <v>269</v>
      </c>
      <c r="N387">
        <v>0</v>
      </c>
      <c r="O387">
        <v>0</v>
      </c>
      <c r="P387" s="13">
        <f t="shared" ref="P387:P450" si="42">IF(L387="Yes",0,1)</f>
        <v>1</v>
      </c>
      <c r="Q387" t="str">
        <f t="shared" ref="Q387:Q450" si="43">IF(K387&gt;J387,"Yes","No")</f>
        <v>No</v>
      </c>
      <c r="R387" t="str" cm="1">
        <f t="array" ref="R387">_xlfn.IFS(K387=0,"On Time",K387&lt;=2,"Minor",K387&lt;=5,"Major",K387&gt;5,"Severe")</f>
        <v>On Time</v>
      </c>
      <c r="S387">
        <f t="shared" ref="S387:S450" si="44">IFERROR(O387/K387,0)</f>
        <v>0</v>
      </c>
      <c r="T387">
        <f t="shared" ref="T387:T450" si="45">IFERROR(N387/K387,0)</f>
        <v>0</v>
      </c>
      <c r="U387">
        <f t="shared" ref="U387:U450" si="46">YEAR(B387)</f>
        <v>2024</v>
      </c>
      <c r="V387">
        <f t="shared" ref="V387:V450" si="47">MONTH(B387)</f>
        <v>1</v>
      </c>
      <c r="W387" s="11">
        <f t="shared" ref="W387:W450" si="48">IF(L387="Yes",1,0)</f>
        <v>0</v>
      </c>
    </row>
    <row r="388" spans="1:23">
      <c r="A388" t="s">
        <v>401</v>
      </c>
      <c r="B388" s="4">
        <v>45640</v>
      </c>
      <c r="C388" t="s">
        <v>2017</v>
      </c>
      <c r="D388" t="s">
        <v>2022</v>
      </c>
      <c r="E388" t="s">
        <v>2027</v>
      </c>
      <c r="F388" t="s">
        <v>2031</v>
      </c>
      <c r="G388" t="s">
        <v>2034</v>
      </c>
      <c r="H388" t="s">
        <v>2040</v>
      </c>
      <c r="I388">
        <v>1</v>
      </c>
      <c r="J388">
        <v>3</v>
      </c>
      <c r="K388">
        <v>2</v>
      </c>
      <c r="L388" t="s">
        <v>2041</v>
      </c>
      <c r="M388">
        <v>53</v>
      </c>
      <c r="N388">
        <v>3354</v>
      </c>
      <c r="O388">
        <v>6746</v>
      </c>
      <c r="P388" s="13">
        <f t="shared" si="42"/>
        <v>0</v>
      </c>
      <c r="Q388" t="str">
        <f t="shared" si="43"/>
        <v>No</v>
      </c>
      <c r="R388" t="str" cm="1">
        <f t="array" ref="R388">_xlfn.IFS(K388=0,"On Time",K388&lt;=2,"Minor",K388&lt;=5,"Major",K388&gt;5,"Severe")</f>
        <v>Minor</v>
      </c>
      <c r="S388">
        <f t="shared" si="44"/>
        <v>3373</v>
      </c>
      <c r="T388">
        <f t="shared" si="45"/>
        <v>1677</v>
      </c>
      <c r="U388">
        <f t="shared" si="46"/>
        <v>2024</v>
      </c>
      <c r="V388">
        <f t="shared" si="47"/>
        <v>12</v>
      </c>
      <c r="W388" s="11">
        <f t="shared" si="48"/>
        <v>1</v>
      </c>
    </row>
    <row r="389" spans="1:23">
      <c r="A389" t="s">
        <v>402</v>
      </c>
      <c r="B389" s="4">
        <v>45603</v>
      </c>
      <c r="C389" t="s">
        <v>2015</v>
      </c>
      <c r="D389" t="s">
        <v>2020</v>
      </c>
      <c r="E389" t="s">
        <v>2029</v>
      </c>
      <c r="F389" t="s">
        <v>2031</v>
      </c>
      <c r="G389" t="s">
        <v>2033</v>
      </c>
      <c r="H389" t="s">
        <v>2038</v>
      </c>
      <c r="I389">
        <v>5</v>
      </c>
      <c r="J389">
        <v>5</v>
      </c>
      <c r="K389">
        <v>0</v>
      </c>
      <c r="L389" t="s">
        <v>2042</v>
      </c>
      <c r="M389">
        <v>439</v>
      </c>
      <c r="N389">
        <v>0</v>
      </c>
      <c r="O389">
        <v>0</v>
      </c>
      <c r="P389" s="13">
        <f t="shared" si="42"/>
        <v>1</v>
      </c>
      <c r="Q389" t="str">
        <f t="shared" si="43"/>
        <v>No</v>
      </c>
      <c r="R389" t="str" cm="1">
        <f t="array" ref="R389">_xlfn.IFS(K389=0,"On Time",K389&lt;=2,"Minor",K389&lt;=5,"Major",K389&gt;5,"Severe")</f>
        <v>On Time</v>
      </c>
      <c r="S389">
        <f t="shared" si="44"/>
        <v>0</v>
      </c>
      <c r="T389">
        <f t="shared" si="45"/>
        <v>0</v>
      </c>
      <c r="U389">
        <f t="shared" si="46"/>
        <v>2024</v>
      </c>
      <c r="V389">
        <f t="shared" si="47"/>
        <v>11</v>
      </c>
      <c r="W389" s="11">
        <f t="shared" si="48"/>
        <v>0</v>
      </c>
    </row>
    <row r="390" spans="1:23">
      <c r="A390" t="s">
        <v>403</v>
      </c>
      <c r="B390" s="4">
        <v>45456</v>
      </c>
      <c r="C390" t="s">
        <v>2017</v>
      </c>
      <c r="D390" t="s">
        <v>2022</v>
      </c>
      <c r="E390" t="s">
        <v>2029</v>
      </c>
      <c r="F390" t="s">
        <v>2031</v>
      </c>
      <c r="G390" t="s">
        <v>2037</v>
      </c>
      <c r="H390" t="s">
        <v>2038</v>
      </c>
      <c r="I390">
        <v>5</v>
      </c>
      <c r="J390">
        <v>9</v>
      </c>
      <c r="K390">
        <v>4</v>
      </c>
      <c r="L390" t="s">
        <v>2041</v>
      </c>
      <c r="M390">
        <v>189</v>
      </c>
      <c r="N390">
        <v>5912</v>
      </c>
      <c r="O390">
        <v>18328</v>
      </c>
      <c r="P390" s="13">
        <f t="shared" si="42"/>
        <v>0</v>
      </c>
      <c r="Q390" t="str">
        <f t="shared" si="43"/>
        <v>No</v>
      </c>
      <c r="R390" t="str" cm="1">
        <f t="array" ref="R390">_xlfn.IFS(K390=0,"On Time",K390&lt;=2,"Minor",K390&lt;=5,"Major",K390&gt;5,"Severe")</f>
        <v>Major</v>
      </c>
      <c r="S390">
        <f t="shared" si="44"/>
        <v>4582</v>
      </c>
      <c r="T390">
        <f t="shared" si="45"/>
        <v>1478</v>
      </c>
      <c r="U390">
        <f t="shared" si="46"/>
        <v>2024</v>
      </c>
      <c r="V390">
        <f t="shared" si="47"/>
        <v>6</v>
      </c>
      <c r="W390" s="11">
        <f t="shared" si="48"/>
        <v>1</v>
      </c>
    </row>
    <row r="391" spans="1:23">
      <c r="A391" t="s">
        <v>404</v>
      </c>
      <c r="B391" s="4">
        <v>45500</v>
      </c>
      <c r="C391" t="s">
        <v>2016</v>
      </c>
      <c r="D391" t="s">
        <v>2021</v>
      </c>
      <c r="E391" t="s">
        <v>2028</v>
      </c>
      <c r="F391" t="s">
        <v>2030</v>
      </c>
      <c r="G391" t="s">
        <v>2034</v>
      </c>
      <c r="H391" t="s">
        <v>2038</v>
      </c>
      <c r="I391">
        <v>3</v>
      </c>
      <c r="J391">
        <v>4</v>
      </c>
      <c r="K391">
        <v>1</v>
      </c>
      <c r="L391" t="s">
        <v>2041</v>
      </c>
      <c r="M391">
        <v>293</v>
      </c>
      <c r="N391">
        <v>1466</v>
      </c>
      <c r="O391">
        <v>2293</v>
      </c>
      <c r="P391" s="13">
        <f t="shared" si="42"/>
        <v>0</v>
      </c>
      <c r="Q391" t="str">
        <f t="shared" si="43"/>
        <v>No</v>
      </c>
      <c r="R391" t="str" cm="1">
        <f t="array" ref="R391">_xlfn.IFS(K391=0,"On Time",K391&lt;=2,"Minor",K391&lt;=5,"Major",K391&gt;5,"Severe")</f>
        <v>Minor</v>
      </c>
      <c r="S391">
        <f t="shared" si="44"/>
        <v>2293</v>
      </c>
      <c r="T391">
        <f t="shared" si="45"/>
        <v>1466</v>
      </c>
      <c r="U391">
        <f t="shared" si="46"/>
        <v>2024</v>
      </c>
      <c r="V391">
        <f t="shared" si="47"/>
        <v>7</v>
      </c>
      <c r="W391" s="11">
        <f t="shared" si="48"/>
        <v>1</v>
      </c>
    </row>
    <row r="392" spans="1:23">
      <c r="A392" t="s">
        <v>405</v>
      </c>
      <c r="B392" s="4">
        <v>45633</v>
      </c>
      <c r="C392" t="s">
        <v>2017</v>
      </c>
      <c r="D392" t="s">
        <v>2022</v>
      </c>
      <c r="E392" t="s">
        <v>2028</v>
      </c>
      <c r="F392" t="s">
        <v>2031</v>
      </c>
      <c r="G392" t="s">
        <v>2037</v>
      </c>
      <c r="H392" t="s">
        <v>2038</v>
      </c>
      <c r="I392">
        <v>1</v>
      </c>
      <c r="J392">
        <v>6</v>
      </c>
      <c r="K392">
        <v>5</v>
      </c>
      <c r="L392" t="s">
        <v>2041</v>
      </c>
      <c r="M392">
        <v>360</v>
      </c>
      <c r="N392">
        <v>8590</v>
      </c>
      <c r="O392">
        <v>11150</v>
      </c>
      <c r="P392" s="13">
        <f t="shared" si="42"/>
        <v>0</v>
      </c>
      <c r="Q392" t="str">
        <f t="shared" si="43"/>
        <v>No</v>
      </c>
      <c r="R392" t="str" cm="1">
        <f t="array" ref="R392">_xlfn.IFS(K392=0,"On Time",K392&lt;=2,"Minor",K392&lt;=5,"Major",K392&gt;5,"Severe")</f>
        <v>Major</v>
      </c>
      <c r="S392">
        <f t="shared" si="44"/>
        <v>2230</v>
      </c>
      <c r="T392">
        <f t="shared" si="45"/>
        <v>1718</v>
      </c>
      <c r="U392">
        <f t="shared" si="46"/>
        <v>2024</v>
      </c>
      <c r="V392">
        <f t="shared" si="47"/>
        <v>12</v>
      </c>
      <c r="W392" s="11">
        <f t="shared" si="48"/>
        <v>1</v>
      </c>
    </row>
    <row r="393" spans="1:23">
      <c r="A393" t="s">
        <v>406</v>
      </c>
      <c r="B393" s="4">
        <v>45646</v>
      </c>
      <c r="C393" t="s">
        <v>2017</v>
      </c>
      <c r="D393" t="s">
        <v>2023</v>
      </c>
      <c r="E393" t="s">
        <v>2027</v>
      </c>
      <c r="F393" t="s">
        <v>2031</v>
      </c>
      <c r="G393" t="s">
        <v>2037</v>
      </c>
      <c r="H393" t="s">
        <v>2038</v>
      </c>
      <c r="I393">
        <v>2</v>
      </c>
      <c r="J393">
        <v>7</v>
      </c>
      <c r="K393">
        <v>5</v>
      </c>
      <c r="L393" t="s">
        <v>2041</v>
      </c>
      <c r="M393">
        <v>264</v>
      </c>
      <c r="N393">
        <v>8675</v>
      </c>
      <c r="O393">
        <v>13500</v>
      </c>
      <c r="P393" s="13">
        <f t="shared" si="42"/>
        <v>0</v>
      </c>
      <c r="Q393" t="str">
        <f t="shared" si="43"/>
        <v>No</v>
      </c>
      <c r="R393" t="str" cm="1">
        <f t="array" ref="R393">_xlfn.IFS(K393=0,"On Time",K393&lt;=2,"Minor",K393&lt;=5,"Major",K393&gt;5,"Severe")</f>
        <v>Major</v>
      </c>
      <c r="S393">
        <f t="shared" si="44"/>
        <v>2700</v>
      </c>
      <c r="T393">
        <f t="shared" si="45"/>
        <v>1735</v>
      </c>
      <c r="U393">
        <f t="shared" si="46"/>
        <v>2024</v>
      </c>
      <c r="V393">
        <f t="shared" si="47"/>
        <v>12</v>
      </c>
      <c r="W393" s="11">
        <f t="shared" si="48"/>
        <v>1</v>
      </c>
    </row>
    <row r="394" spans="1:23">
      <c r="A394" t="s">
        <v>407</v>
      </c>
      <c r="B394" s="4">
        <v>45571</v>
      </c>
      <c r="C394" t="s">
        <v>2018</v>
      </c>
      <c r="D394" t="s">
        <v>2024</v>
      </c>
      <c r="E394" t="s">
        <v>2029</v>
      </c>
      <c r="F394" t="s">
        <v>2030</v>
      </c>
      <c r="G394" t="s">
        <v>2033</v>
      </c>
      <c r="H394" t="s">
        <v>2040</v>
      </c>
      <c r="I394">
        <v>1</v>
      </c>
      <c r="J394">
        <v>6</v>
      </c>
      <c r="K394">
        <v>5</v>
      </c>
      <c r="L394" t="s">
        <v>2041</v>
      </c>
      <c r="M394">
        <v>223</v>
      </c>
      <c r="N394">
        <v>7090</v>
      </c>
      <c r="O394">
        <v>14005</v>
      </c>
      <c r="P394" s="13">
        <f t="shared" si="42"/>
        <v>0</v>
      </c>
      <c r="Q394" t="str">
        <f t="shared" si="43"/>
        <v>No</v>
      </c>
      <c r="R394" t="str" cm="1">
        <f t="array" ref="R394">_xlfn.IFS(K394=0,"On Time",K394&lt;=2,"Minor",K394&lt;=5,"Major",K394&gt;5,"Severe")</f>
        <v>Major</v>
      </c>
      <c r="S394">
        <f t="shared" si="44"/>
        <v>2801</v>
      </c>
      <c r="T394">
        <f t="shared" si="45"/>
        <v>1418</v>
      </c>
      <c r="U394">
        <f t="shared" si="46"/>
        <v>2024</v>
      </c>
      <c r="V394">
        <f t="shared" si="47"/>
        <v>10</v>
      </c>
      <c r="W394" s="11">
        <f t="shared" si="48"/>
        <v>1</v>
      </c>
    </row>
    <row r="395" spans="1:23">
      <c r="A395" t="s">
        <v>408</v>
      </c>
      <c r="B395" s="4">
        <v>45398</v>
      </c>
      <c r="C395" t="s">
        <v>2017</v>
      </c>
      <c r="D395" t="s">
        <v>2022</v>
      </c>
      <c r="E395" t="s">
        <v>2027</v>
      </c>
      <c r="F395" t="s">
        <v>2032</v>
      </c>
      <c r="G395" t="s">
        <v>2035</v>
      </c>
      <c r="H395" t="s">
        <v>2039</v>
      </c>
      <c r="I395">
        <v>3</v>
      </c>
      <c r="J395">
        <v>5</v>
      </c>
      <c r="K395">
        <v>2</v>
      </c>
      <c r="L395" t="s">
        <v>2041</v>
      </c>
      <c r="M395">
        <v>119</v>
      </c>
      <c r="N395">
        <v>3600</v>
      </c>
      <c r="O395">
        <v>3408</v>
      </c>
      <c r="P395" s="13">
        <f t="shared" si="42"/>
        <v>0</v>
      </c>
      <c r="Q395" t="str">
        <f t="shared" si="43"/>
        <v>No</v>
      </c>
      <c r="R395" t="str" cm="1">
        <f t="array" ref="R395">_xlfn.IFS(K395=0,"On Time",K395&lt;=2,"Minor",K395&lt;=5,"Major",K395&gt;5,"Severe")</f>
        <v>Minor</v>
      </c>
      <c r="S395">
        <f t="shared" si="44"/>
        <v>1704</v>
      </c>
      <c r="T395">
        <f t="shared" si="45"/>
        <v>1800</v>
      </c>
      <c r="U395">
        <f t="shared" si="46"/>
        <v>2024</v>
      </c>
      <c r="V395">
        <f t="shared" si="47"/>
        <v>4</v>
      </c>
      <c r="W395" s="11">
        <f t="shared" si="48"/>
        <v>1</v>
      </c>
    </row>
    <row r="396" spans="1:23">
      <c r="A396" t="s">
        <v>409</v>
      </c>
      <c r="B396" s="4">
        <v>45321</v>
      </c>
      <c r="C396" t="s">
        <v>2017</v>
      </c>
      <c r="D396" t="s">
        <v>2022</v>
      </c>
      <c r="E396" t="s">
        <v>2029</v>
      </c>
      <c r="F396" t="s">
        <v>2032</v>
      </c>
      <c r="G396" t="s">
        <v>2035</v>
      </c>
      <c r="H396" t="s">
        <v>2040</v>
      </c>
      <c r="I396">
        <v>3</v>
      </c>
      <c r="J396">
        <v>10</v>
      </c>
      <c r="K396">
        <v>7</v>
      </c>
      <c r="L396" t="s">
        <v>2041</v>
      </c>
      <c r="M396">
        <v>280</v>
      </c>
      <c r="N396">
        <v>15407</v>
      </c>
      <c r="O396">
        <v>32053</v>
      </c>
      <c r="P396" s="13">
        <f t="shared" si="42"/>
        <v>0</v>
      </c>
      <c r="Q396" t="str">
        <f t="shared" si="43"/>
        <v>No</v>
      </c>
      <c r="R396" t="str" cm="1">
        <f t="array" ref="R396">_xlfn.IFS(K396=0,"On Time",K396&lt;=2,"Minor",K396&lt;=5,"Major",K396&gt;5,"Severe")</f>
        <v>Severe</v>
      </c>
      <c r="S396">
        <f t="shared" si="44"/>
        <v>4579</v>
      </c>
      <c r="T396">
        <f t="shared" si="45"/>
        <v>2201</v>
      </c>
      <c r="U396">
        <f t="shared" si="46"/>
        <v>2024</v>
      </c>
      <c r="V396">
        <f t="shared" si="47"/>
        <v>1</v>
      </c>
      <c r="W396" s="11">
        <f t="shared" si="48"/>
        <v>1</v>
      </c>
    </row>
    <row r="397" spans="1:23">
      <c r="A397" t="s">
        <v>410</v>
      </c>
      <c r="B397" s="4">
        <v>45478</v>
      </c>
      <c r="C397" t="s">
        <v>2016</v>
      </c>
      <c r="D397" t="s">
        <v>2025</v>
      </c>
      <c r="E397" t="s">
        <v>2029</v>
      </c>
      <c r="F397" t="s">
        <v>2032</v>
      </c>
      <c r="G397" t="s">
        <v>2037</v>
      </c>
      <c r="H397" t="s">
        <v>2039</v>
      </c>
      <c r="I397">
        <v>5</v>
      </c>
      <c r="J397">
        <v>10</v>
      </c>
      <c r="K397">
        <v>5</v>
      </c>
      <c r="L397" t="s">
        <v>2041</v>
      </c>
      <c r="M397">
        <v>86</v>
      </c>
      <c r="N397">
        <v>5575</v>
      </c>
      <c r="O397">
        <v>23090</v>
      </c>
      <c r="P397" s="13">
        <f t="shared" si="42"/>
        <v>0</v>
      </c>
      <c r="Q397" t="str">
        <f t="shared" si="43"/>
        <v>No</v>
      </c>
      <c r="R397" t="str" cm="1">
        <f t="array" ref="R397">_xlfn.IFS(K397=0,"On Time",K397&lt;=2,"Minor",K397&lt;=5,"Major",K397&gt;5,"Severe")</f>
        <v>Major</v>
      </c>
      <c r="S397">
        <f t="shared" si="44"/>
        <v>4618</v>
      </c>
      <c r="T397">
        <f t="shared" si="45"/>
        <v>1115</v>
      </c>
      <c r="U397">
        <f t="shared" si="46"/>
        <v>2024</v>
      </c>
      <c r="V397">
        <f t="shared" si="47"/>
        <v>7</v>
      </c>
      <c r="W397" s="11">
        <f t="shared" si="48"/>
        <v>1</v>
      </c>
    </row>
    <row r="398" spans="1:23">
      <c r="A398" t="s">
        <v>411</v>
      </c>
      <c r="B398" s="4">
        <v>45559</v>
      </c>
      <c r="C398" t="s">
        <v>2015</v>
      </c>
      <c r="D398" t="s">
        <v>2019</v>
      </c>
      <c r="E398" t="s">
        <v>2027</v>
      </c>
      <c r="F398" t="s">
        <v>2031</v>
      </c>
      <c r="G398" t="s">
        <v>2034</v>
      </c>
      <c r="H398" t="s">
        <v>2038</v>
      </c>
      <c r="I398">
        <v>2</v>
      </c>
      <c r="J398">
        <v>7</v>
      </c>
      <c r="K398">
        <v>5</v>
      </c>
      <c r="L398" t="s">
        <v>2041</v>
      </c>
      <c r="M398">
        <v>328</v>
      </c>
      <c r="N398">
        <v>10790</v>
      </c>
      <c r="O398">
        <v>13300</v>
      </c>
      <c r="P398" s="13">
        <f t="shared" si="42"/>
        <v>0</v>
      </c>
      <c r="Q398" t="str">
        <f t="shared" si="43"/>
        <v>No</v>
      </c>
      <c r="R398" t="str" cm="1">
        <f t="array" ref="R398">_xlfn.IFS(K398=0,"On Time",K398&lt;=2,"Minor",K398&lt;=5,"Major",K398&gt;5,"Severe")</f>
        <v>Major</v>
      </c>
      <c r="S398">
        <f t="shared" si="44"/>
        <v>2660</v>
      </c>
      <c r="T398">
        <f t="shared" si="45"/>
        <v>2158</v>
      </c>
      <c r="U398">
        <f t="shared" si="46"/>
        <v>2024</v>
      </c>
      <c r="V398">
        <f t="shared" si="47"/>
        <v>9</v>
      </c>
      <c r="W398" s="11">
        <f t="shared" si="48"/>
        <v>1</v>
      </c>
    </row>
    <row r="399" spans="1:23">
      <c r="A399" t="s">
        <v>412</v>
      </c>
      <c r="B399" s="4">
        <v>45477</v>
      </c>
      <c r="C399" t="s">
        <v>2018</v>
      </c>
      <c r="D399" t="s">
        <v>2026</v>
      </c>
      <c r="E399" t="s">
        <v>2028</v>
      </c>
      <c r="F399" t="s">
        <v>2031</v>
      </c>
      <c r="G399" t="s">
        <v>2034</v>
      </c>
      <c r="H399" t="s">
        <v>2038</v>
      </c>
      <c r="I399">
        <v>1</v>
      </c>
      <c r="J399">
        <v>2</v>
      </c>
      <c r="K399">
        <v>1</v>
      </c>
      <c r="L399" t="s">
        <v>2041</v>
      </c>
      <c r="M399">
        <v>161</v>
      </c>
      <c r="N399">
        <v>2314</v>
      </c>
      <c r="O399">
        <v>4661</v>
      </c>
      <c r="P399" s="13">
        <f t="shared" si="42"/>
        <v>0</v>
      </c>
      <c r="Q399" t="str">
        <f t="shared" si="43"/>
        <v>No</v>
      </c>
      <c r="R399" t="str" cm="1">
        <f t="array" ref="R399">_xlfn.IFS(K399=0,"On Time",K399&lt;=2,"Minor",K399&lt;=5,"Major",K399&gt;5,"Severe")</f>
        <v>Minor</v>
      </c>
      <c r="S399">
        <f t="shared" si="44"/>
        <v>4661</v>
      </c>
      <c r="T399">
        <f t="shared" si="45"/>
        <v>2314</v>
      </c>
      <c r="U399">
        <f t="shared" si="46"/>
        <v>2024</v>
      </c>
      <c r="V399">
        <f t="shared" si="47"/>
        <v>7</v>
      </c>
      <c r="W399" s="11">
        <f t="shared" si="48"/>
        <v>1</v>
      </c>
    </row>
    <row r="400" spans="1:23">
      <c r="A400" t="s">
        <v>413</v>
      </c>
      <c r="B400" s="4">
        <v>45364</v>
      </c>
      <c r="C400" t="s">
        <v>2015</v>
      </c>
      <c r="D400" t="s">
        <v>2019</v>
      </c>
      <c r="E400" t="s">
        <v>2027</v>
      </c>
      <c r="F400" t="s">
        <v>2032</v>
      </c>
      <c r="G400" t="s">
        <v>2036</v>
      </c>
      <c r="H400" t="s">
        <v>2038</v>
      </c>
      <c r="I400">
        <v>2</v>
      </c>
      <c r="J400">
        <v>4</v>
      </c>
      <c r="K400">
        <v>2</v>
      </c>
      <c r="L400" t="s">
        <v>2041</v>
      </c>
      <c r="M400">
        <v>79</v>
      </c>
      <c r="N400">
        <v>2564</v>
      </c>
      <c r="O400">
        <v>7798</v>
      </c>
      <c r="P400" s="13">
        <f t="shared" si="42"/>
        <v>0</v>
      </c>
      <c r="Q400" t="str">
        <f t="shared" si="43"/>
        <v>No</v>
      </c>
      <c r="R400" t="str" cm="1">
        <f t="array" ref="R400">_xlfn.IFS(K400=0,"On Time",K400&lt;=2,"Minor",K400&lt;=5,"Major",K400&gt;5,"Severe")</f>
        <v>Minor</v>
      </c>
      <c r="S400">
        <f t="shared" si="44"/>
        <v>3899</v>
      </c>
      <c r="T400">
        <f t="shared" si="45"/>
        <v>1282</v>
      </c>
      <c r="U400">
        <f t="shared" si="46"/>
        <v>2024</v>
      </c>
      <c r="V400">
        <f t="shared" si="47"/>
        <v>3</v>
      </c>
      <c r="W400" s="11">
        <f t="shared" si="48"/>
        <v>1</v>
      </c>
    </row>
    <row r="401" spans="1:23">
      <c r="A401" t="s">
        <v>414</v>
      </c>
      <c r="B401" s="4">
        <v>45431</v>
      </c>
      <c r="C401" t="s">
        <v>2018</v>
      </c>
      <c r="D401" t="s">
        <v>2026</v>
      </c>
      <c r="E401" t="s">
        <v>2029</v>
      </c>
      <c r="F401" t="s">
        <v>2030</v>
      </c>
      <c r="G401" t="s">
        <v>2037</v>
      </c>
      <c r="H401" t="s">
        <v>2039</v>
      </c>
      <c r="I401">
        <v>1</v>
      </c>
      <c r="J401">
        <v>1</v>
      </c>
      <c r="K401">
        <v>0</v>
      </c>
      <c r="L401" t="s">
        <v>2042</v>
      </c>
      <c r="M401">
        <v>407</v>
      </c>
      <c r="N401">
        <v>0</v>
      </c>
      <c r="O401">
        <v>0</v>
      </c>
      <c r="P401" s="13">
        <f t="shared" si="42"/>
        <v>1</v>
      </c>
      <c r="Q401" t="str">
        <f t="shared" si="43"/>
        <v>No</v>
      </c>
      <c r="R401" t="str" cm="1">
        <f t="array" ref="R401">_xlfn.IFS(K401=0,"On Time",K401&lt;=2,"Minor",K401&lt;=5,"Major",K401&gt;5,"Severe")</f>
        <v>On Time</v>
      </c>
      <c r="S401">
        <f t="shared" si="44"/>
        <v>0</v>
      </c>
      <c r="T401">
        <f t="shared" si="45"/>
        <v>0</v>
      </c>
      <c r="U401">
        <f t="shared" si="46"/>
        <v>2024</v>
      </c>
      <c r="V401">
        <f t="shared" si="47"/>
        <v>5</v>
      </c>
      <c r="W401" s="11">
        <f t="shared" si="48"/>
        <v>0</v>
      </c>
    </row>
    <row r="402" spans="1:23">
      <c r="A402" t="s">
        <v>415</v>
      </c>
      <c r="B402" s="4">
        <v>45418</v>
      </c>
      <c r="C402" t="s">
        <v>2017</v>
      </c>
      <c r="D402" t="s">
        <v>2022</v>
      </c>
      <c r="E402" t="s">
        <v>2028</v>
      </c>
      <c r="F402" t="s">
        <v>2031</v>
      </c>
      <c r="G402" t="s">
        <v>2034</v>
      </c>
      <c r="H402" t="s">
        <v>2039</v>
      </c>
      <c r="I402">
        <v>2</v>
      </c>
      <c r="J402">
        <v>5</v>
      </c>
      <c r="K402">
        <v>3</v>
      </c>
      <c r="L402" t="s">
        <v>2041</v>
      </c>
      <c r="M402">
        <v>292</v>
      </c>
      <c r="N402">
        <v>2712</v>
      </c>
      <c r="O402">
        <v>10698</v>
      </c>
      <c r="P402" s="13">
        <f t="shared" si="42"/>
        <v>0</v>
      </c>
      <c r="Q402" t="str">
        <f t="shared" si="43"/>
        <v>No</v>
      </c>
      <c r="R402" t="str" cm="1">
        <f t="array" ref="R402">_xlfn.IFS(K402=0,"On Time",K402&lt;=2,"Minor",K402&lt;=5,"Major",K402&gt;5,"Severe")</f>
        <v>Major</v>
      </c>
      <c r="S402">
        <f t="shared" si="44"/>
        <v>3566</v>
      </c>
      <c r="T402">
        <f t="shared" si="45"/>
        <v>904</v>
      </c>
      <c r="U402">
        <f t="shared" si="46"/>
        <v>2024</v>
      </c>
      <c r="V402">
        <f t="shared" si="47"/>
        <v>5</v>
      </c>
      <c r="W402" s="11">
        <f t="shared" si="48"/>
        <v>1</v>
      </c>
    </row>
    <row r="403" spans="1:23">
      <c r="A403" t="s">
        <v>416</v>
      </c>
      <c r="B403" s="4">
        <v>45422</v>
      </c>
      <c r="C403" t="s">
        <v>2016</v>
      </c>
      <c r="D403" t="s">
        <v>2025</v>
      </c>
      <c r="E403" t="s">
        <v>2028</v>
      </c>
      <c r="F403" t="s">
        <v>2030</v>
      </c>
      <c r="G403" t="s">
        <v>2035</v>
      </c>
      <c r="H403" t="s">
        <v>2038</v>
      </c>
      <c r="I403">
        <v>1</v>
      </c>
      <c r="J403">
        <v>2</v>
      </c>
      <c r="K403">
        <v>1</v>
      </c>
      <c r="L403" t="s">
        <v>2041</v>
      </c>
      <c r="M403">
        <v>399</v>
      </c>
      <c r="N403">
        <v>1686</v>
      </c>
      <c r="O403">
        <v>4011</v>
      </c>
      <c r="P403" s="13">
        <f t="shared" si="42"/>
        <v>0</v>
      </c>
      <c r="Q403" t="str">
        <f t="shared" si="43"/>
        <v>No</v>
      </c>
      <c r="R403" t="str" cm="1">
        <f t="array" ref="R403">_xlfn.IFS(K403=0,"On Time",K403&lt;=2,"Minor",K403&lt;=5,"Major",K403&gt;5,"Severe")</f>
        <v>Minor</v>
      </c>
      <c r="S403">
        <f t="shared" si="44"/>
        <v>4011</v>
      </c>
      <c r="T403">
        <f t="shared" si="45"/>
        <v>1686</v>
      </c>
      <c r="U403">
        <f t="shared" si="46"/>
        <v>2024</v>
      </c>
      <c r="V403">
        <f t="shared" si="47"/>
        <v>5</v>
      </c>
      <c r="W403" s="11">
        <f t="shared" si="48"/>
        <v>1</v>
      </c>
    </row>
    <row r="404" spans="1:23">
      <c r="A404" t="s">
        <v>417</v>
      </c>
      <c r="B404" s="4">
        <v>45622</v>
      </c>
      <c r="C404" t="s">
        <v>2015</v>
      </c>
      <c r="D404" t="s">
        <v>2019</v>
      </c>
      <c r="E404" t="s">
        <v>2029</v>
      </c>
      <c r="F404" t="s">
        <v>2030</v>
      </c>
      <c r="G404" t="s">
        <v>2036</v>
      </c>
      <c r="H404" t="s">
        <v>2040</v>
      </c>
      <c r="I404">
        <v>2</v>
      </c>
      <c r="J404">
        <v>9</v>
      </c>
      <c r="K404">
        <v>7</v>
      </c>
      <c r="L404" t="s">
        <v>2041</v>
      </c>
      <c r="M404">
        <v>112</v>
      </c>
      <c r="N404">
        <v>6293</v>
      </c>
      <c r="O404">
        <v>34146</v>
      </c>
      <c r="P404" s="13">
        <f t="shared" si="42"/>
        <v>0</v>
      </c>
      <c r="Q404" t="str">
        <f t="shared" si="43"/>
        <v>No</v>
      </c>
      <c r="R404" t="str" cm="1">
        <f t="array" ref="R404">_xlfn.IFS(K404=0,"On Time",K404&lt;=2,"Minor",K404&lt;=5,"Major",K404&gt;5,"Severe")</f>
        <v>Severe</v>
      </c>
      <c r="S404">
        <f t="shared" si="44"/>
        <v>4878</v>
      </c>
      <c r="T404">
        <f t="shared" si="45"/>
        <v>899</v>
      </c>
      <c r="U404">
        <f t="shared" si="46"/>
        <v>2024</v>
      </c>
      <c r="V404">
        <f t="shared" si="47"/>
        <v>11</v>
      </c>
      <c r="W404" s="11">
        <f t="shared" si="48"/>
        <v>1</v>
      </c>
    </row>
    <row r="405" spans="1:23">
      <c r="A405" t="s">
        <v>418</v>
      </c>
      <c r="B405" s="4">
        <v>45330</v>
      </c>
      <c r="C405" t="s">
        <v>2016</v>
      </c>
      <c r="D405" t="s">
        <v>2021</v>
      </c>
      <c r="E405" t="s">
        <v>2029</v>
      </c>
      <c r="F405" t="s">
        <v>2030</v>
      </c>
      <c r="G405" t="s">
        <v>2035</v>
      </c>
      <c r="H405" t="s">
        <v>2038</v>
      </c>
      <c r="I405">
        <v>2</v>
      </c>
      <c r="J405">
        <v>4</v>
      </c>
      <c r="K405">
        <v>2</v>
      </c>
      <c r="L405" t="s">
        <v>2041</v>
      </c>
      <c r="M405">
        <v>345</v>
      </c>
      <c r="N405">
        <v>2696</v>
      </c>
      <c r="O405">
        <v>8456</v>
      </c>
      <c r="P405" s="13">
        <f t="shared" si="42"/>
        <v>0</v>
      </c>
      <c r="Q405" t="str">
        <f t="shared" si="43"/>
        <v>No</v>
      </c>
      <c r="R405" t="str" cm="1">
        <f t="array" ref="R405">_xlfn.IFS(K405=0,"On Time",K405&lt;=2,"Minor",K405&lt;=5,"Major",K405&gt;5,"Severe")</f>
        <v>Minor</v>
      </c>
      <c r="S405">
        <f t="shared" si="44"/>
        <v>4228</v>
      </c>
      <c r="T405">
        <f t="shared" si="45"/>
        <v>1348</v>
      </c>
      <c r="U405">
        <f t="shared" si="46"/>
        <v>2024</v>
      </c>
      <c r="V405">
        <f t="shared" si="47"/>
        <v>2</v>
      </c>
      <c r="W405" s="11">
        <f t="shared" si="48"/>
        <v>1</v>
      </c>
    </row>
    <row r="406" spans="1:23">
      <c r="A406" t="s">
        <v>419</v>
      </c>
      <c r="B406" s="4">
        <v>45360</v>
      </c>
      <c r="C406" t="s">
        <v>2017</v>
      </c>
      <c r="D406" t="s">
        <v>2023</v>
      </c>
      <c r="E406" t="s">
        <v>2029</v>
      </c>
      <c r="F406" t="s">
        <v>2031</v>
      </c>
      <c r="G406" t="s">
        <v>2037</v>
      </c>
      <c r="H406" t="s">
        <v>2039</v>
      </c>
      <c r="I406">
        <v>1</v>
      </c>
      <c r="J406">
        <v>3</v>
      </c>
      <c r="K406">
        <v>2</v>
      </c>
      <c r="L406" t="s">
        <v>2041</v>
      </c>
      <c r="M406">
        <v>307</v>
      </c>
      <c r="N406">
        <v>2326</v>
      </c>
      <c r="O406">
        <v>6504</v>
      </c>
      <c r="P406" s="13">
        <f t="shared" si="42"/>
        <v>0</v>
      </c>
      <c r="Q406" t="str">
        <f t="shared" si="43"/>
        <v>No</v>
      </c>
      <c r="R406" t="str" cm="1">
        <f t="array" ref="R406">_xlfn.IFS(K406=0,"On Time",K406&lt;=2,"Minor",K406&lt;=5,"Major",K406&gt;5,"Severe")</f>
        <v>Minor</v>
      </c>
      <c r="S406">
        <f t="shared" si="44"/>
        <v>3252</v>
      </c>
      <c r="T406">
        <f t="shared" si="45"/>
        <v>1163</v>
      </c>
      <c r="U406">
        <f t="shared" si="46"/>
        <v>2024</v>
      </c>
      <c r="V406">
        <f t="shared" si="47"/>
        <v>3</v>
      </c>
      <c r="W406" s="11">
        <f t="shared" si="48"/>
        <v>1</v>
      </c>
    </row>
    <row r="407" spans="1:23">
      <c r="A407" t="s">
        <v>420</v>
      </c>
      <c r="B407" s="4">
        <v>45323</v>
      </c>
      <c r="C407" t="s">
        <v>2016</v>
      </c>
      <c r="D407" t="s">
        <v>2021</v>
      </c>
      <c r="E407" t="s">
        <v>2027</v>
      </c>
      <c r="F407" t="s">
        <v>2031</v>
      </c>
      <c r="G407" t="s">
        <v>2033</v>
      </c>
      <c r="H407" t="s">
        <v>2039</v>
      </c>
      <c r="I407">
        <v>1</v>
      </c>
      <c r="J407">
        <v>5</v>
      </c>
      <c r="K407">
        <v>4</v>
      </c>
      <c r="L407" t="s">
        <v>2041</v>
      </c>
      <c r="M407">
        <v>450</v>
      </c>
      <c r="N407">
        <v>7676</v>
      </c>
      <c r="O407">
        <v>11024</v>
      </c>
      <c r="P407" s="13">
        <f t="shared" si="42"/>
        <v>0</v>
      </c>
      <c r="Q407" t="str">
        <f t="shared" si="43"/>
        <v>No</v>
      </c>
      <c r="R407" t="str" cm="1">
        <f t="array" ref="R407">_xlfn.IFS(K407=0,"On Time",K407&lt;=2,"Minor",K407&lt;=5,"Major",K407&gt;5,"Severe")</f>
        <v>Major</v>
      </c>
      <c r="S407">
        <f t="shared" si="44"/>
        <v>2756</v>
      </c>
      <c r="T407">
        <f t="shared" si="45"/>
        <v>1919</v>
      </c>
      <c r="U407">
        <f t="shared" si="46"/>
        <v>2024</v>
      </c>
      <c r="V407">
        <f t="shared" si="47"/>
        <v>2</v>
      </c>
      <c r="W407" s="11">
        <f t="shared" si="48"/>
        <v>1</v>
      </c>
    </row>
    <row r="408" spans="1:23">
      <c r="A408" t="s">
        <v>421</v>
      </c>
      <c r="B408" s="4">
        <v>45545</v>
      </c>
      <c r="C408" t="s">
        <v>2016</v>
      </c>
      <c r="D408" t="s">
        <v>2021</v>
      </c>
      <c r="E408" t="s">
        <v>2027</v>
      </c>
      <c r="F408" t="s">
        <v>2031</v>
      </c>
      <c r="G408" t="s">
        <v>2035</v>
      </c>
      <c r="H408" t="s">
        <v>2040</v>
      </c>
      <c r="I408">
        <v>2</v>
      </c>
      <c r="J408">
        <v>7</v>
      </c>
      <c r="K408">
        <v>5</v>
      </c>
      <c r="L408" t="s">
        <v>2041</v>
      </c>
      <c r="M408">
        <v>471</v>
      </c>
      <c r="N408">
        <v>6025</v>
      </c>
      <c r="O408">
        <v>10335</v>
      </c>
      <c r="P408" s="13">
        <f t="shared" si="42"/>
        <v>0</v>
      </c>
      <c r="Q408" t="str">
        <f t="shared" si="43"/>
        <v>No</v>
      </c>
      <c r="R408" t="str" cm="1">
        <f t="array" ref="R408">_xlfn.IFS(K408=0,"On Time",K408&lt;=2,"Minor",K408&lt;=5,"Major",K408&gt;5,"Severe")</f>
        <v>Major</v>
      </c>
      <c r="S408">
        <f t="shared" si="44"/>
        <v>2067</v>
      </c>
      <c r="T408">
        <f t="shared" si="45"/>
        <v>1205</v>
      </c>
      <c r="U408">
        <f t="shared" si="46"/>
        <v>2024</v>
      </c>
      <c r="V408">
        <f t="shared" si="47"/>
        <v>9</v>
      </c>
      <c r="W408" s="11">
        <f t="shared" si="48"/>
        <v>1</v>
      </c>
    </row>
    <row r="409" spans="1:23">
      <c r="A409" t="s">
        <v>422</v>
      </c>
      <c r="B409" s="4">
        <v>45480</v>
      </c>
      <c r="C409" t="s">
        <v>2015</v>
      </c>
      <c r="D409" t="s">
        <v>2020</v>
      </c>
      <c r="E409" t="s">
        <v>2027</v>
      </c>
      <c r="F409" t="s">
        <v>2031</v>
      </c>
      <c r="G409" t="s">
        <v>2037</v>
      </c>
      <c r="H409" t="s">
        <v>2040</v>
      </c>
      <c r="I409">
        <v>1</v>
      </c>
      <c r="J409">
        <v>7</v>
      </c>
      <c r="K409">
        <v>6</v>
      </c>
      <c r="L409" t="s">
        <v>2041</v>
      </c>
      <c r="M409">
        <v>289</v>
      </c>
      <c r="N409">
        <v>5862</v>
      </c>
      <c r="O409">
        <v>21450</v>
      </c>
      <c r="P409" s="13">
        <f t="shared" si="42"/>
        <v>0</v>
      </c>
      <c r="Q409" t="str">
        <f t="shared" si="43"/>
        <v>No</v>
      </c>
      <c r="R409" t="str" cm="1">
        <f t="array" ref="R409">_xlfn.IFS(K409=0,"On Time",K409&lt;=2,"Minor",K409&lt;=5,"Major",K409&gt;5,"Severe")</f>
        <v>Severe</v>
      </c>
      <c r="S409">
        <f t="shared" si="44"/>
        <v>3575</v>
      </c>
      <c r="T409">
        <f t="shared" si="45"/>
        <v>977</v>
      </c>
      <c r="U409">
        <f t="shared" si="46"/>
        <v>2024</v>
      </c>
      <c r="V409">
        <f t="shared" si="47"/>
        <v>7</v>
      </c>
      <c r="W409" s="11">
        <f t="shared" si="48"/>
        <v>1</v>
      </c>
    </row>
    <row r="410" spans="1:23">
      <c r="A410" t="s">
        <v>423</v>
      </c>
      <c r="B410" s="4">
        <v>45341</v>
      </c>
      <c r="C410" t="s">
        <v>2015</v>
      </c>
      <c r="D410" t="s">
        <v>2019</v>
      </c>
      <c r="E410" t="s">
        <v>2027</v>
      </c>
      <c r="F410" t="s">
        <v>2031</v>
      </c>
      <c r="G410" t="s">
        <v>2033</v>
      </c>
      <c r="H410" t="s">
        <v>2040</v>
      </c>
      <c r="I410">
        <v>1</v>
      </c>
      <c r="J410">
        <v>5</v>
      </c>
      <c r="K410">
        <v>4</v>
      </c>
      <c r="L410" t="s">
        <v>2041</v>
      </c>
      <c r="M410">
        <v>60</v>
      </c>
      <c r="N410">
        <v>8416</v>
      </c>
      <c r="O410">
        <v>9212</v>
      </c>
      <c r="P410" s="13">
        <f t="shared" si="42"/>
        <v>0</v>
      </c>
      <c r="Q410" t="str">
        <f t="shared" si="43"/>
        <v>No</v>
      </c>
      <c r="R410" t="str" cm="1">
        <f t="array" ref="R410">_xlfn.IFS(K410=0,"On Time",K410&lt;=2,"Minor",K410&lt;=5,"Major",K410&gt;5,"Severe")</f>
        <v>Major</v>
      </c>
      <c r="S410">
        <f t="shared" si="44"/>
        <v>2303</v>
      </c>
      <c r="T410">
        <f t="shared" si="45"/>
        <v>2104</v>
      </c>
      <c r="U410">
        <f t="shared" si="46"/>
        <v>2024</v>
      </c>
      <c r="V410">
        <f t="shared" si="47"/>
        <v>2</v>
      </c>
      <c r="W410" s="11">
        <f t="shared" si="48"/>
        <v>1</v>
      </c>
    </row>
    <row r="411" spans="1:23">
      <c r="A411" t="s">
        <v>424</v>
      </c>
      <c r="B411" s="4">
        <v>45652</v>
      </c>
      <c r="C411" t="s">
        <v>2016</v>
      </c>
      <c r="D411" t="s">
        <v>2025</v>
      </c>
      <c r="E411" t="s">
        <v>2029</v>
      </c>
      <c r="F411" t="s">
        <v>2031</v>
      </c>
      <c r="G411" t="s">
        <v>2033</v>
      </c>
      <c r="H411" t="s">
        <v>2038</v>
      </c>
      <c r="I411">
        <v>2</v>
      </c>
      <c r="J411">
        <v>3</v>
      </c>
      <c r="K411">
        <v>1</v>
      </c>
      <c r="L411" t="s">
        <v>2041</v>
      </c>
      <c r="M411">
        <v>348</v>
      </c>
      <c r="N411">
        <v>2413</v>
      </c>
      <c r="O411">
        <v>2306</v>
      </c>
      <c r="P411" s="13">
        <f t="shared" si="42"/>
        <v>0</v>
      </c>
      <c r="Q411" t="str">
        <f t="shared" si="43"/>
        <v>No</v>
      </c>
      <c r="R411" t="str" cm="1">
        <f t="array" ref="R411">_xlfn.IFS(K411=0,"On Time",K411&lt;=2,"Minor",K411&lt;=5,"Major",K411&gt;5,"Severe")</f>
        <v>Minor</v>
      </c>
      <c r="S411">
        <f t="shared" si="44"/>
        <v>2306</v>
      </c>
      <c r="T411">
        <f t="shared" si="45"/>
        <v>2413</v>
      </c>
      <c r="U411">
        <f t="shared" si="46"/>
        <v>2024</v>
      </c>
      <c r="V411">
        <f t="shared" si="47"/>
        <v>12</v>
      </c>
      <c r="W411" s="11">
        <f t="shared" si="48"/>
        <v>1</v>
      </c>
    </row>
    <row r="412" spans="1:23">
      <c r="A412" t="s">
        <v>425</v>
      </c>
      <c r="B412" s="4">
        <v>45352</v>
      </c>
      <c r="C412" t="s">
        <v>2017</v>
      </c>
      <c r="D412" t="s">
        <v>2022</v>
      </c>
      <c r="E412" t="s">
        <v>2027</v>
      </c>
      <c r="F412" t="s">
        <v>2030</v>
      </c>
      <c r="G412" t="s">
        <v>2035</v>
      </c>
      <c r="H412" t="s">
        <v>2040</v>
      </c>
      <c r="I412">
        <v>2</v>
      </c>
      <c r="J412">
        <v>7</v>
      </c>
      <c r="K412">
        <v>5</v>
      </c>
      <c r="L412" t="s">
        <v>2041</v>
      </c>
      <c r="M412">
        <v>62</v>
      </c>
      <c r="N412">
        <v>11725</v>
      </c>
      <c r="O412">
        <v>24260</v>
      </c>
      <c r="P412" s="13">
        <f t="shared" si="42"/>
        <v>0</v>
      </c>
      <c r="Q412" t="str">
        <f t="shared" si="43"/>
        <v>No</v>
      </c>
      <c r="R412" t="str" cm="1">
        <f t="array" ref="R412">_xlfn.IFS(K412=0,"On Time",K412&lt;=2,"Minor",K412&lt;=5,"Major",K412&gt;5,"Severe")</f>
        <v>Major</v>
      </c>
      <c r="S412">
        <f t="shared" si="44"/>
        <v>4852</v>
      </c>
      <c r="T412">
        <f t="shared" si="45"/>
        <v>2345</v>
      </c>
      <c r="U412">
        <f t="shared" si="46"/>
        <v>2024</v>
      </c>
      <c r="V412">
        <f t="shared" si="47"/>
        <v>3</v>
      </c>
      <c r="W412" s="11">
        <f t="shared" si="48"/>
        <v>1</v>
      </c>
    </row>
    <row r="413" spans="1:23">
      <c r="A413" t="s">
        <v>426</v>
      </c>
      <c r="B413" s="4">
        <v>45613</v>
      </c>
      <c r="C413" t="s">
        <v>2017</v>
      </c>
      <c r="D413" t="s">
        <v>2022</v>
      </c>
      <c r="E413" t="s">
        <v>2028</v>
      </c>
      <c r="F413" t="s">
        <v>2031</v>
      </c>
      <c r="G413" t="s">
        <v>2033</v>
      </c>
      <c r="H413" t="s">
        <v>2039</v>
      </c>
      <c r="I413">
        <v>3</v>
      </c>
      <c r="J413">
        <v>4</v>
      </c>
      <c r="K413">
        <v>1</v>
      </c>
      <c r="L413" t="s">
        <v>2041</v>
      </c>
      <c r="M413">
        <v>446</v>
      </c>
      <c r="N413">
        <v>2313</v>
      </c>
      <c r="O413">
        <v>4076</v>
      </c>
      <c r="P413" s="13">
        <f t="shared" si="42"/>
        <v>0</v>
      </c>
      <c r="Q413" t="str">
        <f t="shared" si="43"/>
        <v>No</v>
      </c>
      <c r="R413" t="str" cm="1">
        <f t="array" ref="R413">_xlfn.IFS(K413=0,"On Time",K413&lt;=2,"Minor",K413&lt;=5,"Major",K413&gt;5,"Severe")</f>
        <v>Minor</v>
      </c>
      <c r="S413">
        <f t="shared" si="44"/>
        <v>4076</v>
      </c>
      <c r="T413">
        <f t="shared" si="45"/>
        <v>2313</v>
      </c>
      <c r="U413">
        <f t="shared" si="46"/>
        <v>2024</v>
      </c>
      <c r="V413">
        <f t="shared" si="47"/>
        <v>11</v>
      </c>
      <c r="W413" s="11">
        <f t="shared" si="48"/>
        <v>1</v>
      </c>
    </row>
    <row r="414" spans="1:23">
      <c r="A414" t="s">
        <v>427</v>
      </c>
      <c r="B414" s="4">
        <v>45463</v>
      </c>
      <c r="C414" t="s">
        <v>2016</v>
      </c>
      <c r="D414" t="s">
        <v>2021</v>
      </c>
      <c r="E414" t="s">
        <v>2027</v>
      </c>
      <c r="F414" t="s">
        <v>2031</v>
      </c>
      <c r="G414" t="s">
        <v>2037</v>
      </c>
      <c r="H414" t="s">
        <v>2040</v>
      </c>
      <c r="I414">
        <v>2</v>
      </c>
      <c r="J414">
        <v>9</v>
      </c>
      <c r="K414">
        <v>7</v>
      </c>
      <c r="L414" t="s">
        <v>2041</v>
      </c>
      <c r="M414">
        <v>82</v>
      </c>
      <c r="N414">
        <v>17199</v>
      </c>
      <c r="O414">
        <v>20853</v>
      </c>
      <c r="P414" s="13">
        <f t="shared" si="42"/>
        <v>0</v>
      </c>
      <c r="Q414" t="str">
        <f t="shared" si="43"/>
        <v>No</v>
      </c>
      <c r="R414" t="str" cm="1">
        <f t="array" ref="R414">_xlfn.IFS(K414=0,"On Time",K414&lt;=2,"Minor",K414&lt;=5,"Major",K414&gt;5,"Severe")</f>
        <v>Severe</v>
      </c>
      <c r="S414">
        <f t="shared" si="44"/>
        <v>2979</v>
      </c>
      <c r="T414">
        <f t="shared" si="45"/>
        <v>2457</v>
      </c>
      <c r="U414">
        <f t="shared" si="46"/>
        <v>2024</v>
      </c>
      <c r="V414">
        <f t="shared" si="47"/>
        <v>6</v>
      </c>
      <c r="W414" s="11">
        <f t="shared" si="48"/>
        <v>1</v>
      </c>
    </row>
    <row r="415" spans="1:23">
      <c r="A415" t="s">
        <v>428</v>
      </c>
      <c r="B415" s="4">
        <v>45398</v>
      </c>
      <c r="C415" t="s">
        <v>2016</v>
      </c>
      <c r="D415" t="s">
        <v>2021</v>
      </c>
      <c r="E415" t="s">
        <v>2027</v>
      </c>
      <c r="F415" t="s">
        <v>2032</v>
      </c>
      <c r="G415" t="s">
        <v>2033</v>
      </c>
      <c r="H415" t="s">
        <v>2038</v>
      </c>
      <c r="I415">
        <v>1</v>
      </c>
      <c r="J415">
        <v>6</v>
      </c>
      <c r="K415">
        <v>5</v>
      </c>
      <c r="L415" t="s">
        <v>2041</v>
      </c>
      <c r="M415">
        <v>434</v>
      </c>
      <c r="N415">
        <v>11290</v>
      </c>
      <c r="O415">
        <v>24065</v>
      </c>
      <c r="P415" s="13">
        <f t="shared" si="42"/>
        <v>0</v>
      </c>
      <c r="Q415" t="str">
        <f t="shared" si="43"/>
        <v>No</v>
      </c>
      <c r="R415" t="str" cm="1">
        <f t="array" ref="R415">_xlfn.IFS(K415=0,"On Time",K415&lt;=2,"Minor",K415&lt;=5,"Major",K415&gt;5,"Severe")</f>
        <v>Major</v>
      </c>
      <c r="S415">
        <f t="shared" si="44"/>
        <v>4813</v>
      </c>
      <c r="T415">
        <f t="shared" si="45"/>
        <v>2258</v>
      </c>
      <c r="U415">
        <f t="shared" si="46"/>
        <v>2024</v>
      </c>
      <c r="V415">
        <f t="shared" si="47"/>
        <v>4</v>
      </c>
      <c r="W415" s="11">
        <f t="shared" si="48"/>
        <v>1</v>
      </c>
    </row>
    <row r="416" spans="1:23">
      <c r="A416" t="s">
        <v>429</v>
      </c>
      <c r="B416" s="4">
        <v>45503</v>
      </c>
      <c r="C416" t="s">
        <v>2017</v>
      </c>
      <c r="D416" t="s">
        <v>2023</v>
      </c>
      <c r="E416" t="s">
        <v>2029</v>
      </c>
      <c r="F416" t="s">
        <v>2032</v>
      </c>
      <c r="G416" t="s">
        <v>2034</v>
      </c>
      <c r="H416" t="s">
        <v>2038</v>
      </c>
      <c r="I416">
        <v>3</v>
      </c>
      <c r="J416">
        <v>7</v>
      </c>
      <c r="K416">
        <v>4</v>
      </c>
      <c r="L416" t="s">
        <v>2041</v>
      </c>
      <c r="M416">
        <v>182</v>
      </c>
      <c r="N416">
        <v>5924</v>
      </c>
      <c r="O416">
        <v>7512</v>
      </c>
      <c r="P416" s="13">
        <f t="shared" si="42"/>
        <v>0</v>
      </c>
      <c r="Q416" t="str">
        <f t="shared" si="43"/>
        <v>No</v>
      </c>
      <c r="R416" t="str" cm="1">
        <f t="array" ref="R416">_xlfn.IFS(K416=0,"On Time",K416&lt;=2,"Minor",K416&lt;=5,"Major",K416&gt;5,"Severe")</f>
        <v>Major</v>
      </c>
      <c r="S416">
        <f t="shared" si="44"/>
        <v>1878</v>
      </c>
      <c r="T416">
        <f t="shared" si="45"/>
        <v>1481</v>
      </c>
      <c r="U416">
        <f t="shared" si="46"/>
        <v>2024</v>
      </c>
      <c r="V416">
        <f t="shared" si="47"/>
        <v>7</v>
      </c>
      <c r="W416" s="11">
        <f t="shared" si="48"/>
        <v>1</v>
      </c>
    </row>
    <row r="417" spans="1:23">
      <c r="A417" t="s">
        <v>430</v>
      </c>
      <c r="B417" s="4">
        <v>45358</v>
      </c>
      <c r="C417" t="s">
        <v>2018</v>
      </c>
      <c r="D417" t="s">
        <v>2024</v>
      </c>
      <c r="E417" t="s">
        <v>2028</v>
      </c>
      <c r="F417" t="s">
        <v>2032</v>
      </c>
      <c r="G417" t="s">
        <v>2033</v>
      </c>
      <c r="H417" t="s">
        <v>2039</v>
      </c>
      <c r="I417">
        <v>2</v>
      </c>
      <c r="J417">
        <v>7</v>
      </c>
      <c r="K417">
        <v>5</v>
      </c>
      <c r="L417" t="s">
        <v>2041</v>
      </c>
      <c r="M417">
        <v>169</v>
      </c>
      <c r="N417">
        <v>11065</v>
      </c>
      <c r="O417">
        <v>12670</v>
      </c>
      <c r="P417" s="13">
        <f t="shared" si="42"/>
        <v>0</v>
      </c>
      <c r="Q417" t="str">
        <f t="shared" si="43"/>
        <v>No</v>
      </c>
      <c r="R417" t="str" cm="1">
        <f t="array" ref="R417">_xlfn.IFS(K417=0,"On Time",K417&lt;=2,"Minor",K417&lt;=5,"Major",K417&gt;5,"Severe")</f>
        <v>Major</v>
      </c>
      <c r="S417">
        <f t="shared" si="44"/>
        <v>2534</v>
      </c>
      <c r="T417">
        <f t="shared" si="45"/>
        <v>2213</v>
      </c>
      <c r="U417">
        <f t="shared" si="46"/>
        <v>2024</v>
      </c>
      <c r="V417">
        <f t="shared" si="47"/>
        <v>3</v>
      </c>
      <c r="W417" s="11">
        <f t="shared" si="48"/>
        <v>1</v>
      </c>
    </row>
    <row r="418" spans="1:23">
      <c r="A418" t="s">
        <v>431</v>
      </c>
      <c r="B418" s="4">
        <v>45331</v>
      </c>
      <c r="C418" t="s">
        <v>2016</v>
      </c>
      <c r="D418" t="s">
        <v>2025</v>
      </c>
      <c r="E418" t="s">
        <v>2029</v>
      </c>
      <c r="F418" t="s">
        <v>2032</v>
      </c>
      <c r="G418" t="s">
        <v>2035</v>
      </c>
      <c r="H418" t="s">
        <v>2038</v>
      </c>
      <c r="I418">
        <v>5</v>
      </c>
      <c r="J418">
        <v>11</v>
      </c>
      <c r="K418">
        <v>6</v>
      </c>
      <c r="L418" t="s">
        <v>2041</v>
      </c>
      <c r="M418">
        <v>302</v>
      </c>
      <c r="N418">
        <v>9360</v>
      </c>
      <c r="O418">
        <v>28266</v>
      </c>
      <c r="P418" s="13">
        <f t="shared" si="42"/>
        <v>0</v>
      </c>
      <c r="Q418" t="str">
        <f t="shared" si="43"/>
        <v>No</v>
      </c>
      <c r="R418" t="str" cm="1">
        <f t="array" ref="R418">_xlfn.IFS(K418=0,"On Time",K418&lt;=2,"Minor",K418&lt;=5,"Major",K418&gt;5,"Severe")</f>
        <v>Severe</v>
      </c>
      <c r="S418">
        <f t="shared" si="44"/>
        <v>4711</v>
      </c>
      <c r="T418">
        <f t="shared" si="45"/>
        <v>1560</v>
      </c>
      <c r="U418">
        <f t="shared" si="46"/>
        <v>2024</v>
      </c>
      <c r="V418">
        <f t="shared" si="47"/>
        <v>2</v>
      </c>
      <c r="W418" s="11">
        <f t="shared" si="48"/>
        <v>1</v>
      </c>
    </row>
    <row r="419" spans="1:23">
      <c r="A419" t="s">
        <v>432</v>
      </c>
      <c r="B419" s="4">
        <v>45552</v>
      </c>
      <c r="C419" t="s">
        <v>2018</v>
      </c>
      <c r="D419" t="s">
        <v>2026</v>
      </c>
      <c r="E419" t="s">
        <v>2029</v>
      </c>
      <c r="F419" t="s">
        <v>2031</v>
      </c>
      <c r="G419" t="s">
        <v>2034</v>
      </c>
      <c r="H419" t="s">
        <v>2038</v>
      </c>
      <c r="I419">
        <v>3</v>
      </c>
      <c r="J419">
        <v>6</v>
      </c>
      <c r="K419">
        <v>3</v>
      </c>
      <c r="L419" t="s">
        <v>2041</v>
      </c>
      <c r="M419">
        <v>97</v>
      </c>
      <c r="N419">
        <v>4713</v>
      </c>
      <c r="O419">
        <v>8016</v>
      </c>
      <c r="P419" s="13">
        <f t="shared" si="42"/>
        <v>0</v>
      </c>
      <c r="Q419" t="str">
        <f t="shared" si="43"/>
        <v>No</v>
      </c>
      <c r="R419" t="str" cm="1">
        <f t="array" ref="R419">_xlfn.IFS(K419=0,"On Time",K419&lt;=2,"Minor",K419&lt;=5,"Major",K419&gt;5,"Severe")</f>
        <v>Major</v>
      </c>
      <c r="S419">
        <f t="shared" si="44"/>
        <v>2672</v>
      </c>
      <c r="T419">
        <f t="shared" si="45"/>
        <v>1571</v>
      </c>
      <c r="U419">
        <f t="shared" si="46"/>
        <v>2024</v>
      </c>
      <c r="V419">
        <f t="shared" si="47"/>
        <v>9</v>
      </c>
      <c r="W419" s="11">
        <f t="shared" si="48"/>
        <v>1</v>
      </c>
    </row>
    <row r="420" spans="1:23">
      <c r="A420" t="s">
        <v>433</v>
      </c>
      <c r="B420" s="4">
        <v>45562</v>
      </c>
      <c r="C420" t="s">
        <v>2015</v>
      </c>
      <c r="D420" t="s">
        <v>2019</v>
      </c>
      <c r="E420" t="s">
        <v>2028</v>
      </c>
      <c r="F420" t="s">
        <v>2031</v>
      </c>
      <c r="G420" t="s">
        <v>2037</v>
      </c>
      <c r="H420" t="s">
        <v>2039</v>
      </c>
      <c r="I420">
        <v>3</v>
      </c>
      <c r="J420">
        <v>3</v>
      </c>
      <c r="K420">
        <v>0</v>
      </c>
      <c r="L420" t="s">
        <v>2042</v>
      </c>
      <c r="M420">
        <v>488</v>
      </c>
      <c r="N420">
        <v>0</v>
      </c>
      <c r="O420">
        <v>0</v>
      </c>
      <c r="P420" s="13">
        <f t="shared" si="42"/>
        <v>1</v>
      </c>
      <c r="Q420" t="str">
        <f t="shared" si="43"/>
        <v>No</v>
      </c>
      <c r="R420" t="str" cm="1">
        <f t="array" ref="R420">_xlfn.IFS(K420=0,"On Time",K420&lt;=2,"Minor",K420&lt;=5,"Major",K420&gt;5,"Severe")</f>
        <v>On Time</v>
      </c>
      <c r="S420">
        <f t="shared" si="44"/>
        <v>0</v>
      </c>
      <c r="T420">
        <f t="shared" si="45"/>
        <v>0</v>
      </c>
      <c r="U420">
        <f t="shared" si="46"/>
        <v>2024</v>
      </c>
      <c r="V420">
        <f t="shared" si="47"/>
        <v>9</v>
      </c>
      <c r="W420" s="11">
        <f t="shared" si="48"/>
        <v>0</v>
      </c>
    </row>
    <row r="421" spans="1:23">
      <c r="A421" t="s">
        <v>434</v>
      </c>
      <c r="B421" s="4">
        <v>45344</v>
      </c>
      <c r="C421" t="s">
        <v>2018</v>
      </c>
      <c r="D421" t="s">
        <v>2024</v>
      </c>
      <c r="E421" t="s">
        <v>2029</v>
      </c>
      <c r="F421" t="s">
        <v>2031</v>
      </c>
      <c r="G421" t="s">
        <v>2035</v>
      </c>
      <c r="H421" t="s">
        <v>2038</v>
      </c>
      <c r="I421">
        <v>2</v>
      </c>
      <c r="J421">
        <v>6</v>
      </c>
      <c r="K421">
        <v>4</v>
      </c>
      <c r="L421" t="s">
        <v>2041</v>
      </c>
      <c r="M421">
        <v>171</v>
      </c>
      <c r="N421">
        <v>5084</v>
      </c>
      <c r="O421">
        <v>14852</v>
      </c>
      <c r="P421" s="13">
        <f t="shared" si="42"/>
        <v>0</v>
      </c>
      <c r="Q421" t="str">
        <f t="shared" si="43"/>
        <v>No</v>
      </c>
      <c r="R421" t="str" cm="1">
        <f t="array" ref="R421">_xlfn.IFS(K421=0,"On Time",K421&lt;=2,"Minor",K421&lt;=5,"Major",K421&gt;5,"Severe")</f>
        <v>Major</v>
      </c>
      <c r="S421">
        <f t="shared" si="44"/>
        <v>3713</v>
      </c>
      <c r="T421">
        <f t="shared" si="45"/>
        <v>1271</v>
      </c>
      <c r="U421">
        <f t="shared" si="46"/>
        <v>2024</v>
      </c>
      <c r="V421">
        <f t="shared" si="47"/>
        <v>2</v>
      </c>
      <c r="W421" s="11">
        <f t="shared" si="48"/>
        <v>1</v>
      </c>
    </row>
    <row r="422" spans="1:23">
      <c r="A422" t="s">
        <v>435</v>
      </c>
      <c r="B422" s="4">
        <v>45449</v>
      </c>
      <c r="C422" t="s">
        <v>2015</v>
      </c>
      <c r="D422" t="s">
        <v>2020</v>
      </c>
      <c r="E422" t="s">
        <v>2029</v>
      </c>
      <c r="F422" t="s">
        <v>2032</v>
      </c>
      <c r="G422" t="s">
        <v>2037</v>
      </c>
      <c r="H422" t="s">
        <v>2039</v>
      </c>
      <c r="I422">
        <v>1</v>
      </c>
      <c r="J422">
        <v>7</v>
      </c>
      <c r="K422">
        <v>6</v>
      </c>
      <c r="L422" t="s">
        <v>2041</v>
      </c>
      <c r="M422">
        <v>192</v>
      </c>
      <c r="N422">
        <v>12084</v>
      </c>
      <c r="O422">
        <v>10098</v>
      </c>
      <c r="P422" s="13">
        <f t="shared" si="42"/>
        <v>0</v>
      </c>
      <c r="Q422" t="str">
        <f t="shared" si="43"/>
        <v>No</v>
      </c>
      <c r="R422" t="str" cm="1">
        <f t="array" ref="R422">_xlfn.IFS(K422=0,"On Time",K422&lt;=2,"Minor",K422&lt;=5,"Major",K422&gt;5,"Severe")</f>
        <v>Severe</v>
      </c>
      <c r="S422">
        <f t="shared" si="44"/>
        <v>1683</v>
      </c>
      <c r="T422">
        <f t="shared" si="45"/>
        <v>2014</v>
      </c>
      <c r="U422">
        <f t="shared" si="46"/>
        <v>2024</v>
      </c>
      <c r="V422">
        <f t="shared" si="47"/>
        <v>6</v>
      </c>
      <c r="W422" s="11">
        <f t="shared" si="48"/>
        <v>1</v>
      </c>
    </row>
    <row r="423" spans="1:23">
      <c r="A423" t="s">
        <v>436</v>
      </c>
      <c r="B423" s="4">
        <v>45343</v>
      </c>
      <c r="C423" t="s">
        <v>2017</v>
      </c>
      <c r="D423" t="s">
        <v>2022</v>
      </c>
      <c r="E423" t="s">
        <v>2029</v>
      </c>
      <c r="F423" t="s">
        <v>2030</v>
      </c>
      <c r="G423" t="s">
        <v>2033</v>
      </c>
      <c r="H423" t="s">
        <v>2040</v>
      </c>
      <c r="I423">
        <v>1</v>
      </c>
      <c r="J423">
        <v>6</v>
      </c>
      <c r="K423">
        <v>5</v>
      </c>
      <c r="L423" t="s">
        <v>2041</v>
      </c>
      <c r="M423">
        <v>287</v>
      </c>
      <c r="N423">
        <v>8820</v>
      </c>
      <c r="O423">
        <v>18835</v>
      </c>
      <c r="P423" s="13">
        <f t="shared" si="42"/>
        <v>0</v>
      </c>
      <c r="Q423" t="str">
        <f t="shared" si="43"/>
        <v>No</v>
      </c>
      <c r="R423" t="str" cm="1">
        <f t="array" ref="R423">_xlfn.IFS(K423=0,"On Time",K423&lt;=2,"Minor",K423&lt;=5,"Major",K423&gt;5,"Severe")</f>
        <v>Major</v>
      </c>
      <c r="S423">
        <f t="shared" si="44"/>
        <v>3767</v>
      </c>
      <c r="T423">
        <f t="shared" si="45"/>
        <v>1764</v>
      </c>
      <c r="U423">
        <f t="shared" si="46"/>
        <v>2024</v>
      </c>
      <c r="V423">
        <f t="shared" si="47"/>
        <v>2</v>
      </c>
      <c r="W423" s="11">
        <f t="shared" si="48"/>
        <v>1</v>
      </c>
    </row>
    <row r="424" spans="1:23">
      <c r="A424" t="s">
        <v>437</v>
      </c>
      <c r="B424" s="4">
        <v>45436</v>
      </c>
      <c r="C424" t="s">
        <v>2017</v>
      </c>
      <c r="D424" t="s">
        <v>2022</v>
      </c>
      <c r="E424" t="s">
        <v>2029</v>
      </c>
      <c r="F424" t="s">
        <v>2030</v>
      </c>
      <c r="G424" t="s">
        <v>2036</v>
      </c>
      <c r="H424" t="s">
        <v>2040</v>
      </c>
      <c r="I424">
        <v>2</v>
      </c>
      <c r="J424">
        <v>5</v>
      </c>
      <c r="K424">
        <v>3</v>
      </c>
      <c r="L424" t="s">
        <v>2041</v>
      </c>
      <c r="M424">
        <v>346</v>
      </c>
      <c r="N424">
        <v>5778</v>
      </c>
      <c r="O424">
        <v>9765</v>
      </c>
      <c r="P424" s="13">
        <f t="shared" si="42"/>
        <v>0</v>
      </c>
      <c r="Q424" t="str">
        <f t="shared" si="43"/>
        <v>No</v>
      </c>
      <c r="R424" t="str" cm="1">
        <f t="array" ref="R424">_xlfn.IFS(K424=0,"On Time",K424&lt;=2,"Minor",K424&lt;=5,"Major",K424&gt;5,"Severe")</f>
        <v>Major</v>
      </c>
      <c r="S424">
        <f t="shared" si="44"/>
        <v>3255</v>
      </c>
      <c r="T424">
        <f t="shared" si="45"/>
        <v>1926</v>
      </c>
      <c r="U424">
        <f t="shared" si="46"/>
        <v>2024</v>
      </c>
      <c r="V424">
        <f t="shared" si="47"/>
        <v>5</v>
      </c>
      <c r="W424" s="11">
        <f t="shared" si="48"/>
        <v>1</v>
      </c>
    </row>
    <row r="425" spans="1:23">
      <c r="A425" t="s">
        <v>438</v>
      </c>
      <c r="B425" s="4">
        <v>45652</v>
      </c>
      <c r="C425" t="s">
        <v>2016</v>
      </c>
      <c r="D425" t="s">
        <v>2021</v>
      </c>
      <c r="E425" t="s">
        <v>2028</v>
      </c>
      <c r="F425" t="s">
        <v>2031</v>
      </c>
      <c r="G425" t="s">
        <v>2033</v>
      </c>
      <c r="H425" t="s">
        <v>2038</v>
      </c>
      <c r="I425">
        <v>2</v>
      </c>
      <c r="J425">
        <v>4</v>
      </c>
      <c r="K425">
        <v>2</v>
      </c>
      <c r="L425" t="s">
        <v>2041</v>
      </c>
      <c r="M425">
        <v>79</v>
      </c>
      <c r="N425">
        <v>2444</v>
      </c>
      <c r="O425">
        <v>6952</v>
      </c>
      <c r="P425" s="13">
        <f t="shared" si="42"/>
        <v>0</v>
      </c>
      <c r="Q425" t="str">
        <f t="shared" si="43"/>
        <v>No</v>
      </c>
      <c r="R425" t="str" cm="1">
        <f t="array" ref="R425">_xlfn.IFS(K425=0,"On Time",K425&lt;=2,"Minor",K425&lt;=5,"Major",K425&gt;5,"Severe")</f>
        <v>Minor</v>
      </c>
      <c r="S425">
        <f t="shared" si="44"/>
        <v>3476</v>
      </c>
      <c r="T425">
        <f t="shared" si="45"/>
        <v>1222</v>
      </c>
      <c r="U425">
        <f t="shared" si="46"/>
        <v>2024</v>
      </c>
      <c r="V425">
        <f t="shared" si="47"/>
        <v>12</v>
      </c>
      <c r="W425" s="11">
        <f t="shared" si="48"/>
        <v>1</v>
      </c>
    </row>
    <row r="426" spans="1:23">
      <c r="A426" t="s">
        <v>439</v>
      </c>
      <c r="B426" s="4">
        <v>45407</v>
      </c>
      <c r="C426" t="s">
        <v>2015</v>
      </c>
      <c r="D426" t="s">
        <v>2020</v>
      </c>
      <c r="E426" t="s">
        <v>2028</v>
      </c>
      <c r="F426" t="s">
        <v>2030</v>
      </c>
      <c r="G426" t="s">
        <v>2036</v>
      </c>
      <c r="H426" t="s">
        <v>2040</v>
      </c>
      <c r="I426">
        <v>2</v>
      </c>
      <c r="J426">
        <v>10</v>
      </c>
      <c r="K426">
        <v>8</v>
      </c>
      <c r="L426" t="s">
        <v>2041</v>
      </c>
      <c r="M426">
        <v>311</v>
      </c>
      <c r="N426">
        <v>11752</v>
      </c>
      <c r="O426">
        <v>33040</v>
      </c>
      <c r="P426" s="13">
        <f t="shared" si="42"/>
        <v>0</v>
      </c>
      <c r="Q426" t="str">
        <f t="shared" si="43"/>
        <v>No</v>
      </c>
      <c r="R426" t="str" cm="1">
        <f t="array" ref="R426">_xlfn.IFS(K426=0,"On Time",K426&lt;=2,"Minor",K426&lt;=5,"Major",K426&gt;5,"Severe")</f>
        <v>Severe</v>
      </c>
      <c r="S426">
        <f t="shared" si="44"/>
        <v>4130</v>
      </c>
      <c r="T426">
        <f t="shared" si="45"/>
        <v>1469</v>
      </c>
      <c r="U426">
        <f t="shared" si="46"/>
        <v>2024</v>
      </c>
      <c r="V426">
        <f t="shared" si="47"/>
        <v>4</v>
      </c>
      <c r="W426" s="11">
        <f t="shared" si="48"/>
        <v>1</v>
      </c>
    </row>
    <row r="427" spans="1:23">
      <c r="A427" t="s">
        <v>440</v>
      </c>
      <c r="B427" s="4">
        <v>45591</v>
      </c>
      <c r="C427" t="s">
        <v>2017</v>
      </c>
      <c r="D427" t="s">
        <v>2023</v>
      </c>
      <c r="E427" t="s">
        <v>2029</v>
      </c>
      <c r="F427" t="s">
        <v>2030</v>
      </c>
      <c r="G427" t="s">
        <v>2033</v>
      </c>
      <c r="H427" t="s">
        <v>2040</v>
      </c>
      <c r="I427">
        <v>2</v>
      </c>
      <c r="J427">
        <v>8</v>
      </c>
      <c r="K427">
        <v>6</v>
      </c>
      <c r="L427" t="s">
        <v>2041</v>
      </c>
      <c r="M427">
        <v>475</v>
      </c>
      <c r="N427">
        <v>6846</v>
      </c>
      <c r="O427">
        <v>14190</v>
      </c>
      <c r="P427" s="13">
        <f t="shared" si="42"/>
        <v>0</v>
      </c>
      <c r="Q427" t="str">
        <f t="shared" si="43"/>
        <v>No</v>
      </c>
      <c r="R427" t="str" cm="1">
        <f t="array" ref="R427">_xlfn.IFS(K427=0,"On Time",K427&lt;=2,"Minor",K427&lt;=5,"Major",K427&gt;5,"Severe")</f>
        <v>Severe</v>
      </c>
      <c r="S427">
        <f t="shared" si="44"/>
        <v>2365</v>
      </c>
      <c r="T427">
        <f t="shared" si="45"/>
        <v>1141</v>
      </c>
      <c r="U427">
        <f t="shared" si="46"/>
        <v>2024</v>
      </c>
      <c r="V427">
        <f t="shared" si="47"/>
        <v>10</v>
      </c>
      <c r="W427" s="11">
        <f t="shared" si="48"/>
        <v>1</v>
      </c>
    </row>
    <row r="428" spans="1:23">
      <c r="A428" t="s">
        <v>441</v>
      </c>
      <c r="B428" s="4">
        <v>45512</v>
      </c>
      <c r="C428" t="s">
        <v>2015</v>
      </c>
      <c r="D428" t="s">
        <v>2020</v>
      </c>
      <c r="E428" t="s">
        <v>2028</v>
      </c>
      <c r="F428" t="s">
        <v>2032</v>
      </c>
      <c r="G428" t="s">
        <v>2036</v>
      </c>
      <c r="H428" t="s">
        <v>2040</v>
      </c>
      <c r="I428">
        <v>1</v>
      </c>
      <c r="J428">
        <v>5</v>
      </c>
      <c r="K428">
        <v>4</v>
      </c>
      <c r="L428" t="s">
        <v>2041</v>
      </c>
      <c r="M428">
        <v>367</v>
      </c>
      <c r="N428">
        <v>7612</v>
      </c>
      <c r="O428">
        <v>10384</v>
      </c>
      <c r="P428" s="13">
        <f t="shared" si="42"/>
        <v>0</v>
      </c>
      <c r="Q428" t="str">
        <f t="shared" si="43"/>
        <v>No</v>
      </c>
      <c r="R428" t="str" cm="1">
        <f t="array" ref="R428">_xlfn.IFS(K428=0,"On Time",K428&lt;=2,"Minor",K428&lt;=5,"Major",K428&gt;5,"Severe")</f>
        <v>Major</v>
      </c>
      <c r="S428">
        <f t="shared" si="44"/>
        <v>2596</v>
      </c>
      <c r="T428">
        <f t="shared" si="45"/>
        <v>1903</v>
      </c>
      <c r="U428">
        <f t="shared" si="46"/>
        <v>2024</v>
      </c>
      <c r="V428">
        <f t="shared" si="47"/>
        <v>8</v>
      </c>
      <c r="W428" s="11">
        <f t="shared" si="48"/>
        <v>1</v>
      </c>
    </row>
    <row r="429" spans="1:23">
      <c r="A429" t="s">
        <v>442</v>
      </c>
      <c r="B429" s="4">
        <v>45294</v>
      </c>
      <c r="C429" t="s">
        <v>2017</v>
      </c>
      <c r="D429" t="s">
        <v>2023</v>
      </c>
      <c r="E429" t="s">
        <v>2027</v>
      </c>
      <c r="F429" t="s">
        <v>2030</v>
      </c>
      <c r="G429" t="s">
        <v>2034</v>
      </c>
      <c r="H429" t="s">
        <v>2039</v>
      </c>
      <c r="I429">
        <v>2</v>
      </c>
      <c r="J429">
        <v>7</v>
      </c>
      <c r="K429">
        <v>5</v>
      </c>
      <c r="L429" t="s">
        <v>2041</v>
      </c>
      <c r="M429">
        <v>128</v>
      </c>
      <c r="N429">
        <v>10455</v>
      </c>
      <c r="O429">
        <v>24590</v>
      </c>
      <c r="P429" s="13">
        <f t="shared" si="42"/>
        <v>0</v>
      </c>
      <c r="Q429" t="str">
        <f t="shared" si="43"/>
        <v>No</v>
      </c>
      <c r="R429" t="str" cm="1">
        <f t="array" ref="R429">_xlfn.IFS(K429=0,"On Time",K429&lt;=2,"Minor",K429&lt;=5,"Major",K429&gt;5,"Severe")</f>
        <v>Major</v>
      </c>
      <c r="S429">
        <f t="shared" si="44"/>
        <v>4918</v>
      </c>
      <c r="T429">
        <f t="shared" si="45"/>
        <v>2091</v>
      </c>
      <c r="U429">
        <f t="shared" si="46"/>
        <v>2024</v>
      </c>
      <c r="V429">
        <f t="shared" si="47"/>
        <v>1</v>
      </c>
      <c r="W429" s="11">
        <f t="shared" si="48"/>
        <v>1</v>
      </c>
    </row>
    <row r="430" spans="1:23">
      <c r="A430" t="s">
        <v>443</v>
      </c>
      <c r="B430" s="4">
        <v>45446</v>
      </c>
      <c r="C430" t="s">
        <v>2017</v>
      </c>
      <c r="D430" t="s">
        <v>2022</v>
      </c>
      <c r="E430" t="s">
        <v>2027</v>
      </c>
      <c r="F430" t="s">
        <v>2030</v>
      </c>
      <c r="G430" t="s">
        <v>2033</v>
      </c>
      <c r="H430" t="s">
        <v>2038</v>
      </c>
      <c r="I430">
        <v>3</v>
      </c>
      <c r="J430">
        <v>4</v>
      </c>
      <c r="K430">
        <v>1</v>
      </c>
      <c r="L430" t="s">
        <v>2041</v>
      </c>
      <c r="M430">
        <v>326</v>
      </c>
      <c r="N430">
        <v>1891</v>
      </c>
      <c r="O430">
        <v>1570</v>
      </c>
      <c r="P430" s="13">
        <f t="shared" si="42"/>
        <v>0</v>
      </c>
      <c r="Q430" t="str">
        <f t="shared" si="43"/>
        <v>No</v>
      </c>
      <c r="R430" t="str" cm="1">
        <f t="array" ref="R430">_xlfn.IFS(K430=0,"On Time",K430&lt;=2,"Minor",K430&lt;=5,"Major",K430&gt;5,"Severe")</f>
        <v>Minor</v>
      </c>
      <c r="S430">
        <f t="shared" si="44"/>
        <v>1570</v>
      </c>
      <c r="T430">
        <f t="shared" si="45"/>
        <v>1891</v>
      </c>
      <c r="U430">
        <f t="shared" si="46"/>
        <v>2024</v>
      </c>
      <c r="V430">
        <f t="shared" si="47"/>
        <v>6</v>
      </c>
      <c r="W430" s="11">
        <f t="shared" si="48"/>
        <v>1</v>
      </c>
    </row>
    <row r="431" spans="1:23">
      <c r="A431" t="s">
        <v>444</v>
      </c>
      <c r="B431" s="4">
        <v>45651</v>
      </c>
      <c r="C431" t="s">
        <v>2016</v>
      </c>
      <c r="D431" t="s">
        <v>2025</v>
      </c>
      <c r="E431" t="s">
        <v>2029</v>
      </c>
      <c r="F431" t="s">
        <v>2031</v>
      </c>
      <c r="G431" t="s">
        <v>2036</v>
      </c>
      <c r="H431" t="s">
        <v>2038</v>
      </c>
      <c r="I431">
        <v>1</v>
      </c>
      <c r="J431">
        <v>6</v>
      </c>
      <c r="K431">
        <v>5</v>
      </c>
      <c r="L431" t="s">
        <v>2041</v>
      </c>
      <c r="M431">
        <v>449</v>
      </c>
      <c r="N431">
        <v>9260</v>
      </c>
      <c r="O431">
        <v>17805</v>
      </c>
      <c r="P431" s="13">
        <f t="shared" si="42"/>
        <v>0</v>
      </c>
      <c r="Q431" t="str">
        <f t="shared" si="43"/>
        <v>No</v>
      </c>
      <c r="R431" t="str" cm="1">
        <f t="array" ref="R431">_xlfn.IFS(K431=0,"On Time",K431&lt;=2,"Minor",K431&lt;=5,"Major",K431&gt;5,"Severe")</f>
        <v>Major</v>
      </c>
      <c r="S431">
        <f t="shared" si="44"/>
        <v>3561</v>
      </c>
      <c r="T431">
        <f t="shared" si="45"/>
        <v>1852</v>
      </c>
      <c r="U431">
        <f t="shared" si="46"/>
        <v>2024</v>
      </c>
      <c r="V431">
        <f t="shared" si="47"/>
        <v>12</v>
      </c>
      <c r="W431" s="11">
        <f t="shared" si="48"/>
        <v>1</v>
      </c>
    </row>
    <row r="432" spans="1:23">
      <c r="A432" t="s">
        <v>445</v>
      </c>
      <c r="B432" s="4">
        <v>45300</v>
      </c>
      <c r="C432" t="s">
        <v>2017</v>
      </c>
      <c r="D432" t="s">
        <v>2022</v>
      </c>
      <c r="E432" t="s">
        <v>2027</v>
      </c>
      <c r="F432" t="s">
        <v>2031</v>
      </c>
      <c r="G432" t="s">
        <v>2034</v>
      </c>
      <c r="H432" t="s">
        <v>2038</v>
      </c>
      <c r="I432">
        <v>3</v>
      </c>
      <c r="J432">
        <v>4</v>
      </c>
      <c r="K432">
        <v>1</v>
      </c>
      <c r="L432" t="s">
        <v>2041</v>
      </c>
      <c r="M432">
        <v>215</v>
      </c>
      <c r="N432">
        <v>1257</v>
      </c>
      <c r="O432">
        <v>3230</v>
      </c>
      <c r="P432" s="13">
        <f t="shared" si="42"/>
        <v>0</v>
      </c>
      <c r="Q432" t="str">
        <f t="shared" si="43"/>
        <v>No</v>
      </c>
      <c r="R432" t="str" cm="1">
        <f t="array" ref="R432">_xlfn.IFS(K432=0,"On Time",K432&lt;=2,"Minor",K432&lt;=5,"Major",K432&gt;5,"Severe")</f>
        <v>Minor</v>
      </c>
      <c r="S432">
        <f t="shared" si="44"/>
        <v>3230</v>
      </c>
      <c r="T432">
        <f t="shared" si="45"/>
        <v>1257</v>
      </c>
      <c r="U432">
        <f t="shared" si="46"/>
        <v>2024</v>
      </c>
      <c r="V432">
        <f t="shared" si="47"/>
        <v>1</v>
      </c>
      <c r="W432" s="11">
        <f t="shared" si="48"/>
        <v>1</v>
      </c>
    </row>
    <row r="433" spans="1:23">
      <c r="A433" t="s">
        <v>446</v>
      </c>
      <c r="B433" s="4">
        <v>45342</v>
      </c>
      <c r="C433" t="s">
        <v>2016</v>
      </c>
      <c r="D433" t="s">
        <v>2021</v>
      </c>
      <c r="E433" t="s">
        <v>2029</v>
      </c>
      <c r="F433" t="s">
        <v>2031</v>
      </c>
      <c r="G433" t="s">
        <v>2037</v>
      </c>
      <c r="H433" t="s">
        <v>2038</v>
      </c>
      <c r="I433">
        <v>3</v>
      </c>
      <c r="J433">
        <v>6</v>
      </c>
      <c r="K433">
        <v>3</v>
      </c>
      <c r="L433" t="s">
        <v>2041</v>
      </c>
      <c r="M433">
        <v>332</v>
      </c>
      <c r="N433">
        <v>7317</v>
      </c>
      <c r="O433">
        <v>5832</v>
      </c>
      <c r="P433" s="13">
        <f t="shared" si="42"/>
        <v>0</v>
      </c>
      <c r="Q433" t="str">
        <f t="shared" si="43"/>
        <v>No</v>
      </c>
      <c r="R433" t="str" cm="1">
        <f t="array" ref="R433">_xlfn.IFS(K433=0,"On Time",K433&lt;=2,"Minor",K433&lt;=5,"Major",K433&gt;5,"Severe")</f>
        <v>Major</v>
      </c>
      <c r="S433">
        <f t="shared" si="44"/>
        <v>1944</v>
      </c>
      <c r="T433">
        <f t="shared" si="45"/>
        <v>2439</v>
      </c>
      <c r="U433">
        <f t="shared" si="46"/>
        <v>2024</v>
      </c>
      <c r="V433">
        <f t="shared" si="47"/>
        <v>2</v>
      </c>
      <c r="W433" s="11">
        <f t="shared" si="48"/>
        <v>1</v>
      </c>
    </row>
    <row r="434" spans="1:23">
      <c r="A434" t="s">
        <v>447</v>
      </c>
      <c r="B434" s="4">
        <v>45545</v>
      </c>
      <c r="C434" t="s">
        <v>2018</v>
      </c>
      <c r="D434" t="s">
        <v>2026</v>
      </c>
      <c r="E434" t="s">
        <v>2027</v>
      </c>
      <c r="F434" t="s">
        <v>2032</v>
      </c>
      <c r="G434" t="s">
        <v>2035</v>
      </c>
      <c r="H434" t="s">
        <v>2039</v>
      </c>
      <c r="I434">
        <v>2</v>
      </c>
      <c r="J434">
        <v>8</v>
      </c>
      <c r="K434">
        <v>6</v>
      </c>
      <c r="L434" t="s">
        <v>2041</v>
      </c>
      <c r="M434">
        <v>228</v>
      </c>
      <c r="N434">
        <v>6354</v>
      </c>
      <c r="O434">
        <v>16392</v>
      </c>
      <c r="P434" s="13">
        <f t="shared" si="42"/>
        <v>0</v>
      </c>
      <c r="Q434" t="str">
        <f t="shared" si="43"/>
        <v>No</v>
      </c>
      <c r="R434" t="str" cm="1">
        <f t="array" ref="R434">_xlfn.IFS(K434=0,"On Time",K434&lt;=2,"Minor",K434&lt;=5,"Major",K434&gt;5,"Severe")</f>
        <v>Severe</v>
      </c>
      <c r="S434">
        <f t="shared" si="44"/>
        <v>2732</v>
      </c>
      <c r="T434">
        <f t="shared" si="45"/>
        <v>1059</v>
      </c>
      <c r="U434">
        <f t="shared" si="46"/>
        <v>2024</v>
      </c>
      <c r="V434">
        <f t="shared" si="47"/>
        <v>9</v>
      </c>
      <c r="W434" s="11">
        <f t="shared" si="48"/>
        <v>1</v>
      </c>
    </row>
    <row r="435" spans="1:23">
      <c r="A435" t="s">
        <v>448</v>
      </c>
      <c r="B435" s="4">
        <v>45656</v>
      </c>
      <c r="C435" t="s">
        <v>2017</v>
      </c>
      <c r="D435" t="s">
        <v>2022</v>
      </c>
      <c r="E435" t="s">
        <v>2029</v>
      </c>
      <c r="F435" t="s">
        <v>2031</v>
      </c>
      <c r="G435" t="s">
        <v>2037</v>
      </c>
      <c r="H435" t="s">
        <v>2038</v>
      </c>
      <c r="I435">
        <v>2</v>
      </c>
      <c r="J435">
        <v>7</v>
      </c>
      <c r="K435">
        <v>5</v>
      </c>
      <c r="L435" t="s">
        <v>2041</v>
      </c>
      <c r="M435">
        <v>60</v>
      </c>
      <c r="N435">
        <v>10225</v>
      </c>
      <c r="O435">
        <v>14090</v>
      </c>
      <c r="P435" s="13">
        <f t="shared" si="42"/>
        <v>0</v>
      </c>
      <c r="Q435" t="str">
        <f t="shared" si="43"/>
        <v>No</v>
      </c>
      <c r="R435" t="str" cm="1">
        <f t="array" ref="R435">_xlfn.IFS(K435=0,"On Time",K435&lt;=2,"Minor",K435&lt;=5,"Major",K435&gt;5,"Severe")</f>
        <v>Major</v>
      </c>
      <c r="S435">
        <f t="shared" si="44"/>
        <v>2818</v>
      </c>
      <c r="T435">
        <f t="shared" si="45"/>
        <v>2045</v>
      </c>
      <c r="U435">
        <f t="shared" si="46"/>
        <v>2024</v>
      </c>
      <c r="V435">
        <f t="shared" si="47"/>
        <v>12</v>
      </c>
      <c r="W435" s="11">
        <f t="shared" si="48"/>
        <v>1</v>
      </c>
    </row>
    <row r="436" spans="1:23">
      <c r="A436" t="s">
        <v>449</v>
      </c>
      <c r="B436" s="4">
        <v>45608</v>
      </c>
      <c r="C436" t="s">
        <v>2016</v>
      </c>
      <c r="D436" t="s">
        <v>2025</v>
      </c>
      <c r="E436" t="s">
        <v>2028</v>
      </c>
      <c r="F436" t="s">
        <v>2030</v>
      </c>
      <c r="G436" t="s">
        <v>2036</v>
      </c>
      <c r="H436" t="s">
        <v>2038</v>
      </c>
      <c r="I436">
        <v>2</v>
      </c>
      <c r="J436">
        <v>6</v>
      </c>
      <c r="K436">
        <v>4</v>
      </c>
      <c r="L436" t="s">
        <v>2041</v>
      </c>
      <c r="M436">
        <v>92</v>
      </c>
      <c r="N436">
        <v>8316</v>
      </c>
      <c r="O436">
        <v>12568</v>
      </c>
      <c r="P436" s="13">
        <f t="shared" si="42"/>
        <v>0</v>
      </c>
      <c r="Q436" t="str">
        <f t="shared" si="43"/>
        <v>No</v>
      </c>
      <c r="R436" t="str" cm="1">
        <f t="array" ref="R436">_xlfn.IFS(K436=0,"On Time",K436&lt;=2,"Minor",K436&lt;=5,"Major",K436&gt;5,"Severe")</f>
        <v>Major</v>
      </c>
      <c r="S436">
        <f t="shared" si="44"/>
        <v>3142</v>
      </c>
      <c r="T436">
        <f t="shared" si="45"/>
        <v>2079</v>
      </c>
      <c r="U436">
        <f t="shared" si="46"/>
        <v>2024</v>
      </c>
      <c r="V436">
        <f t="shared" si="47"/>
        <v>11</v>
      </c>
      <c r="W436" s="11">
        <f t="shared" si="48"/>
        <v>1</v>
      </c>
    </row>
    <row r="437" spans="1:23">
      <c r="A437" t="s">
        <v>450</v>
      </c>
      <c r="B437" s="4">
        <v>45325</v>
      </c>
      <c r="C437" t="s">
        <v>2017</v>
      </c>
      <c r="D437" t="s">
        <v>2022</v>
      </c>
      <c r="E437" t="s">
        <v>2029</v>
      </c>
      <c r="F437" t="s">
        <v>2031</v>
      </c>
      <c r="G437" t="s">
        <v>2037</v>
      </c>
      <c r="H437" t="s">
        <v>2040</v>
      </c>
      <c r="I437">
        <v>2</v>
      </c>
      <c r="J437">
        <v>4</v>
      </c>
      <c r="K437">
        <v>2</v>
      </c>
      <c r="L437" t="s">
        <v>2041</v>
      </c>
      <c r="M437">
        <v>79</v>
      </c>
      <c r="N437">
        <v>4714</v>
      </c>
      <c r="O437">
        <v>3890</v>
      </c>
      <c r="P437" s="13">
        <f t="shared" si="42"/>
        <v>0</v>
      </c>
      <c r="Q437" t="str">
        <f t="shared" si="43"/>
        <v>No</v>
      </c>
      <c r="R437" t="str" cm="1">
        <f t="array" ref="R437">_xlfn.IFS(K437=0,"On Time",K437&lt;=2,"Minor",K437&lt;=5,"Major",K437&gt;5,"Severe")</f>
        <v>Minor</v>
      </c>
      <c r="S437">
        <f t="shared" si="44"/>
        <v>1945</v>
      </c>
      <c r="T437">
        <f t="shared" si="45"/>
        <v>2357</v>
      </c>
      <c r="U437">
        <f t="shared" si="46"/>
        <v>2024</v>
      </c>
      <c r="V437">
        <f t="shared" si="47"/>
        <v>2</v>
      </c>
      <c r="W437" s="11">
        <f t="shared" si="48"/>
        <v>1</v>
      </c>
    </row>
    <row r="438" spans="1:23">
      <c r="A438" t="s">
        <v>451</v>
      </c>
      <c r="B438" s="4">
        <v>45601</v>
      </c>
      <c r="C438" t="s">
        <v>2017</v>
      </c>
      <c r="D438" t="s">
        <v>2022</v>
      </c>
      <c r="E438" t="s">
        <v>2027</v>
      </c>
      <c r="F438" t="s">
        <v>2032</v>
      </c>
      <c r="G438" t="s">
        <v>2033</v>
      </c>
      <c r="H438" t="s">
        <v>2038</v>
      </c>
      <c r="I438">
        <v>3</v>
      </c>
      <c r="J438">
        <v>8</v>
      </c>
      <c r="K438">
        <v>5</v>
      </c>
      <c r="L438" t="s">
        <v>2041</v>
      </c>
      <c r="M438">
        <v>218</v>
      </c>
      <c r="N438">
        <v>10240</v>
      </c>
      <c r="O438">
        <v>9875</v>
      </c>
      <c r="P438" s="13">
        <f t="shared" si="42"/>
        <v>0</v>
      </c>
      <c r="Q438" t="str">
        <f t="shared" si="43"/>
        <v>No</v>
      </c>
      <c r="R438" t="str" cm="1">
        <f t="array" ref="R438">_xlfn.IFS(K438=0,"On Time",K438&lt;=2,"Minor",K438&lt;=5,"Major",K438&gt;5,"Severe")</f>
        <v>Major</v>
      </c>
      <c r="S438">
        <f t="shared" si="44"/>
        <v>1975</v>
      </c>
      <c r="T438">
        <f t="shared" si="45"/>
        <v>2048</v>
      </c>
      <c r="U438">
        <f t="shared" si="46"/>
        <v>2024</v>
      </c>
      <c r="V438">
        <f t="shared" si="47"/>
        <v>11</v>
      </c>
      <c r="W438" s="11">
        <f t="shared" si="48"/>
        <v>1</v>
      </c>
    </row>
    <row r="439" spans="1:23">
      <c r="A439" t="s">
        <v>452</v>
      </c>
      <c r="B439" s="4">
        <v>45589</v>
      </c>
      <c r="C439" t="s">
        <v>2017</v>
      </c>
      <c r="D439" t="s">
        <v>2023</v>
      </c>
      <c r="E439" t="s">
        <v>2027</v>
      </c>
      <c r="F439" t="s">
        <v>2031</v>
      </c>
      <c r="G439" t="s">
        <v>2037</v>
      </c>
      <c r="H439" t="s">
        <v>2039</v>
      </c>
      <c r="I439">
        <v>1</v>
      </c>
      <c r="J439">
        <v>5</v>
      </c>
      <c r="K439">
        <v>4</v>
      </c>
      <c r="L439" t="s">
        <v>2041</v>
      </c>
      <c r="M439">
        <v>341</v>
      </c>
      <c r="N439">
        <v>5700</v>
      </c>
      <c r="O439">
        <v>12968</v>
      </c>
      <c r="P439" s="13">
        <f t="shared" si="42"/>
        <v>0</v>
      </c>
      <c r="Q439" t="str">
        <f t="shared" si="43"/>
        <v>No</v>
      </c>
      <c r="R439" t="str" cm="1">
        <f t="array" ref="R439">_xlfn.IFS(K439=0,"On Time",K439&lt;=2,"Minor",K439&lt;=5,"Major",K439&gt;5,"Severe")</f>
        <v>Major</v>
      </c>
      <c r="S439">
        <f t="shared" si="44"/>
        <v>3242</v>
      </c>
      <c r="T439">
        <f t="shared" si="45"/>
        <v>1425</v>
      </c>
      <c r="U439">
        <f t="shared" si="46"/>
        <v>2024</v>
      </c>
      <c r="V439">
        <f t="shared" si="47"/>
        <v>10</v>
      </c>
      <c r="W439" s="11">
        <f t="shared" si="48"/>
        <v>1</v>
      </c>
    </row>
    <row r="440" spans="1:23">
      <c r="A440" t="s">
        <v>453</v>
      </c>
      <c r="B440" s="4">
        <v>45411</v>
      </c>
      <c r="C440" t="s">
        <v>2016</v>
      </c>
      <c r="D440" t="s">
        <v>2021</v>
      </c>
      <c r="E440" t="s">
        <v>2029</v>
      </c>
      <c r="F440" t="s">
        <v>2030</v>
      </c>
      <c r="G440" t="s">
        <v>2036</v>
      </c>
      <c r="H440" t="s">
        <v>2039</v>
      </c>
      <c r="I440">
        <v>2</v>
      </c>
      <c r="J440">
        <v>5</v>
      </c>
      <c r="K440">
        <v>3</v>
      </c>
      <c r="L440" t="s">
        <v>2041</v>
      </c>
      <c r="M440">
        <v>176</v>
      </c>
      <c r="N440">
        <v>6669</v>
      </c>
      <c r="O440">
        <v>5832</v>
      </c>
      <c r="P440" s="13">
        <f t="shared" si="42"/>
        <v>0</v>
      </c>
      <c r="Q440" t="str">
        <f t="shared" si="43"/>
        <v>No</v>
      </c>
      <c r="R440" t="str" cm="1">
        <f t="array" ref="R440">_xlfn.IFS(K440=0,"On Time",K440&lt;=2,"Minor",K440&lt;=5,"Major",K440&gt;5,"Severe")</f>
        <v>Major</v>
      </c>
      <c r="S440">
        <f t="shared" si="44"/>
        <v>1944</v>
      </c>
      <c r="T440">
        <f t="shared" si="45"/>
        <v>2223</v>
      </c>
      <c r="U440">
        <f t="shared" si="46"/>
        <v>2024</v>
      </c>
      <c r="V440">
        <f t="shared" si="47"/>
        <v>4</v>
      </c>
      <c r="W440" s="11">
        <f t="shared" si="48"/>
        <v>1</v>
      </c>
    </row>
    <row r="441" spans="1:23">
      <c r="A441" t="s">
        <v>454</v>
      </c>
      <c r="B441" s="4">
        <v>45318</v>
      </c>
      <c r="C441" t="s">
        <v>2018</v>
      </c>
      <c r="D441" t="s">
        <v>2024</v>
      </c>
      <c r="E441" t="s">
        <v>2029</v>
      </c>
      <c r="F441" t="s">
        <v>2031</v>
      </c>
      <c r="G441" t="s">
        <v>2033</v>
      </c>
      <c r="H441" t="s">
        <v>2039</v>
      </c>
      <c r="I441">
        <v>2</v>
      </c>
      <c r="J441">
        <v>6</v>
      </c>
      <c r="K441">
        <v>4</v>
      </c>
      <c r="L441" t="s">
        <v>2041</v>
      </c>
      <c r="M441">
        <v>99</v>
      </c>
      <c r="N441">
        <v>5480</v>
      </c>
      <c r="O441">
        <v>12796</v>
      </c>
      <c r="P441" s="13">
        <f t="shared" si="42"/>
        <v>0</v>
      </c>
      <c r="Q441" t="str">
        <f t="shared" si="43"/>
        <v>No</v>
      </c>
      <c r="R441" t="str" cm="1">
        <f t="array" ref="R441">_xlfn.IFS(K441=0,"On Time",K441&lt;=2,"Minor",K441&lt;=5,"Major",K441&gt;5,"Severe")</f>
        <v>Major</v>
      </c>
      <c r="S441">
        <f t="shared" si="44"/>
        <v>3199</v>
      </c>
      <c r="T441">
        <f t="shared" si="45"/>
        <v>1370</v>
      </c>
      <c r="U441">
        <f t="shared" si="46"/>
        <v>2024</v>
      </c>
      <c r="V441">
        <f t="shared" si="47"/>
        <v>1</v>
      </c>
      <c r="W441" s="11">
        <f t="shared" si="48"/>
        <v>1</v>
      </c>
    </row>
    <row r="442" spans="1:23">
      <c r="A442" t="s">
        <v>455</v>
      </c>
      <c r="B442" s="4">
        <v>45328</v>
      </c>
      <c r="C442" t="s">
        <v>2016</v>
      </c>
      <c r="D442" t="s">
        <v>2025</v>
      </c>
      <c r="E442" t="s">
        <v>2027</v>
      </c>
      <c r="F442" t="s">
        <v>2032</v>
      </c>
      <c r="G442" t="s">
        <v>2036</v>
      </c>
      <c r="H442" t="s">
        <v>2040</v>
      </c>
      <c r="I442">
        <v>2</v>
      </c>
      <c r="J442">
        <v>8</v>
      </c>
      <c r="K442">
        <v>6</v>
      </c>
      <c r="L442" t="s">
        <v>2041</v>
      </c>
      <c r="M442">
        <v>320</v>
      </c>
      <c r="N442">
        <v>11982</v>
      </c>
      <c r="O442">
        <v>10038</v>
      </c>
      <c r="P442" s="13">
        <f t="shared" si="42"/>
        <v>0</v>
      </c>
      <c r="Q442" t="str">
        <f t="shared" si="43"/>
        <v>No</v>
      </c>
      <c r="R442" t="str" cm="1">
        <f t="array" ref="R442">_xlfn.IFS(K442=0,"On Time",K442&lt;=2,"Minor",K442&lt;=5,"Major",K442&gt;5,"Severe")</f>
        <v>Severe</v>
      </c>
      <c r="S442">
        <f t="shared" si="44"/>
        <v>1673</v>
      </c>
      <c r="T442">
        <f t="shared" si="45"/>
        <v>1997</v>
      </c>
      <c r="U442">
        <f t="shared" si="46"/>
        <v>2024</v>
      </c>
      <c r="V442">
        <f t="shared" si="47"/>
        <v>2</v>
      </c>
      <c r="W442" s="11">
        <f t="shared" si="48"/>
        <v>1</v>
      </c>
    </row>
    <row r="443" spans="1:23">
      <c r="A443" t="s">
        <v>456</v>
      </c>
      <c r="B443" s="4">
        <v>45364</v>
      </c>
      <c r="C443" t="s">
        <v>2017</v>
      </c>
      <c r="D443" t="s">
        <v>2022</v>
      </c>
      <c r="E443" t="s">
        <v>2028</v>
      </c>
      <c r="F443" t="s">
        <v>2031</v>
      </c>
      <c r="G443" t="s">
        <v>2035</v>
      </c>
      <c r="H443" t="s">
        <v>2039</v>
      </c>
      <c r="I443">
        <v>5</v>
      </c>
      <c r="J443">
        <v>9</v>
      </c>
      <c r="K443">
        <v>4</v>
      </c>
      <c r="L443" t="s">
        <v>2041</v>
      </c>
      <c r="M443">
        <v>217</v>
      </c>
      <c r="N443">
        <v>6280</v>
      </c>
      <c r="O443">
        <v>11108</v>
      </c>
      <c r="P443" s="13">
        <f t="shared" si="42"/>
        <v>0</v>
      </c>
      <c r="Q443" t="str">
        <f t="shared" si="43"/>
        <v>No</v>
      </c>
      <c r="R443" t="str" cm="1">
        <f t="array" ref="R443">_xlfn.IFS(K443=0,"On Time",K443&lt;=2,"Minor",K443&lt;=5,"Major",K443&gt;5,"Severe")</f>
        <v>Major</v>
      </c>
      <c r="S443">
        <f t="shared" si="44"/>
        <v>2777</v>
      </c>
      <c r="T443">
        <f t="shared" si="45"/>
        <v>1570</v>
      </c>
      <c r="U443">
        <f t="shared" si="46"/>
        <v>2024</v>
      </c>
      <c r="V443">
        <f t="shared" si="47"/>
        <v>3</v>
      </c>
      <c r="W443" s="11">
        <f t="shared" si="48"/>
        <v>1</v>
      </c>
    </row>
    <row r="444" spans="1:23">
      <c r="A444" t="s">
        <v>457</v>
      </c>
      <c r="B444" s="4">
        <v>45299</v>
      </c>
      <c r="C444" t="s">
        <v>2017</v>
      </c>
      <c r="D444" t="s">
        <v>2022</v>
      </c>
      <c r="E444" t="s">
        <v>2029</v>
      </c>
      <c r="F444" t="s">
        <v>2030</v>
      </c>
      <c r="G444" t="s">
        <v>2037</v>
      </c>
      <c r="H444" t="s">
        <v>2040</v>
      </c>
      <c r="I444">
        <v>3</v>
      </c>
      <c r="J444">
        <v>9</v>
      </c>
      <c r="K444">
        <v>6</v>
      </c>
      <c r="L444" t="s">
        <v>2041</v>
      </c>
      <c r="M444">
        <v>210</v>
      </c>
      <c r="N444">
        <v>13260</v>
      </c>
      <c r="O444">
        <v>25392</v>
      </c>
      <c r="P444" s="13">
        <f t="shared" si="42"/>
        <v>0</v>
      </c>
      <c r="Q444" t="str">
        <f t="shared" si="43"/>
        <v>No</v>
      </c>
      <c r="R444" t="str" cm="1">
        <f t="array" ref="R444">_xlfn.IFS(K444=0,"On Time",K444&lt;=2,"Minor",K444&lt;=5,"Major",K444&gt;5,"Severe")</f>
        <v>Severe</v>
      </c>
      <c r="S444">
        <f t="shared" si="44"/>
        <v>4232</v>
      </c>
      <c r="T444">
        <f t="shared" si="45"/>
        <v>2210</v>
      </c>
      <c r="U444">
        <f t="shared" si="46"/>
        <v>2024</v>
      </c>
      <c r="V444">
        <f t="shared" si="47"/>
        <v>1</v>
      </c>
      <c r="W444" s="11">
        <f t="shared" si="48"/>
        <v>1</v>
      </c>
    </row>
    <row r="445" spans="1:23">
      <c r="A445" t="s">
        <v>458</v>
      </c>
      <c r="B445" s="4">
        <v>45366</v>
      </c>
      <c r="C445" t="s">
        <v>2015</v>
      </c>
      <c r="D445" t="s">
        <v>2020</v>
      </c>
      <c r="E445" t="s">
        <v>2029</v>
      </c>
      <c r="F445" t="s">
        <v>2031</v>
      </c>
      <c r="G445" t="s">
        <v>2036</v>
      </c>
      <c r="H445" t="s">
        <v>2040</v>
      </c>
      <c r="I445">
        <v>3</v>
      </c>
      <c r="J445">
        <v>7</v>
      </c>
      <c r="K445">
        <v>4</v>
      </c>
      <c r="L445" t="s">
        <v>2041</v>
      </c>
      <c r="M445">
        <v>221</v>
      </c>
      <c r="N445">
        <v>3980</v>
      </c>
      <c r="O445">
        <v>17820</v>
      </c>
      <c r="P445" s="13">
        <f t="shared" si="42"/>
        <v>0</v>
      </c>
      <c r="Q445" t="str">
        <f t="shared" si="43"/>
        <v>No</v>
      </c>
      <c r="R445" t="str" cm="1">
        <f t="array" ref="R445">_xlfn.IFS(K445=0,"On Time",K445&lt;=2,"Minor",K445&lt;=5,"Major",K445&gt;5,"Severe")</f>
        <v>Major</v>
      </c>
      <c r="S445">
        <f t="shared" si="44"/>
        <v>4455</v>
      </c>
      <c r="T445">
        <f t="shared" si="45"/>
        <v>995</v>
      </c>
      <c r="U445">
        <f t="shared" si="46"/>
        <v>2024</v>
      </c>
      <c r="V445">
        <f t="shared" si="47"/>
        <v>3</v>
      </c>
      <c r="W445" s="11">
        <f t="shared" si="48"/>
        <v>1</v>
      </c>
    </row>
    <row r="446" spans="1:23">
      <c r="A446" t="s">
        <v>459</v>
      </c>
      <c r="B446" s="4">
        <v>45306</v>
      </c>
      <c r="C446" t="s">
        <v>2017</v>
      </c>
      <c r="D446" t="s">
        <v>2023</v>
      </c>
      <c r="E446" t="s">
        <v>2028</v>
      </c>
      <c r="F446" t="s">
        <v>2032</v>
      </c>
      <c r="G446" t="s">
        <v>2037</v>
      </c>
      <c r="H446" t="s">
        <v>2039</v>
      </c>
      <c r="I446">
        <v>2</v>
      </c>
      <c r="J446">
        <v>3</v>
      </c>
      <c r="K446">
        <v>1</v>
      </c>
      <c r="L446" t="s">
        <v>2041</v>
      </c>
      <c r="M446">
        <v>82</v>
      </c>
      <c r="N446">
        <v>1011</v>
      </c>
      <c r="O446">
        <v>3264</v>
      </c>
      <c r="P446" s="13">
        <f t="shared" si="42"/>
        <v>0</v>
      </c>
      <c r="Q446" t="str">
        <f t="shared" si="43"/>
        <v>No</v>
      </c>
      <c r="R446" t="str" cm="1">
        <f t="array" ref="R446">_xlfn.IFS(K446=0,"On Time",K446&lt;=2,"Minor",K446&lt;=5,"Major",K446&gt;5,"Severe")</f>
        <v>Minor</v>
      </c>
      <c r="S446">
        <f t="shared" si="44"/>
        <v>3264</v>
      </c>
      <c r="T446">
        <f t="shared" si="45"/>
        <v>1011</v>
      </c>
      <c r="U446">
        <f t="shared" si="46"/>
        <v>2024</v>
      </c>
      <c r="V446">
        <f t="shared" si="47"/>
        <v>1</v>
      </c>
      <c r="W446" s="11">
        <f t="shared" si="48"/>
        <v>1</v>
      </c>
    </row>
    <row r="447" spans="1:23">
      <c r="A447" t="s">
        <v>460</v>
      </c>
      <c r="B447" s="4">
        <v>45355</v>
      </c>
      <c r="C447" t="s">
        <v>2015</v>
      </c>
      <c r="D447" t="s">
        <v>2019</v>
      </c>
      <c r="E447" t="s">
        <v>2027</v>
      </c>
      <c r="F447" t="s">
        <v>2031</v>
      </c>
      <c r="G447" t="s">
        <v>2033</v>
      </c>
      <c r="H447" t="s">
        <v>2038</v>
      </c>
      <c r="I447">
        <v>1</v>
      </c>
      <c r="J447">
        <v>2</v>
      </c>
      <c r="K447">
        <v>1</v>
      </c>
      <c r="L447" t="s">
        <v>2041</v>
      </c>
      <c r="M447">
        <v>273</v>
      </c>
      <c r="N447">
        <v>1117</v>
      </c>
      <c r="O447">
        <v>3733</v>
      </c>
      <c r="P447" s="13">
        <f t="shared" si="42"/>
        <v>0</v>
      </c>
      <c r="Q447" t="str">
        <f t="shared" si="43"/>
        <v>No</v>
      </c>
      <c r="R447" t="str" cm="1">
        <f t="array" ref="R447">_xlfn.IFS(K447=0,"On Time",K447&lt;=2,"Minor",K447&lt;=5,"Major",K447&gt;5,"Severe")</f>
        <v>Minor</v>
      </c>
      <c r="S447">
        <f t="shared" si="44"/>
        <v>3733</v>
      </c>
      <c r="T447">
        <f t="shared" si="45"/>
        <v>1117</v>
      </c>
      <c r="U447">
        <f t="shared" si="46"/>
        <v>2024</v>
      </c>
      <c r="V447">
        <f t="shared" si="47"/>
        <v>3</v>
      </c>
      <c r="W447" s="11">
        <f t="shared" si="48"/>
        <v>1</v>
      </c>
    </row>
    <row r="448" spans="1:23">
      <c r="A448" t="s">
        <v>461</v>
      </c>
      <c r="B448" s="4">
        <v>45427</v>
      </c>
      <c r="C448" t="s">
        <v>2017</v>
      </c>
      <c r="D448" t="s">
        <v>2022</v>
      </c>
      <c r="E448" t="s">
        <v>2028</v>
      </c>
      <c r="F448" t="s">
        <v>2030</v>
      </c>
      <c r="G448" t="s">
        <v>2036</v>
      </c>
      <c r="H448" t="s">
        <v>2038</v>
      </c>
      <c r="I448">
        <v>3</v>
      </c>
      <c r="J448">
        <v>6</v>
      </c>
      <c r="K448">
        <v>3</v>
      </c>
      <c r="L448" t="s">
        <v>2041</v>
      </c>
      <c r="M448">
        <v>434</v>
      </c>
      <c r="N448">
        <v>7227</v>
      </c>
      <c r="O448">
        <v>5895</v>
      </c>
      <c r="P448" s="13">
        <f t="shared" si="42"/>
        <v>0</v>
      </c>
      <c r="Q448" t="str">
        <f t="shared" si="43"/>
        <v>No</v>
      </c>
      <c r="R448" t="str" cm="1">
        <f t="array" ref="R448">_xlfn.IFS(K448=0,"On Time",K448&lt;=2,"Minor",K448&lt;=5,"Major",K448&gt;5,"Severe")</f>
        <v>Major</v>
      </c>
      <c r="S448">
        <f t="shared" si="44"/>
        <v>1965</v>
      </c>
      <c r="T448">
        <f t="shared" si="45"/>
        <v>2409</v>
      </c>
      <c r="U448">
        <f t="shared" si="46"/>
        <v>2024</v>
      </c>
      <c r="V448">
        <f t="shared" si="47"/>
        <v>5</v>
      </c>
      <c r="W448" s="11">
        <f t="shared" si="48"/>
        <v>1</v>
      </c>
    </row>
    <row r="449" spans="1:23">
      <c r="A449" t="s">
        <v>462</v>
      </c>
      <c r="B449" s="4">
        <v>45601</v>
      </c>
      <c r="C449" t="s">
        <v>2018</v>
      </c>
      <c r="D449" t="s">
        <v>2026</v>
      </c>
      <c r="E449" t="s">
        <v>2028</v>
      </c>
      <c r="F449" t="s">
        <v>2030</v>
      </c>
      <c r="G449" t="s">
        <v>2035</v>
      </c>
      <c r="H449" t="s">
        <v>2038</v>
      </c>
      <c r="I449">
        <v>1</v>
      </c>
      <c r="J449">
        <v>6</v>
      </c>
      <c r="K449">
        <v>5</v>
      </c>
      <c r="L449" t="s">
        <v>2041</v>
      </c>
      <c r="M449">
        <v>155</v>
      </c>
      <c r="N449">
        <v>10395</v>
      </c>
      <c r="O449">
        <v>23305</v>
      </c>
      <c r="P449" s="13">
        <f t="shared" si="42"/>
        <v>0</v>
      </c>
      <c r="Q449" t="str">
        <f t="shared" si="43"/>
        <v>No</v>
      </c>
      <c r="R449" t="str" cm="1">
        <f t="array" ref="R449">_xlfn.IFS(K449=0,"On Time",K449&lt;=2,"Minor",K449&lt;=5,"Major",K449&gt;5,"Severe")</f>
        <v>Major</v>
      </c>
      <c r="S449">
        <f t="shared" si="44"/>
        <v>4661</v>
      </c>
      <c r="T449">
        <f t="shared" si="45"/>
        <v>2079</v>
      </c>
      <c r="U449">
        <f t="shared" si="46"/>
        <v>2024</v>
      </c>
      <c r="V449">
        <f t="shared" si="47"/>
        <v>11</v>
      </c>
      <c r="W449" s="11">
        <f t="shared" si="48"/>
        <v>1</v>
      </c>
    </row>
    <row r="450" spans="1:23">
      <c r="A450" t="s">
        <v>463</v>
      </c>
      <c r="B450" s="4">
        <v>45582</v>
      </c>
      <c r="C450" t="s">
        <v>2017</v>
      </c>
      <c r="D450" t="s">
        <v>2022</v>
      </c>
      <c r="E450" t="s">
        <v>2029</v>
      </c>
      <c r="F450" t="s">
        <v>2031</v>
      </c>
      <c r="G450" t="s">
        <v>2036</v>
      </c>
      <c r="H450" t="s">
        <v>2040</v>
      </c>
      <c r="I450">
        <v>1</v>
      </c>
      <c r="J450">
        <v>4</v>
      </c>
      <c r="K450">
        <v>3</v>
      </c>
      <c r="L450" t="s">
        <v>2041</v>
      </c>
      <c r="M450">
        <v>139</v>
      </c>
      <c r="N450">
        <v>7353</v>
      </c>
      <c r="O450">
        <v>13560</v>
      </c>
      <c r="P450" s="13">
        <f t="shared" si="42"/>
        <v>0</v>
      </c>
      <c r="Q450" t="str">
        <f t="shared" si="43"/>
        <v>No</v>
      </c>
      <c r="R450" t="str" cm="1">
        <f t="array" ref="R450">_xlfn.IFS(K450=0,"On Time",K450&lt;=2,"Minor",K450&lt;=5,"Major",K450&gt;5,"Severe")</f>
        <v>Major</v>
      </c>
      <c r="S450">
        <f t="shared" si="44"/>
        <v>4520</v>
      </c>
      <c r="T450">
        <f t="shared" si="45"/>
        <v>2451</v>
      </c>
      <c r="U450">
        <f t="shared" si="46"/>
        <v>2024</v>
      </c>
      <c r="V450">
        <f t="shared" si="47"/>
        <v>10</v>
      </c>
      <c r="W450" s="11">
        <f t="shared" si="48"/>
        <v>1</v>
      </c>
    </row>
    <row r="451" spans="1:23">
      <c r="A451" t="s">
        <v>464</v>
      </c>
      <c r="B451" s="4">
        <v>45390</v>
      </c>
      <c r="C451" t="s">
        <v>2018</v>
      </c>
      <c r="D451" t="s">
        <v>2024</v>
      </c>
      <c r="E451" t="s">
        <v>2027</v>
      </c>
      <c r="F451" t="s">
        <v>2031</v>
      </c>
      <c r="G451" t="s">
        <v>2036</v>
      </c>
      <c r="H451" t="s">
        <v>2039</v>
      </c>
      <c r="I451">
        <v>1</v>
      </c>
      <c r="J451">
        <v>6</v>
      </c>
      <c r="K451">
        <v>5</v>
      </c>
      <c r="L451" t="s">
        <v>2041</v>
      </c>
      <c r="M451">
        <v>432</v>
      </c>
      <c r="N451">
        <v>11230</v>
      </c>
      <c r="O451">
        <v>22430</v>
      </c>
      <c r="P451" s="13">
        <f t="shared" ref="P451:P514" si="49">IF(L451="Yes",0,1)</f>
        <v>0</v>
      </c>
      <c r="Q451" t="str">
        <f t="shared" ref="Q451:Q514" si="50">IF(K451&gt;J451,"Yes","No")</f>
        <v>No</v>
      </c>
      <c r="R451" t="str" cm="1">
        <f t="array" ref="R451">_xlfn.IFS(K451=0,"On Time",K451&lt;=2,"Minor",K451&lt;=5,"Major",K451&gt;5,"Severe")</f>
        <v>Major</v>
      </c>
      <c r="S451">
        <f t="shared" ref="S451:S514" si="51">IFERROR(O451/K451,0)</f>
        <v>4486</v>
      </c>
      <c r="T451">
        <f t="shared" ref="T451:T514" si="52">IFERROR(N451/K451,0)</f>
        <v>2246</v>
      </c>
      <c r="U451">
        <f t="shared" ref="U451:U514" si="53">YEAR(B451)</f>
        <v>2024</v>
      </c>
      <c r="V451">
        <f t="shared" ref="V451:V514" si="54">MONTH(B451)</f>
        <v>4</v>
      </c>
      <c r="W451" s="11">
        <f t="shared" ref="W451:W514" si="55">IF(L451="Yes",1,0)</f>
        <v>1</v>
      </c>
    </row>
    <row r="452" spans="1:23">
      <c r="A452" t="s">
        <v>465</v>
      </c>
      <c r="B452" s="4">
        <v>45493</v>
      </c>
      <c r="C452" t="s">
        <v>2018</v>
      </c>
      <c r="D452" t="s">
        <v>2026</v>
      </c>
      <c r="E452" t="s">
        <v>2028</v>
      </c>
      <c r="F452" t="s">
        <v>2031</v>
      </c>
      <c r="G452" t="s">
        <v>2035</v>
      </c>
      <c r="H452" t="s">
        <v>2039</v>
      </c>
      <c r="I452">
        <v>2</v>
      </c>
      <c r="J452">
        <v>3</v>
      </c>
      <c r="K452">
        <v>1</v>
      </c>
      <c r="L452" t="s">
        <v>2041</v>
      </c>
      <c r="M452">
        <v>213</v>
      </c>
      <c r="N452">
        <v>2213</v>
      </c>
      <c r="O452">
        <v>4347</v>
      </c>
      <c r="P452" s="13">
        <f t="shared" si="49"/>
        <v>0</v>
      </c>
      <c r="Q452" t="str">
        <f t="shared" si="50"/>
        <v>No</v>
      </c>
      <c r="R452" t="str" cm="1">
        <f t="array" ref="R452">_xlfn.IFS(K452=0,"On Time",K452&lt;=2,"Minor",K452&lt;=5,"Major",K452&gt;5,"Severe")</f>
        <v>Minor</v>
      </c>
      <c r="S452">
        <f t="shared" si="51"/>
        <v>4347</v>
      </c>
      <c r="T452">
        <f t="shared" si="52"/>
        <v>2213</v>
      </c>
      <c r="U452">
        <f t="shared" si="53"/>
        <v>2024</v>
      </c>
      <c r="V452">
        <f t="shared" si="54"/>
        <v>7</v>
      </c>
      <c r="W452" s="11">
        <f t="shared" si="55"/>
        <v>1</v>
      </c>
    </row>
    <row r="453" spans="1:23">
      <c r="A453" t="s">
        <v>466</v>
      </c>
      <c r="B453" s="4">
        <v>45455</v>
      </c>
      <c r="C453" t="s">
        <v>2016</v>
      </c>
      <c r="D453" t="s">
        <v>2021</v>
      </c>
      <c r="E453" t="s">
        <v>2028</v>
      </c>
      <c r="F453" t="s">
        <v>2031</v>
      </c>
      <c r="G453" t="s">
        <v>2037</v>
      </c>
      <c r="H453" t="s">
        <v>2038</v>
      </c>
      <c r="I453">
        <v>5</v>
      </c>
      <c r="J453">
        <v>6</v>
      </c>
      <c r="K453">
        <v>1</v>
      </c>
      <c r="L453" t="s">
        <v>2041</v>
      </c>
      <c r="M453">
        <v>485</v>
      </c>
      <c r="N453">
        <v>1381</v>
      </c>
      <c r="O453">
        <v>4605</v>
      </c>
      <c r="P453" s="13">
        <f t="shared" si="49"/>
        <v>0</v>
      </c>
      <c r="Q453" t="str">
        <f t="shared" si="50"/>
        <v>No</v>
      </c>
      <c r="R453" t="str" cm="1">
        <f t="array" ref="R453">_xlfn.IFS(K453=0,"On Time",K453&lt;=2,"Minor",K453&lt;=5,"Major",K453&gt;5,"Severe")</f>
        <v>Minor</v>
      </c>
      <c r="S453">
        <f t="shared" si="51"/>
        <v>4605</v>
      </c>
      <c r="T453">
        <f t="shared" si="52"/>
        <v>1381</v>
      </c>
      <c r="U453">
        <f t="shared" si="53"/>
        <v>2024</v>
      </c>
      <c r="V453">
        <f t="shared" si="54"/>
        <v>6</v>
      </c>
      <c r="W453" s="11">
        <f t="shared" si="55"/>
        <v>1</v>
      </c>
    </row>
    <row r="454" spans="1:23">
      <c r="A454" t="s">
        <v>467</v>
      </c>
      <c r="B454" s="4">
        <v>45458</v>
      </c>
      <c r="C454" t="s">
        <v>2018</v>
      </c>
      <c r="D454" t="s">
        <v>2026</v>
      </c>
      <c r="E454" t="s">
        <v>2027</v>
      </c>
      <c r="F454" t="s">
        <v>2030</v>
      </c>
      <c r="G454" t="s">
        <v>2033</v>
      </c>
      <c r="H454" t="s">
        <v>2038</v>
      </c>
      <c r="I454">
        <v>3</v>
      </c>
      <c r="J454">
        <v>7</v>
      </c>
      <c r="K454">
        <v>4</v>
      </c>
      <c r="L454" t="s">
        <v>2041</v>
      </c>
      <c r="M454">
        <v>441</v>
      </c>
      <c r="N454">
        <v>5312</v>
      </c>
      <c r="O454">
        <v>16812</v>
      </c>
      <c r="P454" s="13">
        <f t="shared" si="49"/>
        <v>0</v>
      </c>
      <c r="Q454" t="str">
        <f t="shared" si="50"/>
        <v>No</v>
      </c>
      <c r="R454" t="str" cm="1">
        <f t="array" ref="R454">_xlfn.IFS(K454=0,"On Time",K454&lt;=2,"Minor",K454&lt;=5,"Major",K454&gt;5,"Severe")</f>
        <v>Major</v>
      </c>
      <c r="S454">
        <f t="shared" si="51"/>
        <v>4203</v>
      </c>
      <c r="T454">
        <f t="shared" si="52"/>
        <v>1328</v>
      </c>
      <c r="U454">
        <f t="shared" si="53"/>
        <v>2024</v>
      </c>
      <c r="V454">
        <f t="shared" si="54"/>
        <v>6</v>
      </c>
      <c r="W454" s="11">
        <f t="shared" si="55"/>
        <v>1</v>
      </c>
    </row>
    <row r="455" spans="1:23">
      <c r="A455" t="s">
        <v>468</v>
      </c>
      <c r="B455" s="4">
        <v>45298</v>
      </c>
      <c r="C455" t="s">
        <v>2018</v>
      </c>
      <c r="D455" t="s">
        <v>2026</v>
      </c>
      <c r="E455" t="s">
        <v>2028</v>
      </c>
      <c r="F455" t="s">
        <v>2031</v>
      </c>
      <c r="G455" t="s">
        <v>2033</v>
      </c>
      <c r="H455" t="s">
        <v>2038</v>
      </c>
      <c r="I455">
        <v>5</v>
      </c>
      <c r="J455">
        <v>7</v>
      </c>
      <c r="K455">
        <v>2</v>
      </c>
      <c r="L455" t="s">
        <v>2041</v>
      </c>
      <c r="M455">
        <v>319</v>
      </c>
      <c r="N455">
        <v>2066</v>
      </c>
      <c r="O455">
        <v>7512</v>
      </c>
      <c r="P455" s="13">
        <f t="shared" si="49"/>
        <v>0</v>
      </c>
      <c r="Q455" t="str">
        <f t="shared" si="50"/>
        <v>No</v>
      </c>
      <c r="R455" t="str" cm="1">
        <f t="array" ref="R455">_xlfn.IFS(K455=0,"On Time",K455&lt;=2,"Minor",K455&lt;=5,"Major",K455&gt;5,"Severe")</f>
        <v>Minor</v>
      </c>
      <c r="S455">
        <f t="shared" si="51"/>
        <v>3756</v>
      </c>
      <c r="T455">
        <f t="shared" si="52"/>
        <v>1033</v>
      </c>
      <c r="U455">
        <f t="shared" si="53"/>
        <v>2024</v>
      </c>
      <c r="V455">
        <f t="shared" si="54"/>
        <v>1</v>
      </c>
      <c r="W455" s="11">
        <f t="shared" si="55"/>
        <v>1</v>
      </c>
    </row>
    <row r="456" spans="1:23">
      <c r="A456" t="s">
        <v>469</v>
      </c>
      <c r="B456" s="4">
        <v>45438</v>
      </c>
      <c r="C456" t="s">
        <v>2017</v>
      </c>
      <c r="D456" t="s">
        <v>2022</v>
      </c>
      <c r="E456" t="s">
        <v>2029</v>
      </c>
      <c r="F456" t="s">
        <v>2031</v>
      </c>
      <c r="G456" t="s">
        <v>2035</v>
      </c>
      <c r="H456" t="s">
        <v>2038</v>
      </c>
      <c r="I456">
        <v>2</v>
      </c>
      <c r="J456">
        <v>4</v>
      </c>
      <c r="K456">
        <v>2</v>
      </c>
      <c r="L456" t="s">
        <v>2041</v>
      </c>
      <c r="M456">
        <v>455</v>
      </c>
      <c r="N456">
        <v>4406</v>
      </c>
      <c r="O456">
        <v>7694</v>
      </c>
      <c r="P456" s="13">
        <f t="shared" si="49"/>
        <v>0</v>
      </c>
      <c r="Q456" t="str">
        <f t="shared" si="50"/>
        <v>No</v>
      </c>
      <c r="R456" t="str" cm="1">
        <f t="array" ref="R456">_xlfn.IFS(K456=0,"On Time",K456&lt;=2,"Minor",K456&lt;=5,"Major",K456&gt;5,"Severe")</f>
        <v>Minor</v>
      </c>
      <c r="S456">
        <f t="shared" si="51"/>
        <v>3847</v>
      </c>
      <c r="T456">
        <f t="shared" si="52"/>
        <v>2203</v>
      </c>
      <c r="U456">
        <f t="shared" si="53"/>
        <v>2024</v>
      </c>
      <c r="V456">
        <f t="shared" si="54"/>
        <v>5</v>
      </c>
      <c r="W456" s="11">
        <f t="shared" si="55"/>
        <v>1</v>
      </c>
    </row>
    <row r="457" spans="1:23">
      <c r="A457" t="s">
        <v>470</v>
      </c>
      <c r="B457" s="4">
        <v>45554</v>
      </c>
      <c r="C457" t="s">
        <v>2017</v>
      </c>
      <c r="D457" t="s">
        <v>2023</v>
      </c>
      <c r="E457" t="s">
        <v>2028</v>
      </c>
      <c r="F457" t="s">
        <v>2030</v>
      </c>
      <c r="G457" t="s">
        <v>2034</v>
      </c>
      <c r="H457" t="s">
        <v>2038</v>
      </c>
      <c r="I457">
        <v>1</v>
      </c>
      <c r="J457">
        <v>3</v>
      </c>
      <c r="K457">
        <v>2</v>
      </c>
      <c r="L457" t="s">
        <v>2041</v>
      </c>
      <c r="M457">
        <v>303</v>
      </c>
      <c r="N457">
        <v>4696</v>
      </c>
      <c r="O457">
        <v>9170</v>
      </c>
      <c r="P457" s="13">
        <f t="shared" si="49"/>
        <v>0</v>
      </c>
      <c r="Q457" t="str">
        <f t="shared" si="50"/>
        <v>No</v>
      </c>
      <c r="R457" t="str" cm="1">
        <f t="array" ref="R457">_xlfn.IFS(K457=0,"On Time",K457&lt;=2,"Minor",K457&lt;=5,"Major",K457&gt;5,"Severe")</f>
        <v>Minor</v>
      </c>
      <c r="S457">
        <f t="shared" si="51"/>
        <v>4585</v>
      </c>
      <c r="T457">
        <f t="shared" si="52"/>
        <v>2348</v>
      </c>
      <c r="U457">
        <f t="shared" si="53"/>
        <v>2024</v>
      </c>
      <c r="V457">
        <f t="shared" si="54"/>
        <v>9</v>
      </c>
      <c r="W457" s="11">
        <f t="shared" si="55"/>
        <v>1</v>
      </c>
    </row>
    <row r="458" spans="1:23">
      <c r="A458" t="s">
        <v>471</v>
      </c>
      <c r="B458" s="4">
        <v>45447</v>
      </c>
      <c r="C458" t="s">
        <v>2016</v>
      </c>
      <c r="D458" t="s">
        <v>2021</v>
      </c>
      <c r="E458" t="s">
        <v>2028</v>
      </c>
      <c r="F458" t="s">
        <v>2032</v>
      </c>
      <c r="G458" t="s">
        <v>2033</v>
      </c>
      <c r="H458" t="s">
        <v>2038</v>
      </c>
      <c r="I458">
        <v>2</v>
      </c>
      <c r="J458">
        <v>4</v>
      </c>
      <c r="K458">
        <v>2</v>
      </c>
      <c r="L458" t="s">
        <v>2041</v>
      </c>
      <c r="M458">
        <v>274</v>
      </c>
      <c r="N458">
        <v>3946</v>
      </c>
      <c r="O458">
        <v>8216</v>
      </c>
      <c r="P458" s="13">
        <f t="shared" si="49"/>
        <v>0</v>
      </c>
      <c r="Q458" t="str">
        <f t="shared" si="50"/>
        <v>No</v>
      </c>
      <c r="R458" t="str" cm="1">
        <f t="array" ref="R458">_xlfn.IFS(K458=0,"On Time",K458&lt;=2,"Minor",K458&lt;=5,"Major",K458&gt;5,"Severe")</f>
        <v>Minor</v>
      </c>
      <c r="S458">
        <f t="shared" si="51"/>
        <v>4108</v>
      </c>
      <c r="T458">
        <f t="shared" si="52"/>
        <v>1973</v>
      </c>
      <c r="U458">
        <f t="shared" si="53"/>
        <v>2024</v>
      </c>
      <c r="V458">
        <f t="shared" si="54"/>
        <v>6</v>
      </c>
      <c r="W458" s="11">
        <f t="shared" si="55"/>
        <v>1</v>
      </c>
    </row>
    <row r="459" spans="1:23">
      <c r="A459" t="s">
        <v>472</v>
      </c>
      <c r="B459" s="4">
        <v>45518</v>
      </c>
      <c r="C459" t="s">
        <v>2016</v>
      </c>
      <c r="D459" t="s">
        <v>2021</v>
      </c>
      <c r="E459" t="s">
        <v>2028</v>
      </c>
      <c r="F459" t="s">
        <v>2031</v>
      </c>
      <c r="G459" t="s">
        <v>2037</v>
      </c>
      <c r="H459" t="s">
        <v>2039</v>
      </c>
      <c r="I459">
        <v>1</v>
      </c>
      <c r="J459">
        <v>6</v>
      </c>
      <c r="K459">
        <v>5</v>
      </c>
      <c r="L459" t="s">
        <v>2041</v>
      </c>
      <c r="M459">
        <v>491</v>
      </c>
      <c r="N459">
        <v>9485</v>
      </c>
      <c r="O459">
        <v>10310</v>
      </c>
      <c r="P459" s="13">
        <f t="shared" si="49"/>
        <v>0</v>
      </c>
      <c r="Q459" t="str">
        <f t="shared" si="50"/>
        <v>No</v>
      </c>
      <c r="R459" t="str" cm="1">
        <f t="array" ref="R459">_xlfn.IFS(K459=0,"On Time",K459&lt;=2,"Minor",K459&lt;=5,"Major",K459&gt;5,"Severe")</f>
        <v>Major</v>
      </c>
      <c r="S459">
        <f t="shared" si="51"/>
        <v>2062</v>
      </c>
      <c r="T459">
        <f t="shared" si="52"/>
        <v>1897</v>
      </c>
      <c r="U459">
        <f t="shared" si="53"/>
        <v>2024</v>
      </c>
      <c r="V459">
        <f t="shared" si="54"/>
        <v>8</v>
      </c>
      <c r="W459" s="11">
        <f t="shared" si="55"/>
        <v>1</v>
      </c>
    </row>
    <row r="460" spans="1:23">
      <c r="A460" t="s">
        <v>473</v>
      </c>
      <c r="B460" s="4">
        <v>45460</v>
      </c>
      <c r="C460" t="s">
        <v>2015</v>
      </c>
      <c r="D460" t="s">
        <v>2019</v>
      </c>
      <c r="E460" t="s">
        <v>2029</v>
      </c>
      <c r="F460" t="s">
        <v>2032</v>
      </c>
      <c r="G460" t="s">
        <v>2037</v>
      </c>
      <c r="H460" t="s">
        <v>2038</v>
      </c>
      <c r="I460">
        <v>2</v>
      </c>
      <c r="J460">
        <v>6</v>
      </c>
      <c r="K460">
        <v>4</v>
      </c>
      <c r="L460" t="s">
        <v>2041</v>
      </c>
      <c r="M460">
        <v>428</v>
      </c>
      <c r="N460">
        <v>4416</v>
      </c>
      <c r="O460">
        <v>10464</v>
      </c>
      <c r="P460" s="13">
        <f t="shared" si="49"/>
        <v>0</v>
      </c>
      <c r="Q460" t="str">
        <f t="shared" si="50"/>
        <v>No</v>
      </c>
      <c r="R460" t="str" cm="1">
        <f t="array" ref="R460">_xlfn.IFS(K460=0,"On Time",K460&lt;=2,"Minor",K460&lt;=5,"Major",K460&gt;5,"Severe")</f>
        <v>Major</v>
      </c>
      <c r="S460">
        <f t="shared" si="51"/>
        <v>2616</v>
      </c>
      <c r="T460">
        <f t="shared" si="52"/>
        <v>1104</v>
      </c>
      <c r="U460">
        <f t="shared" si="53"/>
        <v>2024</v>
      </c>
      <c r="V460">
        <f t="shared" si="54"/>
        <v>6</v>
      </c>
      <c r="W460" s="11">
        <f t="shared" si="55"/>
        <v>1</v>
      </c>
    </row>
    <row r="461" spans="1:23">
      <c r="A461" t="s">
        <v>474</v>
      </c>
      <c r="B461" s="4">
        <v>45539</v>
      </c>
      <c r="C461" t="s">
        <v>2016</v>
      </c>
      <c r="D461" t="s">
        <v>2025</v>
      </c>
      <c r="E461" t="s">
        <v>2029</v>
      </c>
      <c r="F461" t="s">
        <v>2031</v>
      </c>
      <c r="G461" t="s">
        <v>2033</v>
      </c>
      <c r="H461" t="s">
        <v>2038</v>
      </c>
      <c r="I461">
        <v>1</v>
      </c>
      <c r="J461">
        <v>2</v>
      </c>
      <c r="K461">
        <v>1</v>
      </c>
      <c r="L461" t="s">
        <v>2041</v>
      </c>
      <c r="M461">
        <v>417</v>
      </c>
      <c r="N461">
        <v>1881</v>
      </c>
      <c r="O461">
        <v>4922</v>
      </c>
      <c r="P461" s="13">
        <f t="shared" si="49"/>
        <v>0</v>
      </c>
      <c r="Q461" t="str">
        <f t="shared" si="50"/>
        <v>No</v>
      </c>
      <c r="R461" t="str" cm="1">
        <f t="array" ref="R461">_xlfn.IFS(K461=0,"On Time",K461&lt;=2,"Minor",K461&lt;=5,"Major",K461&gt;5,"Severe")</f>
        <v>Minor</v>
      </c>
      <c r="S461">
        <f t="shared" si="51"/>
        <v>4922</v>
      </c>
      <c r="T461">
        <f t="shared" si="52"/>
        <v>1881</v>
      </c>
      <c r="U461">
        <f t="shared" si="53"/>
        <v>2024</v>
      </c>
      <c r="V461">
        <f t="shared" si="54"/>
        <v>9</v>
      </c>
      <c r="W461" s="11">
        <f t="shared" si="55"/>
        <v>1</v>
      </c>
    </row>
    <row r="462" spans="1:23">
      <c r="A462" t="s">
        <v>475</v>
      </c>
      <c r="B462" s="4">
        <v>45387</v>
      </c>
      <c r="C462" t="s">
        <v>2016</v>
      </c>
      <c r="D462" t="s">
        <v>2021</v>
      </c>
      <c r="E462" t="s">
        <v>2028</v>
      </c>
      <c r="F462" t="s">
        <v>2031</v>
      </c>
      <c r="G462" t="s">
        <v>2033</v>
      </c>
      <c r="H462" t="s">
        <v>2039</v>
      </c>
      <c r="I462">
        <v>3</v>
      </c>
      <c r="J462">
        <v>3</v>
      </c>
      <c r="K462">
        <v>0</v>
      </c>
      <c r="L462" t="s">
        <v>2042</v>
      </c>
      <c r="M462">
        <v>351</v>
      </c>
      <c r="N462">
        <v>0</v>
      </c>
      <c r="O462">
        <v>0</v>
      </c>
      <c r="P462" s="13">
        <f t="shared" si="49"/>
        <v>1</v>
      </c>
      <c r="Q462" t="str">
        <f t="shared" si="50"/>
        <v>No</v>
      </c>
      <c r="R462" t="str" cm="1">
        <f t="array" ref="R462">_xlfn.IFS(K462=0,"On Time",K462&lt;=2,"Minor",K462&lt;=5,"Major",K462&gt;5,"Severe")</f>
        <v>On Time</v>
      </c>
      <c r="S462">
        <f t="shared" si="51"/>
        <v>0</v>
      </c>
      <c r="T462">
        <f t="shared" si="52"/>
        <v>0</v>
      </c>
      <c r="U462">
        <f t="shared" si="53"/>
        <v>2024</v>
      </c>
      <c r="V462">
        <f t="shared" si="54"/>
        <v>4</v>
      </c>
      <c r="W462" s="11">
        <f t="shared" si="55"/>
        <v>0</v>
      </c>
    </row>
    <row r="463" spans="1:23">
      <c r="A463" t="s">
        <v>476</v>
      </c>
      <c r="B463" s="4">
        <v>45615</v>
      </c>
      <c r="C463" t="s">
        <v>2018</v>
      </c>
      <c r="D463" t="s">
        <v>2024</v>
      </c>
      <c r="E463" t="s">
        <v>2029</v>
      </c>
      <c r="F463" t="s">
        <v>2031</v>
      </c>
      <c r="G463" t="s">
        <v>2036</v>
      </c>
      <c r="H463" t="s">
        <v>2038</v>
      </c>
      <c r="I463">
        <v>2</v>
      </c>
      <c r="J463">
        <v>3</v>
      </c>
      <c r="K463">
        <v>1</v>
      </c>
      <c r="L463" t="s">
        <v>2041</v>
      </c>
      <c r="M463">
        <v>492</v>
      </c>
      <c r="N463">
        <v>1749</v>
      </c>
      <c r="O463">
        <v>4937</v>
      </c>
      <c r="P463" s="13">
        <f t="shared" si="49"/>
        <v>0</v>
      </c>
      <c r="Q463" t="str">
        <f t="shared" si="50"/>
        <v>No</v>
      </c>
      <c r="R463" t="str" cm="1">
        <f t="array" ref="R463">_xlfn.IFS(K463=0,"On Time",K463&lt;=2,"Minor",K463&lt;=5,"Major",K463&gt;5,"Severe")</f>
        <v>Minor</v>
      </c>
      <c r="S463">
        <f t="shared" si="51"/>
        <v>4937</v>
      </c>
      <c r="T463">
        <f t="shared" si="52"/>
        <v>1749</v>
      </c>
      <c r="U463">
        <f t="shared" si="53"/>
        <v>2024</v>
      </c>
      <c r="V463">
        <f t="shared" si="54"/>
        <v>11</v>
      </c>
      <c r="W463" s="11">
        <f t="shared" si="55"/>
        <v>1</v>
      </c>
    </row>
    <row r="464" spans="1:23">
      <c r="A464" t="s">
        <v>477</v>
      </c>
      <c r="B464" s="4">
        <v>45484</v>
      </c>
      <c r="C464" t="s">
        <v>2018</v>
      </c>
      <c r="D464" t="s">
        <v>2026</v>
      </c>
      <c r="E464" t="s">
        <v>2027</v>
      </c>
      <c r="F464" t="s">
        <v>2032</v>
      </c>
      <c r="G464" t="s">
        <v>2035</v>
      </c>
      <c r="H464" t="s">
        <v>2040</v>
      </c>
      <c r="I464">
        <v>3</v>
      </c>
      <c r="J464">
        <v>12</v>
      </c>
      <c r="K464">
        <v>9</v>
      </c>
      <c r="L464" t="s">
        <v>2041</v>
      </c>
      <c r="M464">
        <v>430</v>
      </c>
      <c r="N464">
        <v>19557</v>
      </c>
      <c r="O464">
        <v>41085</v>
      </c>
      <c r="P464" s="13">
        <f t="shared" si="49"/>
        <v>0</v>
      </c>
      <c r="Q464" t="str">
        <f t="shared" si="50"/>
        <v>No</v>
      </c>
      <c r="R464" t="str" cm="1">
        <f t="array" ref="R464">_xlfn.IFS(K464=0,"On Time",K464&lt;=2,"Minor",K464&lt;=5,"Major",K464&gt;5,"Severe")</f>
        <v>Severe</v>
      </c>
      <c r="S464">
        <f t="shared" si="51"/>
        <v>4565</v>
      </c>
      <c r="T464">
        <f t="shared" si="52"/>
        <v>2173</v>
      </c>
      <c r="U464">
        <f t="shared" si="53"/>
        <v>2024</v>
      </c>
      <c r="V464">
        <f t="shared" si="54"/>
        <v>7</v>
      </c>
      <c r="W464" s="11">
        <f t="shared" si="55"/>
        <v>1</v>
      </c>
    </row>
    <row r="465" spans="1:23">
      <c r="A465" t="s">
        <v>478</v>
      </c>
      <c r="B465" s="4">
        <v>45495</v>
      </c>
      <c r="C465" t="s">
        <v>2018</v>
      </c>
      <c r="D465" t="s">
        <v>2024</v>
      </c>
      <c r="E465" t="s">
        <v>2027</v>
      </c>
      <c r="F465" t="s">
        <v>2032</v>
      </c>
      <c r="G465" t="s">
        <v>2037</v>
      </c>
      <c r="H465" t="s">
        <v>2039</v>
      </c>
      <c r="I465">
        <v>3</v>
      </c>
      <c r="J465">
        <v>7</v>
      </c>
      <c r="K465">
        <v>4</v>
      </c>
      <c r="L465" t="s">
        <v>2041</v>
      </c>
      <c r="M465">
        <v>185</v>
      </c>
      <c r="N465">
        <v>8704</v>
      </c>
      <c r="O465">
        <v>16348</v>
      </c>
      <c r="P465" s="13">
        <f t="shared" si="49"/>
        <v>0</v>
      </c>
      <c r="Q465" t="str">
        <f t="shared" si="50"/>
        <v>No</v>
      </c>
      <c r="R465" t="str" cm="1">
        <f t="array" ref="R465">_xlfn.IFS(K465=0,"On Time",K465&lt;=2,"Minor",K465&lt;=5,"Major",K465&gt;5,"Severe")</f>
        <v>Major</v>
      </c>
      <c r="S465">
        <f t="shared" si="51"/>
        <v>4087</v>
      </c>
      <c r="T465">
        <f t="shared" si="52"/>
        <v>2176</v>
      </c>
      <c r="U465">
        <f t="shared" si="53"/>
        <v>2024</v>
      </c>
      <c r="V465">
        <f t="shared" si="54"/>
        <v>7</v>
      </c>
      <c r="W465" s="11">
        <f t="shared" si="55"/>
        <v>1</v>
      </c>
    </row>
    <row r="466" spans="1:23">
      <c r="A466" t="s">
        <v>479</v>
      </c>
      <c r="B466" s="4">
        <v>45505</v>
      </c>
      <c r="C466" t="s">
        <v>2015</v>
      </c>
      <c r="D466" t="s">
        <v>2020</v>
      </c>
      <c r="E466" t="s">
        <v>2027</v>
      </c>
      <c r="F466" t="s">
        <v>2030</v>
      </c>
      <c r="G466" t="s">
        <v>2033</v>
      </c>
      <c r="H466" t="s">
        <v>2038</v>
      </c>
      <c r="I466">
        <v>1</v>
      </c>
      <c r="J466">
        <v>5</v>
      </c>
      <c r="K466">
        <v>4</v>
      </c>
      <c r="L466" t="s">
        <v>2041</v>
      </c>
      <c r="M466">
        <v>413</v>
      </c>
      <c r="N466">
        <v>6172</v>
      </c>
      <c r="O466">
        <v>17768</v>
      </c>
      <c r="P466" s="13">
        <f t="shared" si="49"/>
        <v>0</v>
      </c>
      <c r="Q466" t="str">
        <f t="shared" si="50"/>
        <v>No</v>
      </c>
      <c r="R466" t="str" cm="1">
        <f t="array" ref="R466">_xlfn.IFS(K466=0,"On Time",K466&lt;=2,"Minor",K466&lt;=5,"Major",K466&gt;5,"Severe")</f>
        <v>Major</v>
      </c>
      <c r="S466">
        <f t="shared" si="51"/>
        <v>4442</v>
      </c>
      <c r="T466">
        <f t="shared" si="52"/>
        <v>1543</v>
      </c>
      <c r="U466">
        <f t="shared" si="53"/>
        <v>2024</v>
      </c>
      <c r="V466">
        <f t="shared" si="54"/>
        <v>8</v>
      </c>
      <c r="W466" s="11">
        <f t="shared" si="55"/>
        <v>1</v>
      </c>
    </row>
    <row r="467" spans="1:23">
      <c r="A467" t="s">
        <v>480</v>
      </c>
      <c r="B467" s="4">
        <v>45384</v>
      </c>
      <c r="C467" t="s">
        <v>2015</v>
      </c>
      <c r="D467" t="s">
        <v>2019</v>
      </c>
      <c r="E467" t="s">
        <v>2027</v>
      </c>
      <c r="F467" t="s">
        <v>2032</v>
      </c>
      <c r="G467" t="s">
        <v>2034</v>
      </c>
      <c r="H467" t="s">
        <v>2038</v>
      </c>
      <c r="I467">
        <v>1</v>
      </c>
      <c r="J467">
        <v>5</v>
      </c>
      <c r="K467">
        <v>4</v>
      </c>
      <c r="L467" t="s">
        <v>2041</v>
      </c>
      <c r="M467">
        <v>423</v>
      </c>
      <c r="N467">
        <v>4512</v>
      </c>
      <c r="O467">
        <v>7364</v>
      </c>
      <c r="P467" s="13">
        <f t="shared" si="49"/>
        <v>0</v>
      </c>
      <c r="Q467" t="str">
        <f t="shared" si="50"/>
        <v>No</v>
      </c>
      <c r="R467" t="str" cm="1">
        <f t="array" ref="R467">_xlfn.IFS(K467=0,"On Time",K467&lt;=2,"Minor",K467&lt;=5,"Major",K467&gt;5,"Severe")</f>
        <v>Major</v>
      </c>
      <c r="S467">
        <f t="shared" si="51"/>
        <v>1841</v>
      </c>
      <c r="T467">
        <f t="shared" si="52"/>
        <v>1128</v>
      </c>
      <c r="U467">
        <f t="shared" si="53"/>
        <v>2024</v>
      </c>
      <c r="V467">
        <f t="shared" si="54"/>
        <v>4</v>
      </c>
      <c r="W467" s="11">
        <f t="shared" si="55"/>
        <v>1</v>
      </c>
    </row>
    <row r="468" spans="1:23">
      <c r="A468" t="s">
        <v>481</v>
      </c>
      <c r="B468" s="4">
        <v>45404</v>
      </c>
      <c r="C468" t="s">
        <v>2017</v>
      </c>
      <c r="D468" t="s">
        <v>2022</v>
      </c>
      <c r="E468" t="s">
        <v>2028</v>
      </c>
      <c r="F468" t="s">
        <v>2031</v>
      </c>
      <c r="G468" t="s">
        <v>2035</v>
      </c>
      <c r="H468" t="s">
        <v>2040</v>
      </c>
      <c r="I468">
        <v>2</v>
      </c>
      <c r="J468">
        <v>6</v>
      </c>
      <c r="K468">
        <v>4</v>
      </c>
      <c r="L468" t="s">
        <v>2041</v>
      </c>
      <c r="M468">
        <v>494</v>
      </c>
      <c r="N468">
        <v>7672</v>
      </c>
      <c r="O468">
        <v>17528</v>
      </c>
      <c r="P468" s="13">
        <f t="shared" si="49"/>
        <v>0</v>
      </c>
      <c r="Q468" t="str">
        <f t="shared" si="50"/>
        <v>No</v>
      </c>
      <c r="R468" t="str" cm="1">
        <f t="array" ref="R468">_xlfn.IFS(K468=0,"On Time",K468&lt;=2,"Minor",K468&lt;=5,"Major",K468&gt;5,"Severe")</f>
        <v>Major</v>
      </c>
      <c r="S468">
        <f t="shared" si="51"/>
        <v>4382</v>
      </c>
      <c r="T468">
        <f t="shared" si="52"/>
        <v>1918</v>
      </c>
      <c r="U468">
        <f t="shared" si="53"/>
        <v>2024</v>
      </c>
      <c r="V468">
        <f t="shared" si="54"/>
        <v>4</v>
      </c>
      <c r="W468" s="11">
        <f t="shared" si="55"/>
        <v>1</v>
      </c>
    </row>
    <row r="469" spans="1:23">
      <c r="A469" t="s">
        <v>482</v>
      </c>
      <c r="B469" s="4">
        <v>45459</v>
      </c>
      <c r="C469" t="s">
        <v>2016</v>
      </c>
      <c r="D469" t="s">
        <v>2025</v>
      </c>
      <c r="E469" t="s">
        <v>2029</v>
      </c>
      <c r="F469" t="s">
        <v>2030</v>
      </c>
      <c r="G469" t="s">
        <v>2037</v>
      </c>
      <c r="H469" t="s">
        <v>2040</v>
      </c>
      <c r="I469">
        <v>1</v>
      </c>
      <c r="J469">
        <v>5</v>
      </c>
      <c r="K469">
        <v>4</v>
      </c>
      <c r="L469" t="s">
        <v>2041</v>
      </c>
      <c r="M469">
        <v>309</v>
      </c>
      <c r="N469">
        <v>7260</v>
      </c>
      <c r="O469">
        <v>17608</v>
      </c>
      <c r="P469" s="13">
        <f t="shared" si="49"/>
        <v>0</v>
      </c>
      <c r="Q469" t="str">
        <f t="shared" si="50"/>
        <v>No</v>
      </c>
      <c r="R469" t="str" cm="1">
        <f t="array" ref="R469">_xlfn.IFS(K469=0,"On Time",K469&lt;=2,"Minor",K469&lt;=5,"Major",K469&gt;5,"Severe")</f>
        <v>Major</v>
      </c>
      <c r="S469">
        <f t="shared" si="51"/>
        <v>4402</v>
      </c>
      <c r="T469">
        <f t="shared" si="52"/>
        <v>1815</v>
      </c>
      <c r="U469">
        <f t="shared" si="53"/>
        <v>2024</v>
      </c>
      <c r="V469">
        <f t="shared" si="54"/>
        <v>6</v>
      </c>
      <c r="W469" s="11">
        <f t="shared" si="55"/>
        <v>1</v>
      </c>
    </row>
    <row r="470" spans="1:23">
      <c r="A470" t="s">
        <v>483</v>
      </c>
      <c r="B470" s="4">
        <v>45404</v>
      </c>
      <c r="C470" t="s">
        <v>2015</v>
      </c>
      <c r="D470" t="s">
        <v>2019</v>
      </c>
      <c r="E470" t="s">
        <v>2029</v>
      </c>
      <c r="F470" t="s">
        <v>2031</v>
      </c>
      <c r="G470" t="s">
        <v>2036</v>
      </c>
      <c r="H470" t="s">
        <v>2038</v>
      </c>
      <c r="I470">
        <v>1</v>
      </c>
      <c r="J470">
        <v>1</v>
      </c>
      <c r="K470">
        <v>0</v>
      </c>
      <c r="L470" t="s">
        <v>2042</v>
      </c>
      <c r="M470">
        <v>125</v>
      </c>
      <c r="N470">
        <v>0</v>
      </c>
      <c r="O470">
        <v>0</v>
      </c>
      <c r="P470" s="13">
        <f t="shared" si="49"/>
        <v>1</v>
      </c>
      <c r="Q470" t="str">
        <f t="shared" si="50"/>
        <v>No</v>
      </c>
      <c r="R470" t="str" cm="1">
        <f t="array" ref="R470">_xlfn.IFS(K470=0,"On Time",K470&lt;=2,"Minor",K470&lt;=5,"Major",K470&gt;5,"Severe")</f>
        <v>On Time</v>
      </c>
      <c r="S470">
        <f t="shared" si="51"/>
        <v>0</v>
      </c>
      <c r="T470">
        <f t="shared" si="52"/>
        <v>0</v>
      </c>
      <c r="U470">
        <f t="shared" si="53"/>
        <v>2024</v>
      </c>
      <c r="V470">
        <f t="shared" si="54"/>
        <v>4</v>
      </c>
      <c r="W470" s="11">
        <f t="shared" si="55"/>
        <v>0</v>
      </c>
    </row>
    <row r="471" spans="1:23">
      <c r="A471" t="s">
        <v>484</v>
      </c>
      <c r="B471" s="4">
        <v>45576</v>
      </c>
      <c r="C471" t="s">
        <v>2015</v>
      </c>
      <c r="D471" t="s">
        <v>2019</v>
      </c>
      <c r="E471" t="s">
        <v>2027</v>
      </c>
      <c r="F471" t="s">
        <v>2030</v>
      </c>
      <c r="G471" t="s">
        <v>2033</v>
      </c>
      <c r="H471" t="s">
        <v>2039</v>
      </c>
      <c r="I471">
        <v>2</v>
      </c>
      <c r="J471">
        <v>7</v>
      </c>
      <c r="K471">
        <v>5</v>
      </c>
      <c r="L471" t="s">
        <v>2041</v>
      </c>
      <c r="M471">
        <v>268</v>
      </c>
      <c r="N471">
        <v>11830</v>
      </c>
      <c r="O471">
        <v>24545</v>
      </c>
      <c r="P471" s="13">
        <f t="shared" si="49"/>
        <v>0</v>
      </c>
      <c r="Q471" t="str">
        <f t="shared" si="50"/>
        <v>No</v>
      </c>
      <c r="R471" t="str" cm="1">
        <f t="array" ref="R471">_xlfn.IFS(K471=0,"On Time",K471&lt;=2,"Minor",K471&lt;=5,"Major",K471&gt;5,"Severe")</f>
        <v>Major</v>
      </c>
      <c r="S471">
        <f t="shared" si="51"/>
        <v>4909</v>
      </c>
      <c r="T471">
        <f t="shared" si="52"/>
        <v>2366</v>
      </c>
      <c r="U471">
        <f t="shared" si="53"/>
        <v>2024</v>
      </c>
      <c r="V471">
        <f t="shared" si="54"/>
        <v>10</v>
      </c>
      <c r="W471" s="11">
        <f t="shared" si="55"/>
        <v>1</v>
      </c>
    </row>
    <row r="472" spans="1:23">
      <c r="A472" t="s">
        <v>485</v>
      </c>
      <c r="B472" s="4">
        <v>45326</v>
      </c>
      <c r="C472" t="s">
        <v>2017</v>
      </c>
      <c r="D472" t="s">
        <v>2022</v>
      </c>
      <c r="E472" t="s">
        <v>2028</v>
      </c>
      <c r="F472" t="s">
        <v>2030</v>
      </c>
      <c r="G472" t="s">
        <v>2037</v>
      </c>
      <c r="H472" t="s">
        <v>2039</v>
      </c>
      <c r="I472">
        <v>2</v>
      </c>
      <c r="J472">
        <v>4</v>
      </c>
      <c r="K472">
        <v>2</v>
      </c>
      <c r="L472" t="s">
        <v>2041</v>
      </c>
      <c r="M472">
        <v>147</v>
      </c>
      <c r="N472">
        <v>2552</v>
      </c>
      <c r="O472">
        <v>6882</v>
      </c>
      <c r="P472" s="13">
        <f t="shared" si="49"/>
        <v>0</v>
      </c>
      <c r="Q472" t="str">
        <f t="shared" si="50"/>
        <v>No</v>
      </c>
      <c r="R472" t="str" cm="1">
        <f t="array" ref="R472">_xlfn.IFS(K472=0,"On Time",K472&lt;=2,"Minor",K472&lt;=5,"Major",K472&gt;5,"Severe")</f>
        <v>Minor</v>
      </c>
      <c r="S472">
        <f t="shared" si="51"/>
        <v>3441</v>
      </c>
      <c r="T472">
        <f t="shared" si="52"/>
        <v>1276</v>
      </c>
      <c r="U472">
        <f t="shared" si="53"/>
        <v>2024</v>
      </c>
      <c r="V472">
        <f t="shared" si="54"/>
        <v>2</v>
      </c>
      <c r="W472" s="11">
        <f t="shared" si="55"/>
        <v>1</v>
      </c>
    </row>
    <row r="473" spans="1:23">
      <c r="A473" t="s">
        <v>486</v>
      </c>
      <c r="B473" s="4">
        <v>45490</v>
      </c>
      <c r="C473" t="s">
        <v>2017</v>
      </c>
      <c r="D473" t="s">
        <v>2023</v>
      </c>
      <c r="E473" t="s">
        <v>2029</v>
      </c>
      <c r="F473" t="s">
        <v>2031</v>
      </c>
      <c r="G473" t="s">
        <v>2035</v>
      </c>
      <c r="H473" t="s">
        <v>2040</v>
      </c>
      <c r="I473">
        <v>1</v>
      </c>
      <c r="J473">
        <v>8</v>
      </c>
      <c r="K473">
        <v>7</v>
      </c>
      <c r="L473" t="s">
        <v>2041</v>
      </c>
      <c r="M473">
        <v>171</v>
      </c>
      <c r="N473">
        <v>13349</v>
      </c>
      <c r="O473">
        <v>11039</v>
      </c>
      <c r="P473" s="13">
        <f t="shared" si="49"/>
        <v>0</v>
      </c>
      <c r="Q473" t="str">
        <f t="shared" si="50"/>
        <v>No</v>
      </c>
      <c r="R473" t="str" cm="1">
        <f t="array" ref="R473">_xlfn.IFS(K473=0,"On Time",K473&lt;=2,"Minor",K473&lt;=5,"Major",K473&gt;5,"Severe")</f>
        <v>Severe</v>
      </c>
      <c r="S473">
        <f t="shared" si="51"/>
        <v>1577</v>
      </c>
      <c r="T473">
        <f t="shared" si="52"/>
        <v>1907</v>
      </c>
      <c r="U473">
        <f t="shared" si="53"/>
        <v>2024</v>
      </c>
      <c r="V473">
        <f t="shared" si="54"/>
        <v>7</v>
      </c>
      <c r="W473" s="11">
        <f t="shared" si="55"/>
        <v>1</v>
      </c>
    </row>
    <row r="474" spans="1:23">
      <c r="A474" t="s">
        <v>487</v>
      </c>
      <c r="B474" s="4">
        <v>45389</v>
      </c>
      <c r="C474" t="s">
        <v>2017</v>
      </c>
      <c r="D474" t="s">
        <v>2023</v>
      </c>
      <c r="E474" t="s">
        <v>2029</v>
      </c>
      <c r="F474" t="s">
        <v>2031</v>
      </c>
      <c r="G474" t="s">
        <v>2035</v>
      </c>
      <c r="H474" t="s">
        <v>2039</v>
      </c>
      <c r="I474">
        <v>2</v>
      </c>
      <c r="J474">
        <v>4</v>
      </c>
      <c r="K474">
        <v>2</v>
      </c>
      <c r="L474" t="s">
        <v>2041</v>
      </c>
      <c r="M474">
        <v>466</v>
      </c>
      <c r="N474">
        <v>3898</v>
      </c>
      <c r="O474">
        <v>7980</v>
      </c>
      <c r="P474" s="13">
        <f t="shared" si="49"/>
        <v>0</v>
      </c>
      <c r="Q474" t="str">
        <f t="shared" si="50"/>
        <v>No</v>
      </c>
      <c r="R474" t="str" cm="1">
        <f t="array" ref="R474">_xlfn.IFS(K474=0,"On Time",K474&lt;=2,"Minor",K474&lt;=5,"Major",K474&gt;5,"Severe")</f>
        <v>Minor</v>
      </c>
      <c r="S474">
        <f t="shared" si="51"/>
        <v>3990</v>
      </c>
      <c r="T474">
        <f t="shared" si="52"/>
        <v>1949</v>
      </c>
      <c r="U474">
        <f t="shared" si="53"/>
        <v>2024</v>
      </c>
      <c r="V474">
        <f t="shared" si="54"/>
        <v>4</v>
      </c>
      <c r="W474" s="11">
        <f t="shared" si="55"/>
        <v>1</v>
      </c>
    </row>
    <row r="475" spans="1:23">
      <c r="A475" t="s">
        <v>488</v>
      </c>
      <c r="B475" s="4">
        <v>45305</v>
      </c>
      <c r="C475" t="s">
        <v>2016</v>
      </c>
      <c r="D475" t="s">
        <v>2021</v>
      </c>
      <c r="E475" t="s">
        <v>2029</v>
      </c>
      <c r="F475" t="s">
        <v>2031</v>
      </c>
      <c r="G475" t="s">
        <v>2036</v>
      </c>
      <c r="H475" t="s">
        <v>2038</v>
      </c>
      <c r="I475">
        <v>3</v>
      </c>
      <c r="J475">
        <v>3</v>
      </c>
      <c r="K475">
        <v>0</v>
      </c>
      <c r="L475" t="s">
        <v>2042</v>
      </c>
      <c r="M475">
        <v>175</v>
      </c>
      <c r="N475">
        <v>0</v>
      </c>
      <c r="O475">
        <v>0</v>
      </c>
      <c r="P475" s="13">
        <f t="shared" si="49"/>
        <v>1</v>
      </c>
      <c r="Q475" t="str">
        <f t="shared" si="50"/>
        <v>No</v>
      </c>
      <c r="R475" t="str" cm="1">
        <f t="array" ref="R475">_xlfn.IFS(K475=0,"On Time",K475&lt;=2,"Minor",K475&lt;=5,"Major",K475&gt;5,"Severe")</f>
        <v>On Time</v>
      </c>
      <c r="S475">
        <f t="shared" si="51"/>
        <v>0</v>
      </c>
      <c r="T475">
        <f t="shared" si="52"/>
        <v>0</v>
      </c>
      <c r="U475">
        <f t="shared" si="53"/>
        <v>2024</v>
      </c>
      <c r="V475">
        <f t="shared" si="54"/>
        <v>1</v>
      </c>
      <c r="W475" s="11">
        <f t="shared" si="55"/>
        <v>0</v>
      </c>
    </row>
    <row r="476" spans="1:23">
      <c r="A476" t="s">
        <v>489</v>
      </c>
      <c r="B476" s="4">
        <v>45464</v>
      </c>
      <c r="C476" t="s">
        <v>2015</v>
      </c>
      <c r="D476" t="s">
        <v>2020</v>
      </c>
      <c r="E476" t="s">
        <v>2028</v>
      </c>
      <c r="F476" t="s">
        <v>2032</v>
      </c>
      <c r="G476" t="s">
        <v>2037</v>
      </c>
      <c r="H476" t="s">
        <v>2038</v>
      </c>
      <c r="I476">
        <v>5</v>
      </c>
      <c r="J476">
        <v>8</v>
      </c>
      <c r="K476">
        <v>3</v>
      </c>
      <c r="L476" t="s">
        <v>2041</v>
      </c>
      <c r="M476">
        <v>258</v>
      </c>
      <c r="N476">
        <v>6435</v>
      </c>
      <c r="O476">
        <v>10137</v>
      </c>
      <c r="P476" s="13">
        <f t="shared" si="49"/>
        <v>0</v>
      </c>
      <c r="Q476" t="str">
        <f t="shared" si="50"/>
        <v>No</v>
      </c>
      <c r="R476" t="str" cm="1">
        <f t="array" ref="R476">_xlfn.IFS(K476=0,"On Time",K476&lt;=2,"Minor",K476&lt;=5,"Major",K476&gt;5,"Severe")</f>
        <v>Major</v>
      </c>
      <c r="S476">
        <f t="shared" si="51"/>
        <v>3379</v>
      </c>
      <c r="T476">
        <f t="shared" si="52"/>
        <v>2145</v>
      </c>
      <c r="U476">
        <f t="shared" si="53"/>
        <v>2024</v>
      </c>
      <c r="V476">
        <f t="shared" si="54"/>
        <v>6</v>
      </c>
      <c r="W476" s="11">
        <f t="shared" si="55"/>
        <v>1</v>
      </c>
    </row>
    <row r="477" spans="1:23">
      <c r="A477" t="s">
        <v>490</v>
      </c>
      <c r="B477" s="4">
        <v>45601</v>
      </c>
      <c r="C477" t="s">
        <v>2018</v>
      </c>
      <c r="D477" t="s">
        <v>2026</v>
      </c>
      <c r="E477" t="s">
        <v>2028</v>
      </c>
      <c r="F477" t="s">
        <v>2030</v>
      </c>
      <c r="G477" t="s">
        <v>2037</v>
      </c>
      <c r="H477" t="s">
        <v>2039</v>
      </c>
      <c r="I477">
        <v>2</v>
      </c>
      <c r="J477">
        <v>4</v>
      </c>
      <c r="K477">
        <v>2</v>
      </c>
      <c r="L477" t="s">
        <v>2041</v>
      </c>
      <c r="M477">
        <v>302</v>
      </c>
      <c r="N477">
        <v>3252</v>
      </c>
      <c r="O477">
        <v>6052</v>
      </c>
      <c r="P477" s="13">
        <f t="shared" si="49"/>
        <v>0</v>
      </c>
      <c r="Q477" t="str">
        <f t="shared" si="50"/>
        <v>No</v>
      </c>
      <c r="R477" t="str" cm="1">
        <f t="array" ref="R477">_xlfn.IFS(K477=0,"On Time",K477&lt;=2,"Minor",K477&lt;=5,"Major",K477&gt;5,"Severe")</f>
        <v>Minor</v>
      </c>
      <c r="S477">
        <f t="shared" si="51"/>
        <v>3026</v>
      </c>
      <c r="T477">
        <f t="shared" si="52"/>
        <v>1626</v>
      </c>
      <c r="U477">
        <f t="shared" si="53"/>
        <v>2024</v>
      </c>
      <c r="V477">
        <f t="shared" si="54"/>
        <v>11</v>
      </c>
      <c r="W477" s="11">
        <f t="shared" si="55"/>
        <v>1</v>
      </c>
    </row>
    <row r="478" spans="1:23">
      <c r="A478" t="s">
        <v>491</v>
      </c>
      <c r="B478" s="4">
        <v>45551</v>
      </c>
      <c r="C478" t="s">
        <v>2015</v>
      </c>
      <c r="D478" t="s">
        <v>2019</v>
      </c>
      <c r="E478" t="s">
        <v>2028</v>
      </c>
      <c r="F478" t="s">
        <v>2032</v>
      </c>
      <c r="G478" t="s">
        <v>2033</v>
      </c>
      <c r="H478" t="s">
        <v>2039</v>
      </c>
      <c r="I478">
        <v>3</v>
      </c>
      <c r="J478">
        <v>9</v>
      </c>
      <c r="K478">
        <v>6</v>
      </c>
      <c r="L478" t="s">
        <v>2041</v>
      </c>
      <c r="M478">
        <v>304</v>
      </c>
      <c r="N478">
        <v>10170</v>
      </c>
      <c r="O478">
        <v>25794</v>
      </c>
      <c r="P478" s="13">
        <f t="shared" si="49"/>
        <v>0</v>
      </c>
      <c r="Q478" t="str">
        <f t="shared" si="50"/>
        <v>No</v>
      </c>
      <c r="R478" t="str" cm="1">
        <f t="array" ref="R478">_xlfn.IFS(K478=0,"On Time",K478&lt;=2,"Minor",K478&lt;=5,"Major",K478&gt;5,"Severe")</f>
        <v>Severe</v>
      </c>
      <c r="S478">
        <f t="shared" si="51"/>
        <v>4299</v>
      </c>
      <c r="T478">
        <f t="shared" si="52"/>
        <v>1695</v>
      </c>
      <c r="U478">
        <f t="shared" si="53"/>
        <v>2024</v>
      </c>
      <c r="V478">
        <f t="shared" si="54"/>
        <v>9</v>
      </c>
      <c r="W478" s="11">
        <f t="shared" si="55"/>
        <v>1</v>
      </c>
    </row>
    <row r="479" spans="1:23">
      <c r="A479" t="s">
        <v>492</v>
      </c>
      <c r="B479" s="4">
        <v>45387</v>
      </c>
      <c r="C479" t="s">
        <v>2018</v>
      </c>
      <c r="D479" t="s">
        <v>2026</v>
      </c>
      <c r="E479" t="s">
        <v>2028</v>
      </c>
      <c r="F479" t="s">
        <v>2031</v>
      </c>
      <c r="G479" t="s">
        <v>2037</v>
      </c>
      <c r="H479" t="s">
        <v>2039</v>
      </c>
      <c r="I479">
        <v>3</v>
      </c>
      <c r="J479">
        <v>6</v>
      </c>
      <c r="K479">
        <v>3</v>
      </c>
      <c r="L479" t="s">
        <v>2041</v>
      </c>
      <c r="M479">
        <v>468</v>
      </c>
      <c r="N479">
        <v>3444</v>
      </c>
      <c r="O479">
        <v>14559</v>
      </c>
      <c r="P479" s="13">
        <f t="shared" si="49"/>
        <v>0</v>
      </c>
      <c r="Q479" t="str">
        <f t="shared" si="50"/>
        <v>No</v>
      </c>
      <c r="R479" t="str" cm="1">
        <f t="array" ref="R479">_xlfn.IFS(K479=0,"On Time",K479&lt;=2,"Minor",K479&lt;=5,"Major",K479&gt;5,"Severe")</f>
        <v>Major</v>
      </c>
      <c r="S479">
        <f t="shared" si="51"/>
        <v>4853</v>
      </c>
      <c r="T479">
        <f t="shared" si="52"/>
        <v>1148</v>
      </c>
      <c r="U479">
        <f t="shared" si="53"/>
        <v>2024</v>
      </c>
      <c r="V479">
        <f t="shared" si="54"/>
        <v>4</v>
      </c>
      <c r="W479" s="11">
        <f t="shared" si="55"/>
        <v>1</v>
      </c>
    </row>
    <row r="480" spans="1:23">
      <c r="A480" t="s">
        <v>493</v>
      </c>
      <c r="B480" s="4">
        <v>45547</v>
      </c>
      <c r="C480" t="s">
        <v>2016</v>
      </c>
      <c r="D480" t="s">
        <v>2025</v>
      </c>
      <c r="E480" t="s">
        <v>2027</v>
      </c>
      <c r="F480" t="s">
        <v>2032</v>
      </c>
      <c r="G480" t="s">
        <v>2033</v>
      </c>
      <c r="H480" t="s">
        <v>2040</v>
      </c>
      <c r="I480">
        <v>3</v>
      </c>
      <c r="J480">
        <v>9</v>
      </c>
      <c r="K480">
        <v>6</v>
      </c>
      <c r="L480" t="s">
        <v>2041</v>
      </c>
      <c r="M480">
        <v>157</v>
      </c>
      <c r="N480">
        <v>8772</v>
      </c>
      <c r="O480">
        <v>18330</v>
      </c>
      <c r="P480" s="13">
        <f t="shared" si="49"/>
        <v>0</v>
      </c>
      <c r="Q480" t="str">
        <f t="shared" si="50"/>
        <v>No</v>
      </c>
      <c r="R480" t="str" cm="1">
        <f t="array" ref="R480">_xlfn.IFS(K480=0,"On Time",K480&lt;=2,"Minor",K480&lt;=5,"Major",K480&gt;5,"Severe")</f>
        <v>Severe</v>
      </c>
      <c r="S480">
        <f t="shared" si="51"/>
        <v>3055</v>
      </c>
      <c r="T480">
        <f t="shared" si="52"/>
        <v>1462</v>
      </c>
      <c r="U480">
        <f t="shared" si="53"/>
        <v>2024</v>
      </c>
      <c r="V480">
        <f t="shared" si="54"/>
        <v>9</v>
      </c>
      <c r="W480" s="11">
        <f t="shared" si="55"/>
        <v>1</v>
      </c>
    </row>
    <row r="481" spans="1:23">
      <c r="A481" t="s">
        <v>494</v>
      </c>
      <c r="B481" s="4">
        <v>45483</v>
      </c>
      <c r="C481" t="s">
        <v>2017</v>
      </c>
      <c r="D481" t="s">
        <v>2022</v>
      </c>
      <c r="E481" t="s">
        <v>2027</v>
      </c>
      <c r="F481" t="s">
        <v>2030</v>
      </c>
      <c r="G481" t="s">
        <v>2037</v>
      </c>
      <c r="H481" t="s">
        <v>2038</v>
      </c>
      <c r="I481">
        <v>1</v>
      </c>
      <c r="J481">
        <v>1</v>
      </c>
      <c r="K481">
        <v>0</v>
      </c>
      <c r="L481" t="s">
        <v>2042</v>
      </c>
      <c r="M481">
        <v>181</v>
      </c>
      <c r="N481">
        <v>0</v>
      </c>
      <c r="O481">
        <v>0</v>
      </c>
      <c r="P481" s="13">
        <f t="shared" si="49"/>
        <v>1</v>
      </c>
      <c r="Q481" t="str">
        <f t="shared" si="50"/>
        <v>No</v>
      </c>
      <c r="R481" t="str" cm="1">
        <f t="array" ref="R481">_xlfn.IFS(K481=0,"On Time",K481&lt;=2,"Minor",K481&lt;=5,"Major",K481&gt;5,"Severe")</f>
        <v>On Time</v>
      </c>
      <c r="S481">
        <f t="shared" si="51"/>
        <v>0</v>
      </c>
      <c r="T481">
        <f t="shared" si="52"/>
        <v>0</v>
      </c>
      <c r="U481">
        <f t="shared" si="53"/>
        <v>2024</v>
      </c>
      <c r="V481">
        <f t="shared" si="54"/>
        <v>7</v>
      </c>
      <c r="W481" s="11">
        <f t="shared" si="55"/>
        <v>0</v>
      </c>
    </row>
    <row r="482" spans="1:23">
      <c r="A482" t="s">
        <v>495</v>
      </c>
      <c r="B482" s="4">
        <v>45418</v>
      </c>
      <c r="C482" t="s">
        <v>2015</v>
      </c>
      <c r="D482" t="s">
        <v>2020</v>
      </c>
      <c r="E482" t="s">
        <v>2028</v>
      </c>
      <c r="F482" t="s">
        <v>2032</v>
      </c>
      <c r="G482" t="s">
        <v>2033</v>
      </c>
      <c r="H482" t="s">
        <v>2040</v>
      </c>
      <c r="I482">
        <v>2</v>
      </c>
      <c r="J482">
        <v>9</v>
      </c>
      <c r="K482">
        <v>7</v>
      </c>
      <c r="L482" t="s">
        <v>2041</v>
      </c>
      <c r="M482">
        <v>388</v>
      </c>
      <c r="N482">
        <v>14259</v>
      </c>
      <c r="O482">
        <v>11109</v>
      </c>
      <c r="P482" s="13">
        <f t="shared" si="49"/>
        <v>0</v>
      </c>
      <c r="Q482" t="str">
        <f t="shared" si="50"/>
        <v>No</v>
      </c>
      <c r="R482" t="str" cm="1">
        <f t="array" ref="R482">_xlfn.IFS(K482=0,"On Time",K482&lt;=2,"Minor",K482&lt;=5,"Major",K482&gt;5,"Severe")</f>
        <v>Severe</v>
      </c>
      <c r="S482">
        <f t="shared" si="51"/>
        <v>1587</v>
      </c>
      <c r="T482">
        <f t="shared" si="52"/>
        <v>2037</v>
      </c>
      <c r="U482">
        <f t="shared" si="53"/>
        <v>2024</v>
      </c>
      <c r="V482">
        <f t="shared" si="54"/>
        <v>5</v>
      </c>
      <c r="W482" s="11">
        <f t="shared" si="55"/>
        <v>1</v>
      </c>
    </row>
    <row r="483" spans="1:23">
      <c r="A483" t="s">
        <v>496</v>
      </c>
      <c r="B483" s="4">
        <v>45616</v>
      </c>
      <c r="C483" t="s">
        <v>2018</v>
      </c>
      <c r="D483" t="s">
        <v>2026</v>
      </c>
      <c r="E483" t="s">
        <v>2028</v>
      </c>
      <c r="F483" t="s">
        <v>2030</v>
      </c>
      <c r="G483" t="s">
        <v>2037</v>
      </c>
      <c r="H483" t="s">
        <v>2040</v>
      </c>
      <c r="I483">
        <v>2</v>
      </c>
      <c r="J483">
        <v>10</v>
      </c>
      <c r="K483">
        <v>8</v>
      </c>
      <c r="L483" t="s">
        <v>2041</v>
      </c>
      <c r="M483">
        <v>447</v>
      </c>
      <c r="N483">
        <v>11856</v>
      </c>
      <c r="O483">
        <v>28152</v>
      </c>
      <c r="P483" s="13">
        <f t="shared" si="49"/>
        <v>0</v>
      </c>
      <c r="Q483" t="str">
        <f t="shared" si="50"/>
        <v>No</v>
      </c>
      <c r="R483" t="str" cm="1">
        <f t="array" ref="R483">_xlfn.IFS(K483=0,"On Time",K483&lt;=2,"Minor",K483&lt;=5,"Major",K483&gt;5,"Severe")</f>
        <v>Severe</v>
      </c>
      <c r="S483">
        <f t="shared" si="51"/>
        <v>3519</v>
      </c>
      <c r="T483">
        <f t="shared" si="52"/>
        <v>1482</v>
      </c>
      <c r="U483">
        <f t="shared" si="53"/>
        <v>2024</v>
      </c>
      <c r="V483">
        <f t="shared" si="54"/>
        <v>11</v>
      </c>
      <c r="W483" s="11">
        <f t="shared" si="55"/>
        <v>1</v>
      </c>
    </row>
    <row r="484" spans="1:23">
      <c r="A484" t="s">
        <v>497</v>
      </c>
      <c r="B484" s="4">
        <v>45293</v>
      </c>
      <c r="C484" t="s">
        <v>2017</v>
      </c>
      <c r="D484" t="s">
        <v>2023</v>
      </c>
      <c r="E484" t="s">
        <v>2027</v>
      </c>
      <c r="F484" t="s">
        <v>2030</v>
      </c>
      <c r="G484" t="s">
        <v>2035</v>
      </c>
      <c r="H484" t="s">
        <v>2039</v>
      </c>
      <c r="I484">
        <v>2</v>
      </c>
      <c r="J484">
        <v>6</v>
      </c>
      <c r="K484">
        <v>4</v>
      </c>
      <c r="L484" t="s">
        <v>2041</v>
      </c>
      <c r="M484">
        <v>242</v>
      </c>
      <c r="N484">
        <v>4952</v>
      </c>
      <c r="O484">
        <v>19256</v>
      </c>
      <c r="P484" s="13">
        <f t="shared" si="49"/>
        <v>0</v>
      </c>
      <c r="Q484" t="str">
        <f t="shared" si="50"/>
        <v>No</v>
      </c>
      <c r="R484" t="str" cm="1">
        <f t="array" ref="R484">_xlfn.IFS(K484=0,"On Time",K484&lt;=2,"Minor",K484&lt;=5,"Major",K484&gt;5,"Severe")</f>
        <v>Major</v>
      </c>
      <c r="S484">
        <f t="shared" si="51"/>
        <v>4814</v>
      </c>
      <c r="T484">
        <f t="shared" si="52"/>
        <v>1238</v>
      </c>
      <c r="U484">
        <f t="shared" si="53"/>
        <v>2024</v>
      </c>
      <c r="V484">
        <f t="shared" si="54"/>
        <v>1</v>
      </c>
      <c r="W484" s="11">
        <f t="shared" si="55"/>
        <v>1</v>
      </c>
    </row>
    <row r="485" spans="1:23">
      <c r="A485" t="s">
        <v>498</v>
      </c>
      <c r="B485" s="4">
        <v>45511</v>
      </c>
      <c r="C485" t="s">
        <v>2015</v>
      </c>
      <c r="D485" t="s">
        <v>2019</v>
      </c>
      <c r="E485" t="s">
        <v>2029</v>
      </c>
      <c r="F485" t="s">
        <v>2031</v>
      </c>
      <c r="G485" t="s">
        <v>2035</v>
      </c>
      <c r="H485" t="s">
        <v>2039</v>
      </c>
      <c r="I485">
        <v>2</v>
      </c>
      <c r="J485">
        <v>7</v>
      </c>
      <c r="K485">
        <v>5</v>
      </c>
      <c r="L485" t="s">
        <v>2041</v>
      </c>
      <c r="M485">
        <v>167</v>
      </c>
      <c r="N485">
        <v>9600</v>
      </c>
      <c r="O485">
        <v>20725</v>
      </c>
      <c r="P485" s="13">
        <f t="shared" si="49"/>
        <v>0</v>
      </c>
      <c r="Q485" t="str">
        <f t="shared" si="50"/>
        <v>No</v>
      </c>
      <c r="R485" t="str" cm="1">
        <f t="array" ref="R485">_xlfn.IFS(K485=0,"On Time",K485&lt;=2,"Minor",K485&lt;=5,"Major",K485&gt;5,"Severe")</f>
        <v>Major</v>
      </c>
      <c r="S485">
        <f t="shared" si="51"/>
        <v>4145</v>
      </c>
      <c r="T485">
        <f t="shared" si="52"/>
        <v>1920</v>
      </c>
      <c r="U485">
        <f t="shared" si="53"/>
        <v>2024</v>
      </c>
      <c r="V485">
        <f t="shared" si="54"/>
        <v>8</v>
      </c>
      <c r="W485" s="11">
        <f t="shared" si="55"/>
        <v>1</v>
      </c>
    </row>
    <row r="486" spans="1:23">
      <c r="A486" t="s">
        <v>499</v>
      </c>
      <c r="B486" s="4">
        <v>45470</v>
      </c>
      <c r="C486" t="s">
        <v>2015</v>
      </c>
      <c r="D486" t="s">
        <v>2020</v>
      </c>
      <c r="E486" t="s">
        <v>2028</v>
      </c>
      <c r="F486" t="s">
        <v>2030</v>
      </c>
      <c r="G486" t="s">
        <v>2035</v>
      </c>
      <c r="H486" t="s">
        <v>2039</v>
      </c>
      <c r="I486">
        <v>2</v>
      </c>
      <c r="J486">
        <v>3</v>
      </c>
      <c r="K486">
        <v>1</v>
      </c>
      <c r="L486" t="s">
        <v>2041</v>
      </c>
      <c r="M486">
        <v>210</v>
      </c>
      <c r="N486">
        <v>2108</v>
      </c>
      <c r="O486">
        <v>2415</v>
      </c>
      <c r="P486" s="13">
        <f t="shared" si="49"/>
        <v>0</v>
      </c>
      <c r="Q486" t="str">
        <f t="shared" si="50"/>
        <v>No</v>
      </c>
      <c r="R486" t="str" cm="1">
        <f t="array" ref="R486">_xlfn.IFS(K486=0,"On Time",K486&lt;=2,"Minor",K486&lt;=5,"Major",K486&gt;5,"Severe")</f>
        <v>Minor</v>
      </c>
      <c r="S486">
        <f t="shared" si="51"/>
        <v>2415</v>
      </c>
      <c r="T486">
        <f t="shared" si="52"/>
        <v>2108</v>
      </c>
      <c r="U486">
        <f t="shared" si="53"/>
        <v>2024</v>
      </c>
      <c r="V486">
        <f t="shared" si="54"/>
        <v>6</v>
      </c>
      <c r="W486" s="11">
        <f t="shared" si="55"/>
        <v>1</v>
      </c>
    </row>
    <row r="487" spans="1:23">
      <c r="A487" t="s">
        <v>500</v>
      </c>
      <c r="B487" s="4">
        <v>45368</v>
      </c>
      <c r="C487" t="s">
        <v>2015</v>
      </c>
      <c r="D487" t="s">
        <v>2019</v>
      </c>
      <c r="E487" t="s">
        <v>2029</v>
      </c>
      <c r="F487" t="s">
        <v>2031</v>
      </c>
      <c r="G487" t="s">
        <v>2037</v>
      </c>
      <c r="H487" t="s">
        <v>2039</v>
      </c>
      <c r="I487">
        <v>3</v>
      </c>
      <c r="J487">
        <v>4</v>
      </c>
      <c r="K487">
        <v>1</v>
      </c>
      <c r="L487" t="s">
        <v>2041</v>
      </c>
      <c r="M487">
        <v>333</v>
      </c>
      <c r="N487">
        <v>1963</v>
      </c>
      <c r="O487">
        <v>2613</v>
      </c>
      <c r="P487" s="13">
        <f t="shared" si="49"/>
        <v>0</v>
      </c>
      <c r="Q487" t="str">
        <f t="shared" si="50"/>
        <v>No</v>
      </c>
      <c r="R487" t="str" cm="1">
        <f t="array" ref="R487">_xlfn.IFS(K487=0,"On Time",K487&lt;=2,"Minor",K487&lt;=5,"Major",K487&gt;5,"Severe")</f>
        <v>Minor</v>
      </c>
      <c r="S487">
        <f t="shared" si="51"/>
        <v>2613</v>
      </c>
      <c r="T487">
        <f t="shared" si="52"/>
        <v>1963</v>
      </c>
      <c r="U487">
        <f t="shared" si="53"/>
        <v>2024</v>
      </c>
      <c r="V487">
        <f t="shared" si="54"/>
        <v>3</v>
      </c>
      <c r="W487" s="11">
        <f t="shared" si="55"/>
        <v>1</v>
      </c>
    </row>
    <row r="488" spans="1:23">
      <c r="A488" t="s">
        <v>501</v>
      </c>
      <c r="B488" s="4">
        <v>45592</v>
      </c>
      <c r="C488" t="s">
        <v>2015</v>
      </c>
      <c r="D488" t="s">
        <v>2020</v>
      </c>
      <c r="E488" t="s">
        <v>2029</v>
      </c>
      <c r="F488" t="s">
        <v>2031</v>
      </c>
      <c r="G488" t="s">
        <v>2036</v>
      </c>
      <c r="H488" t="s">
        <v>2039</v>
      </c>
      <c r="I488">
        <v>2</v>
      </c>
      <c r="J488">
        <v>7</v>
      </c>
      <c r="K488">
        <v>5</v>
      </c>
      <c r="L488" t="s">
        <v>2041</v>
      </c>
      <c r="M488">
        <v>484</v>
      </c>
      <c r="N488">
        <v>7585</v>
      </c>
      <c r="O488">
        <v>9340</v>
      </c>
      <c r="P488" s="13">
        <f t="shared" si="49"/>
        <v>0</v>
      </c>
      <c r="Q488" t="str">
        <f t="shared" si="50"/>
        <v>No</v>
      </c>
      <c r="R488" t="str" cm="1">
        <f t="array" ref="R488">_xlfn.IFS(K488=0,"On Time",K488&lt;=2,"Minor",K488&lt;=5,"Major",K488&gt;5,"Severe")</f>
        <v>Major</v>
      </c>
      <c r="S488">
        <f t="shared" si="51"/>
        <v>1868</v>
      </c>
      <c r="T488">
        <f t="shared" si="52"/>
        <v>1517</v>
      </c>
      <c r="U488">
        <f t="shared" si="53"/>
        <v>2024</v>
      </c>
      <c r="V488">
        <f t="shared" si="54"/>
        <v>10</v>
      </c>
      <c r="W488" s="11">
        <f t="shared" si="55"/>
        <v>1</v>
      </c>
    </row>
    <row r="489" spans="1:23">
      <c r="A489" t="s">
        <v>502</v>
      </c>
      <c r="B489" s="4">
        <v>45441</v>
      </c>
      <c r="C489" t="s">
        <v>2015</v>
      </c>
      <c r="D489" t="s">
        <v>2019</v>
      </c>
      <c r="E489" t="s">
        <v>2027</v>
      </c>
      <c r="F489" t="s">
        <v>2031</v>
      </c>
      <c r="G489" t="s">
        <v>2035</v>
      </c>
      <c r="H489" t="s">
        <v>2038</v>
      </c>
      <c r="I489">
        <v>3</v>
      </c>
      <c r="J489">
        <v>8</v>
      </c>
      <c r="K489">
        <v>5</v>
      </c>
      <c r="L489" t="s">
        <v>2041</v>
      </c>
      <c r="M489">
        <v>349</v>
      </c>
      <c r="N489">
        <v>6090</v>
      </c>
      <c r="O489">
        <v>24970</v>
      </c>
      <c r="P489" s="13">
        <f t="shared" si="49"/>
        <v>0</v>
      </c>
      <c r="Q489" t="str">
        <f t="shared" si="50"/>
        <v>No</v>
      </c>
      <c r="R489" t="str" cm="1">
        <f t="array" ref="R489">_xlfn.IFS(K489=0,"On Time",K489&lt;=2,"Minor",K489&lt;=5,"Major",K489&gt;5,"Severe")</f>
        <v>Major</v>
      </c>
      <c r="S489">
        <f t="shared" si="51"/>
        <v>4994</v>
      </c>
      <c r="T489">
        <f t="shared" si="52"/>
        <v>1218</v>
      </c>
      <c r="U489">
        <f t="shared" si="53"/>
        <v>2024</v>
      </c>
      <c r="V489">
        <f t="shared" si="54"/>
        <v>5</v>
      </c>
      <c r="W489" s="11">
        <f t="shared" si="55"/>
        <v>1</v>
      </c>
    </row>
    <row r="490" spans="1:23">
      <c r="A490" t="s">
        <v>503</v>
      </c>
      <c r="B490" s="4">
        <v>45409</v>
      </c>
      <c r="C490" t="s">
        <v>2017</v>
      </c>
      <c r="D490" t="s">
        <v>2022</v>
      </c>
      <c r="E490" t="s">
        <v>2027</v>
      </c>
      <c r="F490" t="s">
        <v>2030</v>
      </c>
      <c r="G490" t="s">
        <v>2037</v>
      </c>
      <c r="H490" t="s">
        <v>2038</v>
      </c>
      <c r="I490">
        <v>2</v>
      </c>
      <c r="J490">
        <v>6</v>
      </c>
      <c r="K490">
        <v>4</v>
      </c>
      <c r="L490" t="s">
        <v>2041</v>
      </c>
      <c r="M490">
        <v>478</v>
      </c>
      <c r="N490">
        <v>7468</v>
      </c>
      <c r="O490">
        <v>14072</v>
      </c>
      <c r="P490" s="13">
        <f t="shared" si="49"/>
        <v>0</v>
      </c>
      <c r="Q490" t="str">
        <f t="shared" si="50"/>
        <v>No</v>
      </c>
      <c r="R490" t="str" cm="1">
        <f t="array" ref="R490">_xlfn.IFS(K490=0,"On Time",K490&lt;=2,"Minor",K490&lt;=5,"Major",K490&gt;5,"Severe")</f>
        <v>Major</v>
      </c>
      <c r="S490">
        <f t="shared" si="51"/>
        <v>3518</v>
      </c>
      <c r="T490">
        <f t="shared" si="52"/>
        <v>1867</v>
      </c>
      <c r="U490">
        <f t="shared" si="53"/>
        <v>2024</v>
      </c>
      <c r="V490">
        <f t="shared" si="54"/>
        <v>4</v>
      </c>
      <c r="W490" s="11">
        <f t="shared" si="55"/>
        <v>1</v>
      </c>
    </row>
    <row r="491" spans="1:23">
      <c r="A491" t="s">
        <v>504</v>
      </c>
      <c r="B491" s="4">
        <v>45364</v>
      </c>
      <c r="C491" t="s">
        <v>2017</v>
      </c>
      <c r="D491" t="s">
        <v>2022</v>
      </c>
      <c r="E491" t="s">
        <v>2028</v>
      </c>
      <c r="F491" t="s">
        <v>2030</v>
      </c>
      <c r="G491" t="s">
        <v>2033</v>
      </c>
      <c r="H491" t="s">
        <v>2038</v>
      </c>
      <c r="I491">
        <v>3</v>
      </c>
      <c r="J491">
        <v>5</v>
      </c>
      <c r="K491">
        <v>2</v>
      </c>
      <c r="L491" t="s">
        <v>2041</v>
      </c>
      <c r="M491">
        <v>425</v>
      </c>
      <c r="N491">
        <v>2526</v>
      </c>
      <c r="O491">
        <v>5282</v>
      </c>
      <c r="P491" s="13">
        <f t="shared" si="49"/>
        <v>0</v>
      </c>
      <c r="Q491" t="str">
        <f t="shared" si="50"/>
        <v>No</v>
      </c>
      <c r="R491" t="str" cm="1">
        <f t="array" ref="R491">_xlfn.IFS(K491=0,"On Time",K491&lt;=2,"Minor",K491&lt;=5,"Major",K491&gt;5,"Severe")</f>
        <v>Minor</v>
      </c>
      <c r="S491">
        <f t="shared" si="51"/>
        <v>2641</v>
      </c>
      <c r="T491">
        <f t="shared" si="52"/>
        <v>1263</v>
      </c>
      <c r="U491">
        <f t="shared" si="53"/>
        <v>2024</v>
      </c>
      <c r="V491">
        <f t="shared" si="54"/>
        <v>3</v>
      </c>
      <c r="W491" s="11">
        <f t="shared" si="55"/>
        <v>1</v>
      </c>
    </row>
    <row r="492" spans="1:23">
      <c r="A492" t="s">
        <v>505</v>
      </c>
      <c r="B492" s="4">
        <v>45405</v>
      </c>
      <c r="C492" t="s">
        <v>2018</v>
      </c>
      <c r="D492" t="s">
        <v>2024</v>
      </c>
      <c r="E492" t="s">
        <v>2028</v>
      </c>
      <c r="F492" t="s">
        <v>2031</v>
      </c>
      <c r="G492" t="s">
        <v>2037</v>
      </c>
      <c r="H492" t="s">
        <v>2039</v>
      </c>
      <c r="I492">
        <v>2</v>
      </c>
      <c r="J492">
        <v>3</v>
      </c>
      <c r="K492">
        <v>1</v>
      </c>
      <c r="L492" t="s">
        <v>2041</v>
      </c>
      <c r="M492">
        <v>336</v>
      </c>
      <c r="N492">
        <v>1442</v>
      </c>
      <c r="O492">
        <v>1717</v>
      </c>
      <c r="P492" s="13">
        <f t="shared" si="49"/>
        <v>0</v>
      </c>
      <c r="Q492" t="str">
        <f t="shared" si="50"/>
        <v>No</v>
      </c>
      <c r="R492" t="str" cm="1">
        <f t="array" ref="R492">_xlfn.IFS(K492=0,"On Time",K492&lt;=2,"Minor",K492&lt;=5,"Major",K492&gt;5,"Severe")</f>
        <v>Minor</v>
      </c>
      <c r="S492">
        <f t="shared" si="51"/>
        <v>1717</v>
      </c>
      <c r="T492">
        <f t="shared" si="52"/>
        <v>1442</v>
      </c>
      <c r="U492">
        <f t="shared" si="53"/>
        <v>2024</v>
      </c>
      <c r="V492">
        <f t="shared" si="54"/>
        <v>4</v>
      </c>
      <c r="W492" s="11">
        <f t="shared" si="55"/>
        <v>1</v>
      </c>
    </row>
    <row r="493" spans="1:23">
      <c r="A493" t="s">
        <v>506</v>
      </c>
      <c r="B493" s="4">
        <v>45358</v>
      </c>
      <c r="C493" t="s">
        <v>2016</v>
      </c>
      <c r="D493" t="s">
        <v>2025</v>
      </c>
      <c r="E493" t="s">
        <v>2028</v>
      </c>
      <c r="F493" t="s">
        <v>2032</v>
      </c>
      <c r="G493" t="s">
        <v>2035</v>
      </c>
      <c r="H493" t="s">
        <v>2039</v>
      </c>
      <c r="I493">
        <v>3</v>
      </c>
      <c r="J493">
        <v>10</v>
      </c>
      <c r="K493">
        <v>7</v>
      </c>
      <c r="L493" t="s">
        <v>2041</v>
      </c>
      <c r="M493">
        <v>66</v>
      </c>
      <c r="N493">
        <v>13755</v>
      </c>
      <c r="O493">
        <v>18333</v>
      </c>
      <c r="P493" s="13">
        <f t="shared" si="49"/>
        <v>0</v>
      </c>
      <c r="Q493" t="str">
        <f t="shared" si="50"/>
        <v>No</v>
      </c>
      <c r="R493" t="str" cm="1">
        <f t="array" ref="R493">_xlfn.IFS(K493=0,"On Time",K493&lt;=2,"Minor",K493&lt;=5,"Major",K493&gt;5,"Severe")</f>
        <v>Severe</v>
      </c>
      <c r="S493">
        <f t="shared" si="51"/>
        <v>2619</v>
      </c>
      <c r="T493">
        <f t="shared" si="52"/>
        <v>1965</v>
      </c>
      <c r="U493">
        <f t="shared" si="53"/>
        <v>2024</v>
      </c>
      <c r="V493">
        <f t="shared" si="54"/>
        <v>3</v>
      </c>
      <c r="W493" s="11">
        <f t="shared" si="55"/>
        <v>1</v>
      </c>
    </row>
    <row r="494" spans="1:23">
      <c r="A494" t="s">
        <v>507</v>
      </c>
      <c r="B494" s="4">
        <v>45646</v>
      </c>
      <c r="C494" t="s">
        <v>2016</v>
      </c>
      <c r="D494" t="s">
        <v>2025</v>
      </c>
      <c r="E494" t="s">
        <v>2027</v>
      </c>
      <c r="F494" t="s">
        <v>2030</v>
      </c>
      <c r="G494" t="s">
        <v>2037</v>
      </c>
      <c r="H494" t="s">
        <v>2039</v>
      </c>
      <c r="I494">
        <v>2</v>
      </c>
      <c r="J494">
        <v>2</v>
      </c>
      <c r="K494">
        <v>0</v>
      </c>
      <c r="L494" t="s">
        <v>2042</v>
      </c>
      <c r="M494">
        <v>113</v>
      </c>
      <c r="N494">
        <v>0</v>
      </c>
      <c r="O494">
        <v>0</v>
      </c>
      <c r="P494" s="13">
        <f t="shared" si="49"/>
        <v>1</v>
      </c>
      <c r="Q494" t="str">
        <f t="shared" si="50"/>
        <v>No</v>
      </c>
      <c r="R494" t="str" cm="1">
        <f t="array" ref="R494">_xlfn.IFS(K494=0,"On Time",K494&lt;=2,"Minor",K494&lt;=5,"Major",K494&gt;5,"Severe")</f>
        <v>On Time</v>
      </c>
      <c r="S494">
        <f t="shared" si="51"/>
        <v>0</v>
      </c>
      <c r="T494">
        <f t="shared" si="52"/>
        <v>0</v>
      </c>
      <c r="U494">
        <f t="shared" si="53"/>
        <v>2024</v>
      </c>
      <c r="V494">
        <f t="shared" si="54"/>
        <v>12</v>
      </c>
      <c r="W494" s="11">
        <f t="shared" si="55"/>
        <v>0</v>
      </c>
    </row>
    <row r="495" spans="1:23">
      <c r="A495" t="s">
        <v>508</v>
      </c>
      <c r="B495" s="4">
        <v>45357</v>
      </c>
      <c r="C495" t="s">
        <v>2015</v>
      </c>
      <c r="D495" t="s">
        <v>2020</v>
      </c>
      <c r="E495" t="s">
        <v>2027</v>
      </c>
      <c r="F495" t="s">
        <v>2031</v>
      </c>
      <c r="G495" t="s">
        <v>2036</v>
      </c>
      <c r="H495" t="s">
        <v>2039</v>
      </c>
      <c r="I495">
        <v>5</v>
      </c>
      <c r="J495">
        <v>6</v>
      </c>
      <c r="K495">
        <v>1</v>
      </c>
      <c r="L495" t="s">
        <v>2041</v>
      </c>
      <c r="M495">
        <v>316</v>
      </c>
      <c r="N495">
        <v>2316</v>
      </c>
      <c r="O495">
        <v>2840</v>
      </c>
      <c r="P495" s="13">
        <f t="shared" si="49"/>
        <v>0</v>
      </c>
      <c r="Q495" t="str">
        <f t="shared" si="50"/>
        <v>No</v>
      </c>
      <c r="R495" t="str" cm="1">
        <f t="array" ref="R495">_xlfn.IFS(K495=0,"On Time",K495&lt;=2,"Minor",K495&lt;=5,"Major",K495&gt;5,"Severe")</f>
        <v>Minor</v>
      </c>
      <c r="S495">
        <f t="shared" si="51"/>
        <v>2840</v>
      </c>
      <c r="T495">
        <f t="shared" si="52"/>
        <v>2316</v>
      </c>
      <c r="U495">
        <f t="shared" si="53"/>
        <v>2024</v>
      </c>
      <c r="V495">
        <f t="shared" si="54"/>
        <v>3</v>
      </c>
      <c r="W495" s="11">
        <f t="shared" si="55"/>
        <v>1</v>
      </c>
    </row>
    <row r="496" spans="1:23">
      <c r="A496" t="s">
        <v>509</v>
      </c>
      <c r="B496" s="4">
        <v>45625</v>
      </c>
      <c r="C496" t="s">
        <v>2018</v>
      </c>
      <c r="D496" t="s">
        <v>2024</v>
      </c>
      <c r="E496" t="s">
        <v>2029</v>
      </c>
      <c r="F496" t="s">
        <v>2032</v>
      </c>
      <c r="G496" t="s">
        <v>2037</v>
      </c>
      <c r="H496" t="s">
        <v>2040</v>
      </c>
      <c r="I496">
        <v>2</v>
      </c>
      <c r="J496">
        <v>11</v>
      </c>
      <c r="K496">
        <v>9</v>
      </c>
      <c r="L496" t="s">
        <v>2041</v>
      </c>
      <c r="M496">
        <v>281</v>
      </c>
      <c r="N496">
        <v>15462</v>
      </c>
      <c r="O496">
        <v>31167</v>
      </c>
      <c r="P496" s="13">
        <f t="shared" si="49"/>
        <v>0</v>
      </c>
      <c r="Q496" t="str">
        <f t="shared" si="50"/>
        <v>No</v>
      </c>
      <c r="R496" t="str" cm="1">
        <f t="array" ref="R496">_xlfn.IFS(K496=0,"On Time",K496&lt;=2,"Minor",K496&lt;=5,"Major",K496&gt;5,"Severe")</f>
        <v>Severe</v>
      </c>
      <c r="S496">
        <f t="shared" si="51"/>
        <v>3463</v>
      </c>
      <c r="T496">
        <f t="shared" si="52"/>
        <v>1718</v>
      </c>
      <c r="U496">
        <f t="shared" si="53"/>
        <v>2024</v>
      </c>
      <c r="V496">
        <f t="shared" si="54"/>
        <v>11</v>
      </c>
      <c r="W496" s="11">
        <f t="shared" si="55"/>
        <v>1</v>
      </c>
    </row>
    <row r="497" spans="1:23">
      <c r="A497" t="s">
        <v>510</v>
      </c>
      <c r="B497" s="4">
        <v>45628</v>
      </c>
      <c r="C497" t="s">
        <v>2015</v>
      </c>
      <c r="D497" t="s">
        <v>2020</v>
      </c>
      <c r="E497" t="s">
        <v>2029</v>
      </c>
      <c r="F497" t="s">
        <v>2031</v>
      </c>
      <c r="G497" t="s">
        <v>2033</v>
      </c>
      <c r="H497" t="s">
        <v>2039</v>
      </c>
      <c r="I497">
        <v>5</v>
      </c>
      <c r="J497">
        <v>6</v>
      </c>
      <c r="K497">
        <v>1</v>
      </c>
      <c r="L497" t="s">
        <v>2041</v>
      </c>
      <c r="M497">
        <v>239</v>
      </c>
      <c r="N497">
        <v>1531</v>
      </c>
      <c r="O497">
        <v>4095</v>
      </c>
      <c r="P497" s="13">
        <f t="shared" si="49"/>
        <v>0</v>
      </c>
      <c r="Q497" t="str">
        <f t="shared" si="50"/>
        <v>No</v>
      </c>
      <c r="R497" t="str" cm="1">
        <f t="array" ref="R497">_xlfn.IFS(K497=0,"On Time",K497&lt;=2,"Minor",K497&lt;=5,"Major",K497&gt;5,"Severe")</f>
        <v>Minor</v>
      </c>
      <c r="S497">
        <f t="shared" si="51"/>
        <v>4095</v>
      </c>
      <c r="T497">
        <f t="shared" si="52"/>
        <v>1531</v>
      </c>
      <c r="U497">
        <f t="shared" si="53"/>
        <v>2024</v>
      </c>
      <c r="V497">
        <f t="shared" si="54"/>
        <v>12</v>
      </c>
      <c r="W497" s="11">
        <f t="shared" si="55"/>
        <v>1</v>
      </c>
    </row>
    <row r="498" spans="1:23">
      <c r="A498" t="s">
        <v>511</v>
      </c>
      <c r="B498" s="4">
        <v>45636</v>
      </c>
      <c r="C498" t="s">
        <v>2015</v>
      </c>
      <c r="D498" t="s">
        <v>2019</v>
      </c>
      <c r="E498" t="s">
        <v>2029</v>
      </c>
      <c r="F498" t="s">
        <v>2030</v>
      </c>
      <c r="G498" t="s">
        <v>2036</v>
      </c>
      <c r="H498" t="s">
        <v>2039</v>
      </c>
      <c r="I498">
        <v>1</v>
      </c>
      <c r="J498">
        <v>2</v>
      </c>
      <c r="K498">
        <v>1</v>
      </c>
      <c r="L498" t="s">
        <v>2041</v>
      </c>
      <c r="M498">
        <v>185</v>
      </c>
      <c r="N498">
        <v>1017</v>
      </c>
      <c r="O498">
        <v>2377</v>
      </c>
      <c r="P498" s="13">
        <f t="shared" si="49"/>
        <v>0</v>
      </c>
      <c r="Q498" t="str">
        <f t="shared" si="50"/>
        <v>No</v>
      </c>
      <c r="R498" t="str" cm="1">
        <f t="array" ref="R498">_xlfn.IFS(K498=0,"On Time",K498&lt;=2,"Minor",K498&lt;=5,"Major",K498&gt;5,"Severe")</f>
        <v>Minor</v>
      </c>
      <c r="S498">
        <f t="shared" si="51"/>
        <v>2377</v>
      </c>
      <c r="T498">
        <f t="shared" si="52"/>
        <v>1017</v>
      </c>
      <c r="U498">
        <f t="shared" si="53"/>
        <v>2024</v>
      </c>
      <c r="V498">
        <f t="shared" si="54"/>
        <v>12</v>
      </c>
      <c r="W498" s="11">
        <f t="shared" si="55"/>
        <v>1</v>
      </c>
    </row>
    <row r="499" spans="1:23">
      <c r="A499" t="s">
        <v>512</v>
      </c>
      <c r="B499" s="4">
        <v>45326</v>
      </c>
      <c r="C499" t="s">
        <v>2017</v>
      </c>
      <c r="D499" t="s">
        <v>2023</v>
      </c>
      <c r="E499" t="s">
        <v>2029</v>
      </c>
      <c r="F499" t="s">
        <v>2032</v>
      </c>
      <c r="G499" t="s">
        <v>2033</v>
      </c>
      <c r="H499" t="s">
        <v>2039</v>
      </c>
      <c r="I499">
        <v>1</v>
      </c>
      <c r="J499">
        <v>4</v>
      </c>
      <c r="K499">
        <v>3</v>
      </c>
      <c r="L499" t="s">
        <v>2041</v>
      </c>
      <c r="M499">
        <v>88</v>
      </c>
      <c r="N499">
        <v>6885</v>
      </c>
      <c r="O499">
        <v>6027</v>
      </c>
      <c r="P499" s="13">
        <f t="shared" si="49"/>
        <v>0</v>
      </c>
      <c r="Q499" t="str">
        <f t="shared" si="50"/>
        <v>No</v>
      </c>
      <c r="R499" t="str" cm="1">
        <f t="array" ref="R499">_xlfn.IFS(K499=0,"On Time",K499&lt;=2,"Minor",K499&lt;=5,"Major",K499&gt;5,"Severe")</f>
        <v>Major</v>
      </c>
      <c r="S499">
        <f t="shared" si="51"/>
        <v>2009</v>
      </c>
      <c r="T499">
        <f t="shared" si="52"/>
        <v>2295</v>
      </c>
      <c r="U499">
        <f t="shared" si="53"/>
        <v>2024</v>
      </c>
      <c r="V499">
        <f t="shared" si="54"/>
        <v>2</v>
      </c>
      <c r="W499" s="11">
        <f t="shared" si="55"/>
        <v>1</v>
      </c>
    </row>
    <row r="500" spans="1:23">
      <c r="A500" t="s">
        <v>513</v>
      </c>
      <c r="B500" s="4">
        <v>45595</v>
      </c>
      <c r="C500" t="s">
        <v>2016</v>
      </c>
      <c r="D500" t="s">
        <v>2021</v>
      </c>
      <c r="E500" t="s">
        <v>2029</v>
      </c>
      <c r="F500" t="s">
        <v>2031</v>
      </c>
      <c r="G500" t="s">
        <v>2035</v>
      </c>
      <c r="H500" t="s">
        <v>2040</v>
      </c>
      <c r="I500">
        <v>1</v>
      </c>
      <c r="J500">
        <v>4</v>
      </c>
      <c r="K500">
        <v>3</v>
      </c>
      <c r="L500" t="s">
        <v>2041</v>
      </c>
      <c r="M500">
        <v>364</v>
      </c>
      <c r="N500">
        <v>7431</v>
      </c>
      <c r="O500">
        <v>10560</v>
      </c>
      <c r="P500" s="13">
        <f t="shared" si="49"/>
        <v>0</v>
      </c>
      <c r="Q500" t="str">
        <f t="shared" si="50"/>
        <v>No</v>
      </c>
      <c r="R500" t="str" cm="1">
        <f t="array" ref="R500">_xlfn.IFS(K500=0,"On Time",K500&lt;=2,"Minor",K500&lt;=5,"Major",K500&gt;5,"Severe")</f>
        <v>Major</v>
      </c>
      <c r="S500">
        <f t="shared" si="51"/>
        <v>3520</v>
      </c>
      <c r="T500">
        <f t="shared" si="52"/>
        <v>2477</v>
      </c>
      <c r="U500">
        <f t="shared" si="53"/>
        <v>2024</v>
      </c>
      <c r="V500">
        <f t="shared" si="54"/>
        <v>10</v>
      </c>
      <c r="W500" s="11">
        <f t="shared" si="55"/>
        <v>1</v>
      </c>
    </row>
    <row r="501" spans="1:23">
      <c r="A501" t="s">
        <v>514</v>
      </c>
      <c r="B501" s="4">
        <v>45605</v>
      </c>
      <c r="C501" t="s">
        <v>2017</v>
      </c>
      <c r="D501" t="s">
        <v>2022</v>
      </c>
      <c r="E501" t="s">
        <v>2029</v>
      </c>
      <c r="F501" t="s">
        <v>2031</v>
      </c>
      <c r="G501" t="s">
        <v>2036</v>
      </c>
      <c r="H501" t="s">
        <v>2038</v>
      </c>
      <c r="I501">
        <v>2</v>
      </c>
      <c r="J501">
        <v>7</v>
      </c>
      <c r="K501">
        <v>5</v>
      </c>
      <c r="L501" t="s">
        <v>2041</v>
      </c>
      <c r="M501">
        <v>357</v>
      </c>
      <c r="N501">
        <v>5860</v>
      </c>
      <c r="O501">
        <v>24910</v>
      </c>
      <c r="P501" s="13">
        <f t="shared" si="49"/>
        <v>0</v>
      </c>
      <c r="Q501" t="str">
        <f t="shared" si="50"/>
        <v>No</v>
      </c>
      <c r="R501" t="str" cm="1">
        <f t="array" ref="R501">_xlfn.IFS(K501=0,"On Time",K501&lt;=2,"Minor",K501&lt;=5,"Major",K501&gt;5,"Severe")</f>
        <v>Major</v>
      </c>
      <c r="S501">
        <f t="shared" si="51"/>
        <v>4982</v>
      </c>
      <c r="T501">
        <f t="shared" si="52"/>
        <v>1172</v>
      </c>
      <c r="U501">
        <f t="shared" si="53"/>
        <v>2024</v>
      </c>
      <c r="V501">
        <f t="shared" si="54"/>
        <v>11</v>
      </c>
      <c r="W501" s="11">
        <f t="shared" si="55"/>
        <v>1</v>
      </c>
    </row>
    <row r="502" spans="1:23">
      <c r="A502" t="s">
        <v>515</v>
      </c>
      <c r="B502" s="4">
        <v>45376</v>
      </c>
      <c r="C502" t="s">
        <v>2017</v>
      </c>
      <c r="D502" t="s">
        <v>2023</v>
      </c>
      <c r="E502" t="s">
        <v>2028</v>
      </c>
      <c r="F502" t="s">
        <v>2032</v>
      </c>
      <c r="G502" t="s">
        <v>2035</v>
      </c>
      <c r="H502" t="s">
        <v>2038</v>
      </c>
      <c r="I502">
        <v>1</v>
      </c>
      <c r="J502">
        <v>7</v>
      </c>
      <c r="K502">
        <v>6</v>
      </c>
      <c r="L502" t="s">
        <v>2041</v>
      </c>
      <c r="M502">
        <v>479</v>
      </c>
      <c r="N502">
        <v>7584</v>
      </c>
      <c r="O502">
        <v>15120</v>
      </c>
      <c r="P502" s="13">
        <f t="shared" si="49"/>
        <v>0</v>
      </c>
      <c r="Q502" t="str">
        <f t="shared" si="50"/>
        <v>No</v>
      </c>
      <c r="R502" t="str" cm="1">
        <f t="array" ref="R502">_xlfn.IFS(K502=0,"On Time",K502&lt;=2,"Minor",K502&lt;=5,"Major",K502&gt;5,"Severe")</f>
        <v>Severe</v>
      </c>
      <c r="S502">
        <f t="shared" si="51"/>
        <v>2520</v>
      </c>
      <c r="T502">
        <f t="shared" si="52"/>
        <v>1264</v>
      </c>
      <c r="U502">
        <f t="shared" si="53"/>
        <v>2024</v>
      </c>
      <c r="V502">
        <f t="shared" si="54"/>
        <v>3</v>
      </c>
      <c r="W502" s="11">
        <f t="shared" si="55"/>
        <v>1</v>
      </c>
    </row>
    <row r="503" spans="1:23">
      <c r="A503" t="s">
        <v>516</v>
      </c>
      <c r="B503" s="4">
        <v>45463</v>
      </c>
      <c r="C503" t="s">
        <v>2016</v>
      </c>
      <c r="D503" t="s">
        <v>2025</v>
      </c>
      <c r="E503" t="s">
        <v>2028</v>
      </c>
      <c r="F503" t="s">
        <v>2031</v>
      </c>
      <c r="G503" t="s">
        <v>2037</v>
      </c>
      <c r="H503" t="s">
        <v>2038</v>
      </c>
      <c r="I503">
        <v>5</v>
      </c>
      <c r="J503">
        <v>6</v>
      </c>
      <c r="K503">
        <v>1</v>
      </c>
      <c r="L503" t="s">
        <v>2041</v>
      </c>
      <c r="M503">
        <v>330</v>
      </c>
      <c r="N503">
        <v>883</v>
      </c>
      <c r="O503">
        <v>4462</v>
      </c>
      <c r="P503" s="13">
        <f t="shared" si="49"/>
        <v>0</v>
      </c>
      <c r="Q503" t="str">
        <f t="shared" si="50"/>
        <v>No</v>
      </c>
      <c r="R503" t="str" cm="1">
        <f t="array" ref="R503">_xlfn.IFS(K503=0,"On Time",K503&lt;=2,"Minor",K503&lt;=5,"Major",K503&gt;5,"Severe")</f>
        <v>Minor</v>
      </c>
      <c r="S503">
        <f t="shared" si="51"/>
        <v>4462</v>
      </c>
      <c r="T503">
        <f t="shared" si="52"/>
        <v>883</v>
      </c>
      <c r="U503">
        <f t="shared" si="53"/>
        <v>2024</v>
      </c>
      <c r="V503">
        <f t="shared" si="54"/>
        <v>6</v>
      </c>
      <c r="W503" s="11">
        <f t="shared" si="55"/>
        <v>1</v>
      </c>
    </row>
    <row r="504" spans="1:23">
      <c r="A504" t="s">
        <v>517</v>
      </c>
      <c r="B504" s="4">
        <v>45643</v>
      </c>
      <c r="C504" t="s">
        <v>2016</v>
      </c>
      <c r="D504" t="s">
        <v>2025</v>
      </c>
      <c r="E504" t="s">
        <v>2027</v>
      </c>
      <c r="F504" t="s">
        <v>2031</v>
      </c>
      <c r="G504" t="s">
        <v>2035</v>
      </c>
      <c r="H504" t="s">
        <v>2038</v>
      </c>
      <c r="I504">
        <v>1</v>
      </c>
      <c r="J504">
        <v>6</v>
      </c>
      <c r="K504">
        <v>5</v>
      </c>
      <c r="L504" t="s">
        <v>2041</v>
      </c>
      <c r="M504">
        <v>160</v>
      </c>
      <c r="N504">
        <v>4450</v>
      </c>
      <c r="O504">
        <v>15520</v>
      </c>
      <c r="P504" s="13">
        <f t="shared" si="49"/>
        <v>0</v>
      </c>
      <c r="Q504" t="str">
        <f t="shared" si="50"/>
        <v>No</v>
      </c>
      <c r="R504" t="str" cm="1">
        <f t="array" ref="R504">_xlfn.IFS(K504=0,"On Time",K504&lt;=2,"Minor",K504&lt;=5,"Major",K504&gt;5,"Severe")</f>
        <v>Major</v>
      </c>
      <c r="S504">
        <f t="shared" si="51"/>
        <v>3104</v>
      </c>
      <c r="T504">
        <f t="shared" si="52"/>
        <v>890</v>
      </c>
      <c r="U504">
        <f t="shared" si="53"/>
        <v>2024</v>
      </c>
      <c r="V504">
        <f t="shared" si="54"/>
        <v>12</v>
      </c>
      <c r="W504" s="11">
        <f t="shared" si="55"/>
        <v>1</v>
      </c>
    </row>
    <row r="505" spans="1:23">
      <c r="A505" t="s">
        <v>518</v>
      </c>
      <c r="B505" s="4">
        <v>45467</v>
      </c>
      <c r="C505" t="s">
        <v>2016</v>
      </c>
      <c r="D505" t="s">
        <v>2021</v>
      </c>
      <c r="E505" t="s">
        <v>2029</v>
      </c>
      <c r="F505" t="s">
        <v>2030</v>
      </c>
      <c r="G505" t="s">
        <v>2035</v>
      </c>
      <c r="H505" t="s">
        <v>2039</v>
      </c>
      <c r="I505">
        <v>5</v>
      </c>
      <c r="J505">
        <v>9</v>
      </c>
      <c r="K505">
        <v>4</v>
      </c>
      <c r="L505" t="s">
        <v>2041</v>
      </c>
      <c r="M505">
        <v>413</v>
      </c>
      <c r="N505">
        <v>3248</v>
      </c>
      <c r="O505">
        <v>13036</v>
      </c>
      <c r="P505" s="13">
        <f t="shared" si="49"/>
        <v>0</v>
      </c>
      <c r="Q505" t="str">
        <f t="shared" si="50"/>
        <v>No</v>
      </c>
      <c r="R505" t="str" cm="1">
        <f t="array" ref="R505">_xlfn.IFS(K505=0,"On Time",K505&lt;=2,"Minor",K505&lt;=5,"Major",K505&gt;5,"Severe")</f>
        <v>Major</v>
      </c>
      <c r="S505">
        <f t="shared" si="51"/>
        <v>3259</v>
      </c>
      <c r="T505">
        <f t="shared" si="52"/>
        <v>812</v>
      </c>
      <c r="U505">
        <f t="shared" si="53"/>
        <v>2024</v>
      </c>
      <c r="V505">
        <f t="shared" si="54"/>
        <v>6</v>
      </c>
      <c r="W505" s="11">
        <f t="shared" si="55"/>
        <v>1</v>
      </c>
    </row>
    <row r="506" spans="1:23">
      <c r="A506" t="s">
        <v>519</v>
      </c>
      <c r="B506" s="4">
        <v>45357</v>
      </c>
      <c r="C506" t="s">
        <v>2017</v>
      </c>
      <c r="D506" t="s">
        <v>2023</v>
      </c>
      <c r="E506" t="s">
        <v>2027</v>
      </c>
      <c r="F506" t="s">
        <v>2032</v>
      </c>
      <c r="G506" t="s">
        <v>2033</v>
      </c>
      <c r="H506" t="s">
        <v>2038</v>
      </c>
      <c r="I506">
        <v>1</v>
      </c>
      <c r="J506">
        <v>4</v>
      </c>
      <c r="K506">
        <v>3</v>
      </c>
      <c r="L506" t="s">
        <v>2041</v>
      </c>
      <c r="M506">
        <v>494</v>
      </c>
      <c r="N506">
        <v>4434</v>
      </c>
      <c r="O506">
        <v>7563</v>
      </c>
      <c r="P506" s="13">
        <f t="shared" si="49"/>
        <v>0</v>
      </c>
      <c r="Q506" t="str">
        <f t="shared" si="50"/>
        <v>No</v>
      </c>
      <c r="R506" t="str" cm="1">
        <f t="array" ref="R506">_xlfn.IFS(K506=0,"On Time",K506&lt;=2,"Minor",K506&lt;=5,"Major",K506&gt;5,"Severe")</f>
        <v>Major</v>
      </c>
      <c r="S506">
        <f t="shared" si="51"/>
        <v>2521</v>
      </c>
      <c r="T506">
        <f t="shared" si="52"/>
        <v>1478</v>
      </c>
      <c r="U506">
        <f t="shared" si="53"/>
        <v>2024</v>
      </c>
      <c r="V506">
        <f t="shared" si="54"/>
        <v>3</v>
      </c>
      <c r="W506" s="11">
        <f t="shared" si="55"/>
        <v>1</v>
      </c>
    </row>
    <row r="507" spans="1:23">
      <c r="A507" t="s">
        <v>520</v>
      </c>
      <c r="B507" s="4">
        <v>45426</v>
      </c>
      <c r="C507" t="s">
        <v>2016</v>
      </c>
      <c r="D507" t="s">
        <v>2021</v>
      </c>
      <c r="E507" t="s">
        <v>2027</v>
      </c>
      <c r="F507" t="s">
        <v>2032</v>
      </c>
      <c r="G507" t="s">
        <v>2033</v>
      </c>
      <c r="H507" t="s">
        <v>2039</v>
      </c>
      <c r="I507">
        <v>1</v>
      </c>
      <c r="J507">
        <v>3</v>
      </c>
      <c r="K507">
        <v>2</v>
      </c>
      <c r="L507" t="s">
        <v>2041</v>
      </c>
      <c r="M507">
        <v>342</v>
      </c>
      <c r="N507">
        <v>2184</v>
      </c>
      <c r="O507">
        <v>6610</v>
      </c>
      <c r="P507" s="13">
        <f t="shared" si="49"/>
        <v>0</v>
      </c>
      <c r="Q507" t="str">
        <f t="shared" si="50"/>
        <v>No</v>
      </c>
      <c r="R507" t="str" cm="1">
        <f t="array" ref="R507">_xlfn.IFS(K507=0,"On Time",K507&lt;=2,"Minor",K507&lt;=5,"Major",K507&gt;5,"Severe")</f>
        <v>Minor</v>
      </c>
      <c r="S507">
        <f t="shared" si="51"/>
        <v>3305</v>
      </c>
      <c r="T507">
        <f t="shared" si="52"/>
        <v>1092</v>
      </c>
      <c r="U507">
        <f t="shared" si="53"/>
        <v>2024</v>
      </c>
      <c r="V507">
        <f t="shared" si="54"/>
        <v>5</v>
      </c>
      <c r="W507" s="11">
        <f t="shared" si="55"/>
        <v>1</v>
      </c>
    </row>
    <row r="508" spans="1:23">
      <c r="A508" t="s">
        <v>521</v>
      </c>
      <c r="B508" s="4">
        <v>45545</v>
      </c>
      <c r="C508" t="s">
        <v>2016</v>
      </c>
      <c r="D508" t="s">
        <v>2025</v>
      </c>
      <c r="E508" t="s">
        <v>2027</v>
      </c>
      <c r="F508" t="s">
        <v>2030</v>
      </c>
      <c r="G508" t="s">
        <v>2037</v>
      </c>
      <c r="H508" t="s">
        <v>2040</v>
      </c>
      <c r="I508">
        <v>3</v>
      </c>
      <c r="J508">
        <v>8</v>
      </c>
      <c r="K508">
        <v>5</v>
      </c>
      <c r="L508" t="s">
        <v>2041</v>
      </c>
      <c r="M508">
        <v>264</v>
      </c>
      <c r="N508">
        <v>8450</v>
      </c>
      <c r="O508">
        <v>17730</v>
      </c>
      <c r="P508" s="13">
        <f t="shared" si="49"/>
        <v>0</v>
      </c>
      <c r="Q508" t="str">
        <f t="shared" si="50"/>
        <v>No</v>
      </c>
      <c r="R508" t="str" cm="1">
        <f t="array" ref="R508">_xlfn.IFS(K508=0,"On Time",K508&lt;=2,"Minor",K508&lt;=5,"Major",K508&gt;5,"Severe")</f>
        <v>Major</v>
      </c>
      <c r="S508">
        <f t="shared" si="51"/>
        <v>3546</v>
      </c>
      <c r="T508">
        <f t="shared" si="52"/>
        <v>1690</v>
      </c>
      <c r="U508">
        <f t="shared" si="53"/>
        <v>2024</v>
      </c>
      <c r="V508">
        <f t="shared" si="54"/>
        <v>9</v>
      </c>
      <c r="W508" s="11">
        <f t="shared" si="55"/>
        <v>1</v>
      </c>
    </row>
    <row r="509" spans="1:23">
      <c r="A509" t="s">
        <v>522</v>
      </c>
      <c r="B509" s="4">
        <v>45629</v>
      </c>
      <c r="C509" t="s">
        <v>2017</v>
      </c>
      <c r="D509" t="s">
        <v>2023</v>
      </c>
      <c r="E509" t="s">
        <v>2029</v>
      </c>
      <c r="F509" t="s">
        <v>2031</v>
      </c>
      <c r="G509" t="s">
        <v>2037</v>
      </c>
      <c r="H509" t="s">
        <v>2039</v>
      </c>
      <c r="I509">
        <v>1</v>
      </c>
      <c r="J509">
        <v>6</v>
      </c>
      <c r="K509">
        <v>5</v>
      </c>
      <c r="L509" t="s">
        <v>2041</v>
      </c>
      <c r="M509">
        <v>78</v>
      </c>
      <c r="N509">
        <v>12345</v>
      </c>
      <c r="O509">
        <v>23455</v>
      </c>
      <c r="P509" s="13">
        <f t="shared" si="49"/>
        <v>0</v>
      </c>
      <c r="Q509" t="str">
        <f t="shared" si="50"/>
        <v>No</v>
      </c>
      <c r="R509" t="str" cm="1">
        <f t="array" ref="R509">_xlfn.IFS(K509=0,"On Time",K509&lt;=2,"Minor",K509&lt;=5,"Major",K509&gt;5,"Severe")</f>
        <v>Major</v>
      </c>
      <c r="S509">
        <f t="shared" si="51"/>
        <v>4691</v>
      </c>
      <c r="T509">
        <f t="shared" si="52"/>
        <v>2469</v>
      </c>
      <c r="U509">
        <f t="shared" si="53"/>
        <v>2024</v>
      </c>
      <c r="V509">
        <f t="shared" si="54"/>
        <v>12</v>
      </c>
      <c r="W509" s="11">
        <f t="shared" si="55"/>
        <v>1</v>
      </c>
    </row>
    <row r="510" spans="1:23">
      <c r="A510" t="s">
        <v>523</v>
      </c>
      <c r="B510" s="4">
        <v>45316</v>
      </c>
      <c r="C510" t="s">
        <v>2015</v>
      </c>
      <c r="D510" t="s">
        <v>2020</v>
      </c>
      <c r="E510" t="s">
        <v>2029</v>
      </c>
      <c r="F510" t="s">
        <v>2030</v>
      </c>
      <c r="G510" t="s">
        <v>2033</v>
      </c>
      <c r="H510" t="s">
        <v>2038</v>
      </c>
      <c r="I510">
        <v>1</v>
      </c>
      <c r="J510">
        <v>4</v>
      </c>
      <c r="K510">
        <v>3</v>
      </c>
      <c r="L510" t="s">
        <v>2041</v>
      </c>
      <c r="M510">
        <v>479</v>
      </c>
      <c r="N510">
        <v>5976</v>
      </c>
      <c r="O510">
        <v>6282</v>
      </c>
      <c r="P510" s="13">
        <f t="shared" si="49"/>
        <v>0</v>
      </c>
      <c r="Q510" t="str">
        <f t="shared" si="50"/>
        <v>No</v>
      </c>
      <c r="R510" t="str" cm="1">
        <f t="array" ref="R510">_xlfn.IFS(K510=0,"On Time",K510&lt;=2,"Minor",K510&lt;=5,"Major",K510&gt;5,"Severe")</f>
        <v>Major</v>
      </c>
      <c r="S510">
        <f t="shared" si="51"/>
        <v>2094</v>
      </c>
      <c r="T510">
        <f t="shared" si="52"/>
        <v>1992</v>
      </c>
      <c r="U510">
        <f t="shared" si="53"/>
        <v>2024</v>
      </c>
      <c r="V510">
        <f t="shared" si="54"/>
        <v>1</v>
      </c>
      <c r="W510" s="11">
        <f t="shared" si="55"/>
        <v>1</v>
      </c>
    </row>
    <row r="511" spans="1:23">
      <c r="A511" t="s">
        <v>524</v>
      </c>
      <c r="B511" s="4">
        <v>45415</v>
      </c>
      <c r="C511" t="s">
        <v>2016</v>
      </c>
      <c r="D511" t="s">
        <v>2021</v>
      </c>
      <c r="E511" t="s">
        <v>2029</v>
      </c>
      <c r="F511" t="s">
        <v>2031</v>
      </c>
      <c r="G511" t="s">
        <v>2033</v>
      </c>
      <c r="H511" t="s">
        <v>2038</v>
      </c>
      <c r="I511">
        <v>1</v>
      </c>
      <c r="J511">
        <v>2</v>
      </c>
      <c r="K511">
        <v>1</v>
      </c>
      <c r="L511" t="s">
        <v>2041</v>
      </c>
      <c r="M511">
        <v>188</v>
      </c>
      <c r="N511">
        <v>1086</v>
      </c>
      <c r="O511">
        <v>3643</v>
      </c>
      <c r="P511" s="13">
        <f t="shared" si="49"/>
        <v>0</v>
      </c>
      <c r="Q511" t="str">
        <f t="shared" si="50"/>
        <v>No</v>
      </c>
      <c r="R511" t="str" cm="1">
        <f t="array" ref="R511">_xlfn.IFS(K511=0,"On Time",K511&lt;=2,"Minor",K511&lt;=5,"Major",K511&gt;5,"Severe")</f>
        <v>Minor</v>
      </c>
      <c r="S511">
        <f t="shared" si="51"/>
        <v>3643</v>
      </c>
      <c r="T511">
        <f t="shared" si="52"/>
        <v>1086</v>
      </c>
      <c r="U511">
        <f t="shared" si="53"/>
        <v>2024</v>
      </c>
      <c r="V511">
        <f t="shared" si="54"/>
        <v>5</v>
      </c>
      <c r="W511" s="11">
        <f t="shared" si="55"/>
        <v>1</v>
      </c>
    </row>
    <row r="512" spans="1:23">
      <c r="A512" t="s">
        <v>525</v>
      </c>
      <c r="B512" s="4">
        <v>45624</v>
      </c>
      <c r="C512" t="s">
        <v>2016</v>
      </c>
      <c r="D512" t="s">
        <v>2021</v>
      </c>
      <c r="E512" t="s">
        <v>2027</v>
      </c>
      <c r="F512" t="s">
        <v>2031</v>
      </c>
      <c r="G512" t="s">
        <v>2036</v>
      </c>
      <c r="H512" t="s">
        <v>2039</v>
      </c>
      <c r="I512">
        <v>1</v>
      </c>
      <c r="J512">
        <v>2</v>
      </c>
      <c r="K512">
        <v>1</v>
      </c>
      <c r="L512" t="s">
        <v>2041</v>
      </c>
      <c r="M512">
        <v>294</v>
      </c>
      <c r="N512">
        <v>2281</v>
      </c>
      <c r="O512">
        <v>1845</v>
      </c>
      <c r="P512" s="13">
        <f t="shared" si="49"/>
        <v>0</v>
      </c>
      <c r="Q512" t="str">
        <f t="shared" si="50"/>
        <v>No</v>
      </c>
      <c r="R512" t="str" cm="1">
        <f t="array" ref="R512">_xlfn.IFS(K512=0,"On Time",K512&lt;=2,"Minor",K512&lt;=5,"Major",K512&gt;5,"Severe")</f>
        <v>Minor</v>
      </c>
      <c r="S512">
        <f t="shared" si="51"/>
        <v>1845</v>
      </c>
      <c r="T512">
        <f t="shared" si="52"/>
        <v>2281</v>
      </c>
      <c r="U512">
        <f t="shared" si="53"/>
        <v>2024</v>
      </c>
      <c r="V512">
        <f t="shared" si="54"/>
        <v>11</v>
      </c>
      <c r="W512" s="11">
        <f t="shared" si="55"/>
        <v>1</v>
      </c>
    </row>
    <row r="513" spans="1:23">
      <c r="A513" t="s">
        <v>526</v>
      </c>
      <c r="B513" s="4">
        <v>45415</v>
      </c>
      <c r="C513" t="s">
        <v>2017</v>
      </c>
      <c r="D513" t="s">
        <v>2023</v>
      </c>
      <c r="E513" t="s">
        <v>2028</v>
      </c>
      <c r="F513" t="s">
        <v>2031</v>
      </c>
      <c r="G513" t="s">
        <v>2033</v>
      </c>
      <c r="H513" t="s">
        <v>2038</v>
      </c>
      <c r="I513">
        <v>3</v>
      </c>
      <c r="J513">
        <v>8</v>
      </c>
      <c r="K513">
        <v>5</v>
      </c>
      <c r="L513" t="s">
        <v>2041</v>
      </c>
      <c r="M513">
        <v>119</v>
      </c>
      <c r="N513">
        <v>8030</v>
      </c>
      <c r="O513">
        <v>24710</v>
      </c>
      <c r="P513" s="13">
        <f t="shared" si="49"/>
        <v>0</v>
      </c>
      <c r="Q513" t="str">
        <f t="shared" si="50"/>
        <v>No</v>
      </c>
      <c r="R513" t="str" cm="1">
        <f t="array" ref="R513">_xlfn.IFS(K513=0,"On Time",K513&lt;=2,"Minor",K513&lt;=5,"Major",K513&gt;5,"Severe")</f>
        <v>Major</v>
      </c>
      <c r="S513">
        <f t="shared" si="51"/>
        <v>4942</v>
      </c>
      <c r="T513">
        <f t="shared" si="52"/>
        <v>1606</v>
      </c>
      <c r="U513">
        <f t="shared" si="53"/>
        <v>2024</v>
      </c>
      <c r="V513">
        <f t="shared" si="54"/>
        <v>5</v>
      </c>
      <c r="W513" s="11">
        <f t="shared" si="55"/>
        <v>1</v>
      </c>
    </row>
    <row r="514" spans="1:23">
      <c r="A514" t="s">
        <v>527</v>
      </c>
      <c r="B514" s="4">
        <v>45649</v>
      </c>
      <c r="C514" t="s">
        <v>2017</v>
      </c>
      <c r="D514" t="s">
        <v>2023</v>
      </c>
      <c r="E514" t="s">
        <v>2027</v>
      </c>
      <c r="F514" t="s">
        <v>2031</v>
      </c>
      <c r="G514" t="s">
        <v>2034</v>
      </c>
      <c r="H514" t="s">
        <v>2038</v>
      </c>
      <c r="I514">
        <v>5</v>
      </c>
      <c r="J514">
        <v>9</v>
      </c>
      <c r="K514">
        <v>4</v>
      </c>
      <c r="L514" t="s">
        <v>2041</v>
      </c>
      <c r="M514">
        <v>476</v>
      </c>
      <c r="N514">
        <v>5480</v>
      </c>
      <c r="O514">
        <v>15260</v>
      </c>
      <c r="P514" s="13">
        <f t="shared" si="49"/>
        <v>0</v>
      </c>
      <c r="Q514" t="str">
        <f t="shared" si="50"/>
        <v>No</v>
      </c>
      <c r="R514" t="str" cm="1">
        <f t="array" ref="R514">_xlfn.IFS(K514=0,"On Time",K514&lt;=2,"Minor",K514&lt;=5,"Major",K514&gt;5,"Severe")</f>
        <v>Major</v>
      </c>
      <c r="S514">
        <f t="shared" si="51"/>
        <v>3815</v>
      </c>
      <c r="T514">
        <f t="shared" si="52"/>
        <v>1370</v>
      </c>
      <c r="U514">
        <f t="shared" si="53"/>
        <v>2024</v>
      </c>
      <c r="V514">
        <f t="shared" si="54"/>
        <v>12</v>
      </c>
      <c r="W514" s="11">
        <f t="shared" si="55"/>
        <v>1</v>
      </c>
    </row>
    <row r="515" spans="1:23">
      <c r="A515" t="s">
        <v>528</v>
      </c>
      <c r="B515" s="4">
        <v>45591</v>
      </c>
      <c r="C515" t="s">
        <v>2016</v>
      </c>
      <c r="D515" t="s">
        <v>2025</v>
      </c>
      <c r="E515" t="s">
        <v>2027</v>
      </c>
      <c r="F515" t="s">
        <v>2031</v>
      </c>
      <c r="G515" t="s">
        <v>2036</v>
      </c>
      <c r="H515" t="s">
        <v>2039</v>
      </c>
      <c r="I515">
        <v>2</v>
      </c>
      <c r="J515">
        <v>2</v>
      </c>
      <c r="K515">
        <v>0</v>
      </c>
      <c r="L515" t="s">
        <v>2042</v>
      </c>
      <c r="M515">
        <v>112</v>
      </c>
      <c r="N515">
        <v>0</v>
      </c>
      <c r="O515">
        <v>0</v>
      </c>
      <c r="P515" s="13">
        <f t="shared" ref="P515:P578" si="56">IF(L515="Yes",0,1)</f>
        <v>1</v>
      </c>
      <c r="Q515" t="str">
        <f t="shared" ref="Q515:Q578" si="57">IF(K515&gt;J515,"Yes","No")</f>
        <v>No</v>
      </c>
      <c r="R515" t="str" cm="1">
        <f t="array" ref="R515">_xlfn.IFS(K515=0,"On Time",K515&lt;=2,"Minor",K515&lt;=5,"Major",K515&gt;5,"Severe")</f>
        <v>On Time</v>
      </c>
      <c r="S515">
        <f t="shared" ref="S515:S578" si="58">IFERROR(O515/K515,0)</f>
        <v>0</v>
      </c>
      <c r="T515">
        <f t="shared" ref="T515:T578" si="59">IFERROR(N515/K515,0)</f>
        <v>0</v>
      </c>
      <c r="U515">
        <f t="shared" ref="U515:U578" si="60">YEAR(B515)</f>
        <v>2024</v>
      </c>
      <c r="V515">
        <f t="shared" ref="V515:V578" si="61">MONTH(B515)</f>
        <v>10</v>
      </c>
      <c r="W515" s="11">
        <f t="shared" ref="W515:W578" si="62">IF(L515="Yes",1,0)</f>
        <v>0</v>
      </c>
    </row>
    <row r="516" spans="1:23">
      <c r="A516" t="s">
        <v>529</v>
      </c>
      <c r="B516" s="4">
        <v>45339</v>
      </c>
      <c r="C516" t="s">
        <v>2016</v>
      </c>
      <c r="D516" t="s">
        <v>2021</v>
      </c>
      <c r="E516" t="s">
        <v>2027</v>
      </c>
      <c r="F516" t="s">
        <v>2030</v>
      </c>
      <c r="G516" t="s">
        <v>2033</v>
      </c>
      <c r="H516" t="s">
        <v>2038</v>
      </c>
      <c r="I516">
        <v>3</v>
      </c>
      <c r="J516">
        <v>3</v>
      </c>
      <c r="K516">
        <v>0</v>
      </c>
      <c r="L516" t="s">
        <v>2042</v>
      </c>
      <c r="M516">
        <v>491</v>
      </c>
      <c r="N516">
        <v>0</v>
      </c>
      <c r="O516">
        <v>0</v>
      </c>
      <c r="P516" s="13">
        <f t="shared" si="56"/>
        <v>1</v>
      </c>
      <c r="Q516" t="str">
        <f t="shared" si="57"/>
        <v>No</v>
      </c>
      <c r="R516" t="str" cm="1">
        <f t="array" ref="R516">_xlfn.IFS(K516=0,"On Time",K516&lt;=2,"Minor",K516&lt;=5,"Major",K516&gt;5,"Severe")</f>
        <v>On Time</v>
      </c>
      <c r="S516">
        <f t="shared" si="58"/>
        <v>0</v>
      </c>
      <c r="T516">
        <f t="shared" si="59"/>
        <v>0</v>
      </c>
      <c r="U516">
        <f t="shared" si="60"/>
        <v>2024</v>
      </c>
      <c r="V516">
        <f t="shared" si="61"/>
        <v>2</v>
      </c>
      <c r="W516" s="11">
        <f t="shared" si="62"/>
        <v>0</v>
      </c>
    </row>
    <row r="517" spans="1:23">
      <c r="A517" t="s">
        <v>530</v>
      </c>
      <c r="B517" s="4">
        <v>45384</v>
      </c>
      <c r="C517" t="s">
        <v>2016</v>
      </c>
      <c r="D517" t="s">
        <v>2021</v>
      </c>
      <c r="E517" t="s">
        <v>2029</v>
      </c>
      <c r="F517" t="s">
        <v>2031</v>
      </c>
      <c r="G517" t="s">
        <v>2034</v>
      </c>
      <c r="H517" t="s">
        <v>2038</v>
      </c>
      <c r="I517">
        <v>3</v>
      </c>
      <c r="J517">
        <v>8</v>
      </c>
      <c r="K517">
        <v>5</v>
      </c>
      <c r="L517" t="s">
        <v>2041</v>
      </c>
      <c r="M517">
        <v>456</v>
      </c>
      <c r="N517">
        <v>4285</v>
      </c>
      <c r="O517">
        <v>20525</v>
      </c>
      <c r="P517" s="13">
        <f t="shared" si="56"/>
        <v>0</v>
      </c>
      <c r="Q517" t="str">
        <f t="shared" si="57"/>
        <v>No</v>
      </c>
      <c r="R517" t="str" cm="1">
        <f t="array" ref="R517">_xlfn.IFS(K517=0,"On Time",K517&lt;=2,"Minor",K517&lt;=5,"Major",K517&gt;5,"Severe")</f>
        <v>Major</v>
      </c>
      <c r="S517">
        <f t="shared" si="58"/>
        <v>4105</v>
      </c>
      <c r="T517">
        <f t="shared" si="59"/>
        <v>857</v>
      </c>
      <c r="U517">
        <f t="shared" si="60"/>
        <v>2024</v>
      </c>
      <c r="V517">
        <f t="shared" si="61"/>
        <v>4</v>
      </c>
      <c r="W517" s="11">
        <f t="shared" si="62"/>
        <v>1</v>
      </c>
    </row>
    <row r="518" spans="1:23">
      <c r="A518" t="s">
        <v>531</v>
      </c>
      <c r="B518" s="4">
        <v>45630</v>
      </c>
      <c r="C518" t="s">
        <v>2018</v>
      </c>
      <c r="D518" t="s">
        <v>2026</v>
      </c>
      <c r="E518" t="s">
        <v>2028</v>
      </c>
      <c r="F518" t="s">
        <v>2030</v>
      </c>
      <c r="G518" t="s">
        <v>2035</v>
      </c>
      <c r="H518" t="s">
        <v>2039</v>
      </c>
      <c r="I518">
        <v>5</v>
      </c>
      <c r="J518">
        <v>5</v>
      </c>
      <c r="K518">
        <v>0</v>
      </c>
      <c r="L518" t="s">
        <v>2042</v>
      </c>
      <c r="M518">
        <v>498</v>
      </c>
      <c r="N518">
        <v>0</v>
      </c>
      <c r="O518">
        <v>0</v>
      </c>
      <c r="P518" s="13">
        <f t="shared" si="56"/>
        <v>1</v>
      </c>
      <c r="Q518" t="str">
        <f t="shared" si="57"/>
        <v>No</v>
      </c>
      <c r="R518" t="str" cm="1">
        <f t="array" ref="R518">_xlfn.IFS(K518=0,"On Time",K518&lt;=2,"Minor",K518&lt;=5,"Major",K518&gt;5,"Severe")</f>
        <v>On Time</v>
      </c>
      <c r="S518">
        <f t="shared" si="58"/>
        <v>0</v>
      </c>
      <c r="T518">
        <f t="shared" si="59"/>
        <v>0</v>
      </c>
      <c r="U518">
        <f t="shared" si="60"/>
        <v>2024</v>
      </c>
      <c r="V518">
        <f t="shared" si="61"/>
        <v>12</v>
      </c>
      <c r="W518" s="11">
        <f t="shared" si="62"/>
        <v>0</v>
      </c>
    </row>
    <row r="519" spans="1:23">
      <c r="A519" t="s">
        <v>532</v>
      </c>
      <c r="B519" s="4">
        <v>45618</v>
      </c>
      <c r="C519" t="s">
        <v>2016</v>
      </c>
      <c r="D519" t="s">
        <v>2021</v>
      </c>
      <c r="E519" t="s">
        <v>2029</v>
      </c>
      <c r="F519" t="s">
        <v>2031</v>
      </c>
      <c r="G519" t="s">
        <v>2037</v>
      </c>
      <c r="H519" t="s">
        <v>2038</v>
      </c>
      <c r="I519">
        <v>2</v>
      </c>
      <c r="J519">
        <v>7</v>
      </c>
      <c r="K519">
        <v>5</v>
      </c>
      <c r="L519" t="s">
        <v>2041</v>
      </c>
      <c r="M519">
        <v>332</v>
      </c>
      <c r="N519">
        <v>6880</v>
      </c>
      <c r="O519">
        <v>19005</v>
      </c>
      <c r="P519" s="13">
        <f t="shared" si="56"/>
        <v>0</v>
      </c>
      <c r="Q519" t="str">
        <f t="shared" si="57"/>
        <v>No</v>
      </c>
      <c r="R519" t="str" cm="1">
        <f t="array" ref="R519">_xlfn.IFS(K519=0,"On Time",K519&lt;=2,"Minor",K519&lt;=5,"Major",K519&gt;5,"Severe")</f>
        <v>Major</v>
      </c>
      <c r="S519">
        <f t="shared" si="58"/>
        <v>3801</v>
      </c>
      <c r="T519">
        <f t="shared" si="59"/>
        <v>1376</v>
      </c>
      <c r="U519">
        <f t="shared" si="60"/>
        <v>2024</v>
      </c>
      <c r="V519">
        <f t="shared" si="61"/>
        <v>11</v>
      </c>
      <c r="W519" s="11">
        <f t="shared" si="62"/>
        <v>1</v>
      </c>
    </row>
    <row r="520" spans="1:23">
      <c r="A520" t="s">
        <v>533</v>
      </c>
      <c r="B520" s="4">
        <v>45369</v>
      </c>
      <c r="C520" t="s">
        <v>2015</v>
      </c>
      <c r="D520" t="s">
        <v>2019</v>
      </c>
      <c r="E520" t="s">
        <v>2029</v>
      </c>
      <c r="F520" t="s">
        <v>2030</v>
      </c>
      <c r="G520" t="s">
        <v>2037</v>
      </c>
      <c r="H520" t="s">
        <v>2039</v>
      </c>
      <c r="I520">
        <v>3</v>
      </c>
      <c r="J520">
        <v>6</v>
      </c>
      <c r="K520">
        <v>3</v>
      </c>
      <c r="L520" t="s">
        <v>2041</v>
      </c>
      <c r="M520">
        <v>305</v>
      </c>
      <c r="N520">
        <v>5862</v>
      </c>
      <c r="O520">
        <v>9135</v>
      </c>
      <c r="P520" s="13">
        <f t="shared" si="56"/>
        <v>0</v>
      </c>
      <c r="Q520" t="str">
        <f t="shared" si="57"/>
        <v>No</v>
      </c>
      <c r="R520" t="str" cm="1">
        <f t="array" ref="R520">_xlfn.IFS(K520=0,"On Time",K520&lt;=2,"Minor",K520&lt;=5,"Major",K520&gt;5,"Severe")</f>
        <v>Major</v>
      </c>
      <c r="S520">
        <f t="shared" si="58"/>
        <v>3045</v>
      </c>
      <c r="T520">
        <f t="shared" si="59"/>
        <v>1954</v>
      </c>
      <c r="U520">
        <f t="shared" si="60"/>
        <v>2024</v>
      </c>
      <c r="V520">
        <f t="shared" si="61"/>
        <v>3</v>
      </c>
      <c r="W520" s="11">
        <f t="shared" si="62"/>
        <v>1</v>
      </c>
    </row>
    <row r="521" spans="1:23">
      <c r="A521" t="s">
        <v>534</v>
      </c>
      <c r="B521" s="4">
        <v>45314</v>
      </c>
      <c r="C521" t="s">
        <v>2015</v>
      </c>
      <c r="D521" t="s">
        <v>2020</v>
      </c>
      <c r="E521" t="s">
        <v>2029</v>
      </c>
      <c r="F521" t="s">
        <v>2031</v>
      </c>
      <c r="G521" t="s">
        <v>2033</v>
      </c>
      <c r="H521" t="s">
        <v>2040</v>
      </c>
      <c r="I521">
        <v>2</v>
      </c>
      <c r="J521">
        <v>4</v>
      </c>
      <c r="K521">
        <v>2</v>
      </c>
      <c r="L521" t="s">
        <v>2041</v>
      </c>
      <c r="M521">
        <v>447</v>
      </c>
      <c r="N521">
        <v>2344</v>
      </c>
      <c r="O521">
        <v>4672</v>
      </c>
      <c r="P521" s="13">
        <f t="shared" si="56"/>
        <v>0</v>
      </c>
      <c r="Q521" t="str">
        <f t="shared" si="57"/>
        <v>No</v>
      </c>
      <c r="R521" t="str" cm="1">
        <f t="array" ref="R521">_xlfn.IFS(K521=0,"On Time",K521&lt;=2,"Minor",K521&lt;=5,"Major",K521&gt;5,"Severe")</f>
        <v>Minor</v>
      </c>
      <c r="S521">
        <f t="shared" si="58"/>
        <v>2336</v>
      </c>
      <c r="T521">
        <f t="shared" si="59"/>
        <v>1172</v>
      </c>
      <c r="U521">
        <f t="shared" si="60"/>
        <v>2024</v>
      </c>
      <c r="V521">
        <f t="shared" si="61"/>
        <v>1</v>
      </c>
      <c r="W521" s="11">
        <f t="shared" si="62"/>
        <v>1</v>
      </c>
    </row>
    <row r="522" spans="1:23">
      <c r="A522" t="s">
        <v>535</v>
      </c>
      <c r="B522" s="4">
        <v>45651</v>
      </c>
      <c r="C522" t="s">
        <v>2018</v>
      </c>
      <c r="D522" t="s">
        <v>2024</v>
      </c>
      <c r="E522" t="s">
        <v>2029</v>
      </c>
      <c r="F522" t="s">
        <v>2030</v>
      </c>
      <c r="G522" t="s">
        <v>2033</v>
      </c>
      <c r="H522" t="s">
        <v>2038</v>
      </c>
      <c r="I522">
        <v>2</v>
      </c>
      <c r="J522">
        <v>7</v>
      </c>
      <c r="K522">
        <v>5</v>
      </c>
      <c r="L522" t="s">
        <v>2041</v>
      </c>
      <c r="M522">
        <v>387</v>
      </c>
      <c r="N522">
        <v>6530</v>
      </c>
      <c r="O522">
        <v>10550</v>
      </c>
      <c r="P522" s="13">
        <f t="shared" si="56"/>
        <v>0</v>
      </c>
      <c r="Q522" t="str">
        <f t="shared" si="57"/>
        <v>No</v>
      </c>
      <c r="R522" t="str" cm="1">
        <f t="array" ref="R522">_xlfn.IFS(K522=0,"On Time",K522&lt;=2,"Minor",K522&lt;=5,"Major",K522&gt;5,"Severe")</f>
        <v>Major</v>
      </c>
      <c r="S522">
        <f t="shared" si="58"/>
        <v>2110</v>
      </c>
      <c r="T522">
        <f t="shared" si="59"/>
        <v>1306</v>
      </c>
      <c r="U522">
        <f t="shared" si="60"/>
        <v>2024</v>
      </c>
      <c r="V522">
        <f t="shared" si="61"/>
        <v>12</v>
      </c>
      <c r="W522" s="11">
        <f t="shared" si="62"/>
        <v>1</v>
      </c>
    </row>
    <row r="523" spans="1:23">
      <c r="A523" t="s">
        <v>536</v>
      </c>
      <c r="B523" s="4">
        <v>45508</v>
      </c>
      <c r="C523" t="s">
        <v>2016</v>
      </c>
      <c r="D523" t="s">
        <v>2021</v>
      </c>
      <c r="E523" t="s">
        <v>2029</v>
      </c>
      <c r="F523" t="s">
        <v>2030</v>
      </c>
      <c r="G523" t="s">
        <v>2033</v>
      </c>
      <c r="H523" t="s">
        <v>2038</v>
      </c>
      <c r="I523">
        <v>2</v>
      </c>
      <c r="J523">
        <v>6</v>
      </c>
      <c r="K523">
        <v>4</v>
      </c>
      <c r="L523" t="s">
        <v>2041</v>
      </c>
      <c r="M523">
        <v>119</v>
      </c>
      <c r="N523">
        <v>3524</v>
      </c>
      <c r="O523">
        <v>9920</v>
      </c>
      <c r="P523" s="13">
        <f t="shared" si="56"/>
        <v>0</v>
      </c>
      <c r="Q523" t="str">
        <f t="shared" si="57"/>
        <v>No</v>
      </c>
      <c r="R523" t="str" cm="1">
        <f t="array" ref="R523">_xlfn.IFS(K523=0,"On Time",K523&lt;=2,"Minor",K523&lt;=5,"Major",K523&gt;5,"Severe")</f>
        <v>Major</v>
      </c>
      <c r="S523">
        <f t="shared" si="58"/>
        <v>2480</v>
      </c>
      <c r="T523">
        <f t="shared" si="59"/>
        <v>881</v>
      </c>
      <c r="U523">
        <f t="shared" si="60"/>
        <v>2024</v>
      </c>
      <c r="V523">
        <f t="shared" si="61"/>
        <v>8</v>
      </c>
      <c r="W523" s="11">
        <f t="shared" si="62"/>
        <v>1</v>
      </c>
    </row>
    <row r="524" spans="1:23">
      <c r="A524" t="s">
        <v>537</v>
      </c>
      <c r="B524" s="4">
        <v>45427</v>
      </c>
      <c r="C524" t="s">
        <v>2015</v>
      </c>
      <c r="D524" t="s">
        <v>2019</v>
      </c>
      <c r="E524" t="s">
        <v>2029</v>
      </c>
      <c r="F524" t="s">
        <v>2031</v>
      </c>
      <c r="G524" t="s">
        <v>2034</v>
      </c>
      <c r="H524" t="s">
        <v>2038</v>
      </c>
      <c r="I524">
        <v>2</v>
      </c>
      <c r="J524">
        <v>7</v>
      </c>
      <c r="K524">
        <v>5</v>
      </c>
      <c r="L524" t="s">
        <v>2041</v>
      </c>
      <c r="M524">
        <v>378</v>
      </c>
      <c r="N524">
        <v>11410</v>
      </c>
      <c r="O524">
        <v>22880</v>
      </c>
      <c r="P524" s="13">
        <f t="shared" si="56"/>
        <v>0</v>
      </c>
      <c r="Q524" t="str">
        <f t="shared" si="57"/>
        <v>No</v>
      </c>
      <c r="R524" t="str" cm="1">
        <f t="array" ref="R524">_xlfn.IFS(K524=0,"On Time",K524&lt;=2,"Minor",K524&lt;=5,"Major",K524&gt;5,"Severe")</f>
        <v>Major</v>
      </c>
      <c r="S524">
        <f t="shared" si="58"/>
        <v>4576</v>
      </c>
      <c r="T524">
        <f t="shared" si="59"/>
        <v>2282</v>
      </c>
      <c r="U524">
        <f t="shared" si="60"/>
        <v>2024</v>
      </c>
      <c r="V524">
        <f t="shared" si="61"/>
        <v>5</v>
      </c>
      <c r="W524" s="11">
        <f t="shared" si="62"/>
        <v>1</v>
      </c>
    </row>
    <row r="525" spans="1:23">
      <c r="A525" t="s">
        <v>538</v>
      </c>
      <c r="B525" s="4">
        <v>45504</v>
      </c>
      <c r="C525" t="s">
        <v>2017</v>
      </c>
      <c r="D525" t="s">
        <v>2023</v>
      </c>
      <c r="E525" t="s">
        <v>2029</v>
      </c>
      <c r="F525" t="s">
        <v>2031</v>
      </c>
      <c r="G525" t="s">
        <v>2035</v>
      </c>
      <c r="H525" t="s">
        <v>2038</v>
      </c>
      <c r="I525">
        <v>3</v>
      </c>
      <c r="J525">
        <v>4</v>
      </c>
      <c r="K525">
        <v>1</v>
      </c>
      <c r="L525" t="s">
        <v>2041</v>
      </c>
      <c r="M525">
        <v>438</v>
      </c>
      <c r="N525">
        <v>1886</v>
      </c>
      <c r="O525">
        <v>2068</v>
      </c>
      <c r="P525" s="13">
        <f t="shared" si="56"/>
        <v>0</v>
      </c>
      <c r="Q525" t="str">
        <f t="shared" si="57"/>
        <v>No</v>
      </c>
      <c r="R525" t="str" cm="1">
        <f t="array" ref="R525">_xlfn.IFS(K525=0,"On Time",K525&lt;=2,"Minor",K525&lt;=5,"Major",K525&gt;5,"Severe")</f>
        <v>Minor</v>
      </c>
      <c r="S525">
        <f t="shared" si="58"/>
        <v>2068</v>
      </c>
      <c r="T525">
        <f t="shared" si="59"/>
        <v>1886</v>
      </c>
      <c r="U525">
        <f t="shared" si="60"/>
        <v>2024</v>
      </c>
      <c r="V525">
        <f t="shared" si="61"/>
        <v>7</v>
      </c>
      <c r="W525" s="11">
        <f t="shared" si="62"/>
        <v>1</v>
      </c>
    </row>
    <row r="526" spans="1:23">
      <c r="A526" t="s">
        <v>539</v>
      </c>
      <c r="B526" s="4">
        <v>45588</v>
      </c>
      <c r="C526" t="s">
        <v>2015</v>
      </c>
      <c r="D526" t="s">
        <v>2020</v>
      </c>
      <c r="E526" t="s">
        <v>2027</v>
      </c>
      <c r="F526" t="s">
        <v>2032</v>
      </c>
      <c r="G526" t="s">
        <v>2037</v>
      </c>
      <c r="H526" t="s">
        <v>2038</v>
      </c>
      <c r="I526">
        <v>2</v>
      </c>
      <c r="J526">
        <v>6</v>
      </c>
      <c r="K526">
        <v>4</v>
      </c>
      <c r="L526" t="s">
        <v>2041</v>
      </c>
      <c r="M526">
        <v>295</v>
      </c>
      <c r="N526">
        <v>4440</v>
      </c>
      <c r="O526">
        <v>11888</v>
      </c>
      <c r="P526" s="13">
        <f t="shared" si="56"/>
        <v>0</v>
      </c>
      <c r="Q526" t="str">
        <f t="shared" si="57"/>
        <v>No</v>
      </c>
      <c r="R526" t="str" cm="1">
        <f t="array" ref="R526">_xlfn.IFS(K526=0,"On Time",K526&lt;=2,"Minor",K526&lt;=5,"Major",K526&gt;5,"Severe")</f>
        <v>Major</v>
      </c>
      <c r="S526">
        <f t="shared" si="58"/>
        <v>2972</v>
      </c>
      <c r="T526">
        <f t="shared" si="59"/>
        <v>1110</v>
      </c>
      <c r="U526">
        <f t="shared" si="60"/>
        <v>2024</v>
      </c>
      <c r="V526">
        <f t="shared" si="61"/>
        <v>10</v>
      </c>
      <c r="W526" s="11">
        <f t="shared" si="62"/>
        <v>1</v>
      </c>
    </row>
    <row r="527" spans="1:23">
      <c r="A527" t="s">
        <v>540</v>
      </c>
      <c r="B527" s="4">
        <v>45464</v>
      </c>
      <c r="C527" t="s">
        <v>2017</v>
      </c>
      <c r="D527" t="s">
        <v>2023</v>
      </c>
      <c r="E527" t="s">
        <v>2027</v>
      </c>
      <c r="F527" t="s">
        <v>2030</v>
      </c>
      <c r="G527" t="s">
        <v>2037</v>
      </c>
      <c r="H527" t="s">
        <v>2038</v>
      </c>
      <c r="I527">
        <v>5</v>
      </c>
      <c r="J527">
        <v>7</v>
      </c>
      <c r="K527">
        <v>2</v>
      </c>
      <c r="L527" t="s">
        <v>2041</v>
      </c>
      <c r="M527">
        <v>257</v>
      </c>
      <c r="N527">
        <v>3696</v>
      </c>
      <c r="O527">
        <v>9970</v>
      </c>
      <c r="P527" s="13">
        <f t="shared" si="56"/>
        <v>0</v>
      </c>
      <c r="Q527" t="str">
        <f t="shared" si="57"/>
        <v>No</v>
      </c>
      <c r="R527" t="str" cm="1">
        <f t="array" ref="R527">_xlfn.IFS(K527=0,"On Time",K527&lt;=2,"Minor",K527&lt;=5,"Major",K527&gt;5,"Severe")</f>
        <v>Minor</v>
      </c>
      <c r="S527">
        <f t="shared" si="58"/>
        <v>4985</v>
      </c>
      <c r="T527">
        <f t="shared" si="59"/>
        <v>1848</v>
      </c>
      <c r="U527">
        <f t="shared" si="60"/>
        <v>2024</v>
      </c>
      <c r="V527">
        <f t="shared" si="61"/>
        <v>6</v>
      </c>
      <c r="W527" s="11">
        <f t="shared" si="62"/>
        <v>1</v>
      </c>
    </row>
    <row r="528" spans="1:23">
      <c r="A528" t="s">
        <v>541</v>
      </c>
      <c r="B528" s="4">
        <v>45495</v>
      </c>
      <c r="C528" t="s">
        <v>2016</v>
      </c>
      <c r="D528" t="s">
        <v>2021</v>
      </c>
      <c r="E528" t="s">
        <v>2029</v>
      </c>
      <c r="F528" t="s">
        <v>2030</v>
      </c>
      <c r="G528" t="s">
        <v>2035</v>
      </c>
      <c r="H528" t="s">
        <v>2038</v>
      </c>
      <c r="I528">
        <v>1</v>
      </c>
      <c r="J528">
        <v>5</v>
      </c>
      <c r="K528">
        <v>4</v>
      </c>
      <c r="L528" t="s">
        <v>2041</v>
      </c>
      <c r="M528">
        <v>332</v>
      </c>
      <c r="N528">
        <v>9776</v>
      </c>
      <c r="O528">
        <v>14916</v>
      </c>
      <c r="P528" s="13">
        <f t="shared" si="56"/>
        <v>0</v>
      </c>
      <c r="Q528" t="str">
        <f t="shared" si="57"/>
        <v>No</v>
      </c>
      <c r="R528" t="str" cm="1">
        <f t="array" ref="R528">_xlfn.IFS(K528=0,"On Time",K528&lt;=2,"Minor",K528&lt;=5,"Major",K528&gt;5,"Severe")</f>
        <v>Major</v>
      </c>
      <c r="S528">
        <f t="shared" si="58"/>
        <v>3729</v>
      </c>
      <c r="T528">
        <f t="shared" si="59"/>
        <v>2444</v>
      </c>
      <c r="U528">
        <f t="shared" si="60"/>
        <v>2024</v>
      </c>
      <c r="V528">
        <f t="shared" si="61"/>
        <v>7</v>
      </c>
      <c r="W528" s="11">
        <f t="shared" si="62"/>
        <v>1</v>
      </c>
    </row>
    <row r="529" spans="1:23">
      <c r="A529" t="s">
        <v>542</v>
      </c>
      <c r="B529" s="4">
        <v>45356</v>
      </c>
      <c r="C529" t="s">
        <v>2018</v>
      </c>
      <c r="D529" t="s">
        <v>2024</v>
      </c>
      <c r="E529" t="s">
        <v>2027</v>
      </c>
      <c r="F529" t="s">
        <v>2030</v>
      </c>
      <c r="G529" t="s">
        <v>2033</v>
      </c>
      <c r="H529" t="s">
        <v>2038</v>
      </c>
      <c r="I529">
        <v>1</v>
      </c>
      <c r="J529">
        <v>5</v>
      </c>
      <c r="K529">
        <v>4</v>
      </c>
      <c r="L529" t="s">
        <v>2041</v>
      </c>
      <c r="M529">
        <v>231</v>
      </c>
      <c r="N529">
        <v>6220</v>
      </c>
      <c r="O529">
        <v>11904</v>
      </c>
      <c r="P529" s="13">
        <f t="shared" si="56"/>
        <v>0</v>
      </c>
      <c r="Q529" t="str">
        <f t="shared" si="57"/>
        <v>No</v>
      </c>
      <c r="R529" t="str" cm="1">
        <f t="array" ref="R529">_xlfn.IFS(K529=0,"On Time",K529&lt;=2,"Minor",K529&lt;=5,"Major",K529&gt;5,"Severe")</f>
        <v>Major</v>
      </c>
      <c r="S529">
        <f t="shared" si="58"/>
        <v>2976</v>
      </c>
      <c r="T529">
        <f t="shared" si="59"/>
        <v>1555</v>
      </c>
      <c r="U529">
        <f t="shared" si="60"/>
        <v>2024</v>
      </c>
      <c r="V529">
        <f t="shared" si="61"/>
        <v>3</v>
      </c>
      <c r="W529" s="11">
        <f t="shared" si="62"/>
        <v>1</v>
      </c>
    </row>
    <row r="530" spans="1:23">
      <c r="A530" t="s">
        <v>543</v>
      </c>
      <c r="B530" s="4">
        <v>45489</v>
      </c>
      <c r="C530" t="s">
        <v>2016</v>
      </c>
      <c r="D530" t="s">
        <v>2021</v>
      </c>
      <c r="E530" t="s">
        <v>2028</v>
      </c>
      <c r="F530" t="s">
        <v>2030</v>
      </c>
      <c r="G530" t="s">
        <v>2037</v>
      </c>
      <c r="H530" t="s">
        <v>2038</v>
      </c>
      <c r="I530">
        <v>1</v>
      </c>
      <c r="J530">
        <v>3</v>
      </c>
      <c r="K530">
        <v>2</v>
      </c>
      <c r="L530" t="s">
        <v>2041</v>
      </c>
      <c r="M530">
        <v>286</v>
      </c>
      <c r="N530">
        <v>2504</v>
      </c>
      <c r="O530">
        <v>4976</v>
      </c>
      <c r="P530" s="13">
        <f t="shared" si="56"/>
        <v>0</v>
      </c>
      <c r="Q530" t="str">
        <f t="shared" si="57"/>
        <v>No</v>
      </c>
      <c r="R530" t="str" cm="1">
        <f t="array" ref="R530">_xlfn.IFS(K530=0,"On Time",K530&lt;=2,"Minor",K530&lt;=5,"Major",K530&gt;5,"Severe")</f>
        <v>Minor</v>
      </c>
      <c r="S530">
        <f t="shared" si="58"/>
        <v>2488</v>
      </c>
      <c r="T530">
        <f t="shared" si="59"/>
        <v>1252</v>
      </c>
      <c r="U530">
        <f t="shared" si="60"/>
        <v>2024</v>
      </c>
      <c r="V530">
        <f t="shared" si="61"/>
        <v>7</v>
      </c>
      <c r="W530" s="11">
        <f t="shared" si="62"/>
        <v>1</v>
      </c>
    </row>
    <row r="531" spans="1:23">
      <c r="A531" t="s">
        <v>544</v>
      </c>
      <c r="B531" s="4">
        <v>45656</v>
      </c>
      <c r="C531" t="s">
        <v>2015</v>
      </c>
      <c r="D531" t="s">
        <v>2020</v>
      </c>
      <c r="E531" t="s">
        <v>2028</v>
      </c>
      <c r="F531" t="s">
        <v>2032</v>
      </c>
      <c r="G531" t="s">
        <v>2035</v>
      </c>
      <c r="H531" t="s">
        <v>2039</v>
      </c>
      <c r="I531">
        <v>3</v>
      </c>
      <c r="J531">
        <v>10</v>
      </c>
      <c r="K531">
        <v>7</v>
      </c>
      <c r="L531" t="s">
        <v>2041</v>
      </c>
      <c r="M531">
        <v>277</v>
      </c>
      <c r="N531">
        <v>10850</v>
      </c>
      <c r="O531">
        <v>27545</v>
      </c>
      <c r="P531" s="13">
        <f t="shared" si="56"/>
        <v>0</v>
      </c>
      <c r="Q531" t="str">
        <f t="shared" si="57"/>
        <v>No</v>
      </c>
      <c r="R531" t="str" cm="1">
        <f t="array" ref="R531">_xlfn.IFS(K531=0,"On Time",K531&lt;=2,"Minor",K531&lt;=5,"Major",K531&gt;5,"Severe")</f>
        <v>Severe</v>
      </c>
      <c r="S531">
        <f t="shared" si="58"/>
        <v>3935</v>
      </c>
      <c r="T531">
        <f t="shared" si="59"/>
        <v>1550</v>
      </c>
      <c r="U531">
        <f t="shared" si="60"/>
        <v>2024</v>
      </c>
      <c r="V531">
        <f t="shared" si="61"/>
        <v>12</v>
      </c>
      <c r="W531" s="11">
        <f t="shared" si="62"/>
        <v>1</v>
      </c>
    </row>
    <row r="532" spans="1:23">
      <c r="A532" t="s">
        <v>545</v>
      </c>
      <c r="B532" s="4">
        <v>45484</v>
      </c>
      <c r="C532" t="s">
        <v>2018</v>
      </c>
      <c r="D532" t="s">
        <v>2026</v>
      </c>
      <c r="E532" t="s">
        <v>2027</v>
      </c>
      <c r="F532" t="s">
        <v>2031</v>
      </c>
      <c r="G532" t="s">
        <v>2037</v>
      </c>
      <c r="H532" t="s">
        <v>2039</v>
      </c>
      <c r="I532">
        <v>5</v>
      </c>
      <c r="J532">
        <v>6</v>
      </c>
      <c r="K532">
        <v>1</v>
      </c>
      <c r="L532" t="s">
        <v>2041</v>
      </c>
      <c r="M532">
        <v>418</v>
      </c>
      <c r="N532">
        <v>2086</v>
      </c>
      <c r="O532">
        <v>2644</v>
      </c>
      <c r="P532" s="13">
        <f t="shared" si="56"/>
        <v>0</v>
      </c>
      <c r="Q532" t="str">
        <f t="shared" si="57"/>
        <v>No</v>
      </c>
      <c r="R532" t="str" cm="1">
        <f t="array" ref="R532">_xlfn.IFS(K532=0,"On Time",K532&lt;=2,"Minor",K532&lt;=5,"Major",K532&gt;5,"Severe")</f>
        <v>Minor</v>
      </c>
      <c r="S532">
        <f t="shared" si="58"/>
        <v>2644</v>
      </c>
      <c r="T532">
        <f t="shared" si="59"/>
        <v>2086</v>
      </c>
      <c r="U532">
        <f t="shared" si="60"/>
        <v>2024</v>
      </c>
      <c r="V532">
        <f t="shared" si="61"/>
        <v>7</v>
      </c>
      <c r="W532" s="11">
        <f t="shared" si="62"/>
        <v>1</v>
      </c>
    </row>
    <row r="533" spans="1:23">
      <c r="A533" t="s">
        <v>546</v>
      </c>
      <c r="B533" s="4">
        <v>45602</v>
      </c>
      <c r="C533" t="s">
        <v>2017</v>
      </c>
      <c r="D533" t="s">
        <v>2023</v>
      </c>
      <c r="E533" t="s">
        <v>2028</v>
      </c>
      <c r="F533" t="s">
        <v>2031</v>
      </c>
      <c r="G533" t="s">
        <v>2033</v>
      </c>
      <c r="H533" t="s">
        <v>2038</v>
      </c>
      <c r="I533">
        <v>1</v>
      </c>
      <c r="J533">
        <v>2</v>
      </c>
      <c r="K533">
        <v>1</v>
      </c>
      <c r="L533" t="s">
        <v>2041</v>
      </c>
      <c r="M533">
        <v>127</v>
      </c>
      <c r="N533">
        <v>1143</v>
      </c>
      <c r="O533">
        <v>3058</v>
      </c>
      <c r="P533" s="13">
        <f t="shared" si="56"/>
        <v>0</v>
      </c>
      <c r="Q533" t="str">
        <f t="shared" si="57"/>
        <v>No</v>
      </c>
      <c r="R533" t="str" cm="1">
        <f t="array" ref="R533">_xlfn.IFS(K533=0,"On Time",K533&lt;=2,"Minor",K533&lt;=5,"Major",K533&gt;5,"Severe")</f>
        <v>Minor</v>
      </c>
      <c r="S533">
        <f t="shared" si="58"/>
        <v>3058</v>
      </c>
      <c r="T533">
        <f t="shared" si="59"/>
        <v>1143</v>
      </c>
      <c r="U533">
        <f t="shared" si="60"/>
        <v>2024</v>
      </c>
      <c r="V533">
        <f t="shared" si="61"/>
        <v>11</v>
      </c>
      <c r="W533" s="11">
        <f t="shared" si="62"/>
        <v>1</v>
      </c>
    </row>
    <row r="534" spans="1:23">
      <c r="A534" t="s">
        <v>547</v>
      </c>
      <c r="B534" s="4">
        <v>45412</v>
      </c>
      <c r="C534" t="s">
        <v>2016</v>
      </c>
      <c r="D534" t="s">
        <v>2025</v>
      </c>
      <c r="E534" t="s">
        <v>2028</v>
      </c>
      <c r="F534" t="s">
        <v>2030</v>
      </c>
      <c r="G534" t="s">
        <v>2037</v>
      </c>
      <c r="H534" t="s">
        <v>2039</v>
      </c>
      <c r="I534">
        <v>2</v>
      </c>
      <c r="J534">
        <v>7</v>
      </c>
      <c r="K534">
        <v>5</v>
      </c>
      <c r="L534" t="s">
        <v>2041</v>
      </c>
      <c r="M534">
        <v>177</v>
      </c>
      <c r="N534">
        <v>8875</v>
      </c>
      <c r="O534">
        <v>16805</v>
      </c>
      <c r="P534" s="13">
        <f t="shared" si="56"/>
        <v>0</v>
      </c>
      <c r="Q534" t="str">
        <f t="shared" si="57"/>
        <v>No</v>
      </c>
      <c r="R534" t="str" cm="1">
        <f t="array" ref="R534">_xlfn.IFS(K534=0,"On Time",K534&lt;=2,"Minor",K534&lt;=5,"Major",K534&gt;5,"Severe")</f>
        <v>Major</v>
      </c>
      <c r="S534">
        <f t="shared" si="58"/>
        <v>3361</v>
      </c>
      <c r="T534">
        <f t="shared" si="59"/>
        <v>1775</v>
      </c>
      <c r="U534">
        <f t="shared" si="60"/>
        <v>2024</v>
      </c>
      <c r="V534">
        <f t="shared" si="61"/>
        <v>4</v>
      </c>
      <c r="W534" s="11">
        <f t="shared" si="62"/>
        <v>1</v>
      </c>
    </row>
    <row r="535" spans="1:23">
      <c r="A535" t="s">
        <v>548</v>
      </c>
      <c r="B535" s="4">
        <v>45555</v>
      </c>
      <c r="C535" t="s">
        <v>2018</v>
      </c>
      <c r="D535" t="s">
        <v>2024</v>
      </c>
      <c r="E535" t="s">
        <v>2027</v>
      </c>
      <c r="F535" t="s">
        <v>2031</v>
      </c>
      <c r="G535" t="s">
        <v>2037</v>
      </c>
      <c r="H535" t="s">
        <v>2039</v>
      </c>
      <c r="I535">
        <v>1</v>
      </c>
      <c r="J535">
        <v>4</v>
      </c>
      <c r="K535">
        <v>3</v>
      </c>
      <c r="L535" t="s">
        <v>2041</v>
      </c>
      <c r="M535">
        <v>86</v>
      </c>
      <c r="N535">
        <v>3699</v>
      </c>
      <c r="O535">
        <v>9606</v>
      </c>
      <c r="P535" s="13">
        <f t="shared" si="56"/>
        <v>0</v>
      </c>
      <c r="Q535" t="str">
        <f t="shared" si="57"/>
        <v>No</v>
      </c>
      <c r="R535" t="str" cm="1">
        <f t="array" ref="R535">_xlfn.IFS(K535=0,"On Time",K535&lt;=2,"Minor",K535&lt;=5,"Major",K535&gt;5,"Severe")</f>
        <v>Major</v>
      </c>
      <c r="S535">
        <f t="shared" si="58"/>
        <v>3202</v>
      </c>
      <c r="T535">
        <f t="shared" si="59"/>
        <v>1233</v>
      </c>
      <c r="U535">
        <f t="shared" si="60"/>
        <v>2024</v>
      </c>
      <c r="V535">
        <f t="shared" si="61"/>
        <v>9</v>
      </c>
      <c r="W535" s="11">
        <f t="shared" si="62"/>
        <v>1</v>
      </c>
    </row>
    <row r="536" spans="1:23">
      <c r="A536" t="s">
        <v>549</v>
      </c>
      <c r="B536" s="4">
        <v>45339</v>
      </c>
      <c r="C536" t="s">
        <v>2015</v>
      </c>
      <c r="D536" t="s">
        <v>2019</v>
      </c>
      <c r="E536" t="s">
        <v>2029</v>
      </c>
      <c r="F536" t="s">
        <v>2031</v>
      </c>
      <c r="G536" t="s">
        <v>2034</v>
      </c>
      <c r="H536" t="s">
        <v>2040</v>
      </c>
      <c r="I536">
        <v>2</v>
      </c>
      <c r="J536">
        <v>5</v>
      </c>
      <c r="K536">
        <v>3</v>
      </c>
      <c r="L536" t="s">
        <v>2041</v>
      </c>
      <c r="M536">
        <v>146</v>
      </c>
      <c r="N536">
        <v>2643</v>
      </c>
      <c r="O536">
        <v>8922</v>
      </c>
      <c r="P536" s="13">
        <f t="shared" si="56"/>
        <v>0</v>
      </c>
      <c r="Q536" t="str">
        <f t="shared" si="57"/>
        <v>No</v>
      </c>
      <c r="R536" t="str" cm="1">
        <f t="array" ref="R536">_xlfn.IFS(K536=0,"On Time",K536&lt;=2,"Minor",K536&lt;=5,"Major",K536&gt;5,"Severe")</f>
        <v>Major</v>
      </c>
      <c r="S536">
        <f t="shared" si="58"/>
        <v>2974</v>
      </c>
      <c r="T536">
        <f t="shared" si="59"/>
        <v>881</v>
      </c>
      <c r="U536">
        <f t="shared" si="60"/>
        <v>2024</v>
      </c>
      <c r="V536">
        <f t="shared" si="61"/>
        <v>2</v>
      </c>
      <c r="W536" s="11">
        <f t="shared" si="62"/>
        <v>1</v>
      </c>
    </row>
    <row r="537" spans="1:23">
      <c r="A537" t="s">
        <v>550</v>
      </c>
      <c r="B537" s="4">
        <v>45320</v>
      </c>
      <c r="C537" t="s">
        <v>2017</v>
      </c>
      <c r="D537" t="s">
        <v>2023</v>
      </c>
      <c r="E537" t="s">
        <v>2029</v>
      </c>
      <c r="F537" t="s">
        <v>2032</v>
      </c>
      <c r="G537" t="s">
        <v>2037</v>
      </c>
      <c r="H537" t="s">
        <v>2039</v>
      </c>
      <c r="I537">
        <v>2</v>
      </c>
      <c r="J537">
        <v>4</v>
      </c>
      <c r="K537">
        <v>2</v>
      </c>
      <c r="L537" t="s">
        <v>2041</v>
      </c>
      <c r="M537">
        <v>389</v>
      </c>
      <c r="N537">
        <v>3206</v>
      </c>
      <c r="O537">
        <v>5622</v>
      </c>
      <c r="P537" s="13">
        <f t="shared" si="56"/>
        <v>0</v>
      </c>
      <c r="Q537" t="str">
        <f t="shared" si="57"/>
        <v>No</v>
      </c>
      <c r="R537" t="str" cm="1">
        <f t="array" ref="R537">_xlfn.IFS(K537=0,"On Time",K537&lt;=2,"Minor",K537&lt;=5,"Major",K537&gt;5,"Severe")</f>
        <v>Minor</v>
      </c>
      <c r="S537">
        <f t="shared" si="58"/>
        <v>2811</v>
      </c>
      <c r="T537">
        <f t="shared" si="59"/>
        <v>1603</v>
      </c>
      <c r="U537">
        <f t="shared" si="60"/>
        <v>2024</v>
      </c>
      <c r="V537">
        <f t="shared" si="61"/>
        <v>1</v>
      </c>
      <c r="W537" s="11">
        <f t="shared" si="62"/>
        <v>1</v>
      </c>
    </row>
    <row r="538" spans="1:23">
      <c r="A538" t="s">
        <v>551</v>
      </c>
      <c r="B538" s="4">
        <v>45633</v>
      </c>
      <c r="C538" t="s">
        <v>2015</v>
      </c>
      <c r="D538" t="s">
        <v>2019</v>
      </c>
      <c r="E538" t="s">
        <v>2029</v>
      </c>
      <c r="F538" t="s">
        <v>2032</v>
      </c>
      <c r="G538" t="s">
        <v>2037</v>
      </c>
      <c r="H538" t="s">
        <v>2040</v>
      </c>
      <c r="I538">
        <v>2</v>
      </c>
      <c r="J538">
        <v>8</v>
      </c>
      <c r="K538">
        <v>6</v>
      </c>
      <c r="L538" t="s">
        <v>2041</v>
      </c>
      <c r="M538">
        <v>360</v>
      </c>
      <c r="N538">
        <v>6564</v>
      </c>
      <c r="O538">
        <v>13680</v>
      </c>
      <c r="P538" s="13">
        <f t="shared" si="56"/>
        <v>0</v>
      </c>
      <c r="Q538" t="str">
        <f t="shared" si="57"/>
        <v>No</v>
      </c>
      <c r="R538" t="str" cm="1">
        <f t="array" ref="R538">_xlfn.IFS(K538=0,"On Time",K538&lt;=2,"Minor",K538&lt;=5,"Major",K538&gt;5,"Severe")</f>
        <v>Severe</v>
      </c>
      <c r="S538">
        <f t="shared" si="58"/>
        <v>2280</v>
      </c>
      <c r="T538">
        <f t="shared" si="59"/>
        <v>1094</v>
      </c>
      <c r="U538">
        <f t="shared" si="60"/>
        <v>2024</v>
      </c>
      <c r="V538">
        <f t="shared" si="61"/>
        <v>12</v>
      </c>
      <c r="W538" s="11">
        <f t="shared" si="62"/>
        <v>1</v>
      </c>
    </row>
    <row r="539" spans="1:23">
      <c r="A539" t="s">
        <v>552</v>
      </c>
      <c r="B539" s="4">
        <v>45655</v>
      </c>
      <c r="C539" t="s">
        <v>2017</v>
      </c>
      <c r="D539" t="s">
        <v>2023</v>
      </c>
      <c r="E539" t="s">
        <v>2028</v>
      </c>
      <c r="F539" t="s">
        <v>2031</v>
      </c>
      <c r="G539" t="s">
        <v>2036</v>
      </c>
      <c r="H539" t="s">
        <v>2038</v>
      </c>
      <c r="I539">
        <v>3</v>
      </c>
      <c r="J539">
        <v>8</v>
      </c>
      <c r="K539">
        <v>5</v>
      </c>
      <c r="L539" t="s">
        <v>2041</v>
      </c>
      <c r="M539">
        <v>298</v>
      </c>
      <c r="N539">
        <v>4775</v>
      </c>
      <c r="O539">
        <v>21825</v>
      </c>
      <c r="P539" s="13">
        <f t="shared" si="56"/>
        <v>0</v>
      </c>
      <c r="Q539" t="str">
        <f t="shared" si="57"/>
        <v>No</v>
      </c>
      <c r="R539" t="str" cm="1">
        <f t="array" ref="R539">_xlfn.IFS(K539=0,"On Time",K539&lt;=2,"Minor",K539&lt;=5,"Major",K539&gt;5,"Severe")</f>
        <v>Major</v>
      </c>
      <c r="S539">
        <f t="shared" si="58"/>
        <v>4365</v>
      </c>
      <c r="T539">
        <f t="shared" si="59"/>
        <v>955</v>
      </c>
      <c r="U539">
        <f t="shared" si="60"/>
        <v>2024</v>
      </c>
      <c r="V539">
        <f t="shared" si="61"/>
        <v>12</v>
      </c>
      <c r="W539" s="11">
        <f t="shared" si="62"/>
        <v>1</v>
      </c>
    </row>
    <row r="540" spans="1:23">
      <c r="A540" t="s">
        <v>553</v>
      </c>
      <c r="B540" s="4">
        <v>45433</v>
      </c>
      <c r="C540" t="s">
        <v>2015</v>
      </c>
      <c r="D540" t="s">
        <v>2020</v>
      </c>
      <c r="E540" t="s">
        <v>2029</v>
      </c>
      <c r="F540" t="s">
        <v>2031</v>
      </c>
      <c r="G540" t="s">
        <v>2037</v>
      </c>
      <c r="H540" t="s">
        <v>2039</v>
      </c>
      <c r="I540">
        <v>2</v>
      </c>
      <c r="J540">
        <v>7</v>
      </c>
      <c r="K540">
        <v>5</v>
      </c>
      <c r="L540" t="s">
        <v>2041</v>
      </c>
      <c r="M540">
        <v>485</v>
      </c>
      <c r="N540">
        <v>10640</v>
      </c>
      <c r="O540">
        <v>24345</v>
      </c>
      <c r="P540" s="13">
        <f t="shared" si="56"/>
        <v>0</v>
      </c>
      <c r="Q540" t="str">
        <f t="shared" si="57"/>
        <v>No</v>
      </c>
      <c r="R540" t="str" cm="1">
        <f t="array" ref="R540">_xlfn.IFS(K540=0,"On Time",K540&lt;=2,"Minor",K540&lt;=5,"Major",K540&gt;5,"Severe")</f>
        <v>Major</v>
      </c>
      <c r="S540">
        <f t="shared" si="58"/>
        <v>4869</v>
      </c>
      <c r="T540">
        <f t="shared" si="59"/>
        <v>2128</v>
      </c>
      <c r="U540">
        <f t="shared" si="60"/>
        <v>2024</v>
      </c>
      <c r="V540">
        <f t="shared" si="61"/>
        <v>5</v>
      </c>
      <c r="W540" s="11">
        <f t="shared" si="62"/>
        <v>1</v>
      </c>
    </row>
    <row r="541" spans="1:23">
      <c r="A541" t="s">
        <v>554</v>
      </c>
      <c r="B541" s="4">
        <v>45592</v>
      </c>
      <c r="C541" t="s">
        <v>2018</v>
      </c>
      <c r="D541" t="s">
        <v>2024</v>
      </c>
      <c r="E541" t="s">
        <v>2028</v>
      </c>
      <c r="F541" t="s">
        <v>2031</v>
      </c>
      <c r="G541" t="s">
        <v>2036</v>
      </c>
      <c r="H541" t="s">
        <v>2040</v>
      </c>
      <c r="I541">
        <v>2</v>
      </c>
      <c r="J541">
        <v>5</v>
      </c>
      <c r="K541">
        <v>3</v>
      </c>
      <c r="L541" t="s">
        <v>2041</v>
      </c>
      <c r="M541">
        <v>278</v>
      </c>
      <c r="N541">
        <v>6828</v>
      </c>
      <c r="O541">
        <v>7323</v>
      </c>
      <c r="P541" s="13">
        <f t="shared" si="56"/>
        <v>0</v>
      </c>
      <c r="Q541" t="str">
        <f t="shared" si="57"/>
        <v>No</v>
      </c>
      <c r="R541" t="str" cm="1">
        <f t="array" ref="R541">_xlfn.IFS(K541=0,"On Time",K541&lt;=2,"Minor",K541&lt;=5,"Major",K541&gt;5,"Severe")</f>
        <v>Major</v>
      </c>
      <c r="S541">
        <f t="shared" si="58"/>
        <v>2441</v>
      </c>
      <c r="T541">
        <f t="shared" si="59"/>
        <v>2276</v>
      </c>
      <c r="U541">
        <f t="shared" si="60"/>
        <v>2024</v>
      </c>
      <c r="V541">
        <f t="shared" si="61"/>
        <v>10</v>
      </c>
      <c r="W541" s="11">
        <f t="shared" si="62"/>
        <v>1</v>
      </c>
    </row>
    <row r="542" spans="1:23">
      <c r="A542" t="s">
        <v>555</v>
      </c>
      <c r="B542" s="4">
        <v>45487</v>
      </c>
      <c r="C542" t="s">
        <v>2016</v>
      </c>
      <c r="D542" t="s">
        <v>2025</v>
      </c>
      <c r="E542" t="s">
        <v>2028</v>
      </c>
      <c r="F542" t="s">
        <v>2030</v>
      </c>
      <c r="G542" t="s">
        <v>2033</v>
      </c>
      <c r="H542" t="s">
        <v>2038</v>
      </c>
      <c r="I542">
        <v>3</v>
      </c>
      <c r="J542">
        <v>3</v>
      </c>
      <c r="K542">
        <v>0</v>
      </c>
      <c r="L542" t="s">
        <v>2042</v>
      </c>
      <c r="M542">
        <v>245</v>
      </c>
      <c r="N542">
        <v>0</v>
      </c>
      <c r="O542">
        <v>0</v>
      </c>
      <c r="P542" s="13">
        <f t="shared" si="56"/>
        <v>1</v>
      </c>
      <c r="Q542" t="str">
        <f t="shared" si="57"/>
        <v>No</v>
      </c>
      <c r="R542" t="str" cm="1">
        <f t="array" ref="R542">_xlfn.IFS(K542=0,"On Time",K542&lt;=2,"Minor",K542&lt;=5,"Major",K542&gt;5,"Severe")</f>
        <v>On Time</v>
      </c>
      <c r="S542">
        <f t="shared" si="58"/>
        <v>0</v>
      </c>
      <c r="T542">
        <f t="shared" si="59"/>
        <v>0</v>
      </c>
      <c r="U542">
        <f t="shared" si="60"/>
        <v>2024</v>
      </c>
      <c r="V542">
        <f t="shared" si="61"/>
        <v>7</v>
      </c>
      <c r="W542" s="11">
        <f t="shared" si="62"/>
        <v>0</v>
      </c>
    </row>
    <row r="543" spans="1:23">
      <c r="A543" t="s">
        <v>556</v>
      </c>
      <c r="B543" s="4">
        <v>45420</v>
      </c>
      <c r="C543" t="s">
        <v>2017</v>
      </c>
      <c r="D543" t="s">
        <v>2023</v>
      </c>
      <c r="E543" t="s">
        <v>2027</v>
      </c>
      <c r="F543" t="s">
        <v>2030</v>
      </c>
      <c r="G543" t="s">
        <v>2036</v>
      </c>
      <c r="H543" t="s">
        <v>2038</v>
      </c>
      <c r="I543">
        <v>3</v>
      </c>
      <c r="J543">
        <v>7</v>
      </c>
      <c r="K543">
        <v>4</v>
      </c>
      <c r="L543" t="s">
        <v>2041</v>
      </c>
      <c r="M543">
        <v>184</v>
      </c>
      <c r="N543">
        <v>5780</v>
      </c>
      <c r="O543">
        <v>10412</v>
      </c>
      <c r="P543" s="13">
        <f t="shared" si="56"/>
        <v>0</v>
      </c>
      <c r="Q543" t="str">
        <f t="shared" si="57"/>
        <v>No</v>
      </c>
      <c r="R543" t="str" cm="1">
        <f t="array" ref="R543">_xlfn.IFS(K543=0,"On Time",K543&lt;=2,"Minor",K543&lt;=5,"Major",K543&gt;5,"Severe")</f>
        <v>Major</v>
      </c>
      <c r="S543">
        <f t="shared" si="58"/>
        <v>2603</v>
      </c>
      <c r="T543">
        <f t="shared" si="59"/>
        <v>1445</v>
      </c>
      <c r="U543">
        <f t="shared" si="60"/>
        <v>2024</v>
      </c>
      <c r="V543">
        <f t="shared" si="61"/>
        <v>5</v>
      </c>
      <c r="W543" s="11">
        <f t="shared" si="62"/>
        <v>1</v>
      </c>
    </row>
    <row r="544" spans="1:23">
      <c r="A544" t="s">
        <v>557</v>
      </c>
      <c r="B544" s="4">
        <v>45550</v>
      </c>
      <c r="C544" t="s">
        <v>2018</v>
      </c>
      <c r="D544" t="s">
        <v>2024</v>
      </c>
      <c r="E544" t="s">
        <v>2029</v>
      </c>
      <c r="F544" t="s">
        <v>2031</v>
      </c>
      <c r="G544" t="s">
        <v>2035</v>
      </c>
      <c r="H544" t="s">
        <v>2038</v>
      </c>
      <c r="I544">
        <v>3</v>
      </c>
      <c r="J544">
        <v>5</v>
      </c>
      <c r="K544">
        <v>2</v>
      </c>
      <c r="L544" t="s">
        <v>2041</v>
      </c>
      <c r="M544">
        <v>409</v>
      </c>
      <c r="N544">
        <v>3730</v>
      </c>
      <c r="O544">
        <v>8392</v>
      </c>
      <c r="P544" s="13">
        <f t="shared" si="56"/>
        <v>0</v>
      </c>
      <c r="Q544" t="str">
        <f t="shared" si="57"/>
        <v>No</v>
      </c>
      <c r="R544" t="str" cm="1">
        <f t="array" ref="R544">_xlfn.IFS(K544=0,"On Time",K544&lt;=2,"Minor",K544&lt;=5,"Major",K544&gt;5,"Severe")</f>
        <v>Minor</v>
      </c>
      <c r="S544">
        <f t="shared" si="58"/>
        <v>4196</v>
      </c>
      <c r="T544">
        <f t="shared" si="59"/>
        <v>1865</v>
      </c>
      <c r="U544">
        <f t="shared" si="60"/>
        <v>2024</v>
      </c>
      <c r="V544">
        <f t="shared" si="61"/>
        <v>9</v>
      </c>
      <c r="W544" s="11">
        <f t="shared" si="62"/>
        <v>1</v>
      </c>
    </row>
    <row r="545" spans="1:23">
      <c r="A545" t="s">
        <v>558</v>
      </c>
      <c r="B545" s="4">
        <v>45351</v>
      </c>
      <c r="C545" t="s">
        <v>2015</v>
      </c>
      <c r="D545" t="s">
        <v>2020</v>
      </c>
      <c r="E545" t="s">
        <v>2027</v>
      </c>
      <c r="F545" t="s">
        <v>2031</v>
      </c>
      <c r="G545" t="s">
        <v>2036</v>
      </c>
      <c r="H545" t="s">
        <v>2038</v>
      </c>
      <c r="I545">
        <v>1</v>
      </c>
      <c r="J545">
        <v>5</v>
      </c>
      <c r="K545">
        <v>4</v>
      </c>
      <c r="L545" t="s">
        <v>2041</v>
      </c>
      <c r="M545">
        <v>149</v>
      </c>
      <c r="N545">
        <v>7672</v>
      </c>
      <c r="O545">
        <v>18840</v>
      </c>
      <c r="P545" s="13">
        <f t="shared" si="56"/>
        <v>0</v>
      </c>
      <c r="Q545" t="str">
        <f t="shared" si="57"/>
        <v>No</v>
      </c>
      <c r="R545" t="str" cm="1">
        <f t="array" ref="R545">_xlfn.IFS(K545=0,"On Time",K545&lt;=2,"Minor",K545&lt;=5,"Major",K545&gt;5,"Severe")</f>
        <v>Major</v>
      </c>
      <c r="S545">
        <f t="shared" si="58"/>
        <v>4710</v>
      </c>
      <c r="T545">
        <f t="shared" si="59"/>
        <v>1918</v>
      </c>
      <c r="U545">
        <f t="shared" si="60"/>
        <v>2024</v>
      </c>
      <c r="V545">
        <f t="shared" si="61"/>
        <v>2</v>
      </c>
      <c r="W545" s="11">
        <f t="shared" si="62"/>
        <v>1</v>
      </c>
    </row>
    <row r="546" spans="1:23">
      <c r="A546" t="s">
        <v>559</v>
      </c>
      <c r="B546" s="4">
        <v>45556</v>
      </c>
      <c r="C546" t="s">
        <v>2015</v>
      </c>
      <c r="D546" t="s">
        <v>2020</v>
      </c>
      <c r="E546" t="s">
        <v>2027</v>
      </c>
      <c r="F546" t="s">
        <v>2032</v>
      </c>
      <c r="G546" t="s">
        <v>2037</v>
      </c>
      <c r="H546" t="s">
        <v>2040</v>
      </c>
      <c r="I546">
        <v>1</v>
      </c>
      <c r="J546">
        <v>7</v>
      </c>
      <c r="K546">
        <v>6</v>
      </c>
      <c r="L546" t="s">
        <v>2041</v>
      </c>
      <c r="M546">
        <v>285</v>
      </c>
      <c r="N546">
        <v>8526</v>
      </c>
      <c r="O546">
        <v>9054</v>
      </c>
      <c r="P546" s="13">
        <f t="shared" si="56"/>
        <v>0</v>
      </c>
      <c r="Q546" t="str">
        <f t="shared" si="57"/>
        <v>No</v>
      </c>
      <c r="R546" t="str" cm="1">
        <f t="array" ref="R546">_xlfn.IFS(K546=0,"On Time",K546&lt;=2,"Minor",K546&lt;=5,"Major",K546&gt;5,"Severe")</f>
        <v>Severe</v>
      </c>
      <c r="S546">
        <f t="shared" si="58"/>
        <v>1509</v>
      </c>
      <c r="T546">
        <f t="shared" si="59"/>
        <v>1421</v>
      </c>
      <c r="U546">
        <f t="shared" si="60"/>
        <v>2024</v>
      </c>
      <c r="V546">
        <f t="shared" si="61"/>
        <v>9</v>
      </c>
      <c r="W546" s="11">
        <f t="shared" si="62"/>
        <v>1</v>
      </c>
    </row>
    <row r="547" spans="1:23">
      <c r="A547" t="s">
        <v>560</v>
      </c>
      <c r="B547" s="4">
        <v>45488</v>
      </c>
      <c r="C547" t="s">
        <v>2017</v>
      </c>
      <c r="D547" t="s">
        <v>2022</v>
      </c>
      <c r="E547" t="s">
        <v>2027</v>
      </c>
      <c r="F547" t="s">
        <v>2030</v>
      </c>
      <c r="G547" t="s">
        <v>2036</v>
      </c>
      <c r="H547" t="s">
        <v>2039</v>
      </c>
      <c r="I547">
        <v>2</v>
      </c>
      <c r="J547">
        <v>6</v>
      </c>
      <c r="K547">
        <v>4</v>
      </c>
      <c r="L547" t="s">
        <v>2041</v>
      </c>
      <c r="M547">
        <v>497</v>
      </c>
      <c r="N547">
        <v>5320</v>
      </c>
      <c r="O547">
        <v>11248</v>
      </c>
      <c r="P547" s="13">
        <f t="shared" si="56"/>
        <v>0</v>
      </c>
      <c r="Q547" t="str">
        <f t="shared" si="57"/>
        <v>No</v>
      </c>
      <c r="R547" t="str" cm="1">
        <f t="array" ref="R547">_xlfn.IFS(K547=0,"On Time",K547&lt;=2,"Minor",K547&lt;=5,"Major",K547&gt;5,"Severe")</f>
        <v>Major</v>
      </c>
      <c r="S547">
        <f t="shared" si="58"/>
        <v>2812</v>
      </c>
      <c r="T547">
        <f t="shared" si="59"/>
        <v>1330</v>
      </c>
      <c r="U547">
        <f t="shared" si="60"/>
        <v>2024</v>
      </c>
      <c r="V547">
        <f t="shared" si="61"/>
        <v>7</v>
      </c>
      <c r="W547" s="11">
        <f t="shared" si="62"/>
        <v>1</v>
      </c>
    </row>
    <row r="548" spans="1:23">
      <c r="A548" t="s">
        <v>561</v>
      </c>
      <c r="B548" s="4">
        <v>45502</v>
      </c>
      <c r="C548" t="s">
        <v>2015</v>
      </c>
      <c r="D548" t="s">
        <v>2019</v>
      </c>
      <c r="E548" t="s">
        <v>2029</v>
      </c>
      <c r="F548" t="s">
        <v>2031</v>
      </c>
      <c r="G548" t="s">
        <v>2033</v>
      </c>
      <c r="H548" t="s">
        <v>2038</v>
      </c>
      <c r="I548">
        <v>1</v>
      </c>
      <c r="J548">
        <v>1</v>
      </c>
      <c r="K548">
        <v>0</v>
      </c>
      <c r="L548" t="s">
        <v>2042</v>
      </c>
      <c r="M548">
        <v>224</v>
      </c>
      <c r="N548">
        <v>0</v>
      </c>
      <c r="O548">
        <v>0</v>
      </c>
      <c r="P548" s="13">
        <f t="shared" si="56"/>
        <v>1</v>
      </c>
      <c r="Q548" t="str">
        <f t="shared" si="57"/>
        <v>No</v>
      </c>
      <c r="R548" t="str" cm="1">
        <f t="array" ref="R548">_xlfn.IFS(K548=0,"On Time",K548&lt;=2,"Minor",K548&lt;=5,"Major",K548&gt;5,"Severe")</f>
        <v>On Time</v>
      </c>
      <c r="S548">
        <f t="shared" si="58"/>
        <v>0</v>
      </c>
      <c r="T548">
        <f t="shared" si="59"/>
        <v>0</v>
      </c>
      <c r="U548">
        <f t="shared" si="60"/>
        <v>2024</v>
      </c>
      <c r="V548">
        <f t="shared" si="61"/>
        <v>7</v>
      </c>
      <c r="W548" s="11">
        <f t="shared" si="62"/>
        <v>0</v>
      </c>
    </row>
    <row r="549" spans="1:23">
      <c r="A549" t="s">
        <v>562</v>
      </c>
      <c r="B549" s="4">
        <v>45470</v>
      </c>
      <c r="C549" t="s">
        <v>2015</v>
      </c>
      <c r="D549" t="s">
        <v>2019</v>
      </c>
      <c r="E549" t="s">
        <v>2029</v>
      </c>
      <c r="F549" t="s">
        <v>2031</v>
      </c>
      <c r="G549" t="s">
        <v>2035</v>
      </c>
      <c r="H549" t="s">
        <v>2038</v>
      </c>
      <c r="I549">
        <v>2</v>
      </c>
      <c r="J549">
        <v>7</v>
      </c>
      <c r="K549">
        <v>5</v>
      </c>
      <c r="L549" t="s">
        <v>2041</v>
      </c>
      <c r="M549">
        <v>494</v>
      </c>
      <c r="N549">
        <v>9285</v>
      </c>
      <c r="O549">
        <v>18705</v>
      </c>
      <c r="P549" s="13">
        <f t="shared" si="56"/>
        <v>0</v>
      </c>
      <c r="Q549" t="str">
        <f t="shared" si="57"/>
        <v>No</v>
      </c>
      <c r="R549" t="str" cm="1">
        <f t="array" ref="R549">_xlfn.IFS(K549=0,"On Time",K549&lt;=2,"Minor",K549&lt;=5,"Major",K549&gt;5,"Severe")</f>
        <v>Major</v>
      </c>
      <c r="S549">
        <f t="shared" si="58"/>
        <v>3741</v>
      </c>
      <c r="T549">
        <f t="shared" si="59"/>
        <v>1857</v>
      </c>
      <c r="U549">
        <f t="shared" si="60"/>
        <v>2024</v>
      </c>
      <c r="V549">
        <f t="shared" si="61"/>
        <v>6</v>
      </c>
      <c r="W549" s="11">
        <f t="shared" si="62"/>
        <v>1</v>
      </c>
    </row>
    <row r="550" spans="1:23">
      <c r="A550" t="s">
        <v>563</v>
      </c>
      <c r="B550" s="4">
        <v>45369</v>
      </c>
      <c r="C550" t="s">
        <v>2015</v>
      </c>
      <c r="D550" t="s">
        <v>2020</v>
      </c>
      <c r="E550" t="s">
        <v>2028</v>
      </c>
      <c r="F550" t="s">
        <v>2030</v>
      </c>
      <c r="G550" t="s">
        <v>2036</v>
      </c>
      <c r="H550" t="s">
        <v>2038</v>
      </c>
      <c r="I550">
        <v>2</v>
      </c>
      <c r="J550">
        <v>7</v>
      </c>
      <c r="K550">
        <v>5</v>
      </c>
      <c r="L550" t="s">
        <v>2041</v>
      </c>
      <c r="M550">
        <v>354</v>
      </c>
      <c r="N550">
        <v>9995</v>
      </c>
      <c r="O550">
        <v>9325</v>
      </c>
      <c r="P550" s="13">
        <f t="shared" si="56"/>
        <v>0</v>
      </c>
      <c r="Q550" t="str">
        <f t="shared" si="57"/>
        <v>No</v>
      </c>
      <c r="R550" t="str" cm="1">
        <f t="array" ref="R550">_xlfn.IFS(K550=0,"On Time",K550&lt;=2,"Minor",K550&lt;=5,"Major",K550&gt;5,"Severe")</f>
        <v>Major</v>
      </c>
      <c r="S550">
        <f t="shared" si="58"/>
        <v>1865</v>
      </c>
      <c r="T550">
        <f t="shared" si="59"/>
        <v>1999</v>
      </c>
      <c r="U550">
        <f t="shared" si="60"/>
        <v>2024</v>
      </c>
      <c r="V550">
        <f t="shared" si="61"/>
        <v>3</v>
      </c>
      <c r="W550" s="11">
        <f t="shared" si="62"/>
        <v>1</v>
      </c>
    </row>
    <row r="551" spans="1:23">
      <c r="A551" t="s">
        <v>564</v>
      </c>
      <c r="B551" s="4">
        <v>45616</v>
      </c>
      <c r="C551" t="s">
        <v>2016</v>
      </c>
      <c r="D551" t="s">
        <v>2021</v>
      </c>
      <c r="E551" t="s">
        <v>2027</v>
      </c>
      <c r="F551" t="s">
        <v>2031</v>
      </c>
      <c r="G551" t="s">
        <v>2037</v>
      </c>
      <c r="H551" t="s">
        <v>2038</v>
      </c>
      <c r="I551">
        <v>2</v>
      </c>
      <c r="J551">
        <v>7</v>
      </c>
      <c r="K551">
        <v>5</v>
      </c>
      <c r="L551" t="s">
        <v>2041</v>
      </c>
      <c r="M551">
        <v>173</v>
      </c>
      <c r="N551">
        <v>4660</v>
      </c>
      <c r="O551">
        <v>10560</v>
      </c>
      <c r="P551" s="13">
        <f t="shared" si="56"/>
        <v>0</v>
      </c>
      <c r="Q551" t="str">
        <f t="shared" si="57"/>
        <v>No</v>
      </c>
      <c r="R551" t="str" cm="1">
        <f t="array" ref="R551">_xlfn.IFS(K551=0,"On Time",K551&lt;=2,"Minor",K551&lt;=5,"Major",K551&gt;5,"Severe")</f>
        <v>Major</v>
      </c>
      <c r="S551">
        <f t="shared" si="58"/>
        <v>2112</v>
      </c>
      <c r="T551">
        <f t="shared" si="59"/>
        <v>932</v>
      </c>
      <c r="U551">
        <f t="shared" si="60"/>
        <v>2024</v>
      </c>
      <c r="V551">
        <f t="shared" si="61"/>
        <v>11</v>
      </c>
      <c r="W551" s="11">
        <f t="shared" si="62"/>
        <v>1</v>
      </c>
    </row>
    <row r="552" spans="1:23">
      <c r="A552" t="s">
        <v>565</v>
      </c>
      <c r="B552" s="4">
        <v>45388</v>
      </c>
      <c r="C552" t="s">
        <v>2017</v>
      </c>
      <c r="D552" t="s">
        <v>2022</v>
      </c>
      <c r="E552" t="s">
        <v>2029</v>
      </c>
      <c r="F552" t="s">
        <v>2032</v>
      </c>
      <c r="G552" t="s">
        <v>2037</v>
      </c>
      <c r="H552" t="s">
        <v>2040</v>
      </c>
      <c r="I552">
        <v>5</v>
      </c>
      <c r="J552">
        <v>13</v>
      </c>
      <c r="K552">
        <v>8</v>
      </c>
      <c r="L552" t="s">
        <v>2041</v>
      </c>
      <c r="M552">
        <v>128</v>
      </c>
      <c r="N552">
        <v>16168</v>
      </c>
      <c r="O552">
        <v>34056</v>
      </c>
      <c r="P552" s="13">
        <f t="shared" si="56"/>
        <v>0</v>
      </c>
      <c r="Q552" t="str">
        <f t="shared" si="57"/>
        <v>No</v>
      </c>
      <c r="R552" t="str" cm="1">
        <f t="array" ref="R552">_xlfn.IFS(K552=0,"On Time",K552&lt;=2,"Minor",K552&lt;=5,"Major",K552&gt;5,"Severe")</f>
        <v>Severe</v>
      </c>
      <c r="S552">
        <f t="shared" si="58"/>
        <v>4257</v>
      </c>
      <c r="T552">
        <f t="shared" si="59"/>
        <v>2021</v>
      </c>
      <c r="U552">
        <f t="shared" si="60"/>
        <v>2024</v>
      </c>
      <c r="V552">
        <f t="shared" si="61"/>
        <v>4</v>
      </c>
      <c r="W552" s="11">
        <f t="shared" si="62"/>
        <v>1</v>
      </c>
    </row>
    <row r="553" spans="1:23">
      <c r="A553" t="s">
        <v>566</v>
      </c>
      <c r="B553" s="4">
        <v>45470</v>
      </c>
      <c r="C553" t="s">
        <v>2017</v>
      </c>
      <c r="D553" t="s">
        <v>2022</v>
      </c>
      <c r="E553" t="s">
        <v>2029</v>
      </c>
      <c r="F553" t="s">
        <v>2031</v>
      </c>
      <c r="G553" t="s">
        <v>2035</v>
      </c>
      <c r="H553" t="s">
        <v>2039</v>
      </c>
      <c r="I553">
        <v>2</v>
      </c>
      <c r="J553">
        <v>5</v>
      </c>
      <c r="K553">
        <v>3</v>
      </c>
      <c r="L553" t="s">
        <v>2041</v>
      </c>
      <c r="M553">
        <v>438</v>
      </c>
      <c r="N553">
        <v>3210</v>
      </c>
      <c r="O553">
        <v>10473</v>
      </c>
      <c r="P553" s="13">
        <f t="shared" si="56"/>
        <v>0</v>
      </c>
      <c r="Q553" t="str">
        <f t="shared" si="57"/>
        <v>No</v>
      </c>
      <c r="R553" t="str" cm="1">
        <f t="array" ref="R553">_xlfn.IFS(K553=0,"On Time",K553&lt;=2,"Minor",K553&lt;=5,"Major",K553&gt;5,"Severe")</f>
        <v>Major</v>
      </c>
      <c r="S553">
        <f t="shared" si="58"/>
        <v>3491</v>
      </c>
      <c r="T553">
        <f t="shared" si="59"/>
        <v>1070</v>
      </c>
      <c r="U553">
        <f t="shared" si="60"/>
        <v>2024</v>
      </c>
      <c r="V553">
        <f t="shared" si="61"/>
        <v>6</v>
      </c>
      <c r="W553" s="11">
        <f t="shared" si="62"/>
        <v>1</v>
      </c>
    </row>
    <row r="554" spans="1:23">
      <c r="A554" t="s">
        <v>567</v>
      </c>
      <c r="B554" s="4">
        <v>45602</v>
      </c>
      <c r="C554" t="s">
        <v>2016</v>
      </c>
      <c r="D554" t="s">
        <v>2025</v>
      </c>
      <c r="E554" t="s">
        <v>2028</v>
      </c>
      <c r="F554" t="s">
        <v>2031</v>
      </c>
      <c r="G554" t="s">
        <v>2036</v>
      </c>
      <c r="H554" t="s">
        <v>2038</v>
      </c>
      <c r="I554">
        <v>5</v>
      </c>
      <c r="J554">
        <v>5</v>
      </c>
      <c r="K554">
        <v>0</v>
      </c>
      <c r="L554" t="s">
        <v>2042</v>
      </c>
      <c r="M554">
        <v>163</v>
      </c>
      <c r="N554">
        <v>0</v>
      </c>
      <c r="O554">
        <v>0</v>
      </c>
      <c r="P554" s="13">
        <f t="shared" si="56"/>
        <v>1</v>
      </c>
      <c r="Q554" t="str">
        <f t="shared" si="57"/>
        <v>No</v>
      </c>
      <c r="R554" t="str" cm="1">
        <f t="array" ref="R554">_xlfn.IFS(K554=0,"On Time",K554&lt;=2,"Minor",K554&lt;=5,"Major",K554&gt;5,"Severe")</f>
        <v>On Time</v>
      </c>
      <c r="S554">
        <f t="shared" si="58"/>
        <v>0</v>
      </c>
      <c r="T554">
        <f t="shared" si="59"/>
        <v>0</v>
      </c>
      <c r="U554">
        <f t="shared" si="60"/>
        <v>2024</v>
      </c>
      <c r="V554">
        <f t="shared" si="61"/>
        <v>11</v>
      </c>
      <c r="W554" s="11">
        <f t="shared" si="62"/>
        <v>0</v>
      </c>
    </row>
    <row r="555" spans="1:23">
      <c r="A555" t="s">
        <v>568</v>
      </c>
      <c r="B555" s="4">
        <v>45565</v>
      </c>
      <c r="C555" t="s">
        <v>2017</v>
      </c>
      <c r="D555" t="s">
        <v>2023</v>
      </c>
      <c r="E555" t="s">
        <v>2029</v>
      </c>
      <c r="F555" t="s">
        <v>2031</v>
      </c>
      <c r="G555" t="s">
        <v>2035</v>
      </c>
      <c r="H555" t="s">
        <v>2038</v>
      </c>
      <c r="I555">
        <v>2</v>
      </c>
      <c r="J555">
        <v>3</v>
      </c>
      <c r="K555">
        <v>1</v>
      </c>
      <c r="L555" t="s">
        <v>2041</v>
      </c>
      <c r="M555">
        <v>336</v>
      </c>
      <c r="N555">
        <v>1515</v>
      </c>
      <c r="O555">
        <v>2651</v>
      </c>
      <c r="P555" s="13">
        <f t="shared" si="56"/>
        <v>0</v>
      </c>
      <c r="Q555" t="str">
        <f t="shared" si="57"/>
        <v>No</v>
      </c>
      <c r="R555" t="str" cm="1">
        <f t="array" ref="R555">_xlfn.IFS(K555=0,"On Time",K555&lt;=2,"Minor",K555&lt;=5,"Major",K555&gt;5,"Severe")</f>
        <v>Minor</v>
      </c>
      <c r="S555">
        <f t="shared" si="58"/>
        <v>2651</v>
      </c>
      <c r="T555">
        <f t="shared" si="59"/>
        <v>1515</v>
      </c>
      <c r="U555">
        <f t="shared" si="60"/>
        <v>2024</v>
      </c>
      <c r="V555">
        <f t="shared" si="61"/>
        <v>9</v>
      </c>
      <c r="W555" s="11">
        <f t="shared" si="62"/>
        <v>1</v>
      </c>
    </row>
    <row r="556" spans="1:23">
      <c r="A556" t="s">
        <v>569</v>
      </c>
      <c r="B556" s="4">
        <v>45415</v>
      </c>
      <c r="C556" t="s">
        <v>2018</v>
      </c>
      <c r="D556" t="s">
        <v>2024</v>
      </c>
      <c r="E556" t="s">
        <v>2028</v>
      </c>
      <c r="F556" t="s">
        <v>2032</v>
      </c>
      <c r="G556" t="s">
        <v>2034</v>
      </c>
      <c r="H556" t="s">
        <v>2039</v>
      </c>
      <c r="I556">
        <v>3</v>
      </c>
      <c r="J556">
        <v>5</v>
      </c>
      <c r="K556">
        <v>2</v>
      </c>
      <c r="L556" t="s">
        <v>2041</v>
      </c>
      <c r="M556">
        <v>131</v>
      </c>
      <c r="N556">
        <v>3266</v>
      </c>
      <c r="O556">
        <v>3496</v>
      </c>
      <c r="P556" s="13">
        <f t="shared" si="56"/>
        <v>0</v>
      </c>
      <c r="Q556" t="str">
        <f t="shared" si="57"/>
        <v>No</v>
      </c>
      <c r="R556" t="str" cm="1">
        <f t="array" ref="R556">_xlfn.IFS(K556=0,"On Time",K556&lt;=2,"Minor",K556&lt;=5,"Major",K556&gt;5,"Severe")</f>
        <v>Minor</v>
      </c>
      <c r="S556">
        <f t="shared" si="58"/>
        <v>1748</v>
      </c>
      <c r="T556">
        <f t="shared" si="59"/>
        <v>1633</v>
      </c>
      <c r="U556">
        <f t="shared" si="60"/>
        <v>2024</v>
      </c>
      <c r="V556">
        <f t="shared" si="61"/>
        <v>5</v>
      </c>
      <c r="W556" s="11">
        <f t="shared" si="62"/>
        <v>1</v>
      </c>
    </row>
    <row r="557" spans="1:23">
      <c r="A557" t="s">
        <v>570</v>
      </c>
      <c r="B557" s="4">
        <v>45466</v>
      </c>
      <c r="C557" t="s">
        <v>2017</v>
      </c>
      <c r="D557" t="s">
        <v>2022</v>
      </c>
      <c r="E557" t="s">
        <v>2029</v>
      </c>
      <c r="F557" t="s">
        <v>2030</v>
      </c>
      <c r="G557" t="s">
        <v>2033</v>
      </c>
      <c r="H557" t="s">
        <v>2038</v>
      </c>
      <c r="I557">
        <v>1</v>
      </c>
      <c r="J557">
        <v>2</v>
      </c>
      <c r="K557">
        <v>1</v>
      </c>
      <c r="L557" t="s">
        <v>2041</v>
      </c>
      <c r="M557">
        <v>115</v>
      </c>
      <c r="N557">
        <v>1764</v>
      </c>
      <c r="O557">
        <v>3686</v>
      </c>
      <c r="P557" s="13">
        <f t="shared" si="56"/>
        <v>0</v>
      </c>
      <c r="Q557" t="str">
        <f t="shared" si="57"/>
        <v>No</v>
      </c>
      <c r="R557" t="str" cm="1">
        <f t="array" ref="R557">_xlfn.IFS(K557=0,"On Time",K557&lt;=2,"Minor",K557&lt;=5,"Major",K557&gt;5,"Severe")</f>
        <v>Minor</v>
      </c>
      <c r="S557">
        <f t="shared" si="58"/>
        <v>3686</v>
      </c>
      <c r="T557">
        <f t="shared" si="59"/>
        <v>1764</v>
      </c>
      <c r="U557">
        <f t="shared" si="60"/>
        <v>2024</v>
      </c>
      <c r="V557">
        <f t="shared" si="61"/>
        <v>6</v>
      </c>
      <c r="W557" s="11">
        <f t="shared" si="62"/>
        <v>1</v>
      </c>
    </row>
    <row r="558" spans="1:23">
      <c r="A558" t="s">
        <v>571</v>
      </c>
      <c r="B558" s="4">
        <v>45300</v>
      </c>
      <c r="C558" t="s">
        <v>2015</v>
      </c>
      <c r="D558" t="s">
        <v>2020</v>
      </c>
      <c r="E558" t="s">
        <v>2028</v>
      </c>
      <c r="F558" t="s">
        <v>2032</v>
      </c>
      <c r="G558" t="s">
        <v>2035</v>
      </c>
      <c r="H558" t="s">
        <v>2038</v>
      </c>
      <c r="I558">
        <v>2</v>
      </c>
      <c r="J558">
        <v>5</v>
      </c>
      <c r="K558">
        <v>3</v>
      </c>
      <c r="L558" t="s">
        <v>2041</v>
      </c>
      <c r="M558">
        <v>381</v>
      </c>
      <c r="N558">
        <v>3696</v>
      </c>
      <c r="O558">
        <v>13638</v>
      </c>
      <c r="P558" s="13">
        <f t="shared" si="56"/>
        <v>0</v>
      </c>
      <c r="Q558" t="str">
        <f t="shared" si="57"/>
        <v>No</v>
      </c>
      <c r="R558" t="str" cm="1">
        <f t="array" ref="R558">_xlfn.IFS(K558=0,"On Time",K558&lt;=2,"Minor",K558&lt;=5,"Major",K558&gt;5,"Severe")</f>
        <v>Major</v>
      </c>
      <c r="S558">
        <f t="shared" si="58"/>
        <v>4546</v>
      </c>
      <c r="T558">
        <f t="shared" si="59"/>
        <v>1232</v>
      </c>
      <c r="U558">
        <f t="shared" si="60"/>
        <v>2024</v>
      </c>
      <c r="V558">
        <f t="shared" si="61"/>
        <v>1</v>
      </c>
      <c r="W558" s="11">
        <f t="shared" si="62"/>
        <v>1</v>
      </c>
    </row>
    <row r="559" spans="1:23">
      <c r="A559" t="s">
        <v>572</v>
      </c>
      <c r="B559" s="4">
        <v>45489</v>
      </c>
      <c r="C559" t="s">
        <v>2018</v>
      </c>
      <c r="D559" t="s">
        <v>2024</v>
      </c>
      <c r="E559" t="s">
        <v>2028</v>
      </c>
      <c r="F559" t="s">
        <v>2031</v>
      </c>
      <c r="G559" t="s">
        <v>2033</v>
      </c>
      <c r="H559" t="s">
        <v>2039</v>
      </c>
      <c r="I559">
        <v>5</v>
      </c>
      <c r="J559">
        <v>6</v>
      </c>
      <c r="K559">
        <v>1</v>
      </c>
      <c r="L559" t="s">
        <v>2041</v>
      </c>
      <c r="M559">
        <v>264</v>
      </c>
      <c r="N559">
        <v>1021</v>
      </c>
      <c r="O559">
        <v>2905</v>
      </c>
      <c r="P559" s="13">
        <f t="shared" si="56"/>
        <v>0</v>
      </c>
      <c r="Q559" t="str">
        <f t="shared" si="57"/>
        <v>No</v>
      </c>
      <c r="R559" t="str" cm="1">
        <f t="array" ref="R559">_xlfn.IFS(K559=0,"On Time",K559&lt;=2,"Minor",K559&lt;=5,"Major",K559&gt;5,"Severe")</f>
        <v>Minor</v>
      </c>
      <c r="S559">
        <f t="shared" si="58"/>
        <v>2905</v>
      </c>
      <c r="T559">
        <f t="shared" si="59"/>
        <v>1021</v>
      </c>
      <c r="U559">
        <f t="shared" si="60"/>
        <v>2024</v>
      </c>
      <c r="V559">
        <f t="shared" si="61"/>
        <v>7</v>
      </c>
      <c r="W559" s="11">
        <f t="shared" si="62"/>
        <v>1</v>
      </c>
    </row>
    <row r="560" spans="1:23">
      <c r="A560" t="s">
        <v>573</v>
      </c>
      <c r="B560" s="4">
        <v>45409</v>
      </c>
      <c r="C560" t="s">
        <v>2016</v>
      </c>
      <c r="D560" t="s">
        <v>2025</v>
      </c>
      <c r="E560" t="s">
        <v>2028</v>
      </c>
      <c r="F560" t="s">
        <v>2031</v>
      </c>
      <c r="G560" t="s">
        <v>2037</v>
      </c>
      <c r="H560" t="s">
        <v>2039</v>
      </c>
      <c r="I560">
        <v>2</v>
      </c>
      <c r="J560">
        <v>7</v>
      </c>
      <c r="K560">
        <v>5</v>
      </c>
      <c r="L560" t="s">
        <v>2041</v>
      </c>
      <c r="M560">
        <v>89</v>
      </c>
      <c r="N560">
        <v>4120</v>
      </c>
      <c r="O560">
        <v>20640</v>
      </c>
      <c r="P560" s="13">
        <f t="shared" si="56"/>
        <v>0</v>
      </c>
      <c r="Q560" t="str">
        <f t="shared" si="57"/>
        <v>No</v>
      </c>
      <c r="R560" t="str" cm="1">
        <f t="array" ref="R560">_xlfn.IFS(K560=0,"On Time",K560&lt;=2,"Minor",K560&lt;=5,"Major",K560&gt;5,"Severe")</f>
        <v>Major</v>
      </c>
      <c r="S560">
        <f t="shared" si="58"/>
        <v>4128</v>
      </c>
      <c r="T560">
        <f t="shared" si="59"/>
        <v>824</v>
      </c>
      <c r="U560">
        <f t="shared" si="60"/>
        <v>2024</v>
      </c>
      <c r="V560">
        <f t="shared" si="61"/>
        <v>4</v>
      </c>
      <c r="W560" s="11">
        <f t="shared" si="62"/>
        <v>1</v>
      </c>
    </row>
    <row r="561" spans="1:23">
      <c r="A561" t="s">
        <v>574</v>
      </c>
      <c r="B561" s="4">
        <v>45534</v>
      </c>
      <c r="C561" t="s">
        <v>2016</v>
      </c>
      <c r="D561" t="s">
        <v>2025</v>
      </c>
      <c r="E561" t="s">
        <v>2029</v>
      </c>
      <c r="F561" t="s">
        <v>2031</v>
      </c>
      <c r="G561" t="s">
        <v>2035</v>
      </c>
      <c r="H561" t="s">
        <v>2038</v>
      </c>
      <c r="I561">
        <v>3</v>
      </c>
      <c r="J561">
        <v>7</v>
      </c>
      <c r="K561">
        <v>4</v>
      </c>
      <c r="L561" t="s">
        <v>2041</v>
      </c>
      <c r="M561">
        <v>497</v>
      </c>
      <c r="N561">
        <v>8852</v>
      </c>
      <c r="O561">
        <v>16348</v>
      </c>
      <c r="P561" s="13">
        <f t="shared" si="56"/>
        <v>0</v>
      </c>
      <c r="Q561" t="str">
        <f t="shared" si="57"/>
        <v>No</v>
      </c>
      <c r="R561" t="str" cm="1">
        <f t="array" ref="R561">_xlfn.IFS(K561=0,"On Time",K561&lt;=2,"Minor",K561&lt;=5,"Major",K561&gt;5,"Severe")</f>
        <v>Major</v>
      </c>
      <c r="S561">
        <f t="shared" si="58"/>
        <v>4087</v>
      </c>
      <c r="T561">
        <f t="shared" si="59"/>
        <v>2213</v>
      </c>
      <c r="U561">
        <f t="shared" si="60"/>
        <v>2024</v>
      </c>
      <c r="V561">
        <f t="shared" si="61"/>
        <v>8</v>
      </c>
      <c r="W561" s="11">
        <f t="shared" si="62"/>
        <v>1</v>
      </c>
    </row>
    <row r="562" spans="1:23">
      <c r="A562" t="s">
        <v>575</v>
      </c>
      <c r="B562" s="4">
        <v>45541</v>
      </c>
      <c r="C562" t="s">
        <v>2017</v>
      </c>
      <c r="D562" t="s">
        <v>2023</v>
      </c>
      <c r="E562" t="s">
        <v>2027</v>
      </c>
      <c r="F562" t="s">
        <v>2030</v>
      </c>
      <c r="G562" t="s">
        <v>2034</v>
      </c>
      <c r="H562" t="s">
        <v>2039</v>
      </c>
      <c r="I562">
        <v>2</v>
      </c>
      <c r="J562">
        <v>3</v>
      </c>
      <c r="K562">
        <v>1</v>
      </c>
      <c r="L562" t="s">
        <v>2041</v>
      </c>
      <c r="M562">
        <v>206</v>
      </c>
      <c r="N562">
        <v>1778</v>
      </c>
      <c r="O562">
        <v>3114</v>
      </c>
      <c r="P562" s="13">
        <f t="shared" si="56"/>
        <v>0</v>
      </c>
      <c r="Q562" t="str">
        <f t="shared" si="57"/>
        <v>No</v>
      </c>
      <c r="R562" t="str" cm="1">
        <f t="array" ref="R562">_xlfn.IFS(K562=0,"On Time",K562&lt;=2,"Minor",K562&lt;=5,"Major",K562&gt;5,"Severe")</f>
        <v>Minor</v>
      </c>
      <c r="S562">
        <f t="shared" si="58"/>
        <v>3114</v>
      </c>
      <c r="T562">
        <f t="shared" si="59"/>
        <v>1778</v>
      </c>
      <c r="U562">
        <f t="shared" si="60"/>
        <v>2024</v>
      </c>
      <c r="V562">
        <f t="shared" si="61"/>
        <v>9</v>
      </c>
      <c r="W562" s="11">
        <f t="shared" si="62"/>
        <v>1</v>
      </c>
    </row>
    <row r="563" spans="1:23">
      <c r="A563" t="s">
        <v>576</v>
      </c>
      <c r="B563" s="4">
        <v>45520</v>
      </c>
      <c r="C563" t="s">
        <v>2018</v>
      </c>
      <c r="D563" t="s">
        <v>2024</v>
      </c>
      <c r="E563" t="s">
        <v>2029</v>
      </c>
      <c r="F563" t="s">
        <v>2031</v>
      </c>
      <c r="G563" t="s">
        <v>2033</v>
      </c>
      <c r="H563" t="s">
        <v>2038</v>
      </c>
      <c r="I563">
        <v>3</v>
      </c>
      <c r="J563">
        <v>7</v>
      </c>
      <c r="K563">
        <v>4</v>
      </c>
      <c r="L563" t="s">
        <v>2041</v>
      </c>
      <c r="M563">
        <v>152</v>
      </c>
      <c r="N563">
        <v>7488</v>
      </c>
      <c r="O563">
        <v>11100</v>
      </c>
      <c r="P563" s="13">
        <f t="shared" si="56"/>
        <v>0</v>
      </c>
      <c r="Q563" t="str">
        <f t="shared" si="57"/>
        <v>No</v>
      </c>
      <c r="R563" t="str" cm="1">
        <f t="array" ref="R563">_xlfn.IFS(K563=0,"On Time",K563&lt;=2,"Minor",K563&lt;=5,"Major",K563&gt;5,"Severe")</f>
        <v>Major</v>
      </c>
      <c r="S563">
        <f t="shared" si="58"/>
        <v>2775</v>
      </c>
      <c r="T563">
        <f t="shared" si="59"/>
        <v>1872</v>
      </c>
      <c r="U563">
        <f t="shared" si="60"/>
        <v>2024</v>
      </c>
      <c r="V563">
        <f t="shared" si="61"/>
        <v>8</v>
      </c>
      <c r="W563" s="11">
        <f t="shared" si="62"/>
        <v>1</v>
      </c>
    </row>
    <row r="564" spans="1:23">
      <c r="A564" t="s">
        <v>577</v>
      </c>
      <c r="B564" s="4">
        <v>45631</v>
      </c>
      <c r="C564" t="s">
        <v>2018</v>
      </c>
      <c r="D564" t="s">
        <v>2024</v>
      </c>
      <c r="E564" t="s">
        <v>2029</v>
      </c>
      <c r="F564" t="s">
        <v>2031</v>
      </c>
      <c r="G564" t="s">
        <v>2036</v>
      </c>
      <c r="H564" t="s">
        <v>2040</v>
      </c>
      <c r="I564">
        <v>1</v>
      </c>
      <c r="J564">
        <v>7</v>
      </c>
      <c r="K564">
        <v>6</v>
      </c>
      <c r="L564" t="s">
        <v>2041</v>
      </c>
      <c r="M564">
        <v>347</v>
      </c>
      <c r="N564">
        <v>12036</v>
      </c>
      <c r="O564">
        <v>20694</v>
      </c>
      <c r="P564" s="13">
        <f t="shared" si="56"/>
        <v>0</v>
      </c>
      <c r="Q564" t="str">
        <f t="shared" si="57"/>
        <v>No</v>
      </c>
      <c r="R564" t="str" cm="1">
        <f t="array" ref="R564">_xlfn.IFS(K564=0,"On Time",K564&lt;=2,"Minor",K564&lt;=5,"Major",K564&gt;5,"Severe")</f>
        <v>Severe</v>
      </c>
      <c r="S564">
        <f t="shared" si="58"/>
        <v>3449</v>
      </c>
      <c r="T564">
        <f t="shared" si="59"/>
        <v>2006</v>
      </c>
      <c r="U564">
        <f t="shared" si="60"/>
        <v>2024</v>
      </c>
      <c r="V564">
        <f t="shared" si="61"/>
        <v>12</v>
      </c>
      <c r="W564" s="11">
        <f t="shared" si="62"/>
        <v>1</v>
      </c>
    </row>
    <row r="565" spans="1:23">
      <c r="A565" t="s">
        <v>578</v>
      </c>
      <c r="B565" s="4">
        <v>45357</v>
      </c>
      <c r="C565" t="s">
        <v>2018</v>
      </c>
      <c r="D565" t="s">
        <v>2024</v>
      </c>
      <c r="E565" t="s">
        <v>2027</v>
      </c>
      <c r="F565" t="s">
        <v>2031</v>
      </c>
      <c r="G565" t="s">
        <v>2034</v>
      </c>
      <c r="H565" t="s">
        <v>2040</v>
      </c>
      <c r="I565">
        <v>2</v>
      </c>
      <c r="J565">
        <v>10</v>
      </c>
      <c r="K565">
        <v>8</v>
      </c>
      <c r="L565" t="s">
        <v>2041</v>
      </c>
      <c r="M565">
        <v>293</v>
      </c>
      <c r="N565">
        <v>15160</v>
      </c>
      <c r="O565">
        <v>26096</v>
      </c>
      <c r="P565" s="13">
        <f t="shared" si="56"/>
        <v>0</v>
      </c>
      <c r="Q565" t="str">
        <f t="shared" si="57"/>
        <v>No</v>
      </c>
      <c r="R565" t="str" cm="1">
        <f t="array" ref="R565">_xlfn.IFS(K565=0,"On Time",K565&lt;=2,"Minor",K565&lt;=5,"Major",K565&gt;5,"Severe")</f>
        <v>Severe</v>
      </c>
      <c r="S565">
        <f t="shared" si="58"/>
        <v>3262</v>
      </c>
      <c r="T565">
        <f t="shared" si="59"/>
        <v>1895</v>
      </c>
      <c r="U565">
        <f t="shared" si="60"/>
        <v>2024</v>
      </c>
      <c r="V565">
        <f t="shared" si="61"/>
        <v>3</v>
      </c>
      <c r="W565" s="11">
        <f t="shared" si="62"/>
        <v>1</v>
      </c>
    </row>
    <row r="566" spans="1:23">
      <c r="A566" t="s">
        <v>579</v>
      </c>
      <c r="B566" s="4">
        <v>45557</v>
      </c>
      <c r="C566" t="s">
        <v>2018</v>
      </c>
      <c r="D566" t="s">
        <v>2024</v>
      </c>
      <c r="E566" t="s">
        <v>2027</v>
      </c>
      <c r="F566" t="s">
        <v>2032</v>
      </c>
      <c r="G566" t="s">
        <v>2036</v>
      </c>
      <c r="H566" t="s">
        <v>2038</v>
      </c>
      <c r="I566">
        <v>3</v>
      </c>
      <c r="J566">
        <v>8</v>
      </c>
      <c r="K566">
        <v>5</v>
      </c>
      <c r="L566" t="s">
        <v>2041</v>
      </c>
      <c r="M566">
        <v>220</v>
      </c>
      <c r="N566">
        <v>5790</v>
      </c>
      <c r="O566">
        <v>16490</v>
      </c>
      <c r="P566" s="13">
        <f t="shared" si="56"/>
        <v>0</v>
      </c>
      <c r="Q566" t="str">
        <f t="shared" si="57"/>
        <v>No</v>
      </c>
      <c r="R566" t="str" cm="1">
        <f t="array" ref="R566">_xlfn.IFS(K566=0,"On Time",K566&lt;=2,"Minor",K566&lt;=5,"Major",K566&gt;5,"Severe")</f>
        <v>Major</v>
      </c>
      <c r="S566">
        <f t="shared" si="58"/>
        <v>3298</v>
      </c>
      <c r="T566">
        <f t="shared" si="59"/>
        <v>1158</v>
      </c>
      <c r="U566">
        <f t="shared" si="60"/>
        <v>2024</v>
      </c>
      <c r="V566">
        <f t="shared" si="61"/>
        <v>9</v>
      </c>
      <c r="W566" s="11">
        <f t="shared" si="62"/>
        <v>1</v>
      </c>
    </row>
    <row r="567" spans="1:23">
      <c r="A567" t="s">
        <v>580</v>
      </c>
      <c r="B567" s="4">
        <v>45581</v>
      </c>
      <c r="C567" t="s">
        <v>2015</v>
      </c>
      <c r="D567" t="s">
        <v>2019</v>
      </c>
      <c r="E567" t="s">
        <v>2029</v>
      </c>
      <c r="F567" t="s">
        <v>2032</v>
      </c>
      <c r="G567" t="s">
        <v>2035</v>
      </c>
      <c r="H567" t="s">
        <v>2040</v>
      </c>
      <c r="I567">
        <v>1</v>
      </c>
      <c r="J567">
        <v>9</v>
      </c>
      <c r="K567">
        <v>8</v>
      </c>
      <c r="L567" t="s">
        <v>2041</v>
      </c>
      <c r="M567">
        <v>489</v>
      </c>
      <c r="N567">
        <v>18984</v>
      </c>
      <c r="O567">
        <v>27824</v>
      </c>
      <c r="P567" s="13">
        <f t="shared" si="56"/>
        <v>0</v>
      </c>
      <c r="Q567" t="str">
        <f t="shared" si="57"/>
        <v>No</v>
      </c>
      <c r="R567" t="str" cm="1">
        <f t="array" ref="R567">_xlfn.IFS(K567=0,"On Time",K567&lt;=2,"Minor",K567&lt;=5,"Major",K567&gt;5,"Severe")</f>
        <v>Severe</v>
      </c>
      <c r="S567">
        <f t="shared" si="58"/>
        <v>3478</v>
      </c>
      <c r="T567">
        <f t="shared" si="59"/>
        <v>2373</v>
      </c>
      <c r="U567">
        <f t="shared" si="60"/>
        <v>2024</v>
      </c>
      <c r="V567">
        <f t="shared" si="61"/>
        <v>10</v>
      </c>
      <c r="W567" s="11">
        <f t="shared" si="62"/>
        <v>1</v>
      </c>
    </row>
    <row r="568" spans="1:23">
      <c r="A568" t="s">
        <v>581</v>
      </c>
      <c r="B568" s="4">
        <v>45464</v>
      </c>
      <c r="C568" t="s">
        <v>2016</v>
      </c>
      <c r="D568" t="s">
        <v>2021</v>
      </c>
      <c r="E568" t="s">
        <v>2027</v>
      </c>
      <c r="F568" t="s">
        <v>2031</v>
      </c>
      <c r="G568" t="s">
        <v>2034</v>
      </c>
      <c r="H568" t="s">
        <v>2039</v>
      </c>
      <c r="I568">
        <v>5</v>
      </c>
      <c r="J568">
        <v>8</v>
      </c>
      <c r="K568">
        <v>3</v>
      </c>
      <c r="L568" t="s">
        <v>2041</v>
      </c>
      <c r="M568">
        <v>216</v>
      </c>
      <c r="N568">
        <v>4413</v>
      </c>
      <c r="O568">
        <v>12462</v>
      </c>
      <c r="P568" s="13">
        <f t="shared" si="56"/>
        <v>0</v>
      </c>
      <c r="Q568" t="str">
        <f t="shared" si="57"/>
        <v>No</v>
      </c>
      <c r="R568" t="str" cm="1">
        <f t="array" ref="R568">_xlfn.IFS(K568=0,"On Time",K568&lt;=2,"Minor",K568&lt;=5,"Major",K568&gt;5,"Severe")</f>
        <v>Major</v>
      </c>
      <c r="S568">
        <f t="shared" si="58"/>
        <v>4154</v>
      </c>
      <c r="T568">
        <f t="shared" si="59"/>
        <v>1471</v>
      </c>
      <c r="U568">
        <f t="shared" si="60"/>
        <v>2024</v>
      </c>
      <c r="V568">
        <f t="shared" si="61"/>
        <v>6</v>
      </c>
      <c r="W568" s="11">
        <f t="shared" si="62"/>
        <v>1</v>
      </c>
    </row>
    <row r="569" spans="1:23">
      <c r="A569" t="s">
        <v>582</v>
      </c>
      <c r="B569" s="4">
        <v>45301</v>
      </c>
      <c r="C569" t="s">
        <v>2016</v>
      </c>
      <c r="D569" t="s">
        <v>2025</v>
      </c>
      <c r="E569" t="s">
        <v>2028</v>
      </c>
      <c r="F569" t="s">
        <v>2030</v>
      </c>
      <c r="G569" t="s">
        <v>2033</v>
      </c>
      <c r="H569" t="s">
        <v>2038</v>
      </c>
      <c r="I569">
        <v>1</v>
      </c>
      <c r="J569">
        <v>4</v>
      </c>
      <c r="K569">
        <v>3</v>
      </c>
      <c r="L569" t="s">
        <v>2041</v>
      </c>
      <c r="M569">
        <v>288</v>
      </c>
      <c r="N569">
        <v>5226</v>
      </c>
      <c r="O569">
        <v>8016</v>
      </c>
      <c r="P569" s="13">
        <f t="shared" si="56"/>
        <v>0</v>
      </c>
      <c r="Q569" t="str">
        <f t="shared" si="57"/>
        <v>No</v>
      </c>
      <c r="R569" t="str" cm="1">
        <f t="array" ref="R569">_xlfn.IFS(K569=0,"On Time",K569&lt;=2,"Minor",K569&lt;=5,"Major",K569&gt;5,"Severe")</f>
        <v>Major</v>
      </c>
      <c r="S569">
        <f t="shared" si="58"/>
        <v>2672</v>
      </c>
      <c r="T569">
        <f t="shared" si="59"/>
        <v>1742</v>
      </c>
      <c r="U569">
        <f t="shared" si="60"/>
        <v>2024</v>
      </c>
      <c r="V569">
        <f t="shared" si="61"/>
        <v>1</v>
      </c>
      <c r="W569" s="11">
        <f t="shared" si="62"/>
        <v>1</v>
      </c>
    </row>
    <row r="570" spans="1:23">
      <c r="A570" t="s">
        <v>583</v>
      </c>
      <c r="B570" s="4">
        <v>45325</v>
      </c>
      <c r="C570" t="s">
        <v>2015</v>
      </c>
      <c r="D570" t="s">
        <v>2020</v>
      </c>
      <c r="E570" t="s">
        <v>2028</v>
      </c>
      <c r="F570" t="s">
        <v>2031</v>
      </c>
      <c r="G570" t="s">
        <v>2035</v>
      </c>
      <c r="H570" t="s">
        <v>2040</v>
      </c>
      <c r="I570">
        <v>5</v>
      </c>
      <c r="J570">
        <v>9</v>
      </c>
      <c r="K570">
        <v>4</v>
      </c>
      <c r="L570" t="s">
        <v>2041</v>
      </c>
      <c r="M570">
        <v>366</v>
      </c>
      <c r="N570">
        <v>8752</v>
      </c>
      <c r="O570">
        <v>9600</v>
      </c>
      <c r="P570" s="13">
        <f t="shared" si="56"/>
        <v>0</v>
      </c>
      <c r="Q570" t="str">
        <f t="shared" si="57"/>
        <v>No</v>
      </c>
      <c r="R570" t="str" cm="1">
        <f t="array" ref="R570">_xlfn.IFS(K570=0,"On Time",K570&lt;=2,"Minor",K570&lt;=5,"Major",K570&gt;5,"Severe")</f>
        <v>Major</v>
      </c>
      <c r="S570">
        <f t="shared" si="58"/>
        <v>2400</v>
      </c>
      <c r="T570">
        <f t="shared" si="59"/>
        <v>2188</v>
      </c>
      <c r="U570">
        <f t="shared" si="60"/>
        <v>2024</v>
      </c>
      <c r="V570">
        <f t="shared" si="61"/>
        <v>2</v>
      </c>
      <c r="W570" s="11">
        <f t="shared" si="62"/>
        <v>1</v>
      </c>
    </row>
    <row r="571" spans="1:23">
      <c r="A571" t="s">
        <v>584</v>
      </c>
      <c r="B571" s="4">
        <v>45563</v>
      </c>
      <c r="C571" t="s">
        <v>2015</v>
      </c>
      <c r="D571" t="s">
        <v>2020</v>
      </c>
      <c r="E571" t="s">
        <v>2027</v>
      </c>
      <c r="F571" t="s">
        <v>2031</v>
      </c>
      <c r="G571" t="s">
        <v>2035</v>
      </c>
      <c r="H571" t="s">
        <v>2040</v>
      </c>
      <c r="I571">
        <v>2</v>
      </c>
      <c r="J571">
        <v>8</v>
      </c>
      <c r="K571">
        <v>6</v>
      </c>
      <c r="L571" t="s">
        <v>2041</v>
      </c>
      <c r="M571">
        <v>80</v>
      </c>
      <c r="N571">
        <v>8622</v>
      </c>
      <c r="O571">
        <v>20376</v>
      </c>
      <c r="P571" s="13">
        <f t="shared" si="56"/>
        <v>0</v>
      </c>
      <c r="Q571" t="str">
        <f t="shared" si="57"/>
        <v>No</v>
      </c>
      <c r="R571" t="str" cm="1">
        <f t="array" ref="R571">_xlfn.IFS(K571=0,"On Time",K571&lt;=2,"Minor",K571&lt;=5,"Major",K571&gt;5,"Severe")</f>
        <v>Severe</v>
      </c>
      <c r="S571">
        <f t="shared" si="58"/>
        <v>3396</v>
      </c>
      <c r="T571">
        <f t="shared" si="59"/>
        <v>1437</v>
      </c>
      <c r="U571">
        <f t="shared" si="60"/>
        <v>2024</v>
      </c>
      <c r="V571">
        <f t="shared" si="61"/>
        <v>9</v>
      </c>
      <c r="W571" s="11">
        <f t="shared" si="62"/>
        <v>1</v>
      </c>
    </row>
    <row r="572" spans="1:23">
      <c r="A572" t="s">
        <v>585</v>
      </c>
      <c r="B572" s="4">
        <v>45536</v>
      </c>
      <c r="C572" t="s">
        <v>2018</v>
      </c>
      <c r="D572" t="s">
        <v>2026</v>
      </c>
      <c r="E572" t="s">
        <v>2028</v>
      </c>
      <c r="F572" t="s">
        <v>2031</v>
      </c>
      <c r="G572" t="s">
        <v>2036</v>
      </c>
      <c r="H572" t="s">
        <v>2039</v>
      </c>
      <c r="I572">
        <v>1</v>
      </c>
      <c r="J572">
        <v>2</v>
      </c>
      <c r="K572">
        <v>1</v>
      </c>
      <c r="L572" t="s">
        <v>2041</v>
      </c>
      <c r="M572">
        <v>94</v>
      </c>
      <c r="N572">
        <v>1388</v>
      </c>
      <c r="O572">
        <v>3850</v>
      </c>
      <c r="P572" s="13">
        <f t="shared" si="56"/>
        <v>0</v>
      </c>
      <c r="Q572" t="str">
        <f t="shared" si="57"/>
        <v>No</v>
      </c>
      <c r="R572" t="str" cm="1">
        <f t="array" ref="R572">_xlfn.IFS(K572=0,"On Time",K572&lt;=2,"Minor",K572&lt;=5,"Major",K572&gt;5,"Severe")</f>
        <v>Minor</v>
      </c>
      <c r="S572">
        <f t="shared" si="58"/>
        <v>3850</v>
      </c>
      <c r="T572">
        <f t="shared" si="59"/>
        <v>1388</v>
      </c>
      <c r="U572">
        <f t="shared" si="60"/>
        <v>2024</v>
      </c>
      <c r="V572">
        <f t="shared" si="61"/>
        <v>9</v>
      </c>
      <c r="W572" s="11">
        <f t="shared" si="62"/>
        <v>1</v>
      </c>
    </row>
    <row r="573" spans="1:23">
      <c r="A573" t="s">
        <v>586</v>
      </c>
      <c r="B573" s="4">
        <v>45460</v>
      </c>
      <c r="C573" t="s">
        <v>2017</v>
      </c>
      <c r="D573" t="s">
        <v>2023</v>
      </c>
      <c r="E573" t="s">
        <v>2027</v>
      </c>
      <c r="F573" t="s">
        <v>2031</v>
      </c>
      <c r="G573" t="s">
        <v>2036</v>
      </c>
      <c r="H573" t="s">
        <v>2039</v>
      </c>
      <c r="I573">
        <v>2</v>
      </c>
      <c r="J573">
        <v>7</v>
      </c>
      <c r="K573">
        <v>5</v>
      </c>
      <c r="L573" t="s">
        <v>2041</v>
      </c>
      <c r="M573">
        <v>426</v>
      </c>
      <c r="N573">
        <v>7135</v>
      </c>
      <c r="O573">
        <v>9710</v>
      </c>
      <c r="P573" s="13">
        <f t="shared" si="56"/>
        <v>0</v>
      </c>
      <c r="Q573" t="str">
        <f t="shared" si="57"/>
        <v>No</v>
      </c>
      <c r="R573" t="str" cm="1">
        <f t="array" ref="R573">_xlfn.IFS(K573=0,"On Time",K573&lt;=2,"Minor",K573&lt;=5,"Major",K573&gt;5,"Severe")</f>
        <v>Major</v>
      </c>
      <c r="S573">
        <f t="shared" si="58"/>
        <v>1942</v>
      </c>
      <c r="T573">
        <f t="shared" si="59"/>
        <v>1427</v>
      </c>
      <c r="U573">
        <f t="shared" si="60"/>
        <v>2024</v>
      </c>
      <c r="V573">
        <f t="shared" si="61"/>
        <v>6</v>
      </c>
      <c r="W573" s="11">
        <f t="shared" si="62"/>
        <v>1</v>
      </c>
    </row>
    <row r="574" spans="1:23">
      <c r="A574" t="s">
        <v>587</v>
      </c>
      <c r="B574" s="4">
        <v>45384</v>
      </c>
      <c r="C574" t="s">
        <v>2015</v>
      </c>
      <c r="D574" t="s">
        <v>2020</v>
      </c>
      <c r="E574" t="s">
        <v>2029</v>
      </c>
      <c r="F574" t="s">
        <v>2032</v>
      </c>
      <c r="G574" t="s">
        <v>2033</v>
      </c>
      <c r="H574" t="s">
        <v>2040</v>
      </c>
      <c r="I574">
        <v>3</v>
      </c>
      <c r="J574">
        <v>8</v>
      </c>
      <c r="K574">
        <v>5</v>
      </c>
      <c r="L574" t="s">
        <v>2041</v>
      </c>
      <c r="M574">
        <v>135</v>
      </c>
      <c r="N574">
        <v>9285</v>
      </c>
      <c r="O574">
        <v>9120</v>
      </c>
      <c r="P574" s="13">
        <f t="shared" si="56"/>
        <v>0</v>
      </c>
      <c r="Q574" t="str">
        <f t="shared" si="57"/>
        <v>No</v>
      </c>
      <c r="R574" t="str" cm="1">
        <f t="array" ref="R574">_xlfn.IFS(K574=0,"On Time",K574&lt;=2,"Minor",K574&lt;=5,"Major",K574&gt;5,"Severe")</f>
        <v>Major</v>
      </c>
      <c r="S574">
        <f t="shared" si="58"/>
        <v>1824</v>
      </c>
      <c r="T574">
        <f t="shared" si="59"/>
        <v>1857</v>
      </c>
      <c r="U574">
        <f t="shared" si="60"/>
        <v>2024</v>
      </c>
      <c r="V574">
        <f t="shared" si="61"/>
        <v>4</v>
      </c>
      <c r="W574" s="11">
        <f t="shared" si="62"/>
        <v>1</v>
      </c>
    </row>
    <row r="575" spans="1:23">
      <c r="A575" t="s">
        <v>588</v>
      </c>
      <c r="B575" s="4">
        <v>45495</v>
      </c>
      <c r="C575" t="s">
        <v>2016</v>
      </c>
      <c r="D575" t="s">
        <v>2021</v>
      </c>
      <c r="E575" t="s">
        <v>2027</v>
      </c>
      <c r="F575" t="s">
        <v>2031</v>
      </c>
      <c r="G575" t="s">
        <v>2034</v>
      </c>
      <c r="H575" t="s">
        <v>2038</v>
      </c>
      <c r="I575">
        <v>1</v>
      </c>
      <c r="J575">
        <v>1</v>
      </c>
      <c r="K575">
        <v>0</v>
      </c>
      <c r="L575" t="s">
        <v>2042</v>
      </c>
      <c r="M575">
        <v>316</v>
      </c>
      <c r="N575">
        <v>0</v>
      </c>
      <c r="O575">
        <v>0</v>
      </c>
      <c r="P575" s="13">
        <f t="shared" si="56"/>
        <v>1</v>
      </c>
      <c r="Q575" t="str">
        <f t="shared" si="57"/>
        <v>No</v>
      </c>
      <c r="R575" t="str" cm="1">
        <f t="array" ref="R575">_xlfn.IFS(K575=0,"On Time",K575&lt;=2,"Minor",K575&lt;=5,"Major",K575&gt;5,"Severe")</f>
        <v>On Time</v>
      </c>
      <c r="S575">
        <f t="shared" si="58"/>
        <v>0</v>
      </c>
      <c r="T575">
        <f t="shared" si="59"/>
        <v>0</v>
      </c>
      <c r="U575">
        <f t="shared" si="60"/>
        <v>2024</v>
      </c>
      <c r="V575">
        <f t="shared" si="61"/>
        <v>7</v>
      </c>
      <c r="W575" s="11">
        <f t="shared" si="62"/>
        <v>0</v>
      </c>
    </row>
    <row r="576" spans="1:23">
      <c r="A576" t="s">
        <v>589</v>
      </c>
      <c r="B576" s="4">
        <v>45553</v>
      </c>
      <c r="C576" t="s">
        <v>2017</v>
      </c>
      <c r="D576" t="s">
        <v>2023</v>
      </c>
      <c r="E576" t="s">
        <v>2029</v>
      </c>
      <c r="F576" t="s">
        <v>2031</v>
      </c>
      <c r="G576" t="s">
        <v>2036</v>
      </c>
      <c r="H576" t="s">
        <v>2039</v>
      </c>
      <c r="I576">
        <v>2</v>
      </c>
      <c r="J576">
        <v>3</v>
      </c>
      <c r="K576">
        <v>1</v>
      </c>
      <c r="L576" t="s">
        <v>2041</v>
      </c>
      <c r="M576">
        <v>192</v>
      </c>
      <c r="N576">
        <v>1127</v>
      </c>
      <c r="O576">
        <v>2188</v>
      </c>
      <c r="P576" s="13">
        <f t="shared" si="56"/>
        <v>0</v>
      </c>
      <c r="Q576" t="str">
        <f t="shared" si="57"/>
        <v>No</v>
      </c>
      <c r="R576" t="str" cm="1">
        <f t="array" ref="R576">_xlfn.IFS(K576=0,"On Time",K576&lt;=2,"Minor",K576&lt;=5,"Major",K576&gt;5,"Severe")</f>
        <v>Minor</v>
      </c>
      <c r="S576">
        <f t="shared" si="58"/>
        <v>2188</v>
      </c>
      <c r="T576">
        <f t="shared" si="59"/>
        <v>1127</v>
      </c>
      <c r="U576">
        <f t="shared" si="60"/>
        <v>2024</v>
      </c>
      <c r="V576">
        <f t="shared" si="61"/>
        <v>9</v>
      </c>
      <c r="W576" s="11">
        <f t="shared" si="62"/>
        <v>1</v>
      </c>
    </row>
    <row r="577" spans="1:23">
      <c r="A577" t="s">
        <v>590</v>
      </c>
      <c r="B577" s="4">
        <v>45565</v>
      </c>
      <c r="C577" t="s">
        <v>2017</v>
      </c>
      <c r="D577" t="s">
        <v>2023</v>
      </c>
      <c r="E577" t="s">
        <v>2029</v>
      </c>
      <c r="F577" t="s">
        <v>2031</v>
      </c>
      <c r="G577" t="s">
        <v>2035</v>
      </c>
      <c r="H577" t="s">
        <v>2039</v>
      </c>
      <c r="I577">
        <v>1</v>
      </c>
      <c r="J577">
        <v>3</v>
      </c>
      <c r="K577">
        <v>2</v>
      </c>
      <c r="L577" t="s">
        <v>2041</v>
      </c>
      <c r="M577">
        <v>78</v>
      </c>
      <c r="N577">
        <v>2036</v>
      </c>
      <c r="O577">
        <v>8452</v>
      </c>
      <c r="P577" s="13">
        <f t="shared" si="56"/>
        <v>0</v>
      </c>
      <c r="Q577" t="str">
        <f t="shared" si="57"/>
        <v>No</v>
      </c>
      <c r="R577" t="str" cm="1">
        <f t="array" ref="R577">_xlfn.IFS(K577=0,"On Time",K577&lt;=2,"Minor",K577&lt;=5,"Major",K577&gt;5,"Severe")</f>
        <v>Minor</v>
      </c>
      <c r="S577">
        <f t="shared" si="58"/>
        <v>4226</v>
      </c>
      <c r="T577">
        <f t="shared" si="59"/>
        <v>1018</v>
      </c>
      <c r="U577">
        <f t="shared" si="60"/>
        <v>2024</v>
      </c>
      <c r="V577">
        <f t="shared" si="61"/>
        <v>9</v>
      </c>
      <c r="W577" s="11">
        <f t="shared" si="62"/>
        <v>1</v>
      </c>
    </row>
    <row r="578" spans="1:23">
      <c r="A578" t="s">
        <v>591</v>
      </c>
      <c r="B578" s="4">
        <v>45482</v>
      </c>
      <c r="C578" t="s">
        <v>2015</v>
      </c>
      <c r="D578" t="s">
        <v>2019</v>
      </c>
      <c r="E578" t="s">
        <v>2028</v>
      </c>
      <c r="F578" t="s">
        <v>2031</v>
      </c>
      <c r="G578" t="s">
        <v>2035</v>
      </c>
      <c r="H578" t="s">
        <v>2038</v>
      </c>
      <c r="I578">
        <v>2</v>
      </c>
      <c r="J578">
        <v>6</v>
      </c>
      <c r="K578">
        <v>4</v>
      </c>
      <c r="L578" t="s">
        <v>2041</v>
      </c>
      <c r="M578">
        <v>402</v>
      </c>
      <c r="N578">
        <v>5424</v>
      </c>
      <c r="O578">
        <v>15252</v>
      </c>
      <c r="P578" s="13">
        <f t="shared" si="56"/>
        <v>0</v>
      </c>
      <c r="Q578" t="str">
        <f t="shared" si="57"/>
        <v>No</v>
      </c>
      <c r="R578" t="str" cm="1">
        <f t="array" ref="R578">_xlfn.IFS(K578=0,"On Time",K578&lt;=2,"Minor",K578&lt;=5,"Major",K578&gt;5,"Severe")</f>
        <v>Major</v>
      </c>
      <c r="S578">
        <f t="shared" si="58"/>
        <v>3813</v>
      </c>
      <c r="T578">
        <f t="shared" si="59"/>
        <v>1356</v>
      </c>
      <c r="U578">
        <f t="shared" si="60"/>
        <v>2024</v>
      </c>
      <c r="V578">
        <f t="shared" si="61"/>
        <v>7</v>
      </c>
      <c r="W578" s="11">
        <f t="shared" si="62"/>
        <v>1</v>
      </c>
    </row>
    <row r="579" spans="1:23">
      <c r="A579" t="s">
        <v>592</v>
      </c>
      <c r="B579" s="4">
        <v>45560</v>
      </c>
      <c r="C579" t="s">
        <v>2016</v>
      </c>
      <c r="D579" t="s">
        <v>2025</v>
      </c>
      <c r="E579" t="s">
        <v>2028</v>
      </c>
      <c r="F579" t="s">
        <v>2031</v>
      </c>
      <c r="G579" t="s">
        <v>2035</v>
      </c>
      <c r="H579" t="s">
        <v>2039</v>
      </c>
      <c r="I579">
        <v>5</v>
      </c>
      <c r="J579">
        <v>6</v>
      </c>
      <c r="K579">
        <v>1</v>
      </c>
      <c r="L579" t="s">
        <v>2041</v>
      </c>
      <c r="M579">
        <v>445</v>
      </c>
      <c r="N579">
        <v>1857</v>
      </c>
      <c r="O579">
        <v>1679</v>
      </c>
      <c r="P579" s="13">
        <f t="shared" ref="P579:P642" si="63">IF(L579="Yes",0,1)</f>
        <v>0</v>
      </c>
      <c r="Q579" t="str">
        <f t="shared" ref="Q579:Q642" si="64">IF(K579&gt;J579,"Yes","No")</f>
        <v>No</v>
      </c>
      <c r="R579" t="str" cm="1">
        <f t="array" ref="R579">_xlfn.IFS(K579=0,"On Time",K579&lt;=2,"Minor",K579&lt;=5,"Major",K579&gt;5,"Severe")</f>
        <v>Minor</v>
      </c>
      <c r="S579">
        <f t="shared" ref="S579:S642" si="65">IFERROR(O579/K579,0)</f>
        <v>1679</v>
      </c>
      <c r="T579">
        <f t="shared" ref="T579:T642" si="66">IFERROR(N579/K579,0)</f>
        <v>1857</v>
      </c>
      <c r="U579">
        <f t="shared" ref="U579:U642" si="67">YEAR(B579)</f>
        <v>2024</v>
      </c>
      <c r="V579">
        <f t="shared" ref="V579:V642" si="68">MONTH(B579)</f>
        <v>9</v>
      </c>
      <c r="W579" s="11">
        <f t="shared" ref="W579:W642" si="69">IF(L579="Yes",1,0)</f>
        <v>1</v>
      </c>
    </row>
    <row r="580" spans="1:23">
      <c r="A580" t="s">
        <v>593</v>
      </c>
      <c r="B580" s="4">
        <v>45377</v>
      </c>
      <c r="C580" t="s">
        <v>2018</v>
      </c>
      <c r="D580" t="s">
        <v>2024</v>
      </c>
      <c r="E580" t="s">
        <v>2028</v>
      </c>
      <c r="F580" t="s">
        <v>2030</v>
      </c>
      <c r="G580" t="s">
        <v>2036</v>
      </c>
      <c r="H580" t="s">
        <v>2040</v>
      </c>
      <c r="I580">
        <v>3</v>
      </c>
      <c r="J580">
        <v>10</v>
      </c>
      <c r="K580">
        <v>7</v>
      </c>
      <c r="L580" t="s">
        <v>2041</v>
      </c>
      <c r="M580">
        <v>155</v>
      </c>
      <c r="N580">
        <v>10703</v>
      </c>
      <c r="O580">
        <v>11578</v>
      </c>
      <c r="P580" s="13">
        <f t="shared" si="63"/>
        <v>0</v>
      </c>
      <c r="Q580" t="str">
        <f t="shared" si="64"/>
        <v>No</v>
      </c>
      <c r="R580" t="str" cm="1">
        <f t="array" ref="R580">_xlfn.IFS(K580=0,"On Time",K580&lt;=2,"Minor",K580&lt;=5,"Major",K580&gt;5,"Severe")</f>
        <v>Severe</v>
      </c>
      <c r="S580">
        <f t="shared" si="65"/>
        <v>1654</v>
      </c>
      <c r="T580">
        <f t="shared" si="66"/>
        <v>1529</v>
      </c>
      <c r="U580">
        <f t="shared" si="67"/>
        <v>2024</v>
      </c>
      <c r="V580">
        <f t="shared" si="68"/>
        <v>3</v>
      </c>
      <c r="W580" s="11">
        <f t="shared" si="69"/>
        <v>1</v>
      </c>
    </row>
    <row r="581" spans="1:23">
      <c r="A581" t="s">
        <v>594</v>
      </c>
      <c r="B581" s="4">
        <v>45445</v>
      </c>
      <c r="C581" t="s">
        <v>2016</v>
      </c>
      <c r="D581" t="s">
        <v>2025</v>
      </c>
      <c r="E581" t="s">
        <v>2028</v>
      </c>
      <c r="F581" t="s">
        <v>2030</v>
      </c>
      <c r="G581" t="s">
        <v>2037</v>
      </c>
      <c r="H581" t="s">
        <v>2038</v>
      </c>
      <c r="I581">
        <v>2</v>
      </c>
      <c r="J581">
        <v>2</v>
      </c>
      <c r="K581">
        <v>0</v>
      </c>
      <c r="L581" t="s">
        <v>2042</v>
      </c>
      <c r="M581">
        <v>467</v>
      </c>
      <c r="N581">
        <v>0</v>
      </c>
      <c r="O581">
        <v>0</v>
      </c>
      <c r="P581" s="13">
        <f t="shared" si="63"/>
        <v>1</v>
      </c>
      <c r="Q581" t="str">
        <f t="shared" si="64"/>
        <v>No</v>
      </c>
      <c r="R581" t="str" cm="1">
        <f t="array" ref="R581">_xlfn.IFS(K581=0,"On Time",K581&lt;=2,"Minor",K581&lt;=5,"Major",K581&gt;5,"Severe")</f>
        <v>On Time</v>
      </c>
      <c r="S581">
        <f t="shared" si="65"/>
        <v>0</v>
      </c>
      <c r="T581">
        <f t="shared" si="66"/>
        <v>0</v>
      </c>
      <c r="U581">
        <f t="shared" si="67"/>
        <v>2024</v>
      </c>
      <c r="V581">
        <f t="shared" si="68"/>
        <v>6</v>
      </c>
      <c r="W581" s="11">
        <f t="shared" si="69"/>
        <v>0</v>
      </c>
    </row>
    <row r="582" spans="1:23">
      <c r="A582" t="s">
        <v>595</v>
      </c>
      <c r="B582" s="4">
        <v>45513</v>
      </c>
      <c r="C582" t="s">
        <v>2017</v>
      </c>
      <c r="D582" t="s">
        <v>2023</v>
      </c>
      <c r="E582" t="s">
        <v>2029</v>
      </c>
      <c r="F582" t="s">
        <v>2030</v>
      </c>
      <c r="G582" t="s">
        <v>2036</v>
      </c>
      <c r="H582" t="s">
        <v>2040</v>
      </c>
      <c r="I582">
        <v>1</v>
      </c>
      <c r="J582">
        <v>6</v>
      </c>
      <c r="K582">
        <v>5</v>
      </c>
      <c r="L582" t="s">
        <v>2041</v>
      </c>
      <c r="M582">
        <v>485</v>
      </c>
      <c r="N582">
        <v>7890</v>
      </c>
      <c r="O582">
        <v>10295</v>
      </c>
      <c r="P582" s="13">
        <f t="shared" si="63"/>
        <v>0</v>
      </c>
      <c r="Q582" t="str">
        <f t="shared" si="64"/>
        <v>No</v>
      </c>
      <c r="R582" t="str" cm="1">
        <f t="array" ref="R582">_xlfn.IFS(K582=0,"On Time",K582&lt;=2,"Minor",K582&lt;=5,"Major",K582&gt;5,"Severe")</f>
        <v>Major</v>
      </c>
      <c r="S582">
        <f t="shared" si="65"/>
        <v>2059</v>
      </c>
      <c r="T582">
        <f t="shared" si="66"/>
        <v>1578</v>
      </c>
      <c r="U582">
        <f t="shared" si="67"/>
        <v>2024</v>
      </c>
      <c r="V582">
        <f t="shared" si="68"/>
        <v>8</v>
      </c>
      <c r="W582" s="11">
        <f t="shared" si="69"/>
        <v>1</v>
      </c>
    </row>
    <row r="583" spans="1:23">
      <c r="A583" t="s">
        <v>596</v>
      </c>
      <c r="B583" s="4">
        <v>45406</v>
      </c>
      <c r="C583" t="s">
        <v>2016</v>
      </c>
      <c r="D583" t="s">
        <v>2021</v>
      </c>
      <c r="E583" t="s">
        <v>2027</v>
      </c>
      <c r="F583" t="s">
        <v>2031</v>
      </c>
      <c r="G583" t="s">
        <v>2036</v>
      </c>
      <c r="H583" t="s">
        <v>2040</v>
      </c>
      <c r="I583">
        <v>3</v>
      </c>
      <c r="J583">
        <v>6</v>
      </c>
      <c r="K583">
        <v>3</v>
      </c>
      <c r="L583" t="s">
        <v>2041</v>
      </c>
      <c r="M583">
        <v>112</v>
      </c>
      <c r="N583">
        <v>7296</v>
      </c>
      <c r="O583">
        <v>11637</v>
      </c>
      <c r="P583" s="13">
        <f t="shared" si="63"/>
        <v>0</v>
      </c>
      <c r="Q583" t="str">
        <f t="shared" si="64"/>
        <v>No</v>
      </c>
      <c r="R583" t="str" cm="1">
        <f t="array" ref="R583">_xlfn.IFS(K583=0,"On Time",K583&lt;=2,"Minor",K583&lt;=5,"Major",K583&gt;5,"Severe")</f>
        <v>Major</v>
      </c>
      <c r="S583">
        <f t="shared" si="65"/>
        <v>3879</v>
      </c>
      <c r="T583">
        <f t="shared" si="66"/>
        <v>2432</v>
      </c>
      <c r="U583">
        <f t="shared" si="67"/>
        <v>2024</v>
      </c>
      <c r="V583">
        <f t="shared" si="68"/>
        <v>4</v>
      </c>
      <c r="W583" s="11">
        <f t="shared" si="69"/>
        <v>1</v>
      </c>
    </row>
    <row r="584" spans="1:23">
      <c r="A584" t="s">
        <v>597</v>
      </c>
      <c r="B584" s="4">
        <v>45354</v>
      </c>
      <c r="C584" t="s">
        <v>2017</v>
      </c>
      <c r="D584" t="s">
        <v>2022</v>
      </c>
      <c r="E584" t="s">
        <v>2029</v>
      </c>
      <c r="F584" t="s">
        <v>2030</v>
      </c>
      <c r="G584" t="s">
        <v>2036</v>
      </c>
      <c r="H584" t="s">
        <v>2038</v>
      </c>
      <c r="I584">
        <v>5</v>
      </c>
      <c r="J584">
        <v>9</v>
      </c>
      <c r="K584">
        <v>4</v>
      </c>
      <c r="L584" t="s">
        <v>2041</v>
      </c>
      <c r="M584">
        <v>191</v>
      </c>
      <c r="N584">
        <v>6520</v>
      </c>
      <c r="O584">
        <v>10016</v>
      </c>
      <c r="P584" s="13">
        <f t="shared" si="63"/>
        <v>0</v>
      </c>
      <c r="Q584" t="str">
        <f t="shared" si="64"/>
        <v>No</v>
      </c>
      <c r="R584" t="str" cm="1">
        <f t="array" ref="R584">_xlfn.IFS(K584=0,"On Time",K584&lt;=2,"Minor",K584&lt;=5,"Major",K584&gt;5,"Severe")</f>
        <v>Major</v>
      </c>
      <c r="S584">
        <f t="shared" si="65"/>
        <v>2504</v>
      </c>
      <c r="T584">
        <f t="shared" si="66"/>
        <v>1630</v>
      </c>
      <c r="U584">
        <f t="shared" si="67"/>
        <v>2024</v>
      </c>
      <c r="V584">
        <f t="shared" si="68"/>
        <v>3</v>
      </c>
      <c r="W584" s="11">
        <f t="shared" si="69"/>
        <v>1</v>
      </c>
    </row>
    <row r="585" spans="1:23">
      <c r="A585" t="s">
        <v>598</v>
      </c>
      <c r="B585" s="4">
        <v>45495</v>
      </c>
      <c r="C585" t="s">
        <v>2015</v>
      </c>
      <c r="D585" t="s">
        <v>2020</v>
      </c>
      <c r="E585" t="s">
        <v>2027</v>
      </c>
      <c r="F585" t="s">
        <v>2031</v>
      </c>
      <c r="G585" t="s">
        <v>2033</v>
      </c>
      <c r="H585" t="s">
        <v>2038</v>
      </c>
      <c r="I585">
        <v>3</v>
      </c>
      <c r="J585">
        <v>7</v>
      </c>
      <c r="K585">
        <v>4</v>
      </c>
      <c r="L585" t="s">
        <v>2041</v>
      </c>
      <c r="M585">
        <v>335</v>
      </c>
      <c r="N585">
        <v>3796</v>
      </c>
      <c r="O585">
        <v>14684</v>
      </c>
      <c r="P585" s="13">
        <f t="shared" si="63"/>
        <v>0</v>
      </c>
      <c r="Q585" t="str">
        <f t="shared" si="64"/>
        <v>No</v>
      </c>
      <c r="R585" t="str" cm="1">
        <f t="array" ref="R585">_xlfn.IFS(K585=0,"On Time",K585&lt;=2,"Minor",K585&lt;=5,"Major",K585&gt;5,"Severe")</f>
        <v>Major</v>
      </c>
      <c r="S585">
        <f t="shared" si="65"/>
        <v>3671</v>
      </c>
      <c r="T585">
        <f t="shared" si="66"/>
        <v>949</v>
      </c>
      <c r="U585">
        <f t="shared" si="67"/>
        <v>2024</v>
      </c>
      <c r="V585">
        <f t="shared" si="68"/>
        <v>7</v>
      </c>
      <c r="W585" s="11">
        <f t="shared" si="69"/>
        <v>1</v>
      </c>
    </row>
    <row r="586" spans="1:23">
      <c r="A586" t="s">
        <v>599</v>
      </c>
      <c r="B586" s="4">
        <v>45437</v>
      </c>
      <c r="C586" t="s">
        <v>2017</v>
      </c>
      <c r="D586" t="s">
        <v>2023</v>
      </c>
      <c r="E586" t="s">
        <v>2027</v>
      </c>
      <c r="F586" t="s">
        <v>2031</v>
      </c>
      <c r="G586" t="s">
        <v>2036</v>
      </c>
      <c r="H586" t="s">
        <v>2039</v>
      </c>
      <c r="I586">
        <v>3</v>
      </c>
      <c r="J586">
        <v>8</v>
      </c>
      <c r="K586">
        <v>5</v>
      </c>
      <c r="L586" t="s">
        <v>2041</v>
      </c>
      <c r="M586">
        <v>445</v>
      </c>
      <c r="N586">
        <v>6095</v>
      </c>
      <c r="O586">
        <v>11010</v>
      </c>
      <c r="P586" s="13">
        <f t="shared" si="63"/>
        <v>0</v>
      </c>
      <c r="Q586" t="str">
        <f t="shared" si="64"/>
        <v>No</v>
      </c>
      <c r="R586" t="str" cm="1">
        <f t="array" ref="R586">_xlfn.IFS(K586=0,"On Time",K586&lt;=2,"Minor",K586&lt;=5,"Major",K586&gt;5,"Severe")</f>
        <v>Major</v>
      </c>
      <c r="S586">
        <f t="shared" si="65"/>
        <v>2202</v>
      </c>
      <c r="T586">
        <f t="shared" si="66"/>
        <v>1219</v>
      </c>
      <c r="U586">
        <f t="shared" si="67"/>
        <v>2024</v>
      </c>
      <c r="V586">
        <f t="shared" si="68"/>
        <v>5</v>
      </c>
      <c r="W586" s="11">
        <f t="shared" si="69"/>
        <v>1</v>
      </c>
    </row>
    <row r="587" spans="1:23">
      <c r="A587" t="s">
        <v>600</v>
      </c>
      <c r="B587" s="4">
        <v>45450</v>
      </c>
      <c r="C587" t="s">
        <v>2015</v>
      </c>
      <c r="D587" t="s">
        <v>2020</v>
      </c>
      <c r="E587" t="s">
        <v>2028</v>
      </c>
      <c r="F587" t="s">
        <v>2030</v>
      </c>
      <c r="G587" t="s">
        <v>2035</v>
      </c>
      <c r="H587" t="s">
        <v>2040</v>
      </c>
      <c r="I587">
        <v>5</v>
      </c>
      <c r="J587">
        <v>8</v>
      </c>
      <c r="K587">
        <v>3</v>
      </c>
      <c r="L587" t="s">
        <v>2041</v>
      </c>
      <c r="M587">
        <v>54</v>
      </c>
      <c r="N587">
        <v>2886</v>
      </c>
      <c r="O587">
        <v>13233</v>
      </c>
      <c r="P587" s="13">
        <f t="shared" si="63"/>
        <v>0</v>
      </c>
      <c r="Q587" t="str">
        <f t="shared" si="64"/>
        <v>No</v>
      </c>
      <c r="R587" t="str" cm="1">
        <f t="array" ref="R587">_xlfn.IFS(K587=0,"On Time",K587&lt;=2,"Minor",K587&lt;=5,"Major",K587&gt;5,"Severe")</f>
        <v>Major</v>
      </c>
      <c r="S587">
        <f t="shared" si="65"/>
        <v>4411</v>
      </c>
      <c r="T587">
        <f t="shared" si="66"/>
        <v>962</v>
      </c>
      <c r="U587">
        <f t="shared" si="67"/>
        <v>2024</v>
      </c>
      <c r="V587">
        <f t="shared" si="68"/>
        <v>6</v>
      </c>
      <c r="W587" s="11">
        <f t="shared" si="69"/>
        <v>1</v>
      </c>
    </row>
    <row r="588" spans="1:23">
      <c r="A588" t="s">
        <v>601</v>
      </c>
      <c r="B588" s="4">
        <v>45314</v>
      </c>
      <c r="C588" t="s">
        <v>2017</v>
      </c>
      <c r="D588" t="s">
        <v>2023</v>
      </c>
      <c r="E588" t="s">
        <v>2029</v>
      </c>
      <c r="F588" t="s">
        <v>2031</v>
      </c>
      <c r="G588" t="s">
        <v>2036</v>
      </c>
      <c r="H588" t="s">
        <v>2038</v>
      </c>
      <c r="I588">
        <v>2</v>
      </c>
      <c r="J588">
        <v>4</v>
      </c>
      <c r="K588">
        <v>2</v>
      </c>
      <c r="L588" t="s">
        <v>2041</v>
      </c>
      <c r="M588">
        <v>60</v>
      </c>
      <c r="N588">
        <v>2902</v>
      </c>
      <c r="O588">
        <v>7180</v>
      </c>
      <c r="P588" s="13">
        <f t="shared" si="63"/>
        <v>0</v>
      </c>
      <c r="Q588" t="str">
        <f t="shared" si="64"/>
        <v>No</v>
      </c>
      <c r="R588" t="str" cm="1">
        <f t="array" ref="R588">_xlfn.IFS(K588=0,"On Time",K588&lt;=2,"Minor",K588&lt;=5,"Major",K588&gt;5,"Severe")</f>
        <v>Minor</v>
      </c>
      <c r="S588">
        <f t="shared" si="65"/>
        <v>3590</v>
      </c>
      <c r="T588">
        <f t="shared" si="66"/>
        <v>1451</v>
      </c>
      <c r="U588">
        <f t="shared" si="67"/>
        <v>2024</v>
      </c>
      <c r="V588">
        <f t="shared" si="68"/>
        <v>1</v>
      </c>
      <c r="W588" s="11">
        <f t="shared" si="69"/>
        <v>1</v>
      </c>
    </row>
    <row r="589" spans="1:23">
      <c r="A589" t="s">
        <v>602</v>
      </c>
      <c r="B589" s="4">
        <v>45362</v>
      </c>
      <c r="C589" t="s">
        <v>2015</v>
      </c>
      <c r="D589" t="s">
        <v>2020</v>
      </c>
      <c r="E589" t="s">
        <v>2027</v>
      </c>
      <c r="F589" t="s">
        <v>2030</v>
      </c>
      <c r="G589" t="s">
        <v>2037</v>
      </c>
      <c r="H589" t="s">
        <v>2039</v>
      </c>
      <c r="I589">
        <v>3</v>
      </c>
      <c r="J589">
        <v>4</v>
      </c>
      <c r="K589">
        <v>1</v>
      </c>
      <c r="L589" t="s">
        <v>2041</v>
      </c>
      <c r="M589">
        <v>363</v>
      </c>
      <c r="N589">
        <v>1187</v>
      </c>
      <c r="O589">
        <v>4973</v>
      </c>
      <c r="P589" s="13">
        <f t="shared" si="63"/>
        <v>0</v>
      </c>
      <c r="Q589" t="str">
        <f t="shared" si="64"/>
        <v>No</v>
      </c>
      <c r="R589" t="str" cm="1">
        <f t="array" ref="R589">_xlfn.IFS(K589=0,"On Time",K589&lt;=2,"Minor",K589&lt;=5,"Major",K589&gt;5,"Severe")</f>
        <v>Minor</v>
      </c>
      <c r="S589">
        <f t="shared" si="65"/>
        <v>4973</v>
      </c>
      <c r="T589">
        <f t="shared" si="66"/>
        <v>1187</v>
      </c>
      <c r="U589">
        <f t="shared" si="67"/>
        <v>2024</v>
      </c>
      <c r="V589">
        <f t="shared" si="68"/>
        <v>3</v>
      </c>
      <c r="W589" s="11">
        <f t="shared" si="69"/>
        <v>1</v>
      </c>
    </row>
    <row r="590" spans="1:23">
      <c r="A590" t="s">
        <v>603</v>
      </c>
      <c r="B590" s="4">
        <v>45633</v>
      </c>
      <c r="C590" t="s">
        <v>2016</v>
      </c>
      <c r="D590" t="s">
        <v>2025</v>
      </c>
      <c r="E590" t="s">
        <v>2029</v>
      </c>
      <c r="F590" t="s">
        <v>2030</v>
      </c>
      <c r="G590" t="s">
        <v>2036</v>
      </c>
      <c r="H590" t="s">
        <v>2038</v>
      </c>
      <c r="I590">
        <v>3</v>
      </c>
      <c r="J590">
        <v>5</v>
      </c>
      <c r="K590">
        <v>2</v>
      </c>
      <c r="L590" t="s">
        <v>2041</v>
      </c>
      <c r="M590">
        <v>135</v>
      </c>
      <c r="N590">
        <v>4882</v>
      </c>
      <c r="O590">
        <v>6586</v>
      </c>
      <c r="P590" s="13">
        <f t="shared" si="63"/>
        <v>0</v>
      </c>
      <c r="Q590" t="str">
        <f t="shared" si="64"/>
        <v>No</v>
      </c>
      <c r="R590" t="str" cm="1">
        <f t="array" ref="R590">_xlfn.IFS(K590=0,"On Time",K590&lt;=2,"Minor",K590&lt;=5,"Major",K590&gt;5,"Severe")</f>
        <v>Minor</v>
      </c>
      <c r="S590">
        <f t="shared" si="65"/>
        <v>3293</v>
      </c>
      <c r="T590">
        <f t="shared" si="66"/>
        <v>2441</v>
      </c>
      <c r="U590">
        <f t="shared" si="67"/>
        <v>2024</v>
      </c>
      <c r="V590">
        <f t="shared" si="68"/>
        <v>12</v>
      </c>
      <c r="W590" s="11">
        <f t="shared" si="69"/>
        <v>1</v>
      </c>
    </row>
    <row r="591" spans="1:23">
      <c r="A591" t="s">
        <v>604</v>
      </c>
      <c r="B591" s="4">
        <v>45308</v>
      </c>
      <c r="C591" t="s">
        <v>2015</v>
      </c>
      <c r="D591" t="s">
        <v>2019</v>
      </c>
      <c r="E591" t="s">
        <v>2027</v>
      </c>
      <c r="F591" t="s">
        <v>2031</v>
      </c>
      <c r="G591" t="s">
        <v>2033</v>
      </c>
      <c r="H591" t="s">
        <v>2039</v>
      </c>
      <c r="I591">
        <v>2</v>
      </c>
      <c r="J591">
        <v>4</v>
      </c>
      <c r="K591">
        <v>2</v>
      </c>
      <c r="L591" t="s">
        <v>2041</v>
      </c>
      <c r="M591">
        <v>404</v>
      </c>
      <c r="N591">
        <v>3242</v>
      </c>
      <c r="O591">
        <v>6466</v>
      </c>
      <c r="P591" s="13">
        <f t="shared" si="63"/>
        <v>0</v>
      </c>
      <c r="Q591" t="str">
        <f t="shared" si="64"/>
        <v>No</v>
      </c>
      <c r="R591" t="str" cm="1">
        <f t="array" ref="R591">_xlfn.IFS(K591=0,"On Time",K591&lt;=2,"Minor",K591&lt;=5,"Major",K591&gt;5,"Severe")</f>
        <v>Minor</v>
      </c>
      <c r="S591">
        <f t="shared" si="65"/>
        <v>3233</v>
      </c>
      <c r="T591">
        <f t="shared" si="66"/>
        <v>1621</v>
      </c>
      <c r="U591">
        <f t="shared" si="67"/>
        <v>2024</v>
      </c>
      <c r="V591">
        <f t="shared" si="68"/>
        <v>1</v>
      </c>
      <c r="W591" s="11">
        <f t="shared" si="69"/>
        <v>1</v>
      </c>
    </row>
    <row r="592" spans="1:23">
      <c r="A592" t="s">
        <v>605</v>
      </c>
      <c r="B592" s="4">
        <v>45545</v>
      </c>
      <c r="C592" t="s">
        <v>2016</v>
      </c>
      <c r="D592" t="s">
        <v>2021</v>
      </c>
      <c r="E592" t="s">
        <v>2029</v>
      </c>
      <c r="F592" t="s">
        <v>2031</v>
      </c>
      <c r="G592" t="s">
        <v>2037</v>
      </c>
      <c r="H592" t="s">
        <v>2038</v>
      </c>
      <c r="I592">
        <v>2</v>
      </c>
      <c r="J592">
        <v>7</v>
      </c>
      <c r="K592">
        <v>5</v>
      </c>
      <c r="L592" t="s">
        <v>2041</v>
      </c>
      <c r="M592">
        <v>97</v>
      </c>
      <c r="N592">
        <v>11920</v>
      </c>
      <c r="O592">
        <v>14630</v>
      </c>
      <c r="P592" s="13">
        <f t="shared" si="63"/>
        <v>0</v>
      </c>
      <c r="Q592" t="str">
        <f t="shared" si="64"/>
        <v>No</v>
      </c>
      <c r="R592" t="str" cm="1">
        <f t="array" ref="R592">_xlfn.IFS(K592=0,"On Time",K592&lt;=2,"Minor",K592&lt;=5,"Major",K592&gt;5,"Severe")</f>
        <v>Major</v>
      </c>
      <c r="S592">
        <f t="shared" si="65"/>
        <v>2926</v>
      </c>
      <c r="T592">
        <f t="shared" si="66"/>
        <v>2384</v>
      </c>
      <c r="U592">
        <f t="shared" si="67"/>
        <v>2024</v>
      </c>
      <c r="V592">
        <f t="shared" si="68"/>
        <v>9</v>
      </c>
      <c r="W592" s="11">
        <f t="shared" si="69"/>
        <v>1</v>
      </c>
    </row>
    <row r="593" spans="1:23">
      <c r="A593" t="s">
        <v>606</v>
      </c>
      <c r="B593" s="4">
        <v>45380</v>
      </c>
      <c r="C593" t="s">
        <v>2018</v>
      </c>
      <c r="D593" t="s">
        <v>2024</v>
      </c>
      <c r="E593" t="s">
        <v>2027</v>
      </c>
      <c r="F593" t="s">
        <v>2031</v>
      </c>
      <c r="G593" t="s">
        <v>2034</v>
      </c>
      <c r="H593" t="s">
        <v>2038</v>
      </c>
      <c r="I593">
        <v>3</v>
      </c>
      <c r="J593">
        <v>8</v>
      </c>
      <c r="K593">
        <v>5</v>
      </c>
      <c r="L593" t="s">
        <v>2041</v>
      </c>
      <c r="M593">
        <v>436</v>
      </c>
      <c r="N593">
        <v>11160</v>
      </c>
      <c r="O593">
        <v>21775</v>
      </c>
      <c r="P593" s="13">
        <f t="shared" si="63"/>
        <v>0</v>
      </c>
      <c r="Q593" t="str">
        <f t="shared" si="64"/>
        <v>No</v>
      </c>
      <c r="R593" t="str" cm="1">
        <f t="array" ref="R593">_xlfn.IFS(K593=0,"On Time",K593&lt;=2,"Minor",K593&lt;=5,"Major",K593&gt;5,"Severe")</f>
        <v>Major</v>
      </c>
      <c r="S593">
        <f t="shared" si="65"/>
        <v>4355</v>
      </c>
      <c r="T593">
        <f t="shared" si="66"/>
        <v>2232</v>
      </c>
      <c r="U593">
        <f t="shared" si="67"/>
        <v>2024</v>
      </c>
      <c r="V593">
        <f t="shared" si="68"/>
        <v>3</v>
      </c>
      <c r="W593" s="11">
        <f t="shared" si="69"/>
        <v>1</v>
      </c>
    </row>
    <row r="594" spans="1:23">
      <c r="A594" t="s">
        <v>607</v>
      </c>
      <c r="B594" s="4">
        <v>45465</v>
      </c>
      <c r="C594" t="s">
        <v>2017</v>
      </c>
      <c r="D594" t="s">
        <v>2022</v>
      </c>
      <c r="E594" t="s">
        <v>2029</v>
      </c>
      <c r="F594" t="s">
        <v>2030</v>
      </c>
      <c r="G594" t="s">
        <v>2034</v>
      </c>
      <c r="H594" t="s">
        <v>2039</v>
      </c>
      <c r="I594">
        <v>2</v>
      </c>
      <c r="J594">
        <v>5</v>
      </c>
      <c r="K594">
        <v>3</v>
      </c>
      <c r="L594" t="s">
        <v>2041</v>
      </c>
      <c r="M594">
        <v>226</v>
      </c>
      <c r="N594">
        <v>5907</v>
      </c>
      <c r="O594">
        <v>8343</v>
      </c>
      <c r="P594" s="13">
        <f t="shared" si="63"/>
        <v>0</v>
      </c>
      <c r="Q594" t="str">
        <f t="shared" si="64"/>
        <v>No</v>
      </c>
      <c r="R594" t="str" cm="1">
        <f t="array" ref="R594">_xlfn.IFS(K594=0,"On Time",K594&lt;=2,"Minor",K594&lt;=5,"Major",K594&gt;5,"Severe")</f>
        <v>Major</v>
      </c>
      <c r="S594">
        <f t="shared" si="65"/>
        <v>2781</v>
      </c>
      <c r="T594">
        <f t="shared" si="66"/>
        <v>1969</v>
      </c>
      <c r="U594">
        <f t="shared" si="67"/>
        <v>2024</v>
      </c>
      <c r="V594">
        <f t="shared" si="68"/>
        <v>6</v>
      </c>
      <c r="W594" s="11">
        <f t="shared" si="69"/>
        <v>1</v>
      </c>
    </row>
    <row r="595" spans="1:23">
      <c r="A595" t="s">
        <v>608</v>
      </c>
      <c r="B595" s="4">
        <v>45487</v>
      </c>
      <c r="C595" t="s">
        <v>2015</v>
      </c>
      <c r="D595" t="s">
        <v>2019</v>
      </c>
      <c r="E595" t="s">
        <v>2029</v>
      </c>
      <c r="F595" t="s">
        <v>2032</v>
      </c>
      <c r="G595" t="s">
        <v>2037</v>
      </c>
      <c r="H595" t="s">
        <v>2038</v>
      </c>
      <c r="I595">
        <v>1</v>
      </c>
      <c r="J595">
        <v>8</v>
      </c>
      <c r="K595">
        <v>7</v>
      </c>
      <c r="L595" t="s">
        <v>2041</v>
      </c>
      <c r="M595">
        <v>97</v>
      </c>
      <c r="N595">
        <v>11928</v>
      </c>
      <c r="O595">
        <v>14763</v>
      </c>
      <c r="P595" s="13">
        <f t="shared" si="63"/>
        <v>0</v>
      </c>
      <c r="Q595" t="str">
        <f t="shared" si="64"/>
        <v>No</v>
      </c>
      <c r="R595" t="str" cm="1">
        <f t="array" ref="R595">_xlfn.IFS(K595=0,"On Time",K595&lt;=2,"Minor",K595&lt;=5,"Major",K595&gt;5,"Severe")</f>
        <v>Severe</v>
      </c>
      <c r="S595">
        <f t="shared" si="65"/>
        <v>2109</v>
      </c>
      <c r="T595">
        <f t="shared" si="66"/>
        <v>1704</v>
      </c>
      <c r="U595">
        <f t="shared" si="67"/>
        <v>2024</v>
      </c>
      <c r="V595">
        <f t="shared" si="68"/>
        <v>7</v>
      </c>
      <c r="W595" s="11">
        <f t="shared" si="69"/>
        <v>1</v>
      </c>
    </row>
    <row r="596" spans="1:23">
      <c r="A596" t="s">
        <v>609</v>
      </c>
      <c r="B596" s="4">
        <v>45488</v>
      </c>
      <c r="C596" t="s">
        <v>2017</v>
      </c>
      <c r="D596" t="s">
        <v>2023</v>
      </c>
      <c r="E596" t="s">
        <v>2029</v>
      </c>
      <c r="F596" t="s">
        <v>2031</v>
      </c>
      <c r="G596" t="s">
        <v>2037</v>
      </c>
      <c r="H596" t="s">
        <v>2038</v>
      </c>
      <c r="I596">
        <v>2</v>
      </c>
      <c r="J596">
        <v>6</v>
      </c>
      <c r="K596">
        <v>4</v>
      </c>
      <c r="L596" t="s">
        <v>2041</v>
      </c>
      <c r="M596">
        <v>374</v>
      </c>
      <c r="N596">
        <v>9188</v>
      </c>
      <c r="O596">
        <v>17224</v>
      </c>
      <c r="P596" s="13">
        <f t="shared" si="63"/>
        <v>0</v>
      </c>
      <c r="Q596" t="str">
        <f t="shared" si="64"/>
        <v>No</v>
      </c>
      <c r="R596" t="str" cm="1">
        <f t="array" ref="R596">_xlfn.IFS(K596=0,"On Time",K596&lt;=2,"Minor",K596&lt;=5,"Major",K596&gt;5,"Severe")</f>
        <v>Major</v>
      </c>
      <c r="S596">
        <f t="shared" si="65"/>
        <v>4306</v>
      </c>
      <c r="T596">
        <f t="shared" si="66"/>
        <v>2297</v>
      </c>
      <c r="U596">
        <f t="shared" si="67"/>
        <v>2024</v>
      </c>
      <c r="V596">
        <f t="shared" si="68"/>
        <v>7</v>
      </c>
      <c r="W596" s="11">
        <f t="shared" si="69"/>
        <v>1</v>
      </c>
    </row>
    <row r="597" spans="1:23">
      <c r="A597" t="s">
        <v>610</v>
      </c>
      <c r="B597" s="4">
        <v>45434</v>
      </c>
      <c r="C597" t="s">
        <v>2018</v>
      </c>
      <c r="D597" t="s">
        <v>2024</v>
      </c>
      <c r="E597" t="s">
        <v>2029</v>
      </c>
      <c r="F597" t="s">
        <v>2030</v>
      </c>
      <c r="G597" t="s">
        <v>2037</v>
      </c>
      <c r="H597" t="s">
        <v>2038</v>
      </c>
      <c r="I597">
        <v>2</v>
      </c>
      <c r="J597">
        <v>7</v>
      </c>
      <c r="K597">
        <v>5</v>
      </c>
      <c r="L597" t="s">
        <v>2041</v>
      </c>
      <c r="M597">
        <v>395</v>
      </c>
      <c r="N597">
        <v>10720</v>
      </c>
      <c r="O597">
        <v>15355</v>
      </c>
      <c r="P597" s="13">
        <f t="shared" si="63"/>
        <v>0</v>
      </c>
      <c r="Q597" t="str">
        <f t="shared" si="64"/>
        <v>No</v>
      </c>
      <c r="R597" t="str" cm="1">
        <f t="array" ref="R597">_xlfn.IFS(K597=0,"On Time",K597&lt;=2,"Minor",K597&lt;=5,"Major",K597&gt;5,"Severe")</f>
        <v>Major</v>
      </c>
      <c r="S597">
        <f t="shared" si="65"/>
        <v>3071</v>
      </c>
      <c r="T597">
        <f t="shared" si="66"/>
        <v>2144</v>
      </c>
      <c r="U597">
        <f t="shared" si="67"/>
        <v>2024</v>
      </c>
      <c r="V597">
        <f t="shared" si="68"/>
        <v>5</v>
      </c>
      <c r="W597" s="11">
        <f t="shared" si="69"/>
        <v>1</v>
      </c>
    </row>
    <row r="598" spans="1:23">
      <c r="A598" t="s">
        <v>611</v>
      </c>
      <c r="B598" s="4">
        <v>45429</v>
      </c>
      <c r="C598" t="s">
        <v>2018</v>
      </c>
      <c r="D598" t="s">
        <v>2024</v>
      </c>
      <c r="E598" t="s">
        <v>2027</v>
      </c>
      <c r="F598" t="s">
        <v>2030</v>
      </c>
      <c r="G598" t="s">
        <v>2033</v>
      </c>
      <c r="H598" t="s">
        <v>2039</v>
      </c>
      <c r="I598">
        <v>1</v>
      </c>
      <c r="J598">
        <v>3</v>
      </c>
      <c r="K598">
        <v>2</v>
      </c>
      <c r="L598" t="s">
        <v>2041</v>
      </c>
      <c r="M598">
        <v>485</v>
      </c>
      <c r="N598">
        <v>1848</v>
      </c>
      <c r="O598">
        <v>7890</v>
      </c>
      <c r="P598" s="13">
        <f t="shared" si="63"/>
        <v>0</v>
      </c>
      <c r="Q598" t="str">
        <f t="shared" si="64"/>
        <v>No</v>
      </c>
      <c r="R598" t="str" cm="1">
        <f t="array" ref="R598">_xlfn.IFS(K598=0,"On Time",K598&lt;=2,"Minor",K598&lt;=5,"Major",K598&gt;5,"Severe")</f>
        <v>Minor</v>
      </c>
      <c r="S598">
        <f t="shared" si="65"/>
        <v>3945</v>
      </c>
      <c r="T598">
        <f t="shared" si="66"/>
        <v>924</v>
      </c>
      <c r="U598">
        <f t="shared" si="67"/>
        <v>2024</v>
      </c>
      <c r="V598">
        <f t="shared" si="68"/>
        <v>5</v>
      </c>
      <c r="W598" s="11">
        <f t="shared" si="69"/>
        <v>1</v>
      </c>
    </row>
    <row r="599" spans="1:23">
      <c r="A599" t="s">
        <v>612</v>
      </c>
      <c r="B599" s="4">
        <v>45413</v>
      </c>
      <c r="C599" t="s">
        <v>2015</v>
      </c>
      <c r="D599" t="s">
        <v>2020</v>
      </c>
      <c r="E599" t="s">
        <v>2028</v>
      </c>
      <c r="F599" t="s">
        <v>2031</v>
      </c>
      <c r="G599" t="s">
        <v>2033</v>
      </c>
      <c r="H599" t="s">
        <v>2039</v>
      </c>
      <c r="I599">
        <v>5</v>
      </c>
      <c r="J599">
        <v>7</v>
      </c>
      <c r="K599">
        <v>2</v>
      </c>
      <c r="L599" t="s">
        <v>2041</v>
      </c>
      <c r="M599">
        <v>140</v>
      </c>
      <c r="N599">
        <v>2654</v>
      </c>
      <c r="O599">
        <v>9258</v>
      </c>
      <c r="P599" s="13">
        <f t="shared" si="63"/>
        <v>0</v>
      </c>
      <c r="Q599" t="str">
        <f t="shared" si="64"/>
        <v>No</v>
      </c>
      <c r="R599" t="str" cm="1">
        <f t="array" ref="R599">_xlfn.IFS(K599=0,"On Time",K599&lt;=2,"Minor",K599&lt;=5,"Major",K599&gt;5,"Severe")</f>
        <v>Minor</v>
      </c>
      <c r="S599">
        <f t="shared" si="65"/>
        <v>4629</v>
      </c>
      <c r="T599">
        <f t="shared" si="66"/>
        <v>1327</v>
      </c>
      <c r="U599">
        <f t="shared" si="67"/>
        <v>2024</v>
      </c>
      <c r="V599">
        <f t="shared" si="68"/>
        <v>5</v>
      </c>
      <c r="W599" s="11">
        <f t="shared" si="69"/>
        <v>1</v>
      </c>
    </row>
    <row r="600" spans="1:23">
      <c r="A600" t="s">
        <v>613</v>
      </c>
      <c r="B600" s="4">
        <v>45486</v>
      </c>
      <c r="C600" t="s">
        <v>2016</v>
      </c>
      <c r="D600" t="s">
        <v>2025</v>
      </c>
      <c r="E600" t="s">
        <v>2027</v>
      </c>
      <c r="F600" t="s">
        <v>2032</v>
      </c>
      <c r="G600" t="s">
        <v>2035</v>
      </c>
      <c r="H600" t="s">
        <v>2038</v>
      </c>
      <c r="I600">
        <v>2</v>
      </c>
      <c r="J600">
        <v>7</v>
      </c>
      <c r="K600">
        <v>5</v>
      </c>
      <c r="L600" t="s">
        <v>2041</v>
      </c>
      <c r="M600">
        <v>97</v>
      </c>
      <c r="N600">
        <v>9350</v>
      </c>
      <c r="O600">
        <v>22015</v>
      </c>
      <c r="P600" s="13">
        <f t="shared" si="63"/>
        <v>0</v>
      </c>
      <c r="Q600" t="str">
        <f t="shared" si="64"/>
        <v>No</v>
      </c>
      <c r="R600" t="str" cm="1">
        <f t="array" ref="R600">_xlfn.IFS(K600=0,"On Time",K600&lt;=2,"Minor",K600&lt;=5,"Major",K600&gt;5,"Severe")</f>
        <v>Major</v>
      </c>
      <c r="S600">
        <f t="shared" si="65"/>
        <v>4403</v>
      </c>
      <c r="T600">
        <f t="shared" si="66"/>
        <v>1870</v>
      </c>
      <c r="U600">
        <f t="shared" si="67"/>
        <v>2024</v>
      </c>
      <c r="V600">
        <f t="shared" si="68"/>
        <v>7</v>
      </c>
      <c r="W600" s="11">
        <f t="shared" si="69"/>
        <v>1</v>
      </c>
    </row>
    <row r="601" spans="1:23">
      <c r="A601" t="s">
        <v>614</v>
      </c>
      <c r="B601" s="4">
        <v>45487</v>
      </c>
      <c r="C601" t="s">
        <v>2016</v>
      </c>
      <c r="D601" t="s">
        <v>2025</v>
      </c>
      <c r="E601" t="s">
        <v>2027</v>
      </c>
      <c r="F601" t="s">
        <v>2032</v>
      </c>
      <c r="G601" t="s">
        <v>2037</v>
      </c>
      <c r="H601" t="s">
        <v>2040</v>
      </c>
      <c r="I601">
        <v>5</v>
      </c>
      <c r="J601">
        <v>10</v>
      </c>
      <c r="K601">
        <v>5</v>
      </c>
      <c r="L601" t="s">
        <v>2041</v>
      </c>
      <c r="M601">
        <v>280</v>
      </c>
      <c r="N601">
        <v>11995</v>
      </c>
      <c r="O601">
        <v>22350</v>
      </c>
      <c r="P601" s="13">
        <f t="shared" si="63"/>
        <v>0</v>
      </c>
      <c r="Q601" t="str">
        <f t="shared" si="64"/>
        <v>No</v>
      </c>
      <c r="R601" t="str" cm="1">
        <f t="array" ref="R601">_xlfn.IFS(K601=0,"On Time",K601&lt;=2,"Minor",K601&lt;=5,"Major",K601&gt;5,"Severe")</f>
        <v>Major</v>
      </c>
      <c r="S601">
        <f t="shared" si="65"/>
        <v>4470</v>
      </c>
      <c r="T601">
        <f t="shared" si="66"/>
        <v>2399</v>
      </c>
      <c r="U601">
        <f t="shared" si="67"/>
        <v>2024</v>
      </c>
      <c r="V601">
        <f t="shared" si="68"/>
        <v>7</v>
      </c>
      <c r="W601" s="11">
        <f t="shared" si="69"/>
        <v>1</v>
      </c>
    </row>
    <row r="602" spans="1:23">
      <c r="A602" t="s">
        <v>615</v>
      </c>
      <c r="B602" s="4">
        <v>45525</v>
      </c>
      <c r="C602" t="s">
        <v>2017</v>
      </c>
      <c r="D602" t="s">
        <v>2022</v>
      </c>
      <c r="E602" t="s">
        <v>2027</v>
      </c>
      <c r="F602" t="s">
        <v>2031</v>
      </c>
      <c r="G602" t="s">
        <v>2033</v>
      </c>
      <c r="H602" t="s">
        <v>2038</v>
      </c>
      <c r="I602">
        <v>2</v>
      </c>
      <c r="J602">
        <v>7</v>
      </c>
      <c r="K602">
        <v>5</v>
      </c>
      <c r="L602" t="s">
        <v>2041</v>
      </c>
      <c r="M602">
        <v>272</v>
      </c>
      <c r="N602">
        <v>9425</v>
      </c>
      <c r="O602">
        <v>13560</v>
      </c>
      <c r="P602" s="13">
        <f t="shared" si="63"/>
        <v>0</v>
      </c>
      <c r="Q602" t="str">
        <f t="shared" si="64"/>
        <v>No</v>
      </c>
      <c r="R602" t="str" cm="1">
        <f t="array" ref="R602">_xlfn.IFS(K602=0,"On Time",K602&lt;=2,"Minor",K602&lt;=5,"Major",K602&gt;5,"Severe")</f>
        <v>Major</v>
      </c>
      <c r="S602">
        <f t="shared" si="65"/>
        <v>2712</v>
      </c>
      <c r="T602">
        <f t="shared" si="66"/>
        <v>1885</v>
      </c>
      <c r="U602">
        <f t="shared" si="67"/>
        <v>2024</v>
      </c>
      <c r="V602">
        <f t="shared" si="68"/>
        <v>8</v>
      </c>
      <c r="W602" s="11">
        <f t="shared" si="69"/>
        <v>1</v>
      </c>
    </row>
    <row r="603" spans="1:23">
      <c r="A603" t="s">
        <v>616</v>
      </c>
      <c r="B603" s="4">
        <v>45353</v>
      </c>
      <c r="C603" t="s">
        <v>2018</v>
      </c>
      <c r="D603" t="s">
        <v>2024</v>
      </c>
      <c r="E603" t="s">
        <v>2029</v>
      </c>
      <c r="F603" t="s">
        <v>2031</v>
      </c>
      <c r="G603" t="s">
        <v>2034</v>
      </c>
      <c r="H603" t="s">
        <v>2038</v>
      </c>
      <c r="I603">
        <v>3</v>
      </c>
      <c r="J603">
        <v>6</v>
      </c>
      <c r="K603">
        <v>3</v>
      </c>
      <c r="L603" t="s">
        <v>2041</v>
      </c>
      <c r="M603">
        <v>420</v>
      </c>
      <c r="N603">
        <v>4980</v>
      </c>
      <c r="O603">
        <v>7332</v>
      </c>
      <c r="P603" s="13">
        <f t="shared" si="63"/>
        <v>0</v>
      </c>
      <c r="Q603" t="str">
        <f t="shared" si="64"/>
        <v>No</v>
      </c>
      <c r="R603" t="str" cm="1">
        <f t="array" ref="R603">_xlfn.IFS(K603=0,"On Time",K603&lt;=2,"Minor",K603&lt;=5,"Major",K603&gt;5,"Severe")</f>
        <v>Major</v>
      </c>
      <c r="S603">
        <f t="shared" si="65"/>
        <v>2444</v>
      </c>
      <c r="T603">
        <f t="shared" si="66"/>
        <v>1660</v>
      </c>
      <c r="U603">
        <f t="shared" si="67"/>
        <v>2024</v>
      </c>
      <c r="V603">
        <f t="shared" si="68"/>
        <v>3</v>
      </c>
      <c r="W603" s="11">
        <f t="shared" si="69"/>
        <v>1</v>
      </c>
    </row>
    <row r="604" spans="1:23">
      <c r="A604" t="s">
        <v>617</v>
      </c>
      <c r="B604" s="4">
        <v>45543</v>
      </c>
      <c r="C604" t="s">
        <v>2015</v>
      </c>
      <c r="D604" t="s">
        <v>2020</v>
      </c>
      <c r="E604" t="s">
        <v>2027</v>
      </c>
      <c r="F604" t="s">
        <v>2032</v>
      </c>
      <c r="G604" t="s">
        <v>2035</v>
      </c>
      <c r="H604" t="s">
        <v>2038</v>
      </c>
      <c r="I604">
        <v>3</v>
      </c>
      <c r="J604">
        <v>7</v>
      </c>
      <c r="K604">
        <v>4</v>
      </c>
      <c r="L604" t="s">
        <v>2041</v>
      </c>
      <c r="M604">
        <v>398</v>
      </c>
      <c r="N604">
        <v>9896</v>
      </c>
      <c r="O604">
        <v>9448</v>
      </c>
      <c r="P604" s="13">
        <f t="shared" si="63"/>
        <v>0</v>
      </c>
      <c r="Q604" t="str">
        <f t="shared" si="64"/>
        <v>No</v>
      </c>
      <c r="R604" t="str" cm="1">
        <f t="array" ref="R604">_xlfn.IFS(K604=0,"On Time",K604&lt;=2,"Minor",K604&lt;=5,"Major",K604&gt;5,"Severe")</f>
        <v>Major</v>
      </c>
      <c r="S604">
        <f t="shared" si="65"/>
        <v>2362</v>
      </c>
      <c r="T604">
        <f t="shared" si="66"/>
        <v>2474</v>
      </c>
      <c r="U604">
        <f t="shared" si="67"/>
        <v>2024</v>
      </c>
      <c r="V604">
        <f t="shared" si="68"/>
        <v>9</v>
      </c>
      <c r="W604" s="11">
        <f t="shared" si="69"/>
        <v>1</v>
      </c>
    </row>
    <row r="605" spans="1:23">
      <c r="A605" t="s">
        <v>618</v>
      </c>
      <c r="B605" s="4">
        <v>45369</v>
      </c>
      <c r="C605" t="s">
        <v>2018</v>
      </c>
      <c r="D605" t="s">
        <v>2026</v>
      </c>
      <c r="E605" t="s">
        <v>2027</v>
      </c>
      <c r="F605" t="s">
        <v>2032</v>
      </c>
      <c r="G605" t="s">
        <v>2037</v>
      </c>
      <c r="H605" t="s">
        <v>2038</v>
      </c>
      <c r="I605">
        <v>2</v>
      </c>
      <c r="J605">
        <v>6</v>
      </c>
      <c r="K605">
        <v>4</v>
      </c>
      <c r="L605" t="s">
        <v>2041</v>
      </c>
      <c r="M605">
        <v>81</v>
      </c>
      <c r="N605">
        <v>7984</v>
      </c>
      <c r="O605">
        <v>7476</v>
      </c>
      <c r="P605" s="13">
        <f t="shared" si="63"/>
        <v>0</v>
      </c>
      <c r="Q605" t="str">
        <f t="shared" si="64"/>
        <v>No</v>
      </c>
      <c r="R605" t="str" cm="1">
        <f t="array" ref="R605">_xlfn.IFS(K605=0,"On Time",K605&lt;=2,"Minor",K605&lt;=5,"Major",K605&gt;5,"Severe")</f>
        <v>Major</v>
      </c>
      <c r="S605">
        <f t="shared" si="65"/>
        <v>1869</v>
      </c>
      <c r="T605">
        <f t="shared" si="66"/>
        <v>1996</v>
      </c>
      <c r="U605">
        <f t="shared" si="67"/>
        <v>2024</v>
      </c>
      <c r="V605">
        <f t="shared" si="68"/>
        <v>3</v>
      </c>
      <c r="W605" s="11">
        <f t="shared" si="69"/>
        <v>1</v>
      </c>
    </row>
    <row r="606" spans="1:23">
      <c r="A606" t="s">
        <v>619</v>
      </c>
      <c r="B606" s="4">
        <v>45378</v>
      </c>
      <c r="C606" t="s">
        <v>2016</v>
      </c>
      <c r="D606" t="s">
        <v>2021</v>
      </c>
      <c r="E606" t="s">
        <v>2027</v>
      </c>
      <c r="F606" t="s">
        <v>2031</v>
      </c>
      <c r="G606" t="s">
        <v>2034</v>
      </c>
      <c r="H606" t="s">
        <v>2038</v>
      </c>
      <c r="I606">
        <v>3</v>
      </c>
      <c r="J606">
        <v>4</v>
      </c>
      <c r="K606">
        <v>1</v>
      </c>
      <c r="L606" t="s">
        <v>2041</v>
      </c>
      <c r="M606">
        <v>460</v>
      </c>
      <c r="N606">
        <v>1219</v>
      </c>
      <c r="O606">
        <v>4331</v>
      </c>
      <c r="P606" s="13">
        <f t="shared" si="63"/>
        <v>0</v>
      </c>
      <c r="Q606" t="str">
        <f t="shared" si="64"/>
        <v>No</v>
      </c>
      <c r="R606" t="str" cm="1">
        <f t="array" ref="R606">_xlfn.IFS(K606=0,"On Time",K606&lt;=2,"Minor",K606&lt;=5,"Major",K606&gt;5,"Severe")</f>
        <v>Minor</v>
      </c>
      <c r="S606">
        <f t="shared" si="65"/>
        <v>4331</v>
      </c>
      <c r="T606">
        <f t="shared" si="66"/>
        <v>1219</v>
      </c>
      <c r="U606">
        <f t="shared" si="67"/>
        <v>2024</v>
      </c>
      <c r="V606">
        <f t="shared" si="68"/>
        <v>3</v>
      </c>
      <c r="W606" s="11">
        <f t="shared" si="69"/>
        <v>1</v>
      </c>
    </row>
    <row r="607" spans="1:23">
      <c r="A607" t="s">
        <v>620</v>
      </c>
      <c r="B607" s="4">
        <v>45492</v>
      </c>
      <c r="C607" t="s">
        <v>2016</v>
      </c>
      <c r="D607" t="s">
        <v>2025</v>
      </c>
      <c r="E607" t="s">
        <v>2027</v>
      </c>
      <c r="F607" t="s">
        <v>2031</v>
      </c>
      <c r="G607" t="s">
        <v>2036</v>
      </c>
      <c r="H607" t="s">
        <v>2039</v>
      </c>
      <c r="I607">
        <v>5</v>
      </c>
      <c r="J607">
        <v>9</v>
      </c>
      <c r="K607">
        <v>4</v>
      </c>
      <c r="L607" t="s">
        <v>2041</v>
      </c>
      <c r="M607">
        <v>91</v>
      </c>
      <c r="N607">
        <v>4960</v>
      </c>
      <c r="O607">
        <v>18220</v>
      </c>
      <c r="P607" s="13">
        <f t="shared" si="63"/>
        <v>0</v>
      </c>
      <c r="Q607" t="str">
        <f t="shared" si="64"/>
        <v>No</v>
      </c>
      <c r="R607" t="str" cm="1">
        <f t="array" ref="R607">_xlfn.IFS(K607=0,"On Time",K607&lt;=2,"Minor",K607&lt;=5,"Major",K607&gt;5,"Severe")</f>
        <v>Major</v>
      </c>
      <c r="S607">
        <f t="shared" si="65"/>
        <v>4555</v>
      </c>
      <c r="T607">
        <f t="shared" si="66"/>
        <v>1240</v>
      </c>
      <c r="U607">
        <f t="shared" si="67"/>
        <v>2024</v>
      </c>
      <c r="V607">
        <f t="shared" si="68"/>
        <v>7</v>
      </c>
      <c r="W607" s="11">
        <f t="shared" si="69"/>
        <v>1</v>
      </c>
    </row>
    <row r="608" spans="1:23">
      <c r="A608" t="s">
        <v>621</v>
      </c>
      <c r="B608" s="4">
        <v>45613</v>
      </c>
      <c r="C608" t="s">
        <v>2016</v>
      </c>
      <c r="D608" t="s">
        <v>2021</v>
      </c>
      <c r="E608" t="s">
        <v>2029</v>
      </c>
      <c r="F608" t="s">
        <v>2031</v>
      </c>
      <c r="G608" t="s">
        <v>2033</v>
      </c>
      <c r="H608" t="s">
        <v>2040</v>
      </c>
      <c r="I608">
        <v>3</v>
      </c>
      <c r="J608">
        <v>6</v>
      </c>
      <c r="K608">
        <v>3</v>
      </c>
      <c r="L608" t="s">
        <v>2041</v>
      </c>
      <c r="M608">
        <v>250</v>
      </c>
      <c r="N608">
        <v>4731</v>
      </c>
      <c r="O608">
        <v>14178</v>
      </c>
      <c r="P608" s="13">
        <f t="shared" si="63"/>
        <v>0</v>
      </c>
      <c r="Q608" t="str">
        <f t="shared" si="64"/>
        <v>No</v>
      </c>
      <c r="R608" t="str" cm="1">
        <f t="array" ref="R608">_xlfn.IFS(K608=0,"On Time",K608&lt;=2,"Minor",K608&lt;=5,"Major",K608&gt;5,"Severe")</f>
        <v>Major</v>
      </c>
      <c r="S608">
        <f t="shared" si="65"/>
        <v>4726</v>
      </c>
      <c r="T608">
        <f t="shared" si="66"/>
        <v>1577</v>
      </c>
      <c r="U608">
        <f t="shared" si="67"/>
        <v>2024</v>
      </c>
      <c r="V608">
        <f t="shared" si="68"/>
        <v>11</v>
      </c>
      <c r="W608" s="11">
        <f t="shared" si="69"/>
        <v>1</v>
      </c>
    </row>
    <row r="609" spans="1:23">
      <c r="A609" t="s">
        <v>622</v>
      </c>
      <c r="B609" s="4">
        <v>45347</v>
      </c>
      <c r="C609" t="s">
        <v>2018</v>
      </c>
      <c r="D609" t="s">
        <v>2026</v>
      </c>
      <c r="E609" t="s">
        <v>2028</v>
      </c>
      <c r="F609" t="s">
        <v>2030</v>
      </c>
      <c r="G609" t="s">
        <v>2033</v>
      </c>
      <c r="H609" t="s">
        <v>2039</v>
      </c>
      <c r="I609">
        <v>2</v>
      </c>
      <c r="J609">
        <v>7</v>
      </c>
      <c r="K609">
        <v>5</v>
      </c>
      <c r="L609" t="s">
        <v>2041</v>
      </c>
      <c r="M609">
        <v>356</v>
      </c>
      <c r="N609">
        <v>7855</v>
      </c>
      <c r="O609">
        <v>17290</v>
      </c>
      <c r="P609" s="13">
        <f t="shared" si="63"/>
        <v>0</v>
      </c>
      <c r="Q609" t="str">
        <f t="shared" si="64"/>
        <v>No</v>
      </c>
      <c r="R609" t="str" cm="1">
        <f t="array" ref="R609">_xlfn.IFS(K609=0,"On Time",K609&lt;=2,"Minor",K609&lt;=5,"Major",K609&gt;5,"Severe")</f>
        <v>Major</v>
      </c>
      <c r="S609">
        <f t="shared" si="65"/>
        <v>3458</v>
      </c>
      <c r="T609">
        <f t="shared" si="66"/>
        <v>1571</v>
      </c>
      <c r="U609">
        <f t="shared" si="67"/>
        <v>2024</v>
      </c>
      <c r="V609">
        <f t="shared" si="68"/>
        <v>2</v>
      </c>
      <c r="W609" s="11">
        <f t="shared" si="69"/>
        <v>1</v>
      </c>
    </row>
    <row r="610" spans="1:23">
      <c r="A610" t="s">
        <v>623</v>
      </c>
      <c r="B610" s="4">
        <v>45584</v>
      </c>
      <c r="C610" t="s">
        <v>2017</v>
      </c>
      <c r="D610" t="s">
        <v>2023</v>
      </c>
      <c r="E610" t="s">
        <v>2027</v>
      </c>
      <c r="F610" t="s">
        <v>2030</v>
      </c>
      <c r="G610" t="s">
        <v>2034</v>
      </c>
      <c r="H610" t="s">
        <v>2039</v>
      </c>
      <c r="I610">
        <v>1</v>
      </c>
      <c r="J610">
        <v>5</v>
      </c>
      <c r="K610">
        <v>4</v>
      </c>
      <c r="L610" t="s">
        <v>2041</v>
      </c>
      <c r="M610">
        <v>144</v>
      </c>
      <c r="N610">
        <v>6552</v>
      </c>
      <c r="O610">
        <v>18388</v>
      </c>
      <c r="P610" s="13">
        <f t="shared" si="63"/>
        <v>0</v>
      </c>
      <c r="Q610" t="str">
        <f t="shared" si="64"/>
        <v>No</v>
      </c>
      <c r="R610" t="str" cm="1">
        <f t="array" ref="R610">_xlfn.IFS(K610=0,"On Time",K610&lt;=2,"Minor",K610&lt;=5,"Major",K610&gt;5,"Severe")</f>
        <v>Major</v>
      </c>
      <c r="S610">
        <f t="shared" si="65"/>
        <v>4597</v>
      </c>
      <c r="T610">
        <f t="shared" si="66"/>
        <v>1638</v>
      </c>
      <c r="U610">
        <f t="shared" si="67"/>
        <v>2024</v>
      </c>
      <c r="V610">
        <f t="shared" si="68"/>
        <v>10</v>
      </c>
      <c r="W610" s="11">
        <f t="shared" si="69"/>
        <v>1</v>
      </c>
    </row>
    <row r="611" spans="1:23">
      <c r="A611" t="s">
        <v>624</v>
      </c>
      <c r="B611" s="4">
        <v>45527</v>
      </c>
      <c r="C611" t="s">
        <v>2015</v>
      </c>
      <c r="D611" t="s">
        <v>2020</v>
      </c>
      <c r="E611" t="s">
        <v>2029</v>
      </c>
      <c r="F611" t="s">
        <v>2030</v>
      </c>
      <c r="G611" t="s">
        <v>2033</v>
      </c>
      <c r="H611" t="s">
        <v>2040</v>
      </c>
      <c r="I611">
        <v>1</v>
      </c>
      <c r="J611">
        <v>9</v>
      </c>
      <c r="K611">
        <v>8</v>
      </c>
      <c r="L611" t="s">
        <v>2041</v>
      </c>
      <c r="M611">
        <v>479</v>
      </c>
      <c r="N611">
        <v>11832</v>
      </c>
      <c r="O611">
        <v>32840</v>
      </c>
      <c r="P611" s="13">
        <f t="shared" si="63"/>
        <v>0</v>
      </c>
      <c r="Q611" t="str">
        <f t="shared" si="64"/>
        <v>No</v>
      </c>
      <c r="R611" t="str" cm="1">
        <f t="array" ref="R611">_xlfn.IFS(K611=0,"On Time",K611&lt;=2,"Minor",K611&lt;=5,"Major",K611&gt;5,"Severe")</f>
        <v>Severe</v>
      </c>
      <c r="S611">
        <f t="shared" si="65"/>
        <v>4105</v>
      </c>
      <c r="T611">
        <f t="shared" si="66"/>
        <v>1479</v>
      </c>
      <c r="U611">
        <f t="shared" si="67"/>
        <v>2024</v>
      </c>
      <c r="V611">
        <f t="shared" si="68"/>
        <v>8</v>
      </c>
      <c r="W611" s="11">
        <f t="shared" si="69"/>
        <v>1</v>
      </c>
    </row>
    <row r="612" spans="1:23">
      <c r="A612" t="s">
        <v>625</v>
      </c>
      <c r="B612" s="4">
        <v>45412</v>
      </c>
      <c r="C612" t="s">
        <v>2016</v>
      </c>
      <c r="D612" t="s">
        <v>2025</v>
      </c>
      <c r="E612" t="s">
        <v>2027</v>
      </c>
      <c r="F612" t="s">
        <v>2030</v>
      </c>
      <c r="G612" t="s">
        <v>2033</v>
      </c>
      <c r="H612" t="s">
        <v>2038</v>
      </c>
      <c r="I612">
        <v>2</v>
      </c>
      <c r="J612">
        <v>7</v>
      </c>
      <c r="K612">
        <v>5</v>
      </c>
      <c r="L612" t="s">
        <v>2041</v>
      </c>
      <c r="M612">
        <v>317</v>
      </c>
      <c r="N612">
        <v>10700</v>
      </c>
      <c r="O612">
        <v>11355</v>
      </c>
      <c r="P612" s="13">
        <f t="shared" si="63"/>
        <v>0</v>
      </c>
      <c r="Q612" t="str">
        <f t="shared" si="64"/>
        <v>No</v>
      </c>
      <c r="R612" t="str" cm="1">
        <f t="array" ref="R612">_xlfn.IFS(K612=0,"On Time",K612&lt;=2,"Minor",K612&lt;=5,"Major",K612&gt;5,"Severe")</f>
        <v>Major</v>
      </c>
      <c r="S612">
        <f t="shared" si="65"/>
        <v>2271</v>
      </c>
      <c r="T612">
        <f t="shared" si="66"/>
        <v>2140</v>
      </c>
      <c r="U612">
        <f t="shared" si="67"/>
        <v>2024</v>
      </c>
      <c r="V612">
        <f t="shared" si="68"/>
        <v>4</v>
      </c>
      <c r="W612" s="11">
        <f t="shared" si="69"/>
        <v>1</v>
      </c>
    </row>
    <row r="613" spans="1:23">
      <c r="A613" t="s">
        <v>626</v>
      </c>
      <c r="B613" s="4">
        <v>45361</v>
      </c>
      <c r="C613" t="s">
        <v>2017</v>
      </c>
      <c r="D613" t="s">
        <v>2022</v>
      </c>
      <c r="E613" t="s">
        <v>2028</v>
      </c>
      <c r="F613" t="s">
        <v>2030</v>
      </c>
      <c r="G613" t="s">
        <v>2037</v>
      </c>
      <c r="H613" t="s">
        <v>2039</v>
      </c>
      <c r="I613">
        <v>3</v>
      </c>
      <c r="J613">
        <v>7</v>
      </c>
      <c r="K613">
        <v>4</v>
      </c>
      <c r="L613" t="s">
        <v>2041</v>
      </c>
      <c r="M613">
        <v>463</v>
      </c>
      <c r="N613">
        <v>8404</v>
      </c>
      <c r="O613">
        <v>9532</v>
      </c>
      <c r="P613" s="13">
        <f t="shared" si="63"/>
        <v>0</v>
      </c>
      <c r="Q613" t="str">
        <f t="shared" si="64"/>
        <v>No</v>
      </c>
      <c r="R613" t="str" cm="1">
        <f t="array" ref="R613">_xlfn.IFS(K613=0,"On Time",K613&lt;=2,"Minor",K613&lt;=5,"Major",K613&gt;5,"Severe")</f>
        <v>Major</v>
      </c>
      <c r="S613">
        <f t="shared" si="65"/>
        <v>2383</v>
      </c>
      <c r="T613">
        <f t="shared" si="66"/>
        <v>2101</v>
      </c>
      <c r="U613">
        <f t="shared" si="67"/>
        <v>2024</v>
      </c>
      <c r="V613">
        <f t="shared" si="68"/>
        <v>3</v>
      </c>
      <c r="W613" s="11">
        <f t="shared" si="69"/>
        <v>1</v>
      </c>
    </row>
    <row r="614" spans="1:23">
      <c r="A614" t="s">
        <v>627</v>
      </c>
      <c r="B614" s="4">
        <v>45639</v>
      </c>
      <c r="C614" t="s">
        <v>2018</v>
      </c>
      <c r="D614" t="s">
        <v>2026</v>
      </c>
      <c r="E614" t="s">
        <v>2029</v>
      </c>
      <c r="F614" t="s">
        <v>2030</v>
      </c>
      <c r="G614" t="s">
        <v>2037</v>
      </c>
      <c r="H614" t="s">
        <v>2040</v>
      </c>
      <c r="I614">
        <v>2</v>
      </c>
      <c r="J614">
        <v>6</v>
      </c>
      <c r="K614">
        <v>4</v>
      </c>
      <c r="L614" t="s">
        <v>2041</v>
      </c>
      <c r="M614">
        <v>69</v>
      </c>
      <c r="N614">
        <v>6532</v>
      </c>
      <c r="O614">
        <v>19452</v>
      </c>
      <c r="P614" s="13">
        <f t="shared" si="63"/>
        <v>0</v>
      </c>
      <c r="Q614" t="str">
        <f t="shared" si="64"/>
        <v>No</v>
      </c>
      <c r="R614" t="str" cm="1">
        <f t="array" ref="R614">_xlfn.IFS(K614=0,"On Time",K614&lt;=2,"Minor",K614&lt;=5,"Major",K614&gt;5,"Severe")</f>
        <v>Major</v>
      </c>
      <c r="S614">
        <f t="shared" si="65"/>
        <v>4863</v>
      </c>
      <c r="T614">
        <f t="shared" si="66"/>
        <v>1633</v>
      </c>
      <c r="U614">
        <f t="shared" si="67"/>
        <v>2024</v>
      </c>
      <c r="V614">
        <f t="shared" si="68"/>
        <v>12</v>
      </c>
      <c r="W614" s="11">
        <f t="shared" si="69"/>
        <v>1</v>
      </c>
    </row>
    <row r="615" spans="1:23">
      <c r="A615" t="s">
        <v>628</v>
      </c>
      <c r="B615" s="4">
        <v>45484</v>
      </c>
      <c r="C615" t="s">
        <v>2016</v>
      </c>
      <c r="D615" t="s">
        <v>2025</v>
      </c>
      <c r="E615" t="s">
        <v>2029</v>
      </c>
      <c r="F615" t="s">
        <v>2030</v>
      </c>
      <c r="G615" t="s">
        <v>2033</v>
      </c>
      <c r="H615" t="s">
        <v>2038</v>
      </c>
      <c r="I615">
        <v>2</v>
      </c>
      <c r="J615">
        <v>2</v>
      </c>
      <c r="K615">
        <v>0</v>
      </c>
      <c r="L615" t="s">
        <v>2042</v>
      </c>
      <c r="M615">
        <v>90</v>
      </c>
      <c r="N615">
        <v>0</v>
      </c>
      <c r="O615">
        <v>0</v>
      </c>
      <c r="P615" s="13">
        <f t="shared" si="63"/>
        <v>1</v>
      </c>
      <c r="Q615" t="str">
        <f t="shared" si="64"/>
        <v>No</v>
      </c>
      <c r="R615" t="str" cm="1">
        <f t="array" ref="R615">_xlfn.IFS(K615=0,"On Time",K615&lt;=2,"Minor",K615&lt;=5,"Major",K615&gt;5,"Severe")</f>
        <v>On Time</v>
      </c>
      <c r="S615">
        <f t="shared" si="65"/>
        <v>0</v>
      </c>
      <c r="T615">
        <f t="shared" si="66"/>
        <v>0</v>
      </c>
      <c r="U615">
        <f t="shared" si="67"/>
        <v>2024</v>
      </c>
      <c r="V615">
        <f t="shared" si="68"/>
        <v>7</v>
      </c>
      <c r="W615" s="11">
        <f t="shared" si="69"/>
        <v>0</v>
      </c>
    </row>
    <row r="616" spans="1:23">
      <c r="A616" t="s">
        <v>629</v>
      </c>
      <c r="B616" s="4">
        <v>45620</v>
      </c>
      <c r="C616" t="s">
        <v>2015</v>
      </c>
      <c r="D616" t="s">
        <v>2019</v>
      </c>
      <c r="E616" t="s">
        <v>2028</v>
      </c>
      <c r="F616" t="s">
        <v>2031</v>
      </c>
      <c r="G616" t="s">
        <v>2035</v>
      </c>
      <c r="H616" t="s">
        <v>2039</v>
      </c>
      <c r="I616">
        <v>2</v>
      </c>
      <c r="J616">
        <v>7</v>
      </c>
      <c r="K616">
        <v>5</v>
      </c>
      <c r="L616" t="s">
        <v>2041</v>
      </c>
      <c r="M616">
        <v>471</v>
      </c>
      <c r="N616">
        <v>9075</v>
      </c>
      <c r="O616">
        <v>11990</v>
      </c>
      <c r="P616" s="13">
        <f t="shared" si="63"/>
        <v>0</v>
      </c>
      <c r="Q616" t="str">
        <f t="shared" si="64"/>
        <v>No</v>
      </c>
      <c r="R616" t="str" cm="1">
        <f t="array" ref="R616">_xlfn.IFS(K616=0,"On Time",K616&lt;=2,"Minor",K616&lt;=5,"Major",K616&gt;5,"Severe")</f>
        <v>Major</v>
      </c>
      <c r="S616">
        <f t="shared" si="65"/>
        <v>2398</v>
      </c>
      <c r="T616">
        <f t="shared" si="66"/>
        <v>1815</v>
      </c>
      <c r="U616">
        <f t="shared" si="67"/>
        <v>2024</v>
      </c>
      <c r="V616">
        <f t="shared" si="68"/>
        <v>11</v>
      </c>
      <c r="W616" s="11">
        <f t="shared" si="69"/>
        <v>1</v>
      </c>
    </row>
    <row r="617" spans="1:23">
      <c r="A617" t="s">
        <v>630</v>
      </c>
      <c r="B617" s="4">
        <v>45358</v>
      </c>
      <c r="C617" t="s">
        <v>2016</v>
      </c>
      <c r="D617" t="s">
        <v>2021</v>
      </c>
      <c r="E617" t="s">
        <v>2028</v>
      </c>
      <c r="F617" t="s">
        <v>2031</v>
      </c>
      <c r="G617" t="s">
        <v>2037</v>
      </c>
      <c r="H617" t="s">
        <v>2040</v>
      </c>
      <c r="I617">
        <v>2</v>
      </c>
      <c r="J617">
        <v>9</v>
      </c>
      <c r="K617">
        <v>7</v>
      </c>
      <c r="L617" t="s">
        <v>2041</v>
      </c>
      <c r="M617">
        <v>170</v>
      </c>
      <c r="N617">
        <v>11235</v>
      </c>
      <c r="O617">
        <v>16667</v>
      </c>
      <c r="P617" s="13">
        <f t="shared" si="63"/>
        <v>0</v>
      </c>
      <c r="Q617" t="str">
        <f t="shared" si="64"/>
        <v>No</v>
      </c>
      <c r="R617" t="str" cm="1">
        <f t="array" ref="R617">_xlfn.IFS(K617=0,"On Time",K617&lt;=2,"Minor",K617&lt;=5,"Major",K617&gt;5,"Severe")</f>
        <v>Severe</v>
      </c>
      <c r="S617">
        <f t="shared" si="65"/>
        <v>2381</v>
      </c>
      <c r="T617">
        <f t="shared" si="66"/>
        <v>1605</v>
      </c>
      <c r="U617">
        <f t="shared" si="67"/>
        <v>2024</v>
      </c>
      <c r="V617">
        <f t="shared" si="68"/>
        <v>3</v>
      </c>
      <c r="W617" s="11">
        <f t="shared" si="69"/>
        <v>1</v>
      </c>
    </row>
    <row r="618" spans="1:23">
      <c r="A618" t="s">
        <v>631</v>
      </c>
      <c r="B618" s="4">
        <v>45330</v>
      </c>
      <c r="C618" t="s">
        <v>2015</v>
      </c>
      <c r="D618" t="s">
        <v>2019</v>
      </c>
      <c r="E618" t="s">
        <v>2028</v>
      </c>
      <c r="F618" t="s">
        <v>2032</v>
      </c>
      <c r="G618" t="s">
        <v>2033</v>
      </c>
      <c r="H618" t="s">
        <v>2040</v>
      </c>
      <c r="I618">
        <v>2</v>
      </c>
      <c r="J618">
        <v>5</v>
      </c>
      <c r="K618">
        <v>3</v>
      </c>
      <c r="L618" t="s">
        <v>2041</v>
      </c>
      <c r="M618">
        <v>270</v>
      </c>
      <c r="N618">
        <v>4839</v>
      </c>
      <c r="O618">
        <v>12360</v>
      </c>
      <c r="P618" s="13">
        <f t="shared" si="63"/>
        <v>0</v>
      </c>
      <c r="Q618" t="str">
        <f t="shared" si="64"/>
        <v>No</v>
      </c>
      <c r="R618" t="str" cm="1">
        <f t="array" ref="R618">_xlfn.IFS(K618=0,"On Time",K618&lt;=2,"Minor",K618&lt;=5,"Major",K618&gt;5,"Severe")</f>
        <v>Major</v>
      </c>
      <c r="S618">
        <f t="shared" si="65"/>
        <v>4120</v>
      </c>
      <c r="T618">
        <f t="shared" si="66"/>
        <v>1613</v>
      </c>
      <c r="U618">
        <f t="shared" si="67"/>
        <v>2024</v>
      </c>
      <c r="V618">
        <f t="shared" si="68"/>
        <v>2</v>
      </c>
      <c r="W618" s="11">
        <f t="shared" si="69"/>
        <v>1</v>
      </c>
    </row>
    <row r="619" spans="1:23">
      <c r="A619" t="s">
        <v>632</v>
      </c>
      <c r="B619" s="4">
        <v>45614</v>
      </c>
      <c r="C619" t="s">
        <v>2018</v>
      </c>
      <c r="D619" t="s">
        <v>2024</v>
      </c>
      <c r="E619" t="s">
        <v>2029</v>
      </c>
      <c r="F619" t="s">
        <v>2030</v>
      </c>
      <c r="G619" t="s">
        <v>2035</v>
      </c>
      <c r="H619" t="s">
        <v>2039</v>
      </c>
      <c r="I619">
        <v>2</v>
      </c>
      <c r="J619">
        <v>4</v>
      </c>
      <c r="K619">
        <v>2</v>
      </c>
      <c r="L619" t="s">
        <v>2041</v>
      </c>
      <c r="M619">
        <v>255</v>
      </c>
      <c r="N619">
        <v>3030</v>
      </c>
      <c r="O619">
        <v>3010</v>
      </c>
      <c r="P619" s="13">
        <f t="shared" si="63"/>
        <v>0</v>
      </c>
      <c r="Q619" t="str">
        <f t="shared" si="64"/>
        <v>No</v>
      </c>
      <c r="R619" t="str" cm="1">
        <f t="array" ref="R619">_xlfn.IFS(K619=0,"On Time",K619&lt;=2,"Minor",K619&lt;=5,"Major",K619&gt;5,"Severe")</f>
        <v>Minor</v>
      </c>
      <c r="S619">
        <f t="shared" si="65"/>
        <v>1505</v>
      </c>
      <c r="T619">
        <f t="shared" si="66"/>
        <v>1515</v>
      </c>
      <c r="U619">
        <f t="shared" si="67"/>
        <v>2024</v>
      </c>
      <c r="V619">
        <f t="shared" si="68"/>
        <v>11</v>
      </c>
      <c r="W619" s="11">
        <f t="shared" si="69"/>
        <v>1</v>
      </c>
    </row>
    <row r="620" spans="1:23">
      <c r="A620" t="s">
        <v>633</v>
      </c>
      <c r="B620" s="4">
        <v>45356</v>
      </c>
      <c r="C620" t="s">
        <v>2018</v>
      </c>
      <c r="D620" t="s">
        <v>2026</v>
      </c>
      <c r="E620" t="s">
        <v>2029</v>
      </c>
      <c r="F620" t="s">
        <v>2030</v>
      </c>
      <c r="G620" t="s">
        <v>2037</v>
      </c>
      <c r="H620" t="s">
        <v>2038</v>
      </c>
      <c r="I620">
        <v>2</v>
      </c>
      <c r="J620">
        <v>2</v>
      </c>
      <c r="K620">
        <v>0</v>
      </c>
      <c r="L620" t="s">
        <v>2042</v>
      </c>
      <c r="M620">
        <v>427</v>
      </c>
      <c r="N620">
        <v>0</v>
      </c>
      <c r="O620">
        <v>0</v>
      </c>
      <c r="P620" s="13">
        <f t="shared" si="63"/>
        <v>1</v>
      </c>
      <c r="Q620" t="str">
        <f t="shared" si="64"/>
        <v>No</v>
      </c>
      <c r="R620" t="str" cm="1">
        <f t="array" ref="R620">_xlfn.IFS(K620=0,"On Time",K620&lt;=2,"Minor",K620&lt;=5,"Major",K620&gt;5,"Severe")</f>
        <v>On Time</v>
      </c>
      <c r="S620">
        <f t="shared" si="65"/>
        <v>0</v>
      </c>
      <c r="T620">
        <f t="shared" si="66"/>
        <v>0</v>
      </c>
      <c r="U620">
        <f t="shared" si="67"/>
        <v>2024</v>
      </c>
      <c r="V620">
        <f t="shared" si="68"/>
        <v>3</v>
      </c>
      <c r="W620" s="11">
        <f t="shared" si="69"/>
        <v>0</v>
      </c>
    </row>
    <row r="621" spans="1:23">
      <c r="A621" t="s">
        <v>634</v>
      </c>
      <c r="B621" s="4">
        <v>45402</v>
      </c>
      <c r="C621" t="s">
        <v>2017</v>
      </c>
      <c r="D621" t="s">
        <v>2022</v>
      </c>
      <c r="E621" t="s">
        <v>2029</v>
      </c>
      <c r="F621" t="s">
        <v>2030</v>
      </c>
      <c r="G621" t="s">
        <v>2037</v>
      </c>
      <c r="H621" t="s">
        <v>2039</v>
      </c>
      <c r="I621">
        <v>3</v>
      </c>
      <c r="J621">
        <v>8</v>
      </c>
      <c r="K621">
        <v>5</v>
      </c>
      <c r="L621" t="s">
        <v>2041</v>
      </c>
      <c r="M621">
        <v>412</v>
      </c>
      <c r="N621">
        <v>4340</v>
      </c>
      <c r="O621">
        <v>22785</v>
      </c>
      <c r="P621" s="13">
        <f t="shared" si="63"/>
        <v>0</v>
      </c>
      <c r="Q621" t="str">
        <f t="shared" si="64"/>
        <v>No</v>
      </c>
      <c r="R621" t="str" cm="1">
        <f t="array" ref="R621">_xlfn.IFS(K621=0,"On Time",K621&lt;=2,"Minor",K621&lt;=5,"Major",K621&gt;5,"Severe")</f>
        <v>Major</v>
      </c>
      <c r="S621">
        <f t="shared" si="65"/>
        <v>4557</v>
      </c>
      <c r="T621">
        <f t="shared" si="66"/>
        <v>868</v>
      </c>
      <c r="U621">
        <f t="shared" si="67"/>
        <v>2024</v>
      </c>
      <c r="V621">
        <f t="shared" si="68"/>
        <v>4</v>
      </c>
      <c r="W621" s="11">
        <f t="shared" si="69"/>
        <v>1</v>
      </c>
    </row>
    <row r="622" spans="1:23">
      <c r="A622" t="s">
        <v>635</v>
      </c>
      <c r="B622" s="4">
        <v>45344</v>
      </c>
      <c r="C622" t="s">
        <v>2017</v>
      </c>
      <c r="D622" t="s">
        <v>2022</v>
      </c>
      <c r="E622" t="s">
        <v>2027</v>
      </c>
      <c r="F622" t="s">
        <v>2030</v>
      </c>
      <c r="G622" t="s">
        <v>2037</v>
      </c>
      <c r="H622" t="s">
        <v>2038</v>
      </c>
      <c r="I622">
        <v>1</v>
      </c>
      <c r="J622">
        <v>3</v>
      </c>
      <c r="K622">
        <v>2</v>
      </c>
      <c r="L622" t="s">
        <v>2041</v>
      </c>
      <c r="M622">
        <v>329</v>
      </c>
      <c r="N622">
        <v>3182</v>
      </c>
      <c r="O622">
        <v>4224</v>
      </c>
      <c r="P622" s="13">
        <f t="shared" si="63"/>
        <v>0</v>
      </c>
      <c r="Q622" t="str">
        <f t="shared" si="64"/>
        <v>No</v>
      </c>
      <c r="R622" t="str" cm="1">
        <f t="array" ref="R622">_xlfn.IFS(K622=0,"On Time",K622&lt;=2,"Minor",K622&lt;=5,"Major",K622&gt;5,"Severe")</f>
        <v>Minor</v>
      </c>
      <c r="S622">
        <f t="shared" si="65"/>
        <v>2112</v>
      </c>
      <c r="T622">
        <f t="shared" si="66"/>
        <v>1591</v>
      </c>
      <c r="U622">
        <f t="shared" si="67"/>
        <v>2024</v>
      </c>
      <c r="V622">
        <f t="shared" si="68"/>
        <v>2</v>
      </c>
      <c r="W622" s="11">
        <f t="shared" si="69"/>
        <v>1</v>
      </c>
    </row>
    <row r="623" spans="1:23">
      <c r="A623" t="s">
        <v>636</v>
      </c>
      <c r="B623" s="4">
        <v>45329</v>
      </c>
      <c r="C623" t="s">
        <v>2018</v>
      </c>
      <c r="D623" t="s">
        <v>2024</v>
      </c>
      <c r="E623" t="s">
        <v>2029</v>
      </c>
      <c r="F623" t="s">
        <v>2030</v>
      </c>
      <c r="G623" t="s">
        <v>2037</v>
      </c>
      <c r="H623" t="s">
        <v>2038</v>
      </c>
      <c r="I623">
        <v>3</v>
      </c>
      <c r="J623">
        <v>3</v>
      </c>
      <c r="K623">
        <v>0</v>
      </c>
      <c r="L623" t="s">
        <v>2042</v>
      </c>
      <c r="M623">
        <v>316</v>
      </c>
      <c r="N623">
        <v>0</v>
      </c>
      <c r="O623">
        <v>0</v>
      </c>
      <c r="P623" s="13">
        <f t="shared" si="63"/>
        <v>1</v>
      </c>
      <c r="Q623" t="str">
        <f t="shared" si="64"/>
        <v>No</v>
      </c>
      <c r="R623" t="str" cm="1">
        <f t="array" ref="R623">_xlfn.IFS(K623=0,"On Time",K623&lt;=2,"Minor",K623&lt;=5,"Major",K623&gt;5,"Severe")</f>
        <v>On Time</v>
      </c>
      <c r="S623">
        <f t="shared" si="65"/>
        <v>0</v>
      </c>
      <c r="T623">
        <f t="shared" si="66"/>
        <v>0</v>
      </c>
      <c r="U623">
        <f t="shared" si="67"/>
        <v>2024</v>
      </c>
      <c r="V623">
        <f t="shared" si="68"/>
        <v>2</v>
      </c>
      <c r="W623" s="11">
        <f t="shared" si="69"/>
        <v>0</v>
      </c>
    </row>
    <row r="624" spans="1:23">
      <c r="A624" t="s">
        <v>637</v>
      </c>
      <c r="B624" s="4">
        <v>45522</v>
      </c>
      <c r="C624" t="s">
        <v>2016</v>
      </c>
      <c r="D624" t="s">
        <v>2025</v>
      </c>
      <c r="E624" t="s">
        <v>2028</v>
      </c>
      <c r="F624" t="s">
        <v>2030</v>
      </c>
      <c r="G624" t="s">
        <v>2035</v>
      </c>
      <c r="H624" t="s">
        <v>2039</v>
      </c>
      <c r="I624">
        <v>2</v>
      </c>
      <c r="J624">
        <v>2</v>
      </c>
      <c r="K624">
        <v>0</v>
      </c>
      <c r="L624" t="s">
        <v>2042</v>
      </c>
      <c r="M624">
        <v>479</v>
      </c>
      <c r="N624">
        <v>0</v>
      </c>
      <c r="O624">
        <v>0</v>
      </c>
      <c r="P624" s="13">
        <f t="shared" si="63"/>
        <v>1</v>
      </c>
      <c r="Q624" t="str">
        <f t="shared" si="64"/>
        <v>No</v>
      </c>
      <c r="R624" t="str" cm="1">
        <f t="array" ref="R624">_xlfn.IFS(K624=0,"On Time",K624&lt;=2,"Minor",K624&lt;=5,"Major",K624&gt;5,"Severe")</f>
        <v>On Time</v>
      </c>
      <c r="S624">
        <f t="shared" si="65"/>
        <v>0</v>
      </c>
      <c r="T624">
        <f t="shared" si="66"/>
        <v>0</v>
      </c>
      <c r="U624">
        <f t="shared" si="67"/>
        <v>2024</v>
      </c>
      <c r="V624">
        <f t="shared" si="68"/>
        <v>8</v>
      </c>
      <c r="W624" s="11">
        <f t="shared" si="69"/>
        <v>0</v>
      </c>
    </row>
    <row r="625" spans="1:23">
      <c r="A625" t="s">
        <v>638</v>
      </c>
      <c r="B625" s="4">
        <v>45484</v>
      </c>
      <c r="C625" t="s">
        <v>2016</v>
      </c>
      <c r="D625" t="s">
        <v>2021</v>
      </c>
      <c r="E625" t="s">
        <v>2029</v>
      </c>
      <c r="F625" t="s">
        <v>2031</v>
      </c>
      <c r="G625" t="s">
        <v>2034</v>
      </c>
      <c r="H625" t="s">
        <v>2039</v>
      </c>
      <c r="I625">
        <v>1</v>
      </c>
      <c r="J625">
        <v>5</v>
      </c>
      <c r="K625">
        <v>4</v>
      </c>
      <c r="L625" t="s">
        <v>2041</v>
      </c>
      <c r="M625">
        <v>67</v>
      </c>
      <c r="N625">
        <v>7972</v>
      </c>
      <c r="O625">
        <v>12072</v>
      </c>
      <c r="P625" s="13">
        <f t="shared" si="63"/>
        <v>0</v>
      </c>
      <c r="Q625" t="str">
        <f t="shared" si="64"/>
        <v>No</v>
      </c>
      <c r="R625" t="str" cm="1">
        <f t="array" ref="R625">_xlfn.IFS(K625=0,"On Time",K625&lt;=2,"Minor",K625&lt;=5,"Major",K625&gt;5,"Severe")</f>
        <v>Major</v>
      </c>
      <c r="S625">
        <f t="shared" si="65"/>
        <v>3018</v>
      </c>
      <c r="T625">
        <f t="shared" si="66"/>
        <v>1993</v>
      </c>
      <c r="U625">
        <f t="shared" si="67"/>
        <v>2024</v>
      </c>
      <c r="V625">
        <f t="shared" si="68"/>
        <v>7</v>
      </c>
      <c r="W625" s="11">
        <f t="shared" si="69"/>
        <v>1</v>
      </c>
    </row>
    <row r="626" spans="1:23">
      <c r="A626" t="s">
        <v>639</v>
      </c>
      <c r="B626" s="4">
        <v>45560</v>
      </c>
      <c r="C626" t="s">
        <v>2017</v>
      </c>
      <c r="D626" t="s">
        <v>2022</v>
      </c>
      <c r="E626" t="s">
        <v>2029</v>
      </c>
      <c r="F626" t="s">
        <v>2030</v>
      </c>
      <c r="G626" t="s">
        <v>2036</v>
      </c>
      <c r="H626" t="s">
        <v>2039</v>
      </c>
      <c r="I626">
        <v>5</v>
      </c>
      <c r="J626">
        <v>7</v>
      </c>
      <c r="K626">
        <v>2</v>
      </c>
      <c r="L626" t="s">
        <v>2041</v>
      </c>
      <c r="M626">
        <v>223</v>
      </c>
      <c r="N626">
        <v>3714</v>
      </c>
      <c r="O626">
        <v>9146</v>
      </c>
      <c r="P626" s="13">
        <f t="shared" si="63"/>
        <v>0</v>
      </c>
      <c r="Q626" t="str">
        <f t="shared" si="64"/>
        <v>No</v>
      </c>
      <c r="R626" t="str" cm="1">
        <f t="array" ref="R626">_xlfn.IFS(K626=0,"On Time",K626&lt;=2,"Minor",K626&lt;=5,"Major",K626&gt;5,"Severe")</f>
        <v>Minor</v>
      </c>
      <c r="S626">
        <f t="shared" si="65"/>
        <v>4573</v>
      </c>
      <c r="T626">
        <f t="shared" si="66"/>
        <v>1857</v>
      </c>
      <c r="U626">
        <f t="shared" si="67"/>
        <v>2024</v>
      </c>
      <c r="V626">
        <f t="shared" si="68"/>
        <v>9</v>
      </c>
      <c r="W626" s="11">
        <f t="shared" si="69"/>
        <v>1</v>
      </c>
    </row>
    <row r="627" spans="1:23">
      <c r="A627" t="s">
        <v>640</v>
      </c>
      <c r="B627" s="4">
        <v>45453</v>
      </c>
      <c r="C627" t="s">
        <v>2018</v>
      </c>
      <c r="D627" t="s">
        <v>2026</v>
      </c>
      <c r="E627" t="s">
        <v>2029</v>
      </c>
      <c r="F627" t="s">
        <v>2032</v>
      </c>
      <c r="G627" t="s">
        <v>2034</v>
      </c>
      <c r="H627" t="s">
        <v>2039</v>
      </c>
      <c r="I627">
        <v>2</v>
      </c>
      <c r="J627">
        <v>8</v>
      </c>
      <c r="K627">
        <v>6</v>
      </c>
      <c r="L627" t="s">
        <v>2041</v>
      </c>
      <c r="M627">
        <v>203</v>
      </c>
      <c r="N627">
        <v>4836</v>
      </c>
      <c r="O627">
        <v>22920</v>
      </c>
      <c r="P627" s="13">
        <f t="shared" si="63"/>
        <v>0</v>
      </c>
      <c r="Q627" t="str">
        <f t="shared" si="64"/>
        <v>No</v>
      </c>
      <c r="R627" t="str" cm="1">
        <f t="array" ref="R627">_xlfn.IFS(K627=0,"On Time",K627&lt;=2,"Minor",K627&lt;=5,"Major",K627&gt;5,"Severe")</f>
        <v>Severe</v>
      </c>
      <c r="S627">
        <f t="shared" si="65"/>
        <v>3820</v>
      </c>
      <c r="T627">
        <f t="shared" si="66"/>
        <v>806</v>
      </c>
      <c r="U627">
        <f t="shared" si="67"/>
        <v>2024</v>
      </c>
      <c r="V627">
        <f t="shared" si="68"/>
        <v>6</v>
      </c>
      <c r="W627" s="11">
        <f t="shared" si="69"/>
        <v>1</v>
      </c>
    </row>
    <row r="628" spans="1:23">
      <c r="A628" t="s">
        <v>641</v>
      </c>
      <c r="B628" s="4">
        <v>45573</v>
      </c>
      <c r="C628" t="s">
        <v>2016</v>
      </c>
      <c r="D628" t="s">
        <v>2025</v>
      </c>
      <c r="E628" t="s">
        <v>2028</v>
      </c>
      <c r="F628" t="s">
        <v>2030</v>
      </c>
      <c r="G628" t="s">
        <v>2035</v>
      </c>
      <c r="H628" t="s">
        <v>2040</v>
      </c>
      <c r="I628">
        <v>2</v>
      </c>
      <c r="J628">
        <v>6</v>
      </c>
      <c r="K628">
        <v>4</v>
      </c>
      <c r="L628" t="s">
        <v>2041</v>
      </c>
      <c r="M628">
        <v>154</v>
      </c>
      <c r="N628">
        <v>9660</v>
      </c>
      <c r="O628">
        <v>12316</v>
      </c>
      <c r="P628" s="13">
        <f t="shared" si="63"/>
        <v>0</v>
      </c>
      <c r="Q628" t="str">
        <f t="shared" si="64"/>
        <v>No</v>
      </c>
      <c r="R628" t="str" cm="1">
        <f t="array" ref="R628">_xlfn.IFS(K628=0,"On Time",K628&lt;=2,"Minor",K628&lt;=5,"Major",K628&gt;5,"Severe")</f>
        <v>Major</v>
      </c>
      <c r="S628">
        <f t="shared" si="65"/>
        <v>3079</v>
      </c>
      <c r="T628">
        <f t="shared" si="66"/>
        <v>2415</v>
      </c>
      <c r="U628">
        <f t="shared" si="67"/>
        <v>2024</v>
      </c>
      <c r="V628">
        <f t="shared" si="68"/>
        <v>10</v>
      </c>
      <c r="W628" s="11">
        <f t="shared" si="69"/>
        <v>1</v>
      </c>
    </row>
    <row r="629" spans="1:23">
      <c r="A629" t="s">
        <v>642</v>
      </c>
      <c r="B629" s="4">
        <v>45521</v>
      </c>
      <c r="C629" t="s">
        <v>2016</v>
      </c>
      <c r="D629" t="s">
        <v>2021</v>
      </c>
      <c r="E629" t="s">
        <v>2029</v>
      </c>
      <c r="F629" t="s">
        <v>2032</v>
      </c>
      <c r="G629" t="s">
        <v>2036</v>
      </c>
      <c r="H629" t="s">
        <v>2038</v>
      </c>
      <c r="I629">
        <v>2</v>
      </c>
      <c r="J629">
        <v>4</v>
      </c>
      <c r="K629">
        <v>2</v>
      </c>
      <c r="L629" t="s">
        <v>2041</v>
      </c>
      <c r="M629">
        <v>188</v>
      </c>
      <c r="N629">
        <v>1610</v>
      </c>
      <c r="O629">
        <v>6886</v>
      </c>
      <c r="P629" s="13">
        <f t="shared" si="63"/>
        <v>0</v>
      </c>
      <c r="Q629" t="str">
        <f t="shared" si="64"/>
        <v>No</v>
      </c>
      <c r="R629" t="str" cm="1">
        <f t="array" ref="R629">_xlfn.IFS(K629=0,"On Time",K629&lt;=2,"Minor",K629&lt;=5,"Major",K629&gt;5,"Severe")</f>
        <v>Minor</v>
      </c>
      <c r="S629">
        <f t="shared" si="65"/>
        <v>3443</v>
      </c>
      <c r="T629">
        <f t="shared" si="66"/>
        <v>805</v>
      </c>
      <c r="U629">
        <f t="shared" si="67"/>
        <v>2024</v>
      </c>
      <c r="V629">
        <f t="shared" si="68"/>
        <v>8</v>
      </c>
      <c r="W629" s="11">
        <f t="shared" si="69"/>
        <v>1</v>
      </c>
    </row>
    <row r="630" spans="1:23">
      <c r="A630" t="s">
        <v>643</v>
      </c>
      <c r="B630" s="4">
        <v>45386</v>
      </c>
      <c r="C630" t="s">
        <v>2017</v>
      </c>
      <c r="D630" t="s">
        <v>2023</v>
      </c>
      <c r="E630" t="s">
        <v>2029</v>
      </c>
      <c r="F630" t="s">
        <v>2031</v>
      </c>
      <c r="G630" t="s">
        <v>2034</v>
      </c>
      <c r="H630" t="s">
        <v>2038</v>
      </c>
      <c r="I630">
        <v>1</v>
      </c>
      <c r="J630">
        <v>2</v>
      </c>
      <c r="K630">
        <v>1</v>
      </c>
      <c r="L630" t="s">
        <v>2041</v>
      </c>
      <c r="M630">
        <v>141</v>
      </c>
      <c r="N630">
        <v>1325</v>
      </c>
      <c r="O630">
        <v>2151</v>
      </c>
      <c r="P630" s="13">
        <f t="shared" si="63"/>
        <v>0</v>
      </c>
      <c r="Q630" t="str">
        <f t="shared" si="64"/>
        <v>No</v>
      </c>
      <c r="R630" t="str" cm="1">
        <f t="array" ref="R630">_xlfn.IFS(K630=0,"On Time",K630&lt;=2,"Minor",K630&lt;=5,"Major",K630&gt;5,"Severe")</f>
        <v>Minor</v>
      </c>
      <c r="S630">
        <f t="shared" si="65"/>
        <v>2151</v>
      </c>
      <c r="T630">
        <f t="shared" si="66"/>
        <v>1325</v>
      </c>
      <c r="U630">
        <f t="shared" si="67"/>
        <v>2024</v>
      </c>
      <c r="V630">
        <f t="shared" si="68"/>
        <v>4</v>
      </c>
      <c r="W630" s="11">
        <f t="shared" si="69"/>
        <v>1</v>
      </c>
    </row>
    <row r="631" spans="1:23">
      <c r="A631" t="s">
        <v>644</v>
      </c>
      <c r="B631" s="4">
        <v>45530</v>
      </c>
      <c r="C631" t="s">
        <v>2016</v>
      </c>
      <c r="D631" t="s">
        <v>2021</v>
      </c>
      <c r="E631" t="s">
        <v>2029</v>
      </c>
      <c r="F631" t="s">
        <v>2032</v>
      </c>
      <c r="G631" t="s">
        <v>2033</v>
      </c>
      <c r="H631" t="s">
        <v>2039</v>
      </c>
      <c r="I631">
        <v>1</v>
      </c>
      <c r="J631">
        <v>8</v>
      </c>
      <c r="K631">
        <v>7</v>
      </c>
      <c r="L631" t="s">
        <v>2041</v>
      </c>
      <c r="M631">
        <v>106</v>
      </c>
      <c r="N631">
        <v>15232</v>
      </c>
      <c r="O631">
        <v>20237</v>
      </c>
      <c r="P631" s="13">
        <f t="shared" si="63"/>
        <v>0</v>
      </c>
      <c r="Q631" t="str">
        <f t="shared" si="64"/>
        <v>No</v>
      </c>
      <c r="R631" t="str" cm="1">
        <f t="array" ref="R631">_xlfn.IFS(K631=0,"On Time",K631&lt;=2,"Minor",K631&lt;=5,"Major",K631&gt;5,"Severe")</f>
        <v>Severe</v>
      </c>
      <c r="S631">
        <f t="shared" si="65"/>
        <v>2891</v>
      </c>
      <c r="T631">
        <f t="shared" si="66"/>
        <v>2176</v>
      </c>
      <c r="U631">
        <f t="shared" si="67"/>
        <v>2024</v>
      </c>
      <c r="V631">
        <f t="shared" si="68"/>
        <v>8</v>
      </c>
      <c r="W631" s="11">
        <f t="shared" si="69"/>
        <v>1</v>
      </c>
    </row>
    <row r="632" spans="1:23">
      <c r="A632" t="s">
        <v>645</v>
      </c>
      <c r="B632" s="4">
        <v>45458</v>
      </c>
      <c r="C632" t="s">
        <v>2017</v>
      </c>
      <c r="D632" t="s">
        <v>2022</v>
      </c>
      <c r="E632" t="s">
        <v>2028</v>
      </c>
      <c r="F632" t="s">
        <v>2030</v>
      </c>
      <c r="G632" t="s">
        <v>2033</v>
      </c>
      <c r="H632" t="s">
        <v>2039</v>
      </c>
      <c r="I632">
        <v>3</v>
      </c>
      <c r="J632">
        <v>6</v>
      </c>
      <c r="K632">
        <v>3</v>
      </c>
      <c r="L632" t="s">
        <v>2041</v>
      </c>
      <c r="M632">
        <v>240</v>
      </c>
      <c r="N632">
        <v>5580</v>
      </c>
      <c r="O632">
        <v>14205</v>
      </c>
      <c r="P632" s="13">
        <f t="shared" si="63"/>
        <v>0</v>
      </c>
      <c r="Q632" t="str">
        <f t="shared" si="64"/>
        <v>No</v>
      </c>
      <c r="R632" t="str" cm="1">
        <f t="array" ref="R632">_xlfn.IFS(K632=0,"On Time",K632&lt;=2,"Minor",K632&lt;=5,"Major",K632&gt;5,"Severe")</f>
        <v>Major</v>
      </c>
      <c r="S632">
        <f t="shared" si="65"/>
        <v>4735</v>
      </c>
      <c r="T632">
        <f t="shared" si="66"/>
        <v>1860</v>
      </c>
      <c r="U632">
        <f t="shared" si="67"/>
        <v>2024</v>
      </c>
      <c r="V632">
        <f t="shared" si="68"/>
        <v>6</v>
      </c>
      <c r="W632" s="11">
        <f t="shared" si="69"/>
        <v>1</v>
      </c>
    </row>
    <row r="633" spans="1:23">
      <c r="A633" t="s">
        <v>646</v>
      </c>
      <c r="B633" s="4">
        <v>45487</v>
      </c>
      <c r="C633" t="s">
        <v>2017</v>
      </c>
      <c r="D633" t="s">
        <v>2023</v>
      </c>
      <c r="E633" t="s">
        <v>2028</v>
      </c>
      <c r="F633" t="s">
        <v>2032</v>
      </c>
      <c r="G633" t="s">
        <v>2033</v>
      </c>
      <c r="H633" t="s">
        <v>2039</v>
      </c>
      <c r="I633">
        <v>3</v>
      </c>
      <c r="J633">
        <v>5</v>
      </c>
      <c r="K633">
        <v>2</v>
      </c>
      <c r="L633" t="s">
        <v>2041</v>
      </c>
      <c r="M633">
        <v>157</v>
      </c>
      <c r="N633">
        <v>1904</v>
      </c>
      <c r="O633">
        <v>7172</v>
      </c>
      <c r="P633" s="13">
        <f t="shared" si="63"/>
        <v>0</v>
      </c>
      <c r="Q633" t="str">
        <f t="shared" si="64"/>
        <v>No</v>
      </c>
      <c r="R633" t="str" cm="1">
        <f t="array" ref="R633">_xlfn.IFS(K633=0,"On Time",K633&lt;=2,"Minor",K633&lt;=5,"Major",K633&gt;5,"Severe")</f>
        <v>Minor</v>
      </c>
      <c r="S633">
        <f t="shared" si="65"/>
        <v>3586</v>
      </c>
      <c r="T633">
        <f t="shared" si="66"/>
        <v>952</v>
      </c>
      <c r="U633">
        <f t="shared" si="67"/>
        <v>2024</v>
      </c>
      <c r="V633">
        <f t="shared" si="68"/>
        <v>7</v>
      </c>
      <c r="W633" s="11">
        <f t="shared" si="69"/>
        <v>1</v>
      </c>
    </row>
    <row r="634" spans="1:23">
      <c r="A634" t="s">
        <v>647</v>
      </c>
      <c r="B634" s="4">
        <v>45329</v>
      </c>
      <c r="C634" t="s">
        <v>2018</v>
      </c>
      <c r="D634" t="s">
        <v>2024</v>
      </c>
      <c r="E634" t="s">
        <v>2027</v>
      </c>
      <c r="F634" t="s">
        <v>2031</v>
      </c>
      <c r="G634" t="s">
        <v>2037</v>
      </c>
      <c r="H634" t="s">
        <v>2038</v>
      </c>
      <c r="I634">
        <v>2</v>
      </c>
      <c r="J634">
        <v>7</v>
      </c>
      <c r="K634">
        <v>5</v>
      </c>
      <c r="L634" t="s">
        <v>2041</v>
      </c>
      <c r="M634">
        <v>189</v>
      </c>
      <c r="N634">
        <v>8975</v>
      </c>
      <c r="O634">
        <v>18885</v>
      </c>
      <c r="P634" s="13">
        <f t="shared" si="63"/>
        <v>0</v>
      </c>
      <c r="Q634" t="str">
        <f t="shared" si="64"/>
        <v>No</v>
      </c>
      <c r="R634" t="str" cm="1">
        <f t="array" ref="R634">_xlfn.IFS(K634=0,"On Time",K634&lt;=2,"Minor",K634&lt;=5,"Major",K634&gt;5,"Severe")</f>
        <v>Major</v>
      </c>
      <c r="S634">
        <f t="shared" si="65"/>
        <v>3777</v>
      </c>
      <c r="T634">
        <f t="shared" si="66"/>
        <v>1795</v>
      </c>
      <c r="U634">
        <f t="shared" si="67"/>
        <v>2024</v>
      </c>
      <c r="V634">
        <f t="shared" si="68"/>
        <v>2</v>
      </c>
      <c r="W634" s="11">
        <f t="shared" si="69"/>
        <v>1</v>
      </c>
    </row>
    <row r="635" spans="1:23">
      <c r="A635" t="s">
        <v>648</v>
      </c>
      <c r="B635" s="4">
        <v>45468</v>
      </c>
      <c r="C635" t="s">
        <v>2016</v>
      </c>
      <c r="D635" t="s">
        <v>2021</v>
      </c>
      <c r="E635" t="s">
        <v>2027</v>
      </c>
      <c r="F635" t="s">
        <v>2031</v>
      </c>
      <c r="G635" t="s">
        <v>2034</v>
      </c>
      <c r="H635" t="s">
        <v>2040</v>
      </c>
      <c r="I635">
        <v>2</v>
      </c>
      <c r="J635">
        <v>5</v>
      </c>
      <c r="K635">
        <v>3</v>
      </c>
      <c r="L635" t="s">
        <v>2041</v>
      </c>
      <c r="M635">
        <v>86</v>
      </c>
      <c r="N635">
        <v>5844</v>
      </c>
      <c r="O635">
        <v>6042</v>
      </c>
      <c r="P635" s="13">
        <f t="shared" si="63"/>
        <v>0</v>
      </c>
      <c r="Q635" t="str">
        <f t="shared" si="64"/>
        <v>No</v>
      </c>
      <c r="R635" t="str" cm="1">
        <f t="array" ref="R635">_xlfn.IFS(K635=0,"On Time",K635&lt;=2,"Minor",K635&lt;=5,"Major",K635&gt;5,"Severe")</f>
        <v>Major</v>
      </c>
      <c r="S635">
        <f t="shared" si="65"/>
        <v>2014</v>
      </c>
      <c r="T635">
        <f t="shared" si="66"/>
        <v>1948</v>
      </c>
      <c r="U635">
        <f t="shared" si="67"/>
        <v>2024</v>
      </c>
      <c r="V635">
        <f t="shared" si="68"/>
        <v>6</v>
      </c>
      <c r="W635" s="11">
        <f t="shared" si="69"/>
        <v>1</v>
      </c>
    </row>
    <row r="636" spans="1:23">
      <c r="A636" t="s">
        <v>649</v>
      </c>
      <c r="B636" s="4">
        <v>45462</v>
      </c>
      <c r="C636" t="s">
        <v>2017</v>
      </c>
      <c r="D636" t="s">
        <v>2023</v>
      </c>
      <c r="E636" t="s">
        <v>2027</v>
      </c>
      <c r="F636" t="s">
        <v>2031</v>
      </c>
      <c r="G636" t="s">
        <v>2033</v>
      </c>
      <c r="H636" t="s">
        <v>2039</v>
      </c>
      <c r="I636">
        <v>2</v>
      </c>
      <c r="J636">
        <v>6</v>
      </c>
      <c r="K636">
        <v>4</v>
      </c>
      <c r="L636" t="s">
        <v>2041</v>
      </c>
      <c r="M636">
        <v>304</v>
      </c>
      <c r="N636">
        <v>7024</v>
      </c>
      <c r="O636">
        <v>6660</v>
      </c>
      <c r="P636" s="13">
        <f t="shared" si="63"/>
        <v>0</v>
      </c>
      <c r="Q636" t="str">
        <f t="shared" si="64"/>
        <v>No</v>
      </c>
      <c r="R636" t="str" cm="1">
        <f t="array" ref="R636">_xlfn.IFS(K636=0,"On Time",K636&lt;=2,"Minor",K636&lt;=5,"Major",K636&gt;5,"Severe")</f>
        <v>Major</v>
      </c>
      <c r="S636">
        <f t="shared" si="65"/>
        <v>1665</v>
      </c>
      <c r="T636">
        <f t="shared" si="66"/>
        <v>1756</v>
      </c>
      <c r="U636">
        <f t="shared" si="67"/>
        <v>2024</v>
      </c>
      <c r="V636">
        <f t="shared" si="68"/>
        <v>6</v>
      </c>
      <c r="W636" s="11">
        <f t="shared" si="69"/>
        <v>1</v>
      </c>
    </row>
    <row r="637" spans="1:23">
      <c r="A637" t="s">
        <v>650</v>
      </c>
      <c r="B637" s="4">
        <v>45638</v>
      </c>
      <c r="C637" t="s">
        <v>2015</v>
      </c>
      <c r="D637" t="s">
        <v>2019</v>
      </c>
      <c r="E637" t="s">
        <v>2029</v>
      </c>
      <c r="F637" t="s">
        <v>2032</v>
      </c>
      <c r="G637" t="s">
        <v>2034</v>
      </c>
      <c r="H637" t="s">
        <v>2040</v>
      </c>
      <c r="I637">
        <v>3</v>
      </c>
      <c r="J637">
        <v>12</v>
      </c>
      <c r="K637">
        <v>9</v>
      </c>
      <c r="L637" t="s">
        <v>2041</v>
      </c>
      <c r="M637">
        <v>269</v>
      </c>
      <c r="N637">
        <v>10980</v>
      </c>
      <c r="O637">
        <v>19269</v>
      </c>
      <c r="P637" s="13">
        <f t="shared" si="63"/>
        <v>0</v>
      </c>
      <c r="Q637" t="str">
        <f t="shared" si="64"/>
        <v>No</v>
      </c>
      <c r="R637" t="str" cm="1">
        <f t="array" ref="R637">_xlfn.IFS(K637=0,"On Time",K637&lt;=2,"Minor",K637&lt;=5,"Major",K637&gt;5,"Severe")</f>
        <v>Severe</v>
      </c>
      <c r="S637">
        <f t="shared" si="65"/>
        <v>2141</v>
      </c>
      <c r="T637">
        <f t="shared" si="66"/>
        <v>1220</v>
      </c>
      <c r="U637">
        <f t="shared" si="67"/>
        <v>2024</v>
      </c>
      <c r="V637">
        <f t="shared" si="68"/>
        <v>12</v>
      </c>
      <c r="W637" s="11">
        <f t="shared" si="69"/>
        <v>1</v>
      </c>
    </row>
    <row r="638" spans="1:23">
      <c r="A638" t="s">
        <v>651</v>
      </c>
      <c r="B638" s="4">
        <v>45605</v>
      </c>
      <c r="C638" t="s">
        <v>2015</v>
      </c>
      <c r="D638" t="s">
        <v>2019</v>
      </c>
      <c r="E638" t="s">
        <v>2027</v>
      </c>
      <c r="F638" t="s">
        <v>2030</v>
      </c>
      <c r="G638" t="s">
        <v>2037</v>
      </c>
      <c r="H638" t="s">
        <v>2038</v>
      </c>
      <c r="I638">
        <v>1</v>
      </c>
      <c r="J638">
        <v>2</v>
      </c>
      <c r="K638">
        <v>1</v>
      </c>
      <c r="L638" t="s">
        <v>2041</v>
      </c>
      <c r="M638">
        <v>225</v>
      </c>
      <c r="N638">
        <v>2473</v>
      </c>
      <c r="O638">
        <v>2981</v>
      </c>
      <c r="P638" s="13">
        <f t="shared" si="63"/>
        <v>0</v>
      </c>
      <c r="Q638" t="str">
        <f t="shared" si="64"/>
        <v>No</v>
      </c>
      <c r="R638" t="str" cm="1">
        <f t="array" ref="R638">_xlfn.IFS(K638=0,"On Time",K638&lt;=2,"Minor",K638&lt;=5,"Major",K638&gt;5,"Severe")</f>
        <v>Minor</v>
      </c>
      <c r="S638">
        <f t="shared" si="65"/>
        <v>2981</v>
      </c>
      <c r="T638">
        <f t="shared" si="66"/>
        <v>2473</v>
      </c>
      <c r="U638">
        <f t="shared" si="67"/>
        <v>2024</v>
      </c>
      <c r="V638">
        <f t="shared" si="68"/>
        <v>11</v>
      </c>
      <c r="W638" s="11">
        <f t="shared" si="69"/>
        <v>1</v>
      </c>
    </row>
    <row r="639" spans="1:23">
      <c r="A639" t="s">
        <v>652</v>
      </c>
      <c r="B639" s="4">
        <v>45400</v>
      </c>
      <c r="C639" t="s">
        <v>2015</v>
      </c>
      <c r="D639" t="s">
        <v>2019</v>
      </c>
      <c r="E639" t="s">
        <v>2027</v>
      </c>
      <c r="F639" t="s">
        <v>2030</v>
      </c>
      <c r="G639" t="s">
        <v>2036</v>
      </c>
      <c r="H639" t="s">
        <v>2038</v>
      </c>
      <c r="I639">
        <v>3</v>
      </c>
      <c r="J639">
        <v>5</v>
      </c>
      <c r="K639">
        <v>2</v>
      </c>
      <c r="L639" t="s">
        <v>2041</v>
      </c>
      <c r="M639">
        <v>323</v>
      </c>
      <c r="N639">
        <v>4362</v>
      </c>
      <c r="O639">
        <v>4638</v>
      </c>
      <c r="P639" s="13">
        <f t="shared" si="63"/>
        <v>0</v>
      </c>
      <c r="Q639" t="str">
        <f t="shared" si="64"/>
        <v>No</v>
      </c>
      <c r="R639" t="str" cm="1">
        <f t="array" ref="R639">_xlfn.IFS(K639=0,"On Time",K639&lt;=2,"Minor",K639&lt;=5,"Major",K639&gt;5,"Severe")</f>
        <v>Minor</v>
      </c>
      <c r="S639">
        <f t="shared" si="65"/>
        <v>2319</v>
      </c>
      <c r="T639">
        <f t="shared" si="66"/>
        <v>2181</v>
      </c>
      <c r="U639">
        <f t="shared" si="67"/>
        <v>2024</v>
      </c>
      <c r="V639">
        <f t="shared" si="68"/>
        <v>4</v>
      </c>
      <c r="W639" s="11">
        <f t="shared" si="69"/>
        <v>1</v>
      </c>
    </row>
    <row r="640" spans="1:23">
      <c r="A640" t="s">
        <v>653</v>
      </c>
      <c r="B640" s="4">
        <v>45580</v>
      </c>
      <c r="C640" t="s">
        <v>2018</v>
      </c>
      <c r="D640" t="s">
        <v>2026</v>
      </c>
      <c r="E640" t="s">
        <v>2027</v>
      </c>
      <c r="F640" t="s">
        <v>2031</v>
      </c>
      <c r="G640" t="s">
        <v>2037</v>
      </c>
      <c r="H640" t="s">
        <v>2038</v>
      </c>
      <c r="I640">
        <v>2</v>
      </c>
      <c r="J640">
        <v>4</v>
      </c>
      <c r="K640">
        <v>2</v>
      </c>
      <c r="L640" t="s">
        <v>2041</v>
      </c>
      <c r="M640">
        <v>258</v>
      </c>
      <c r="N640">
        <v>3070</v>
      </c>
      <c r="O640">
        <v>6724</v>
      </c>
      <c r="P640" s="13">
        <f t="shared" si="63"/>
        <v>0</v>
      </c>
      <c r="Q640" t="str">
        <f t="shared" si="64"/>
        <v>No</v>
      </c>
      <c r="R640" t="str" cm="1">
        <f t="array" ref="R640">_xlfn.IFS(K640=0,"On Time",K640&lt;=2,"Minor",K640&lt;=5,"Major",K640&gt;5,"Severe")</f>
        <v>Minor</v>
      </c>
      <c r="S640">
        <f t="shared" si="65"/>
        <v>3362</v>
      </c>
      <c r="T640">
        <f t="shared" si="66"/>
        <v>1535</v>
      </c>
      <c r="U640">
        <f t="shared" si="67"/>
        <v>2024</v>
      </c>
      <c r="V640">
        <f t="shared" si="68"/>
        <v>10</v>
      </c>
      <c r="W640" s="11">
        <f t="shared" si="69"/>
        <v>1</v>
      </c>
    </row>
    <row r="641" spans="1:23">
      <c r="A641" t="s">
        <v>654</v>
      </c>
      <c r="B641" s="4">
        <v>45612</v>
      </c>
      <c r="C641" t="s">
        <v>2015</v>
      </c>
      <c r="D641" t="s">
        <v>2019</v>
      </c>
      <c r="E641" t="s">
        <v>2028</v>
      </c>
      <c r="F641" t="s">
        <v>2031</v>
      </c>
      <c r="G641" t="s">
        <v>2034</v>
      </c>
      <c r="H641" t="s">
        <v>2038</v>
      </c>
      <c r="I641">
        <v>3</v>
      </c>
      <c r="J641">
        <v>5</v>
      </c>
      <c r="K641">
        <v>2</v>
      </c>
      <c r="L641" t="s">
        <v>2041</v>
      </c>
      <c r="M641">
        <v>357</v>
      </c>
      <c r="N641">
        <v>3232</v>
      </c>
      <c r="O641">
        <v>3662</v>
      </c>
      <c r="P641" s="13">
        <f t="shared" si="63"/>
        <v>0</v>
      </c>
      <c r="Q641" t="str">
        <f t="shared" si="64"/>
        <v>No</v>
      </c>
      <c r="R641" t="str" cm="1">
        <f t="array" ref="R641">_xlfn.IFS(K641=0,"On Time",K641&lt;=2,"Minor",K641&lt;=5,"Major",K641&gt;5,"Severe")</f>
        <v>Minor</v>
      </c>
      <c r="S641">
        <f t="shared" si="65"/>
        <v>1831</v>
      </c>
      <c r="T641">
        <f t="shared" si="66"/>
        <v>1616</v>
      </c>
      <c r="U641">
        <f t="shared" si="67"/>
        <v>2024</v>
      </c>
      <c r="V641">
        <f t="shared" si="68"/>
        <v>11</v>
      </c>
      <c r="W641" s="11">
        <f t="shared" si="69"/>
        <v>1</v>
      </c>
    </row>
    <row r="642" spans="1:23">
      <c r="A642" t="s">
        <v>655</v>
      </c>
      <c r="B642" s="4">
        <v>45652</v>
      </c>
      <c r="C642" t="s">
        <v>2015</v>
      </c>
      <c r="D642" t="s">
        <v>2020</v>
      </c>
      <c r="E642" t="s">
        <v>2028</v>
      </c>
      <c r="F642" t="s">
        <v>2031</v>
      </c>
      <c r="G642" t="s">
        <v>2037</v>
      </c>
      <c r="H642" t="s">
        <v>2038</v>
      </c>
      <c r="I642">
        <v>2</v>
      </c>
      <c r="J642">
        <v>5</v>
      </c>
      <c r="K642">
        <v>3</v>
      </c>
      <c r="L642" t="s">
        <v>2041</v>
      </c>
      <c r="M642">
        <v>103</v>
      </c>
      <c r="N642">
        <v>5868</v>
      </c>
      <c r="O642">
        <v>14868</v>
      </c>
      <c r="P642" s="13">
        <f t="shared" si="63"/>
        <v>0</v>
      </c>
      <c r="Q642" t="str">
        <f t="shared" si="64"/>
        <v>No</v>
      </c>
      <c r="R642" t="str" cm="1">
        <f t="array" ref="R642">_xlfn.IFS(K642=0,"On Time",K642&lt;=2,"Minor",K642&lt;=5,"Major",K642&gt;5,"Severe")</f>
        <v>Major</v>
      </c>
      <c r="S642">
        <f t="shared" si="65"/>
        <v>4956</v>
      </c>
      <c r="T642">
        <f t="shared" si="66"/>
        <v>1956</v>
      </c>
      <c r="U642">
        <f t="shared" si="67"/>
        <v>2024</v>
      </c>
      <c r="V642">
        <f t="shared" si="68"/>
        <v>12</v>
      </c>
      <c r="W642" s="11">
        <f t="shared" si="69"/>
        <v>1</v>
      </c>
    </row>
    <row r="643" spans="1:23">
      <c r="A643" t="s">
        <v>656</v>
      </c>
      <c r="B643" s="4">
        <v>45456</v>
      </c>
      <c r="C643" t="s">
        <v>2017</v>
      </c>
      <c r="D643" t="s">
        <v>2023</v>
      </c>
      <c r="E643" t="s">
        <v>2028</v>
      </c>
      <c r="F643" t="s">
        <v>2030</v>
      </c>
      <c r="G643" t="s">
        <v>2034</v>
      </c>
      <c r="H643" t="s">
        <v>2040</v>
      </c>
      <c r="I643">
        <v>1</v>
      </c>
      <c r="J643">
        <v>8</v>
      </c>
      <c r="K643">
        <v>7</v>
      </c>
      <c r="L643" t="s">
        <v>2041</v>
      </c>
      <c r="M643">
        <v>130</v>
      </c>
      <c r="N643">
        <v>7070</v>
      </c>
      <c r="O643">
        <v>12901</v>
      </c>
      <c r="P643" s="13">
        <f t="shared" ref="P643:P706" si="70">IF(L643="Yes",0,1)</f>
        <v>0</v>
      </c>
      <c r="Q643" t="str">
        <f t="shared" ref="Q643:Q706" si="71">IF(K643&gt;J643,"Yes","No")</f>
        <v>No</v>
      </c>
      <c r="R643" t="str" cm="1">
        <f t="array" ref="R643">_xlfn.IFS(K643=0,"On Time",K643&lt;=2,"Minor",K643&lt;=5,"Major",K643&gt;5,"Severe")</f>
        <v>Severe</v>
      </c>
      <c r="S643">
        <f t="shared" ref="S643:S706" si="72">IFERROR(O643/K643,0)</f>
        <v>1843</v>
      </c>
      <c r="T643">
        <f t="shared" ref="T643:T706" si="73">IFERROR(N643/K643,0)</f>
        <v>1010</v>
      </c>
      <c r="U643">
        <f t="shared" ref="U643:U706" si="74">YEAR(B643)</f>
        <v>2024</v>
      </c>
      <c r="V643">
        <f t="shared" ref="V643:V706" si="75">MONTH(B643)</f>
        <v>6</v>
      </c>
      <c r="W643" s="11">
        <f t="shared" ref="W643:W706" si="76">IF(L643="Yes",1,0)</f>
        <v>1</v>
      </c>
    </row>
    <row r="644" spans="1:23">
      <c r="A644" t="s">
        <v>657</v>
      </c>
      <c r="B644" s="4">
        <v>45477</v>
      </c>
      <c r="C644" t="s">
        <v>2017</v>
      </c>
      <c r="D644" t="s">
        <v>2023</v>
      </c>
      <c r="E644" t="s">
        <v>2028</v>
      </c>
      <c r="F644" t="s">
        <v>2030</v>
      </c>
      <c r="G644" t="s">
        <v>2035</v>
      </c>
      <c r="H644" t="s">
        <v>2039</v>
      </c>
      <c r="I644">
        <v>2</v>
      </c>
      <c r="J644">
        <v>2</v>
      </c>
      <c r="K644">
        <v>0</v>
      </c>
      <c r="L644" t="s">
        <v>2042</v>
      </c>
      <c r="M644">
        <v>470</v>
      </c>
      <c r="N644">
        <v>0</v>
      </c>
      <c r="O644">
        <v>0</v>
      </c>
      <c r="P644" s="13">
        <f t="shared" si="70"/>
        <v>1</v>
      </c>
      <c r="Q644" t="str">
        <f t="shared" si="71"/>
        <v>No</v>
      </c>
      <c r="R644" t="str" cm="1">
        <f t="array" ref="R644">_xlfn.IFS(K644=0,"On Time",K644&lt;=2,"Minor",K644&lt;=5,"Major",K644&gt;5,"Severe")</f>
        <v>On Time</v>
      </c>
      <c r="S644">
        <f t="shared" si="72"/>
        <v>0</v>
      </c>
      <c r="T644">
        <f t="shared" si="73"/>
        <v>0</v>
      </c>
      <c r="U644">
        <f t="shared" si="74"/>
        <v>2024</v>
      </c>
      <c r="V644">
        <f t="shared" si="75"/>
        <v>7</v>
      </c>
      <c r="W644" s="11">
        <f t="shared" si="76"/>
        <v>0</v>
      </c>
    </row>
    <row r="645" spans="1:23">
      <c r="A645" t="s">
        <v>658</v>
      </c>
      <c r="B645" s="4">
        <v>45313</v>
      </c>
      <c r="C645" t="s">
        <v>2018</v>
      </c>
      <c r="D645" t="s">
        <v>2024</v>
      </c>
      <c r="E645" t="s">
        <v>2028</v>
      </c>
      <c r="F645" t="s">
        <v>2030</v>
      </c>
      <c r="G645" t="s">
        <v>2033</v>
      </c>
      <c r="H645" t="s">
        <v>2039</v>
      </c>
      <c r="I645">
        <v>2</v>
      </c>
      <c r="J645">
        <v>4</v>
      </c>
      <c r="K645">
        <v>2</v>
      </c>
      <c r="L645" t="s">
        <v>2041</v>
      </c>
      <c r="M645">
        <v>184</v>
      </c>
      <c r="N645">
        <v>1940</v>
      </c>
      <c r="O645">
        <v>8006</v>
      </c>
      <c r="P645" s="13">
        <f t="shared" si="70"/>
        <v>0</v>
      </c>
      <c r="Q645" t="str">
        <f t="shared" si="71"/>
        <v>No</v>
      </c>
      <c r="R645" t="str" cm="1">
        <f t="array" ref="R645">_xlfn.IFS(K645=0,"On Time",K645&lt;=2,"Minor",K645&lt;=5,"Major",K645&gt;5,"Severe")</f>
        <v>Minor</v>
      </c>
      <c r="S645">
        <f t="shared" si="72"/>
        <v>4003</v>
      </c>
      <c r="T645">
        <f t="shared" si="73"/>
        <v>970</v>
      </c>
      <c r="U645">
        <f t="shared" si="74"/>
        <v>2024</v>
      </c>
      <c r="V645">
        <f t="shared" si="75"/>
        <v>1</v>
      </c>
      <c r="W645" s="11">
        <f t="shared" si="76"/>
        <v>1</v>
      </c>
    </row>
    <row r="646" spans="1:23">
      <c r="A646" t="s">
        <v>659</v>
      </c>
      <c r="B646" s="4">
        <v>45582</v>
      </c>
      <c r="C646" t="s">
        <v>2015</v>
      </c>
      <c r="D646" t="s">
        <v>2019</v>
      </c>
      <c r="E646" t="s">
        <v>2029</v>
      </c>
      <c r="F646" t="s">
        <v>2031</v>
      </c>
      <c r="G646" t="s">
        <v>2035</v>
      </c>
      <c r="H646" t="s">
        <v>2039</v>
      </c>
      <c r="I646">
        <v>1</v>
      </c>
      <c r="J646">
        <v>5</v>
      </c>
      <c r="K646">
        <v>4</v>
      </c>
      <c r="L646" t="s">
        <v>2041</v>
      </c>
      <c r="M646">
        <v>366</v>
      </c>
      <c r="N646">
        <v>7056</v>
      </c>
      <c r="O646">
        <v>12144</v>
      </c>
      <c r="P646" s="13">
        <f t="shared" si="70"/>
        <v>0</v>
      </c>
      <c r="Q646" t="str">
        <f t="shared" si="71"/>
        <v>No</v>
      </c>
      <c r="R646" t="str" cm="1">
        <f t="array" ref="R646">_xlfn.IFS(K646=0,"On Time",K646&lt;=2,"Minor",K646&lt;=5,"Major",K646&gt;5,"Severe")</f>
        <v>Major</v>
      </c>
      <c r="S646">
        <f t="shared" si="72"/>
        <v>3036</v>
      </c>
      <c r="T646">
        <f t="shared" si="73"/>
        <v>1764</v>
      </c>
      <c r="U646">
        <f t="shared" si="74"/>
        <v>2024</v>
      </c>
      <c r="V646">
        <f t="shared" si="75"/>
        <v>10</v>
      </c>
      <c r="W646" s="11">
        <f t="shared" si="76"/>
        <v>1</v>
      </c>
    </row>
    <row r="647" spans="1:23">
      <c r="A647" t="s">
        <v>660</v>
      </c>
      <c r="B647" s="4">
        <v>45601</v>
      </c>
      <c r="C647" t="s">
        <v>2015</v>
      </c>
      <c r="D647" t="s">
        <v>2020</v>
      </c>
      <c r="E647" t="s">
        <v>2027</v>
      </c>
      <c r="F647" t="s">
        <v>2031</v>
      </c>
      <c r="G647" t="s">
        <v>2033</v>
      </c>
      <c r="H647" t="s">
        <v>2038</v>
      </c>
      <c r="I647">
        <v>2</v>
      </c>
      <c r="J647">
        <v>3</v>
      </c>
      <c r="K647">
        <v>1</v>
      </c>
      <c r="L647" t="s">
        <v>2041</v>
      </c>
      <c r="M647">
        <v>241</v>
      </c>
      <c r="N647">
        <v>2346</v>
      </c>
      <c r="O647">
        <v>3941</v>
      </c>
      <c r="P647" s="13">
        <f t="shared" si="70"/>
        <v>0</v>
      </c>
      <c r="Q647" t="str">
        <f t="shared" si="71"/>
        <v>No</v>
      </c>
      <c r="R647" t="str" cm="1">
        <f t="array" ref="R647">_xlfn.IFS(K647=0,"On Time",K647&lt;=2,"Minor",K647&lt;=5,"Major",K647&gt;5,"Severe")</f>
        <v>Minor</v>
      </c>
      <c r="S647">
        <f t="shared" si="72"/>
        <v>3941</v>
      </c>
      <c r="T647">
        <f t="shared" si="73"/>
        <v>2346</v>
      </c>
      <c r="U647">
        <f t="shared" si="74"/>
        <v>2024</v>
      </c>
      <c r="V647">
        <f t="shared" si="75"/>
        <v>11</v>
      </c>
      <c r="W647" s="11">
        <f t="shared" si="76"/>
        <v>1</v>
      </c>
    </row>
    <row r="648" spans="1:23">
      <c r="A648" t="s">
        <v>661</v>
      </c>
      <c r="B648" s="4">
        <v>45330</v>
      </c>
      <c r="C648" t="s">
        <v>2015</v>
      </c>
      <c r="D648" t="s">
        <v>2020</v>
      </c>
      <c r="E648" t="s">
        <v>2029</v>
      </c>
      <c r="F648" t="s">
        <v>2031</v>
      </c>
      <c r="G648" t="s">
        <v>2035</v>
      </c>
      <c r="H648" t="s">
        <v>2039</v>
      </c>
      <c r="I648">
        <v>1</v>
      </c>
      <c r="J648">
        <v>4</v>
      </c>
      <c r="K648">
        <v>3</v>
      </c>
      <c r="L648" t="s">
        <v>2041</v>
      </c>
      <c r="M648">
        <v>270</v>
      </c>
      <c r="N648">
        <v>7353</v>
      </c>
      <c r="O648">
        <v>5379</v>
      </c>
      <c r="P648" s="13">
        <f t="shared" si="70"/>
        <v>0</v>
      </c>
      <c r="Q648" t="str">
        <f t="shared" si="71"/>
        <v>No</v>
      </c>
      <c r="R648" t="str" cm="1">
        <f t="array" ref="R648">_xlfn.IFS(K648=0,"On Time",K648&lt;=2,"Minor",K648&lt;=5,"Major",K648&gt;5,"Severe")</f>
        <v>Major</v>
      </c>
      <c r="S648">
        <f t="shared" si="72"/>
        <v>1793</v>
      </c>
      <c r="T648">
        <f t="shared" si="73"/>
        <v>2451</v>
      </c>
      <c r="U648">
        <f t="shared" si="74"/>
        <v>2024</v>
      </c>
      <c r="V648">
        <f t="shared" si="75"/>
        <v>2</v>
      </c>
      <c r="W648" s="11">
        <f t="shared" si="76"/>
        <v>1</v>
      </c>
    </row>
    <row r="649" spans="1:23">
      <c r="A649" t="s">
        <v>662</v>
      </c>
      <c r="B649" s="4">
        <v>45654</v>
      </c>
      <c r="C649" t="s">
        <v>2016</v>
      </c>
      <c r="D649" t="s">
        <v>2021</v>
      </c>
      <c r="E649" t="s">
        <v>2029</v>
      </c>
      <c r="F649" t="s">
        <v>2032</v>
      </c>
      <c r="G649" t="s">
        <v>2033</v>
      </c>
      <c r="H649" t="s">
        <v>2038</v>
      </c>
      <c r="I649">
        <v>1</v>
      </c>
      <c r="J649">
        <v>4</v>
      </c>
      <c r="K649">
        <v>3</v>
      </c>
      <c r="L649" t="s">
        <v>2041</v>
      </c>
      <c r="M649">
        <v>216</v>
      </c>
      <c r="N649">
        <v>5679</v>
      </c>
      <c r="O649">
        <v>8184</v>
      </c>
      <c r="P649" s="13">
        <f t="shared" si="70"/>
        <v>0</v>
      </c>
      <c r="Q649" t="str">
        <f t="shared" si="71"/>
        <v>No</v>
      </c>
      <c r="R649" t="str" cm="1">
        <f t="array" ref="R649">_xlfn.IFS(K649=0,"On Time",K649&lt;=2,"Minor",K649&lt;=5,"Major",K649&gt;5,"Severe")</f>
        <v>Major</v>
      </c>
      <c r="S649">
        <f t="shared" si="72"/>
        <v>2728</v>
      </c>
      <c r="T649">
        <f t="shared" si="73"/>
        <v>1893</v>
      </c>
      <c r="U649">
        <f t="shared" si="74"/>
        <v>2024</v>
      </c>
      <c r="V649">
        <f t="shared" si="75"/>
        <v>12</v>
      </c>
      <c r="W649" s="11">
        <f t="shared" si="76"/>
        <v>1</v>
      </c>
    </row>
    <row r="650" spans="1:23">
      <c r="A650" t="s">
        <v>663</v>
      </c>
      <c r="B650" s="4">
        <v>45293</v>
      </c>
      <c r="C650" t="s">
        <v>2016</v>
      </c>
      <c r="D650" t="s">
        <v>2025</v>
      </c>
      <c r="E650" t="s">
        <v>2029</v>
      </c>
      <c r="F650" t="s">
        <v>2031</v>
      </c>
      <c r="G650" t="s">
        <v>2035</v>
      </c>
      <c r="H650" t="s">
        <v>2040</v>
      </c>
      <c r="I650">
        <v>2</v>
      </c>
      <c r="J650">
        <v>6</v>
      </c>
      <c r="K650">
        <v>4</v>
      </c>
      <c r="L650" t="s">
        <v>2041</v>
      </c>
      <c r="M650">
        <v>315</v>
      </c>
      <c r="N650">
        <v>5572</v>
      </c>
      <c r="O650">
        <v>17716</v>
      </c>
      <c r="P650" s="13">
        <f t="shared" si="70"/>
        <v>0</v>
      </c>
      <c r="Q650" t="str">
        <f t="shared" si="71"/>
        <v>No</v>
      </c>
      <c r="R650" t="str" cm="1">
        <f t="array" ref="R650">_xlfn.IFS(K650=0,"On Time",K650&lt;=2,"Minor",K650&lt;=5,"Major",K650&gt;5,"Severe")</f>
        <v>Major</v>
      </c>
      <c r="S650">
        <f t="shared" si="72"/>
        <v>4429</v>
      </c>
      <c r="T650">
        <f t="shared" si="73"/>
        <v>1393</v>
      </c>
      <c r="U650">
        <f t="shared" si="74"/>
        <v>2024</v>
      </c>
      <c r="V650">
        <f t="shared" si="75"/>
        <v>1</v>
      </c>
      <c r="W650" s="11">
        <f t="shared" si="76"/>
        <v>1</v>
      </c>
    </row>
    <row r="651" spans="1:23">
      <c r="A651" t="s">
        <v>664</v>
      </c>
      <c r="B651" s="4">
        <v>45308</v>
      </c>
      <c r="C651" t="s">
        <v>2015</v>
      </c>
      <c r="D651" t="s">
        <v>2019</v>
      </c>
      <c r="E651" t="s">
        <v>2029</v>
      </c>
      <c r="F651" t="s">
        <v>2031</v>
      </c>
      <c r="G651" t="s">
        <v>2037</v>
      </c>
      <c r="H651" t="s">
        <v>2039</v>
      </c>
      <c r="I651">
        <v>1</v>
      </c>
      <c r="J651">
        <v>3</v>
      </c>
      <c r="K651">
        <v>2</v>
      </c>
      <c r="L651" t="s">
        <v>2041</v>
      </c>
      <c r="M651">
        <v>231</v>
      </c>
      <c r="N651">
        <v>4352</v>
      </c>
      <c r="O651">
        <v>7144</v>
      </c>
      <c r="P651" s="13">
        <f t="shared" si="70"/>
        <v>0</v>
      </c>
      <c r="Q651" t="str">
        <f t="shared" si="71"/>
        <v>No</v>
      </c>
      <c r="R651" t="str" cm="1">
        <f t="array" ref="R651">_xlfn.IFS(K651=0,"On Time",K651&lt;=2,"Minor",K651&lt;=5,"Major",K651&gt;5,"Severe")</f>
        <v>Minor</v>
      </c>
      <c r="S651">
        <f t="shared" si="72"/>
        <v>3572</v>
      </c>
      <c r="T651">
        <f t="shared" si="73"/>
        <v>2176</v>
      </c>
      <c r="U651">
        <f t="shared" si="74"/>
        <v>2024</v>
      </c>
      <c r="V651">
        <f t="shared" si="75"/>
        <v>1</v>
      </c>
      <c r="W651" s="11">
        <f t="shared" si="76"/>
        <v>1</v>
      </c>
    </row>
    <row r="652" spans="1:23">
      <c r="A652" t="s">
        <v>665</v>
      </c>
      <c r="B652" s="4">
        <v>45553</v>
      </c>
      <c r="C652" t="s">
        <v>2017</v>
      </c>
      <c r="D652" t="s">
        <v>2023</v>
      </c>
      <c r="E652" t="s">
        <v>2029</v>
      </c>
      <c r="F652" t="s">
        <v>2032</v>
      </c>
      <c r="G652" t="s">
        <v>2037</v>
      </c>
      <c r="H652" t="s">
        <v>2039</v>
      </c>
      <c r="I652">
        <v>1</v>
      </c>
      <c r="J652">
        <v>4</v>
      </c>
      <c r="K652">
        <v>3</v>
      </c>
      <c r="L652" t="s">
        <v>2041</v>
      </c>
      <c r="M652">
        <v>331</v>
      </c>
      <c r="N652">
        <v>4623</v>
      </c>
      <c r="O652">
        <v>8292</v>
      </c>
      <c r="P652" s="13">
        <f t="shared" si="70"/>
        <v>0</v>
      </c>
      <c r="Q652" t="str">
        <f t="shared" si="71"/>
        <v>No</v>
      </c>
      <c r="R652" t="str" cm="1">
        <f t="array" ref="R652">_xlfn.IFS(K652=0,"On Time",K652&lt;=2,"Minor",K652&lt;=5,"Major",K652&gt;5,"Severe")</f>
        <v>Major</v>
      </c>
      <c r="S652">
        <f t="shared" si="72"/>
        <v>2764</v>
      </c>
      <c r="T652">
        <f t="shared" si="73"/>
        <v>1541</v>
      </c>
      <c r="U652">
        <f t="shared" si="74"/>
        <v>2024</v>
      </c>
      <c r="V652">
        <f t="shared" si="75"/>
        <v>9</v>
      </c>
      <c r="W652" s="11">
        <f t="shared" si="76"/>
        <v>1</v>
      </c>
    </row>
    <row r="653" spans="1:23">
      <c r="A653" t="s">
        <v>666</v>
      </c>
      <c r="B653" s="4">
        <v>45343</v>
      </c>
      <c r="C653" t="s">
        <v>2015</v>
      </c>
      <c r="D653" t="s">
        <v>2019</v>
      </c>
      <c r="E653" t="s">
        <v>2028</v>
      </c>
      <c r="F653" t="s">
        <v>2032</v>
      </c>
      <c r="G653" t="s">
        <v>2033</v>
      </c>
      <c r="H653" t="s">
        <v>2039</v>
      </c>
      <c r="I653">
        <v>3</v>
      </c>
      <c r="J653">
        <v>4</v>
      </c>
      <c r="K653">
        <v>1</v>
      </c>
      <c r="L653" t="s">
        <v>2041</v>
      </c>
      <c r="M653">
        <v>90</v>
      </c>
      <c r="N653">
        <v>2134</v>
      </c>
      <c r="O653">
        <v>2650</v>
      </c>
      <c r="P653" s="13">
        <f t="shared" si="70"/>
        <v>0</v>
      </c>
      <c r="Q653" t="str">
        <f t="shared" si="71"/>
        <v>No</v>
      </c>
      <c r="R653" t="str" cm="1">
        <f t="array" ref="R653">_xlfn.IFS(K653=0,"On Time",K653&lt;=2,"Minor",K653&lt;=5,"Major",K653&gt;5,"Severe")</f>
        <v>Minor</v>
      </c>
      <c r="S653">
        <f t="shared" si="72"/>
        <v>2650</v>
      </c>
      <c r="T653">
        <f t="shared" si="73"/>
        <v>2134</v>
      </c>
      <c r="U653">
        <f t="shared" si="74"/>
        <v>2024</v>
      </c>
      <c r="V653">
        <f t="shared" si="75"/>
        <v>2</v>
      </c>
      <c r="W653" s="11">
        <f t="shared" si="76"/>
        <v>1</v>
      </c>
    </row>
    <row r="654" spans="1:23">
      <c r="A654" t="s">
        <v>667</v>
      </c>
      <c r="B654" s="4">
        <v>45511</v>
      </c>
      <c r="C654" t="s">
        <v>2018</v>
      </c>
      <c r="D654" t="s">
        <v>2024</v>
      </c>
      <c r="E654" t="s">
        <v>2029</v>
      </c>
      <c r="F654" t="s">
        <v>2032</v>
      </c>
      <c r="G654" t="s">
        <v>2033</v>
      </c>
      <c r="H654" t="s">
        <v>2038</v>
      </c>
      <c r="I654">
        <v>1</v>
      </c>
      <c r="J654">
        <v>4</v>
      </c>
      <c r="K654">
        <v>3</v>
      </c>
      <c r="L654" t="s">
        <v>2041</v>
      </c>
      <c r="M654">
        <v>272</v>
      </c>
      <c r="N654">
        <v>4386</v>
      </c>
      <c r="O654">
        <v>13059</v>
      </c>
      <c r="P654" s="13">
        <f t="shared" si="70"/>
        <v>0</v>
      </c>
      <c r="Q654" t="str">
        <f t="shared" si="71"/>
        <v>No</v>
      </c>
      <c r="R654" t="str" cm="1">
        <f t="array" ref="R654">_xlfn.IFS(K654=0,"On Time",K654&lt;=2,"Minor",K654&lt;=5,"Major",K654&gt;5,"Severe")</f>
        <v>Major</v>
      </c>
      <c r="S654">
        <f t="shared" si="72"/>
        <v>4353</v>
      </c>
      <c r="T654">
        <f t="shared" si="73"/>
        <v>1462</v>
      </c>
      <c r="U654">
        <f t="shared" si="74"/>
        <v>2024</v>
      </c>
      <c r="V654">
        <f t="shared" si="75"/>
        <v>8</v>
      </c>
      <c r="W654" s="11">
        <f t="shared" si="76"/>
        <v>1</v>
      </c>
    </row>
    <row r="655" spans="1:23">
      <c r="A655" t="s">
        <v>668</v>
      </c>
      <c r="B655" s="4">
        <v>45333</v>
      </c>
      <c r="C655" t="s">
        <v>2015</v>
      </c>
      <c r="D655" t="s">
        <v>2020</v>
      </c>
      <c r="E655" t="s">
        <v>2029</v>
      </c>
      <c r="F655" t="s">
        <v>2031</v>
      </c>
      <c r="G655" t="s">
        <v>2034</v>
      </c>
      <c r="H655" t="s">
        <v>2038</v>
      </c>
      <c r="I655">
        <v>2</v>
      </c>
      <c r="J655">
        <v>5</v>
      </c>
      <c r="K655">
        <v>3</v>
      </c>
      <c r="L655" t="s">
        <v>2041</v>
      </c>
      <c r="M655">
        <v>456</v>
      </c>
      <c r="N655">
        <v>2919</v>
      </c>
      <c r="O655">
        <v>6255</v>
      </c>
      <c r="P655" s="13">
        <f t="shared" si="70"/>
        <v>0</v>
      </c>
      <c r="Q655" t="str">
        <f t="shared" si="71"/>
        <v>No</v>
      </c>
      <c r="R655" t="str" cm="1">
        <f t="array" ref="R655">_xlfn.IFS(K655=0,"On Time",K655&lt;=2,"Minor",K655&lt;=5,"Major",K655&gt;5,"Severe")</f>
        <v>Major</v>
      </c>
      <c r="S655">
        <f t="shared" si="72"/>
        <v>2085</v>
      </c>
      <c r="T655">
        <f t="shared" si="73"/>
        <v>973</v>
      </c>
      <c r="U655">
        <f t="shared" si="74"/>
        <v>2024</v>
      </c>
      <c r="V655">
        <f t="shared" si="75"/>
        <v>2</v>
      </c>
      <c r="W655" s="11">
        <f t="shared" si="76"/>
        <v>1</v>
      </c>
    </row>
    <row r="656" spans="1:23">
      <c r="A656" t="s">
        <v>669</v>
      </c>
      <c r="B656" s="4">
        <v>45356</v>
      </c>
      <c r="C656" t="s">
        <v>2018</v>
      </c>
      <c r="D656" t="s">
        <v>2024</v>
      </c>
      <c r="E656" t="s">
        <v>2028</v>
      </c>
      <c r="F656" t="s">
        <v>2031</v>
      </c>
      <c r="G656" t="s">
        <v>2033</v>
      </c>
      <c r="H656" t="s">
        <v>2040</v>
      </c>
      <c r="I656">
        <v>1</v>
      </c>
      <c r="J656">
        <v>5</v>
      </c>
      <c r="K656">
        <v>4</v>
      </c>
      <c r="L656" t="s">
        <v>2041</v>
      </c>
      <c r="M656">
        <v>416</v>
      </c>
      <c r="N656">
        <v>8744</v>
      </c>
      <c r="O656">
        <v>17252</v>
      </c>
      <c r="P656" s="13">
        <f t="shared" si="70"/>
        <v>0</v>
      </c>
      <c r="Q656" t="str">
        <f t="shared" si="71"/>
        <v>No</v>
      </c>
      <c r="R656" t="str" cm="1">
        <f t="array" ref="R656">_xlfn.IFS(K656=0,"On Time",K656&lt;=2,"Minor",K656&lt;=5,"Major",K656&gt;5,"Severe")</f>
        <v>Major</v>
      </c>
      <c r="S656">
        <f t="shared" si="72"/>
        <v>4313</v>
      </c>
      <c r="T656">
        <f t="shared" si="73"/>
        <v>2186</v>
      </c>
      <c r="U656">
        <f t="shared" si="74"/>
        <v>2024</v>
      </c>
      <c r="V656">
        <f t="shared" si="75"/>
        <v>3</v>
      </c>
      <c r="W656" s="11">
        <f t="shared" si="76"/>
        <v>1</v>
      </c>
    </row>
    <row r="657" spans="1:23">
      <c r="A657" t="s">
        <v>670</v>
      </c>
      <c r="B657" s="4">
        <v>45381</v>
      </c>
      <c r="C657" t="s">
        <v>2018</v>
      </c>
      <c r="D657" t="s">
        <v>2024</v>
      </c>
      <c r="E657" t="s">
        <v>2027</v>
      </c>
      <c r="F657" t="s">
        <v>2030</v>
      </c>
      <c r="G657" t="s">
        <v>2033</v>
      </c>
      <c r="H657" t="s">
        <v>2039</v>
      </c>
      <c r="I657">
        <v>3</v>
      </c>
      <c r="J657">
        <v>4</v>
      </c>
      <c r="K657">
        <v>1</v>
      </c>
      <c r="L657" t="s">
        <v>2041</v>
      </c>
      <c r="M657">
        <v>476</v>
      </c>
      <c r="N657">
        <v>1755</v>
      </c>
      <c r="O657">
        <v>3446</v>
      </c>
      <c r="P657" s="13">
        <f t="shared" si="70"/>
        <v>0</v>
      </c>
      <c r="Q657" t="str">
        <f t="shared" si="71"/>
        <v>No</v>
      </c>
      <c r="R657" t="str" cm="1">
        <f t="array" ref="R657">_xlfn.IFS(K657=0,"On Time",K657&lt;=2,"Minor",K657&lt;=5,"Major",K657&gt;5,"Severe")</f>
        <v>Minor</v>
      </c>
      <c r="S657">
        <f t="shared" si="72"/>
        <v>3446</v>
      </c>
      <c r="T657">
        <f t="shared" si="73"/>
        <v>1755</v>
      </c>
      <c r="U657">
        <f t="shared" si="74"/>
        <v>2024</v>
      </c>
      <c r="V657">
        <f t="shared" si="75"/>
        <v>3</v>
      </c>
      <c r="W657" s="11">
        <f t="shared" si="76"/>
        <v>1</v>
      </c>
    </row>
    <row r="658" spans="1:23">
      <c r="A658" t="s">
        <v>671</v>
      </c>
      <c r="B658" s="4">
        <v>45598</v>
      </c>
      <c r="C658" t="s">
        <v>2015</v>
      </c>
      <c r="D658" t="s">
        <v>2019</v>
      </c>
      <c r="E658" t="s">
        <v>2027</v>
      </c>
      <c r="F658" t="s">
        <v>2031</v>
      </c>
      <c r="G658" t="s">
        <v>2033</v>
      </c>
      <c r="H658" t="s">
        <v>2038</v>
      </c>
      <c r="I658">
        <v>1</v>
      </c>
      <c r="J658">
        <v>1</v>
      </c>
      <c r="K658">
        <v>0</v>
      </c>
      <c r="L658" t="s">
        <v>2042</v>
      </c>
      <c r="M658">
        <v>81</v>
      </c>
      <c r="N658">
        <v>0</v>
      </c>
      <c r="O658">
        <v>0</v>
      </c>
      <c r="P658" s="13">
        <f t="shared" si="70"/>
        <v>1</v>
      </c>
      <c r="Q658" t="str">
        <f t="shared" si="71"/>
        <v>No</v>
      </c>
      <c r="R658" t="str" cm="1">
        <f t="array" ref="R658">_xlfn.IFS(K658=0,"On Time",K658&lt;=2,"Minor",K658&lt;=5,"Major",K658&gt;5,"Severe")</f>
        <v>On Time</v>
      </c>
      <c r="S658">
        <f t="shared" si="72"/>
        <v>0</v>
      </c>
      <c r="T658">
        <f t="shared" si="73"/>
        <v>0</v>
      </c>
      <c r="U658">
        <f t="shared" si="74"/>
        <v>2024</v>
      </c>
      <c r="V658">
        <f t="shared" si="75"/>
        <v>11</v>
      </c>
      <c r="W658" s="11">
        <f t="shared" si="76"/>
        <v>0</v>
      </c>
    </row>
    <row r="659" spans="1:23">
      <c r="A659" t="s">
        <v>672</v>
      </c>
      <c r="B659" s="4">
        <v>45451</v>
      </c>
      <c r="C659" t="s">
        <v>2015</v>
      </c>
      <c r="D659" t="s">
        <v>2020</v>
      </c>
      <c r="E659" t="s">
        <v>2027</v>
      </c>
      <c r="F659" t="s">
        <v>2031</v>
      </c>
      <c r="G659" t="s">
        <v>2033</v>
      </c>
      <c r="H659" t="s">
        <v>2039</v>
      </c>
      <c r="I659">
        <v>5</v>
      </c>
      <c r="J659">
        <v>7</v>
      </c>
      <c r="K659">
        <v>2</v>
      </c>
      <c r="L659" t="s">
        <v>2041</v>
      </c>
      <c r="M659">
        <v>59</v>
      </c>
      <c r="N659">
        <v>4290</v>
      </c>
      <c r="O659">
        <v>6266</v>
      </c>
      <c r="P659" s="13">
        <f t="shared" si="70"/>
        <v>0</v>
      </c>
      <c r="Q659" t="str">
        <f t="shared" si="71"/>
        <v>No</v>
      </c>
      <c r="R659" t="str" cm="1">
        <f t="array" ref="R659">_xlfn.IFS(K659=0,"On Time",K659&lt;=2,"Minor",K659&lt;=5,"Major",K659&gt;5,"Severe")</f>
        <v>Minor</v>
      </c>
      <c r="S659">
        <f t="shared" si="72"/>
        <v>3133</v>
      </c>
      <c r="T659">
        <f t="shared" si="73"/>
        <v>2145</v>
      </c>
      <c r="U659">
        <f t="shared" si="74"/>
        <v>2024</v>
      </c>
      <c r="V659">
        <f t="shared" si="75"/>
        <v>6</v>
      </c>
      <c r="W659" s="11">
        <f t="shared" si="76"/>
        <v>1</v>
      </c>
    </row>
    <row r="660" spans="1:23">
      <c r="A660" t="s">
        <v>673</v>
      </c>
      <c r="B660" s="4">
        <v>45509</v>
      </c>
      <c r="C660" t="s">
        <v>2016</v>
      </c>
      <c r="D660" t="s">
        <v>2025</v>
      </c>
      <c r="E660" t="s">
        <v>2029</v>
      </c>
      <c r="F660" t="s">
        <v>2031</v>
      </c>
      <c r="G660" t="s">
        <v>2034</v>
      </c>
      <c r="H660" t="s">
        <v>2039</v>
      </c>
      <c r="I660">
        <v>2</v>
      </c>
      <c r="J660">
        <v>7</v>
      </c>
      <c r="K660">
        <v>5</v>
      </c>
      <c r="L660" t="s">
        <v>2041</v>
      </c>
      <c r="M660">
        <v>495</v>
      </c>
      <c r="N660">
        <v>6660</v>
      </c>
      <c r="O660">
        <v>16815</v>
      </c>
      <c r="P660" s="13">
        <f t="shared" si="70"/>
        <v>0</v>
      </c>
      <c r="Q660" t="str">
        <f t="shared" si="71"/>
        <v>No</v>
      </c>
      <c r="R660" t="str" cm="1">
        <f t="array" ref="R660">_xlfn.IFS(K660=0,"On Time",K660&lt;=2,"Minor",K660&lt;=5,"Major",K660&gt;5,"Severe")</f>
        <v>Major</v>
      </c>
      <c r="S660">
        <f t="shared" si="72"/>
        <v>3363</v>
      </c>
      <c r="T660">
        <f t="shared" si="73"/>
        <v>1332</v>
      </c>
      <c r="U660">
        <f t="shared" si="74"/>
        <v>2024</v>
      </c>
      <c r="V660">
        <f t="shared" si="75"/>
        <v>8</v>
      </c>
      <c r="W660" s="11">
        <f t="shared" si="76"/>
        <v>1</v>
      </c>
    </row>
    <row r="661" spans="1:23">
      <c r="A661" t="s">
        <v>674</v>
      </c>
      <c r="B661" s="4">
        <v>45443</v>
      </c>
      <c r="C661" t="s">
        <v>2016</v>
      </c>
      <c r="D661" t="s">
        <v>2021</v>
      </c>
      <c r="E661" t="s">
        <v>2029</v>
      </c>
      <c r="F661" t="s">
        <v>2032</v>
      </c>
      <c r="G661" t="s">
        <v>2036</v>
      </c>
      <c r="H661" t="s">
        <v>2038</v>
      </c>
      <c r="I661">
        <v>1</v>
      </c>
      <c r="J661">
        <v>5</v>
      </c>
      <c r="K661">
        <v>4</v>
      </c>
      <c r="L661" t="s">
        <v>2041</v>
      </c>
      <c r="M661">
        <v>340</v>
      </c>
      <c r="N661">
        <v>7724</v>
      </c>
      <c r="O661">
        <v>6908</v>
      </c>
      <c r="P661" s="13">
        <f t="shared" si="70"/>
        <v>0</v>
      </c>
      <c r="Q661" t="str">
        <f t="shared" si="71"/>
        <v>No</v>
      </c>
      <c r="R661" t="str" cm="1">
        <f t="array" ref="R661">_xlfn.IFS(K661=0,"On Time",K661&lt;=2,"Minor",K661&lt;=5,"Major",K661&gt;5,"Severe")</f>
        <v>Major</v>
      </c>
      <c r="S661">
        <f t="shared" si="72"/>
        <v>1727</v>
      </c>
      <c r="T661">
        <f t="shared" si="73"/>
        <v>1931</v>
      </c>
      <c r="U661">
        <f t="shared" si="74"/>
        <v>2024</v>
      </c>
      <c r="V661">
        <f t="shared" si="75"/>
        <v>5</v>
      </c>
      <c r="W661" s="11">
        <f t="shared" si="76"/>
        <v>1</v>
      </c>
    </row>
    <row r="662" spans="1:23">
      <c r="A662" t="s">
        <v>675</v>
      </c>
      <c r="B662" s="4">
        <v>45360</v>
      </c>
      <c r="C662" t="s">
        <v>2017</v>
      </c>
      <c r="D662" t="s">
        <v>2022</v>
      </c>
      <c r="E662" t="s">
        <v>2028</v>
      </c>
      <c r="F662" t="s">
        <v>2031</v>
      </c>
      <c r="G662" t="s">
        <v>2037</v>
      </c>
      <c r="H662" t="s">
        <v>2039</v>
      </c>
      <c r="I662">
        <v>1</v>
      </c>
      <c r="J662">
        <v>3</v>
      </c>
      <c r="K662">
        <v>2</v>
      </c>
      <c r="L662" t="s">
        <v>2041</v>
      </c>
      <c r="M662">
        <v>158</v>
      </c>
      <c r="N662">
        <v>3658</v>
      </c>
      <c r="O662">
        <v>5228</v>
      </c>
      <c r="P662" s="13">
        <f t="shared" si="70"/>
        <v>0</v>
      </c>
      <c r="Q662" t="str">
        <f t="shared" si="71"/>
        <v>No</v>
      </c>
      <c r="R662" t="str" cm="1">
        <f t="array" ref="R662">_xlfn.IFS(K662=0,"On Time",K662&lt;=2,"Minor",K662&lt;=5,"Major",K662&gt;5,"Severe")</f>
        <v>Minor</v>
      </c>
      <c r="S662">
        <f t="shared" si="72"/>
        <v>2614</v>
      </c>
      <c r="T662">
        <f t="shared" si="73"/>
        <v>1829</v>
      </c>
      <c r="U662">
        <f t="shared" si="74"/>
        <v>2024</v>
      </c>
      <c r="V662">
        <f t="shared" si="75"/>
        <v>3</v>
      </c>
      <c r="W662" s="11">
        <f t="shared" si="76"/>
        <v>1</v>
      </c>
    </row>
    <row r="663" spans="1:23">
      <c r="A663" t="s">
        <v>676</v>
      </c>
      <c r="B663" s="4">
        <v>45444</v>
      </c>
      <c r="C663" t="s">
        <v>2018</v>
      </c>
      <c r="D663" t="s">
        <v>2024</v>
      </c>
      <c r="E663" t="s">
        <v>2027</v>
      </c>
      <c r="F663" t="s">
        <v>2030</v>
      </c>
      <c r="G663" t="s">
        <v>2035</v>
      </c>
      <c r="H663" t="s">
        <v>2038</v>
      </c>
      <c r="I663">
        <v>2</v>
      </c>
      <c r="J663">
        <v>6</v>
      </c>
      <c r="K663">
        <v>4</v>
      </c>
      <c r="L663" t="s">
        <v>2041</v>
      </c>
      <c r="M663">
        <v>85</v>
      </c>
      <c r="N663">
        <v>9352</v>
      </c>
      <c r="O663">
        <v>7920</v>
      </c>
      <c r="P663" s="13">
        <f t="shared" si="70"/>
        <v>0</v>
      </c>
      <c r="Q663" t="str">
        <f t="shared" si="71"/>
        <v>No</v>
      </c>
      <c r="R663" t="str" cm="1">
        <f t="array" ref="R663">_xlfn.IFS(K663=0,"On Time",K663&lt;=2,"Minor",K663&lt;=5,"Major",K663&gt;5,"Severe")</f>
        <v>Major</v>
      </c>
      <c r="S663">
        <f t="shared" si="72"/>
        <v>1980</v>
      </c>
      <c r="T663">
        <f t="shared" si="73"/>
        <v>2338</v>
      </c>
      <c r="U663">
        <f t="shared" si="74"/>
        <v>2024</v>
      </c>
      <c r="V663">
        <f t="shared" si="75"/>
        <v>6</v>
      </c>
      <c r="W663" s="11">
        <f t="shared" si="76"/>
        <v>1</v>
      </c>
    </row>
    <row r="664" spans="1:23">
      <c r="A664" t="s">
        <v>677</v>
      </c>
      <c r="B664" s="4">
        <v>45497</v>
      </c>
      <c r="C664" t="s">
        <v>2016</v>
      </c>
      <c r="D664" t="s">
        <v>2021</v>
      </c>
      <c r="E664" t="s">
        <v>2027</v>
      </c>
      <c r="F664" t="s">
        <v>2031</v>
      </c>
      <c r="G664" t="s">
        <v>2033</v>
      </c>
      <c r="H664" t="s">
        <v>2038</v>
      </c>
      <c r="I664">
        <v>2</v>
      </c>
      <c r="J664">
        <v>2</v>
      </c>
      <c r="K664">
        <v>0</v>
      </c>
      <c r="L664" t="s">
        <v>2042</v>
      </c>
      <c r="M664">
        <v>324</v>
      </c>
      <c r="N664">
        <v>0</v>
      </c>
      <c r="O664">
        <v>0</v>
      </c>
      <c r="P664" s="13">
        <f t="shared" si="70"/>
        <v>1</v>
      </c>
      <c r="Q664" t="str">
        <f t="shared" si="71"/>
        <v>No</v>
      </c>
      <c r="R664" t="str" cm="1">
        <f t="array" ref="R664">_xlfn.IFS(K664=0,"On Time",K664&lt;=2,"Minor",K664&lt;=5,"Major",K664&gt;5,"Severe")</f>
        <v>On Time</v>
      </c>
      <c r="S664">
        <f t="shared" si="72"/>
        <v>0</v>
      </c>
      <c r="T664">
        <f t="shared" si="73"/>
        <v>0</v>
      </c>
      <c r="U664">
        <f t="shared" si="74"/>
        <v>2024</v>
      </c>
      <c r="V664">
        <f t="shared" si="75"/>
        <v>7</v>
      </c>
      <c r="W664" s="11">
        <f t="shared" si="76"/>
        <v>0</v>
      </c>
    </row>
    <row r="665" spans="1:23">
      <c r="A665" t="s">
        <v>678</v>
      </c>
      <c r="B665" s="4">
        <v>45459</v>
      </c>
      <c r="C665" t="s">
        <v>2015</v>
      </c>
      <c r="D665" t="s">
        <v>2019</v>
      </c>
      <c r="E665" t="s">
        <v>2028</v>
      </c>
      <c r="F665" t="s">
        <v>2031</v>
      </c>
      <c r="G665" t="s">
        <v>2035</v>
      </c>
      <c r="H665" t="s">
        <v>2039</v>
      </c>
      <c r="I665">
        <v>1</v>
      </c>
      <c r="J665">
        <v>2</v>
      </c>
      <c r="K665">
        <v>1</v>
      </c>
      <c r="L665" t="s">
        <v>2041</v>
      </c>
      <c r="M665">
        <v>262</v>
      </c>
      <c r="N665">
        <v>1491</v>
      </c>
      <c r="O665">
        <v>3728</v>
      </c>
      <c r="P665" s="13">
        <f t="shared" si="70"/>
        <v>0</v>
      </c>
      <c r="Q665" t="str">
        <f t="shared" si="71"/>
        <v>No</v>
      </c>
      <c r="R665" t="str" cm="1">
        <f t="array" ref="R665">_xlfn.IFS(K665=0,"On Time",K665&lt;=2,"Minor",K665&lt;=5,"Major",K665&gt;5,"Severe")</f>
        <v>Minor</v>
      </c>
      <c r="S665">
        <f t="shared" si="72"/>
        <v>3728</v>
      </c>
      <c r="T665">
        <f t="shared" si="73"/>
        <v>1491</v>
      </c>
      <c r="U665">
        <f t="shared" si="74"/>
        <v>2024</v>
      </c>
      <c r="V665">
        <f t="shared" si="75"/>
        <v>6</v>
      </c>
      <c r="W665" s="11">
        <f t="shared" si="76"/>
        <v>1</v>
      </c>
    </row>
    <row r="666" spans="1:23">
      <c r="A666" t="s">
        <v>679</v>
      </c>
      <c r="B666" s="4">
        <v>45618</v>
      </c>
      <c r="C666" t="s">
        <v>2017</v>
      </c>
      <c r="D666" t="s">
        <v>2022</v>
      </c>
      <c r="E666" t="s">
        <v>2029</v>
      </c>
      <c r="F666" t="s">
        <v>2031</v>
      </c>
      <c r="G666" t="s">
        <v>2036</v>
      </c>
      <c r="H666" t="s">
        <v>2039</v>
      </c>
      <c r="I666">
        <v>3</v>
      </c>
      <c r="J666">
        <v>6</v>
      </c>
      <c r="K666">
        <v>3</v>
      </c>
      <c r="L666" t="s">
        <v>2041</v>
      </c>
      <c r="M666">
        <v>330</v>
      </c>
      <c r="N666">
        <v>3717</v>
      </c>
      <c r="O666">
        <v>8136</v>
      </c>
      <c r="P666" s="13">
        <f t="shared" si="70"/>
        <v>0</v>
      </c>
      <c r="Q666" t="str">
        <f t="shared" si="71"/>
        <v>No</v>
      </c>
      <c r="R666" t="str" cm="1">
        <f t="array" ref="R666">_xlfn.IFS(K666=0,"On Time",K666&lt;=2,"Minor",K666&lt;=5,"Major",K666&gt;5,"Severe")</f>
        <v>Major</v>
      </c>
      <c r="S666">
        <f t="shared" si="72"/>
        <v>2712</v>
      </c>
      <c r="T666">
        <f t="shared" si="73"/>
        <v>1239</v>
      </c>
      <c r="U666">
        <f t="shared" si="74"/>
        <v>2024</v>
      </c>
      <c r="V666">
        <f t="shared" si="75"/>
        <v>11</v>
      </c>
      <c r="W666" s="11">
        <f t="shared" si="76"/>
        <v>1</v>
      </c>
    </row>
    <row r="667" spans="1:23">
      <c r="A667" t="s">
        <v>680</v>
      </c>
      <c r="B667" s="4">
        <v>45571</v>
      </c>
      <c r="C667" t="s">
        <v>2018</v>
      </c>
      <c r="D667" t="s">
        <v>2026</v>
      </c>
      <c r="E667" t="s">
        <v>2029</v>
      </c>
      <c r="F667" t="s">
        <v>2030</v>
      </c>
      <c r="G667" t="s">
        <v>2037</v>
      </c>
      <c r="H667" t="s">
        <v>2038</v>
      </c>
      <c r="I667">
        <v>1</v>
      </c>
      <c r="J667">
        <v>3</v>
      </c>
      <c r="K667">
        <v>2</v>
      </c>
      <c r="L667" t="s">
        <v>2041</v>
      </c>
      <c r="M667">
        <v>432</v>
      </c>
      <c r="N667">
        <v>4892</v>
      </c>
      <c r="O667">
        <v>6732</v>
      </c>
      <c r="P667" s="13">
        <f t="shared" si="70"/>
        <v>0</v>
      </c>
      <c r="Q667" t="str">
        <f t="shared" si="71"/>
        <v>No</v>
      </c>
      <c r="R667" t="str" cm="1">
        <f t="array" ref="R667">_xlfn.IFS(K667=0,"On Time",K667&lt;=2,"Minor",K667&lt;=5,"Major",K667&gt;5,"Severe")</f>
        <v>Minor</v>
      </c>
      <c r="S667">
        <f t="shared" si="72"/>
        <v>3366</v>
      </c>
      <c r="T667">
        <f t="shared" si="73"/>
        <v>2446</v>
      </c>
      <c r="U667">
        <f t="shared" si="74"/>
        <v>2024</v>
      </c>
      <c r="V667">
        <f t="shared" si="75"/>
        <v>10</v>
      </c>
      <c r="W667" s="11">
        <f t="shared" si="76"/>
        <v>1</v>
      </c>
    </row>
    <row r="668" spans="1:23">
      <c r="A668" t="s">
        <v>681</v>
      </c>
      <c r="B668" s="4">
        <v>45609</v>
      </c>
      <c r="C668" t="s">
        <v>2016</v>
      </c>
      <c r="D668" t="s">
        <v>2025</v>
      </c>
      <c r="E668" t="s">
        <v>2029</v>
      </c>
      <c r="F668" t="s">
        <v>2031</v>
      </c>
      <c r="G668" t="s">
        <v>2035</v>
      </c>
      <c r="H668" t="s">
        <v>2040</v>
      </c>
      <c r="I668">
        <v>2</v>
      </c>
      <c r="J668">
        <v>7</v>
      </c>
      <c r="K668">
        <v>5</v>
      </c>
      <c r="L668" t="s">
        <v>2041</v>
      </c>
      <c r="M668">
        <v>117</v>
      </c>
      <c r="N668">
        <v>4410</v>
      </c>
      <c r="O668">
        <v>18630</v>
      </c>
      <c r="P668" s="13">
        <f t="shared" si="70"/>
        <v>0</v>
      </c>
      <c r="Q668" t="str">
        <f t="shared" si="71"/>
        <v>No</v>
      </c>
      <c r="R668" t="str" cm="1">
        <f t="array" ref="R668">_xlfn.IFS(K668=0,"On Time",K668&lt;=2,"Minor",K668&lt;=5,"Major",K668&gt;5,"Severe")</f>
        <v>Major</v>
      </c>
      <c r="S668">
        <f t="shared" si="72"/>
        <v>3726</v>
      </c>
      <c r="T668">
        <f t="shared" si="73"/>
        <v>882</v>
      </c>
      <c r="U668">
        <f t="shared" si="74"/>
        <v>2024</v>
      </c>
      <c r="V668">
        <f t="shared" si="75"/>
        <v>11</v>
      </c>
      <c r="W668" s="11">
        <f t="shared" si="76"/>
        <v>1</v>
      </c>
    </row>
    <row r="669" spans="1:23">
      <c r="A669" t="s">
        <v>682</v>
      </c>
      <c r="B669" s="4">
        <v>45598</v>
      </c>
      <c r="C669" t="s">
        <v>2017</v>
      </c>
      <c r="D669" t="s">
        <v>2023</v>
      </c>
      <c r="E669" t="s">
        <v>2028</v>
      </c>
      <c r="F669" t="s">
        <v>2031</v>
      </c>
      <c r="G669" t="s">
        <v>2036</v>
      </c>
      <c r="H669" t="s">
        <v>2038</v>
      </c>
      <c r="I669">
        <v>2</v>
      </c>
      <c r="J669">
        <v>6</v>
      </c>
      <c r="K669">
        <v>4</v>
      </c>
      <c r="L669" t="s">
        <v>2041</v>
      </c>
      <c r="M669">
        <v>458</v>
      </c>
      <c r="N669">
        <v>8840</v>
      </c>
      <c r="O669">
        <v>16844</v>
      </c>
      <c r="P669" s="13">
        <f t="shared" si="70"/>
        <v>0</v>
      </c>
      <c r="Q669" t="str">
        <f t="shared" si="71"/>
        <v>No</v>
      </c>
      <c r="R669" t="str" cm="1">
        <f t="array" ref="R669">_xlfn.IFS(K669=0,"On Time",K669&lt;=2,"Minor",K669&lt;=5,"Major",K669&gt;5,"Severe")</f>
        <v>Major</v>
      </c>
      <c r="S669">
        <f t="shared" si="72"/>
        <v>4211</v>
      </c>
      <c r="T669">
        <f t="shared" si="73"/>
        <v>2210</v>
      </c>
      <c r="U669">
        <f t="shared" si="74"/>
        <v>2024</v>
      </c>
      <c r="V669">
        <f t="shared" si="75"/>
        <v>11</v>
      </c>
      <c r="W669" s="11">
        <f t="shared" si="76"/>
        <v>1</v>
      </c>
    </row>
    <row r="670" spans="1:23">
      <c r="A670" t="s">
        <v>683</v>
      </c>
      <c r="B670" s="4">
        <v>45567</v>
      </c>
      <c r="C670" t="s">
        <v>2018</v>
      </c>
      <c r="D670" t="s">
        <v>2024</v>
      </c>
      <c r="E670" t="s">
        <v>2029</v>
      </c>
      <c r="F670" t="s">
        <v>2030</v>
      </c>
      <c r="G670" t="s">
        <v>2034</v>
      </c>
      <c r="H670" t="s">
        <v>2038</v>
      </c>
      <c r="I670">
        <v>1</v>
      </c>
      <c r="J670">
        <v>5</v>
      </c>
      <c r="K670">
        <v>4</v>
      </c>
      <c r="L670" t="s">
        <v>2041</v>
      </c>
      <c r="M670">
        <v>280</v>
      </c>
      <c r="N670">
        <v>8836</v>
      </c>
      <c r="O670">
        <v>17848</v>
      </c>
      <c r="P670" s="13">
        <f t="shared" si="70"/>
        <v>0</v>
      </c>
      <c r="Q670" t="str">
        <f t="shared" si="71"/>
        <v>No</v>
      </c>
      <c r="R670" t="str" cm="1">
        <f t="array" ref="R670">_xlfn.IFS(K670=0,"On Time",K670&lt;=2,"Minor",K670&lt;=5,"Major",K670&gt;5,"Severe")</f>
        <v>Major</v>
      </c>
      <c r="S670">
        <f t="shared" si="72"/>
        <v>4462</v>
      </c>
      <c r="T670">
        <f t="shared" si="73"/>
        <v>2209</v>
      </c>
      <c r="U670">
        <f t="shared" si="74"/>
        <v>2024</v>
      </c>
      <c r="V670">
        <f t="shared" si="75"/>
        <v>10</v>
      </c>
      <c r="W670" s="11">
        <f t="shared" si="76"/>
        <v>1</v>
      </c>
    </row>
    <row r="671" spans="1:23">
      <c r="A671" t="s">
        <v>684</v>
      </c>
      <c r="B671" s="4">
        <v>45393</v>
      </c>
      <c r="C671" t="s">
        <v>2017</v>
      </c>
      <c r="D671" t="s">
        <v>2023</v>
      </c>
      <c r="E671" t="s">
        <v>2029</v>
      </c>
      <c r="F671" t="s">
        <v>2030</v>
      </c>
      <c r="G671" t="s">
        <v>2033</v>
      </c>
      <c r="H671" t="s">
        <v>2040</v>
      </c>
      <c r="I671">
        <v>3</v>
      </c>
      <c r="J671">
        <v>11</v>
      </c>
      <c r="K671">
        <v>8</v>
      </c>
      <c r="L671" t="s">
        <v>2041</v>
      </c>
      <c r="M671">
        <v>63</v>
      </c>
      <c r="N671">
        <v>7368</v>
      </c>
      <c r="O671">
        <v>26208</v>
      </c>
      <c r="P671" s="13">
        <f t="shared" si="70"/>
        <v>0</v>
      </c>
      <c r="Q671" t="str">
        <f t="shared" si="71"/>
        <v>No</v>
      </c>
      <c r="R671" t="str" cm="1">
        <f t="array" ref="R671">_xlfn.IFS(K671=0,"On Time",K671&lt;=2,"Minor",K671&lt;=5,"Major",K671&gt;5,"Severe")</f>
        <v>Severe</v>
      </c>
      <c r="S671">
        <f t="shared" si="72"/>
        <v>3276</v>
      </c>
      <c r="T671">
        <f t="shared" si="73"/>
        <v>921</v>
      </c>
      <c r="U671">
        <f t="shared" si="74"/>
        <v>2024</v>
      </c>
      <c r="V671">
        <f t="shared" si="75"/>
        <v>4</v>
      </c>
      <c r="W671" s="11">
        <f t="shared" si="76"/>
        <v>1</v>
      </c>
    </row>
    <row r="672" spans="1:23">
      <c r="A672" t="s">
        <v>685</v>
      </c>
      <c r="B672" s="4">
        <v>45534</v>
      </c>
      <c r="C672" t="s">
        <v>2018</v>
      </c>
      <c r="D672" t="s">
        <v>2026</v>
      </c>
      <c r="E672" t="s">
        <v>2028</v>
      </c>
      <c r="F672" t="s">
        <v>2030</v>
      </c>
      <c r="G672" t="s">
        <v>2037</v>
      </c>
      <c r="H672" t="s">
        <v>2038</v>
      </c>
      <c r="I672">
        <v>2</v>
      </c>
      <c r="J672">
        <v>7</v>
      </c>
      <c r="K672">
        <v>5</v>
      </c>
      <c r="L672" t="s">
        <v>2041</v>
      </c>
      <c r="M672">
        <v>116</v>
      </c>
      <c r="N672">
        <v>7720</v>
      </c>
      <c r="O672">
        <v>22065</v>
      </c>
      <c r="P672" s="13">
        <f t="shared" si="70"/>
        <v>0</v>
      </c>
      <c r="Q672" t="str">
        <f t="shared" si="71"/>
        <v>No</v>
      </c>
      <c r="R672" t="str" cm="1">
        <f t="array" ref="R672">_xlfn.IFS(K672=0,"On Time",K672&lt;=2,"Minor",K672&lt;=5,"Major",K672&gt;5,"Severe")</f>
        <v>Major</v>
      </c>
      <c r="S672">
        <f t="shared" si="72"/>
        <v>4413</v>
      </c>
      <c r="T672">
        <f t="shared" si="73"/>
        <v>1544</v>
      </c>
      <c r="U672">
        <f t="shared" si="74"/>
        <v>2024</v>
      </c>
      <c r="V672">
        <f t="shared" si="75"/>
        <v>8</v>
      </c>
      <c r="W672" s="11">
        <f t="shared" si="76"/>
        <v>1</v>
      </c>
    </row>
    <row r="673" spans="1:23">
      <c r="A673" t="s">
        <v>686</v>
      </c>
      <c r="B673" s="4">
        <v>45342</v>
      </c>
      <c r="C673" t="s">
        <v>2018</v>
      </c>
      <c r="D673" t="s">
        <v>2026</v>
      </c>
      <c r="E673" t="s">
        <v>2028</v>
      </c>
      <c r="F673" t="s">
        <v>2030</v>
      </c>
      <c r="G673" t="s">
        <v>2037</v>
      </c>
      <c r="H673" t="s">
        <v>2038</v>
      </c>
      <c r="I673">
        <v>5</v>
      </c>
      <c r="J673">
        <v>7</v>
      </c>
      <c r="K673">
        <v>2</v>
      </c>
      <c r="L673" t="s">
        <v>2041</v>
      </c>
      <c r="M673">
        <v>103</v>
      </c>
      <c r="N673">
        <v>4834</v>
      </c>
      <c r="O673">
        <v>7998</v>
      </c>
      <c r="P673" s="13">
        <f t="shared" si="70"/>
        <v>0</v>
      </c>
      <c r="Q673" t="str">
        <f t="shared" si="71"/>
        <v>No</v>
      </c>
      <c r="R673" t="str" cm="1">
        <f t="array" ref="R673">_xlfn.IFS(K673=0,"On Time",K673&lt;=2,"Minor",K673&lt;=5,"Major",K673&gt;5,"Severe")</f>
        <v>Minor</v>
      </c>
      <c r="S673">
        <f t="shared" si="72"/>
        <v>3999</v>
      </c>
      <c r="T673">
        <f t="shared" si="73"/>
        <v>2417</v>
      </c>
      <c r="U673">
        <f t="shared" si="74"/>
        <v>2024</v>
      </c>
      <c r="V673">
        <f t="shared" si="75"/>
        <v>2</v>
      </c>
      <c r="W673" s="11">
        <f t="shared" si="76"/>
        <v>1</v>
      </c>
    </row>
    <row r="674" spans="1:23">
      <c r="A674" t="s">
        <v>687</v>
      </c>
      <c r="B674" s="4">
        <v>45422</v>
      </c>
      <c r="C674" t="s">
        <v>2015</v>
      </c>
      <c r="D674" t="s">
        <v>2020</v>
      </c>
      <c r="E674" t="s">
        <v>2029</v>
      </c>
      <c r="F674" t="s">
        <v>2031</v>
      </c>
      <c r="G674" t="s">
        <v>2034</v>
      </c>
      <c r="H674" t="s">
        <v>2040</v>
      </c>
      <c r="I674">
        <v>1</v>
      </c>
      <c r="J674">
        <v>8</v>
      </c>
      <c r="K674">
        <v>7</v>
      </c>
      <c r="L674" t="s">
        <v>2041</v>
      </c>
      <c r="M674">
        <v>236</v>
      </c>
      <c r="N674">
        <v>8141</v>
      </c>
      <c r="O674">
        <v>10843</v>
      </c>
      <c r="P674" s="13">
        <f t="shared" si="70"/>
        <v>0</v>
      </c>
      <c r="Q674" t="str">
        <f t="shared" si="71"/>
        <v>No</v>
      </c>
      <c r="R674" t="str" cm="1">
        <f t="array" ref="R674">_xlfn.IFS(K674=0,"On Time",K674&lt;=2,"Minor",K674&lt;=5,"Major",K674&gt;5,"Severe")</f>
        <v>Severe</v>
      </c>
      <c r="S674">
        <f t="shared" si="72"/>
        <v>1549</v>
      </c>
      <c r="T674">
        <f t="shared" si="73"/>
        <v>1163</v>
      </c>
      <c r="U674">
        <f t="shared" si="74"/>
        <v>2024</v>
      </c>
      <c r="V674">
        <f t="shared" si="75"/>
        <v>5</v>
      </c>
      <c r="W674" s="11">
        <f t="shared" si="76"/>
        <v>1</v>
      </c>
    </row>
    <row r="675" spans="1:23">
      <c r="A675" t="s">
        <v>688</v>
      </c>
      <c r="B675" s="4">
        <v>45549</v>
      </c>
      <c r="C675" t="s">
        <v>2017</v>
      </c>
      <c r="D675" t="s">
        <v>2022</v>
      </c>
      <c r="E675" t="s">
        <v>2028</v>
      </c>
      <c r="F675" t="s">
        <v>2031</v>
      </c>
      <c r="G675" t="s">
        <v>2035</v>
      </c>
      <c r="H675" t="s">
        <v>2039</v>
      </c>
      <c r="I675">
        <v>5</v>
      </c>
      <c r="J675">
        <v>8</v>
      </c>
      <c r="K675">
        <v>3</v>
      </c>
      <c r="L675" t="s">
        <v>2041</v>
      </c>
      <c r="M675">
        <v>319</v>
      </c>
      <c r="N675">
        <v>6978</v>
      </c>
      <c r="O675">
        <v>6615</v>
      </c>
      <c r="P675" s="13">
        <f t="shared" si="70"/>
        <v>0</v>
      </c>
      <c r="Q675" t="str">
        <f t="shared" si="71"/>
        <v>No</v>
      </c>
      <c r="R675" t="str" cm="1">
        <f t="array" ref="R675">_xlfn.IFS(K675=0,"On Time",K675&lt;=2,"Minor",K675&lt;=5,"Major",K675&gt;5,"Severe")</f>
        <v>Major</v>
      </c>
      <c r="S675">
        <f t="shared" si="72"/>
        <v>2205</v>
      </c>
      <c r="T675">
        <f t="shared" si="73"/>
        <v>2326</v>
      </c>
      <c r="U675">
        <f t="shared" si="74"/>
        <v>2024</v>
      </c>
      <c r="V675">
        <f t="shared" si="75"/>
        <v>9</v>
      </c>
      <c r="W675" s="11">
        <f t="shared" si="76"/>
        <v>1</v>
      </c>
    </row>
    <row r="676" spans="1:23">
      <c r="A676" t="s">
        <v>689</v>
      </c>
      <c r="B676" s="4">
        <v>45480</v>
      </c>
      <c r="C676" t="s">
        <v>2015</v>
      </c>
      <c r="D676" t="s">
        <v>2020</v>
      </c>
      <c r="E676" t="s">
        <v>2029</v>
      </c>
      <c r="F676" t="s">
        <v>2031</v>
      </c>
      <c r="G676" t="s">
        <v>2034</v>
      </c>
      <c r="H676" t="s">
        <v>2038</v>
      </c>
      <c r="I676">
        <v>2</v>
      </c>
      <c r="J676">
        <v>5</v>
      </c>
      <c r="K676">
        <v>3</v>
      </c>
      <c r="L676" t="s">
        <v>2041</v>
      </c>
      <c r="M676">
        <v>119</v>
      </c>
      <c r="N676">
        <v>7065</v>
      </c>
      <c r="O676">
        <v>6945</v>
      </c>
      <c r="P676" s="13">
        <f t="shared" si="70"/>
        <v>0</v>
      </c>
      <c r="Q676" t="str">
        <f t="shared" si="71"/>
        <v>No</v>
      </c>
      <c r="R676" t="str" cm="1">
        <f t="array" ref="R676">_xlfn.IFS(K676=0,"On Time",K676&lt;=2,"Minor",K676&lt;=5,"Major",K676&gt;5,"Severe")</f>
        <v>Major</v>
      </c>
      <c r="S676">
        <f t="shared" si="72"/>
        <v>2315</v>
      </c>
      <c r="T676">
        <f t="shared" si="73"/>
        <v>2355</v>
      </c>
      <c r="U676">
        <f t="shared" si="74"/>
        <v>2024</v>
      </c>
      <c r="V676">
        <f t="shared" si="75"/>
        <v>7</v>
      </c>
      <c r="W676" s="11">
        <f t="shared" si="76"/>
        <v>1</v>
      </c>
    </row>
    <row r="677" spans="1:23">
      <c r="A677" t="s">
        <v>690</v>
      </c>
      <c r="B677" s="4">
        <v>45451</v>
      </c>
      <c r="C677" t="s">
        <v>2018</v>
      </c>
      <c r="D677" t="s">
        <v>2026</v>
      </c>
      <c r="E677" t="s">
        <v>2027</v>
      </c>
      <c r="F677" t="s">
        <v>2031</v>
      </c>
      <c r="G677" t="s">
        <v>2034</v>
      </c>
      <c r="H677" t="s">
        <v>2039</v>
      </c>
      <c r="I677">
        <v>2</v>
      </c>
      <c r="J677">
        <v>2</v>
      </c>
      <c r="K677">
        <v>0</v>
      </c>
      <c r="L677" t="s">
        <v>2042</v>
      </c>
      <c r="M677">
        <v>342</v>
      </c>
      <c r="N677">
        <v>0</v>
      </c>
      <c r="O677">
        <v>0</v>
      </c>
      <c r="P677" s="13">
        <f t="shared" si="70"/>
        <v>1</v>
      </c>
      <c r="Q677" t="str">
        <f t="shared" si="71"/>
        <v>No</v>
      </c>
      <c r="R677" t="str" cm="1">
        <f t="array" ref="R677">_xlfn.IFS(K677=0,"On Time",K677&lt;=2,"Minor",K677&lt;=5,"Major",K677&gt;5,"Severe")</f>
        <v>On Time</v>
      </c>
      <c r="S677">
        <f t="shared" si="72"/>
        <v>0</v>
      </c>
      <c r="T677">
        <f t="shared" si="73"/>
        <v>0</v>
      </c>
      <c r="U677">
        <f t="shared" si="74"/>
        <v>2024</v>
      </c>
      <c r="V677">
        <f t="shared" si="75"/>
        <v>6</v>
      </c>
      <c r="W677" s="11">
        <f t="shared" si="76"/>
        <v>0</v>
      </c>
    </row>
    <row r="678" spans="1:23">
      <c r="A678" t="s">
        <v>691</v>
      </c>
      <c r="B678" s="4">
        <v>45619</v>
      </c>
      <c r="C678" t="s">
        <v>2015</v>
      </c>
      <c r="D678" t="s">
        <v>2019</v>
      </c>
      <c r="E678" t="s">
        <v>2029</v>
      </c>
      <c r="F678" t="s">
        <v>2031</v>
      </c>
      <c r="G678" t="s">
        <v>2033</v>
      </c>
      <c r="H678" t="s">
        <v>2039</v>
      </c>
      <c r="I678">
        <v>3</v>
      </c>
      <c r="J678">
        <v>7</v>
      </c>
      <c r="K678">
        <v>4</v>
      </c>
      <c r="L678" t="s">
        <v>2041</v>
      </c>
      <c r="M678">
        <v>280</v>
      </c>
      <c r="N678">
        <v>3656</v>
      </c>
      <c r="O678">
        <v>19444</v>
      </c>
      <c r="P678" s="13">
        <f t="shared" si="70"/>
        <v>0</v>
      </c>
      <c r="Q678" t="str">
        <f t="shared" si="71"/>
        <v>No</v>
      </c>
      <c r="R678" t="str" cm="1">
        <f t="array" ref="R678">_xlfn.IFS(K678=0,"On Time",K678&lt;=2,"Minor",K678&lt;=5,"Major",K678&gt;5,"Severe")</f>
        <v>Major</v>
      </c>
      <c r="S678">
        <f t="shared" si="72"/>
        <v>4861</v>
      </c>
      <c r="T678">
        <f t="shared" si="73"/>
        <v>914</v>
      </c>
      <c r="U678">
        <f t="shared" si="74"/>
        <v>2024</v>
      </c>
      <c r="V678">
        <f t="shared" si="75"/>
        <v>11</v>
      </c>
      <c r="W678" s="11">
        <f t="shared" si="76"/>
        <v>1</v>
      </c>
    </row>
    <row r="679" spans="1:23">
      <c r="A679" t="s">
        <v>692</v>
      </c>
      <c r="B679" s="4">
        <v>45449</v>
      </c>
      <c r="C679" t="s">
        <v>2016</v>
      </c>
      <c r="D679" t="s">
        <v>2025</v>
      </c>
      <c r="E679" t="s">
        <v>2029</v>
      </c>
      <c r="F679" t="s">
        <v>2031</v>
      </c>
      <c r="G679" t="s">
        <v>2033</v>
      </c>
      <c r="H679" t="s">
        <v>2038</v>
      </c>
      <c r="I679">
        <v>2</v>
      </c>
      <c r="J679">
        <v>7</v>
      </c>
      <c r="K679">
        <v>5</v>
      </c>
      <c r="L679" t="s">
        <v>2041</v>
      </c>
      <c r="M679">
        <v>115</v>
      </c>
      <c r="N679">
        <v>5235</v>
      </c>
      <c r="O679">
        <v>15705</v>
      </c>
      <c r="P679" s="13">
        <f t="shared" si="70"/>
        <v>0</v>
      </c>
      <c r="Q679" t="str">
        <f t="shared" si="71"/>
        <v>No</v>
      </c>
      <c r="R679" t="str" cm="1">
        <f t="array" ref="R679">_xlfn.IFS(K679=0,"On Time",K679&lt;=2,"Minor",K679&lt;=5,"Major",K679&gt;5,"Severe")</f>
        <v>Major</v>
      </c>
      <c r="S679">
        <f t="shared" si="72"/>
        <v>3141</v>
      </c>
      <c r="T679">
        <f t="shared" si="73"/>
        <v>1047</v>
      </c>
      <c r="U679">
        <f t="shared" si="74"/>
        <v>2024</v>
      </c>
      <c r="V679">
        <f t="shared" si="75"/>
        <v>6</v>
      </c>
      <c r="W679" s="11">
        <f t="shared" si="76"/>
        <v>1</v>
      </c>
    </row>
    <row r="680" spans="1:23">
      <c r="A680" t="s">
        <v>693</v>
      </c>
      <c r="B680" s="4">
        <v>45552</v>
      </c>
      <c r="C680" t="s">
        <v>2015</v>
      </c>
      <c r="D680" t="s">
        <v>2019</v>
      </c>
      <c r="E680" t="s">
        <v>2029</v>
      </c>
      <c r="F680" t="s">
        <v>2031</v>
      </c>
      <c r="G680" t="s">
        <v>2037</v>
      </c>
      <c r="H680" t="s">
        <v>2040</v>
      </c>
      <c r="I680">
        <v>2</v>
      </c>
      <c r="J680">
        <v>10</v>
      </c>
      <c r="K680">
        <v>8</v>
      </c>
      <c r="L680" t="s">
        <v>2041</v>
      </c>
      <c r="M680">
        <v>286</v>
      </c>
      <c r="N680">
        <v>9712</v>
      </c>
      <c r="O680">
        <v>16040</v>
      </c>
      <c r="P680" s="13">
        <f t="shared" si="70"/>
        <v>0</v>
      </c>
      <c r="Q680" t="str">
        <f t="shared" si="71"/>
        <v>No</v>
      </c>
      <c r="R680" t="str" cm="1">
        <f t="array" ref="R680">_xlfn.IFS(K680=0,"On Time",K680&lt;=2,"Minor",K680&lt;=5,"Major",K680&gt;5,"Severe")</f>
        <v>Severe</v>
      </c>
      <c r="S680">
        <f t="shared" si="72"/>
        <v>2005</v>
      </c>
      <c r="T680">
        <f t="shared" si="73"/>
        <v>1214</v>
      </c>
      <c r="U680">
        <f t="shared" si="74"/>
        <v>2024</v>
      </c>
      <c r="V680">
        <f t="shared" si="75"/>
        <v>9</v>
      </c>
      <c r="W680" s="11">
        <f t="shared" si="76"/>
        <v>1</v>
      </c>
    </row>
    <row r="681" spans="1:23">
      <c r="A681" t="s">
        <v>694</v>
      </c>
      <c r="B681" s="4">
        <v>45364</v>
      </c>
      <c r="C681" t="s">
        <v>2015</v>
      </c>
      <c r="D681" t="s">
        <v>2020</v>
      </c>
      <c r="E681" t="s">
        <v>2027</v>
      </c>
      <c r="F681" t="s">
        <v>2032</v>
      </c>
      <c r="G681" t="s">
        <v>2036</v>
      </c>
      <c r="H681" t="s">
        <v>2039</v>
      </c>
      <c r="I681">
        <v>3</v>
      </c>
      <c r="J681">
        <v>5</v>
      </c>
      <c r="K681">
        <v>2</v>
      </c>
      <c r="L681" t="s">
        <v>2041</v>
      </c>
      <c r="M681">
        <v>104</v>
      </c>
      <c r="N681">
        <v>1676</v>
      </c>
      <c r="O681">
        <v>6486</v>
      </c>
      <c r="P681" s="13">
        <f t="shared" si="70"/>
        <v>0</v>
      </c>
      <c r="Q681" t="str">
        <f t="shared" si="71"/>
        <v>No</v>
      </c>
      <c r="R681" t="str" cm="1">
        <f t="array" ref="R681">_xlfn.IFS(K681=0,"On Time",K681&lt;=2,"Minor",K681&lt;=5,"Major",K681&gt;5,"Severe")</f>
        <v>Minor</v>
      </c>
      <c r="S681">
        <f t="shared" si="72"/>
        <v>3243</v>
      </c>
      <c r="T681">
        <f t="shared" si="73"/>
        <v>838</v>
      </c>
      <c r="U681">
        <f t="shared" si="74"/>
        <v>2024</v>
      </c>
      <c r="V681">
        <f t="shared" si="75"/>
        <v>3</v>
      </c>
      <c r="W681" s="11">
        <f t="shared" si="76"/>
        <v>1</v>
      </c>
    </row>
    <row r="682" spans="1:23">
      <c r="A682" t="s">
        <v>695</v>
      </c>
      <c r="B682" s="4">
        <v>45514</v>
      </c>
      <c r="C682" t="s">
        <v>2017</v>
      </c>
      <c r="D682" t="s">
        <v>2023</v>
      </c>
      <c r="E682" t="s">
        <v>2029</v>
      </c>
      <c r="F682" t="s">
        <v>2032</v>
      </c>
      <c r="G682" t="s">
        <v>2034</v>
      </c>
      <c r="H682" t="s">
        <v>2038</v>
      </c>
      <c r="I682">
        <v>2</v>
      </c>
      <c r="J682">
        <v>4</v>
      </c>
      <c r="K682">
        <v>2</v>
      </c>
      <c r="L682" t="s">
        <v>2041</v>
      </c>
      <c r="M682">
        <v>265</v>
      </c>
      <c r="N682">
        <v>4428</v>
      </c>
      <c r="O682">
        <v>4516</v>
      </c>
      <c r="P682" s="13">
        <f t="shared" si="70"/>
        <v>0</v>
      </c>
      <c r="Q682" t="str">
        <f t="shared" si="71"/>
        <v>No</v>
      </c>
      <c r="R682" t="str" cm="1">
        <f t="array" ref="R682">_xlfn.IFS(K682=0,"On Time",K682&lt;=2,"Minor",K682&lt;=5,"Major",K682&gt;5,"Severe")</f>
        <v>Minor</v>
      </c>
      <c r="S682">
        <f t="shared" si="72"/>
        <v>2258</v>
      </c>
      <c r="T682">
        <f t="shared" si="73"/>
        <v>2214</v>
      </c>
      <c r="U682">
        <f t="shared" si="74"/>
        <v>2024</v>
      </c>
      <c r="V682">
        <f t="shared" si="75"/>
        <v>8</v>
      </c>
      <c r="W682" s="11">
        <f t="shared" si="76"/>
        <v>1</v>
      </c>
    </row>
    <row r="683" spans="1:23">
      <c r="A683" t="s">
        <v>696</v>
      </c>
      <c r="B683" s="4">
        <v>45367</v>
      </c>
      <c r="C683" t="s">
        <v>2015</v>
      </c>
      <c r="D683" t="s">
        <v>2019</v>
      </c>
      <c r="E683" t="s">
        <v>2028</v>
      </c>
      <c r="F683" t="s">
        <v>2031</v>
      </c>
      <c r="G683" t="s">
        <v>2035</v>
      </c>
      <c r="H683" t="s">
        <v>2038</v>
      </c>
      <c r="I683">
        <v>1</v>
      </c>
      <c r="J683">
        <v>5</v>
      </c>
      <c r="K683">
        <v>4</v>
      </c>
      <c r="L683" t="s">
        <v>2041</v>
      </c>
      <c r="M683">
        <v>316</v>
      </c>
      <c r="N683">
        <v>3916</v>
      </c>
      <c r="O683">
        <v>18272</v>
      </c>
      <c r="P683" s="13">
        <f t="shared" si="70"/>
        <v>0</v>
      </c>
      <c r="Q683" t="str">
        <f t="shared" si="71"/>
        <v>No</v>
      </c>
      <c r="R683" t="str" cm="1">
        <f t="array" ref="R683">_xlfn.IFS(K683=0,"On Time",K683&lt;=2,"Minor",K683&lt;=5,"Major",K683&gt;5,"Severe")</f>
        <v>Major</v>
      </c>
      <c r="S683">
        <f t="shared" si="72"/>
        <v>4568</v>
      </c>
      <c r="T683">
        <f t="shared" si="73"/>
        <v>979</v>
      </c>
      <c r="U683">
        <f t="shared" si="74"/>
        <v>2024</v>
      </c>
      <c r="V683">
        <f t="shared" si="75"/>
        <v>3</v>
      </c>
      <c r="W683" s="11">
        <f t="shared" si="76"/>
        <v>1</v>
      </c>
    </row>
    <row r="684" spans="1:23">
      <c r="A684" t="s">
        <v>697</v>
      </c>
      <c r="B684" s="4">
        <v>45567</v>
      </c>
      <c r="C684" t="s">
        <v>2018</v>
      </c>
      <c r="D684" t="s">
        <v>2024</v>
      </c>
      <c r="E684" t="s">
        <v>2027</v>
      </c>
      <c r="F684" t="s">
        <v>2030</v>
      </c>
      <c r="G684" t="s">
        <v>2037</v>
      </c>
      <c r="H684" t="s">
        <v>2038</v>
      </c>
      <c r="I684">
        <v>2</v>
      </c>
      <c r="J684">
        <v>2</v>
      </c>
      <c r="K684">
        <v>0</v>
      </c>
      <c r="L684" t="s">
        <v>2042</v>
      </c>
      <c r="M684">
        <v>55</v>
      </c>
      <c r="N684">
        <v>0</v>
      </c>
      <c r="O684">
        <v>0</v>
      </c>
      <c r="P684" s="13">
        <f t="shared" si="70"/>
        <v>1</v>
      </c>
      <c r="Q684" t="str">
        <f t="shared" si="71"/>
        <v>No</v>
      </c>
      <c r="R684" t="str" cm="1">
        <f t="array" ref="R684">_xlfn.IFS(K684=0,"On Time",K684&lt;=2,"Minor",K684&lt;=5,"Major",K684&gt;5,"Severe")</f>
        <v>On Time</v>
      </c>
      <c r="S684">
        <f t="shared" si="72"/>
        <v>0</v>
      </c>
      <c r="T684">
        <f t="shared" si="73"/>
        <v>0</v>
      </c>
      <c r="U684">
        <f t="shared" si="74"/>
        <v>2024</v>
      </c>
      <c r="V684">
        <f t="shared" si="75"/>
        <v>10</v>
      </c>
      <c r="W684" s="11">
        <f t="shared" si="76"/>
        <v>0</v>
      </c>
    </row>
    <row r="685" spans="1:23">
      <c r="A685" t="s">
        <v>698</v>
      </c>
      <c r="B685" s="4">
        <v>45573</v>
      </c>
      <c r="C685" t="s">
        <v>2016</v>
      </c>
      <c r="D685" t="s">
        <v>2025</v>
      </c>
      <c r="E685" t="s">
        <v>2027</v>
      </c>
      <c r="F685" t="s">
        <v>2031</v>
      </c>
      <c r="G685" t="s">
        <v>2033</v>
      </c>
      <c r="H685" t="s">
        <v>2039</v>
      </c>
      <c r="I685">
        <v>2</v>
      </c>
      <c r="J685">
        <v>3</v>
      </c>
      <c r="K685">
        <v>1</v>
      </c>
      <c r="L685" t="s">
        <v>2041</v>
      </c>
      <c r="M685">
        <v>360</v>
      </c>
      <c r="N685">
        <v>1993</v>
      </c>
      <c r="O685">
        <v>1651</v>
      </c>
      <c r="P685" s="13">
        <f t="shared" si="70"/>
        <v>0</v>
      </c>
      <c r="Q685" t="str">
        <f t="shared" si="71"/>
        <v>No</v>
      </c>
      <c r="R685" t="str" cm="1">
        <f t="array" ref="R685">_xlfn.IFS(K685=0,"On Time",K685&lt;=2,"Minor",K685&lt;=5,"Major",K685&gt;5,"Severe")</f>
        <v>Minor</v>
      </c>
      <c r="S685">
        <f t="shared" si="72"/>
        <v>1651</v>
      </c>
      <c r="T685">
        <f t="shared" si="73"/>
        <v>1993</v>
      </c>
      <c r="U685">
        <f t="shared" si="74"/>
        <v>2024</v>
      </c>
      <c r="V685">
        <f t="shared" si="75"/>
        <v>10</v>
      </c>
      <c r="W685" s="11">
        <f t="shared" si="76"/>
        <v>1</v>
      </c>
    </row>
    <row r="686" spans="1:23">
      <c r="A686" t="s">
        <v>699</v>
      </c>
      <c r="B686" s="4">
        <v>45353</v>
      </c>
      <c r="C686" t="s">
        <v>2018</v>
      </c>
      <c r="D686" t="s">
        <v>2026</v>
      </c>
      <c r="E686" t="s">
        <v>2029</v>
      </c>
      <c r="F686" t="s">
        <v>2031</v>
      </c>
      <c r="G686" t="s">
        <v>2035</v>
      </c>
      <c r="H686" t="s">
        <v>2038</v>
      </c>
      <c r="I686">
        <v>3</v>
      </c>
      <c r="J686">
        <v>8</v>
      </c>
      <c r="K686">
        <v>5</v>
      </c>
      <c r="L686" t="s">
        <v>2041</v>
      </c>
      <c r="M686">
        <v>361</v>
      </c>
      <c r="N686">
        <v>11305</v>
      </c>
      <c r="O686">
        <v>16890</v>
      </c>
      <c r="P686" s="13">
        <f t="shared" si="70"/>
        <v>0</v>
      </c>
      <c r="Q686" t="str">
        <f t="shared" si="71"/>
        <v>No</v>
      </c>
      <c r="R686" t="str" cm="1">
        <f t="array" ref="R686">_xlfn.IFS(K686=0,"On Time",K686&lt;=2,"Minor",K686&lt;=5,"Major",K686&gt;5,"Severe")</f>
        <v>Major</v>
      </c>
      <c r="S686">
        <f t="shared" si="72"/>
        <v>3378</v>
      </c>
      <c r="T686">
        <f t="shared" si="73"/>
        <v>2261</v>
      </c>
      <c r="U686">
        <f t="shared" si="74"/>
        <v>2024</v>
      </c>
      <c r="V686">
        <f t="shared" si="75"/>
        <v>3</v>
      </c>
      <c r="W686" s="11">
        <f t="shared" si="76"/>
        <v>1</v>
      </c>
    </row>
    <row r="687" spans="1:23">
      <c r="A687" t="s">
        <v>700</v>
      </c>
      <c r="B687" s="4">
        <v>45477</v>
      </c>
      <c r="C687" t="s">
        <v>2017</v>
      </c>
      <c r="D687" t="s">
        <v>2023</v>
      </c>
      <c r="E687" t="s">
        <v>2029</v>
      </c>
      <c r="F687" t="s">
        <v>2030</v>
      </c>
      <c r="G687" t="s">
        <v>2037</v>
      </c>
      <c r="H687" t="s">
        <v>2039</v>
      </c>
      <c r="I687">
        <v>2</v>
      </c>
      <c r="J687">
        <v>3</v>
      </c>
      <c r="K687">
        <v>1</v>
      </c>
      <c r="L687" t="s">
        <v>2041</v>
      </c>
      <c r="M687">
        <v>287</v>
      </c>
      <c r="N687">
        <v>2423</v>
      </c>
      <c r="O687">
        <v>3436</v>
      </c>
      <c r="P687" s="13">
        <f t="shared" si="70"/>
        <v>0</v>
      </c>
      <c r="Q687" t="str">
        <f t="shared" si="71"/>
        <v>No</v>
      </c>
      <c r="R687" t="str" cm="1">
        <f t="array" ref="R687">_xlfn.IFS(K687=0,"On Time",K687&lt;=2,"Minor",K687&lt;=5,"Major",K687&gt;5,"Severe")</f>
        <v>Minor</v>
      </c>
      <c r="S687">
        <f t="shared" si="72"/>
        <v>3436</v>
      </c>
      <c r="T687">
        <f t="shared" si="73"/>
        <v>2423</v>
      </c>
      <c r="U687">
        <f t="shared" si="74"/>
        <v>2024</v>
      </c>
      <c r="V687">
        <f t="shared" si="75"/>
        <v>7</v>
      </c>
      <c r="W687" s="11">
        <f t="shared" si="76"/>
        <v>1</v>
      </c>
    </row>
    <row r="688" spans="1:23">
      <c r="A688" t="s">
        <v>701</v>
      </c>
      <c r="B688" s="4">
        <v>45634</v>
      </c>
      <c r="C688" t="s">
        <v>2018</v>
      </c>
      <c r="D688" t="s">
        <v>2024</v>
      </c>
      <c r="E688" t="s">
        <v>2027</v>
      </c>
      <c r="F688" t="s">
        <v>2030</v>
      </c>
      <c r="G688" t="s">
        <v>2033</v>
      </c>
      <c r="H688" t="s">
        <v>2039</v>
      </c>
      <c r="I688">
        <v>2</v>
      </c>
      <c r="J688">
        <v>5</v>
      </c>
      <c r="K688">
        <v>3</v>
      </c>
      <c r="L688" t="s">
        <v>2041</v>
      </c>
      <c r="M688">
        <v>115</v>
      </c>
      <c r="N688">
        <v>2784</v>
      </c>
      <c r="O688">
        <v>14133</v>
      </c>
      <c r="P688" s="13">
        <f t="shared" si="70"/>
        <v>0</v>
      </c>
      <c r="Q688" t="str">
        <f t="shared" si="71"/>
        <v>No</v>
      </c>
      <c r="R688" t="str" cm="1">
        <f t="array" ref="R688">_xlfn.IFS(K688=0,"On Time",K688&lt;=2,"Minor",K688&lt;=5,"Major",K688&gt;5,"Severe")</f>
        <v>Major</v>
      </c>
      <c r="S688">
        <f t="shared" si="72"/>
        <v>4711</v>
      </c>
      <c r="T688">
        <f t="shared" si="73"/>
        <v>928</v>
      </c>
      <c r="U688">
        <f t="shared" si="74"/>
        <v>2024</v>
      </c>
      <c r="V688">
        <f t="shared" si="75"/>
        <v>12</v>
      </c>
      <c r="W688" s="11">
        <f t="shared" si="76"/>
        <v>1</v>
      </c>
    </row>
    <row r="689" spans="1:23">
      <c r="A689" t="s">
        <v>702</v>
      </c>
      <c r="B689" s="4">
        <v>45396</v>
      </c>
      <c r="C689" t="s">
        <v>2015</v>
      </c>
      <c r="D689" t="s">
        <v>2019</v>
      </c>
      <c r="E689" t="s">
        <v>2028</v>
      </c>
      <c r="F689" t="s">
        <v>2030</v>
      </c>
      <c r="G689" t="s">
        <v>2033</v>
      </c>
      <c r="H689" t="s">
        <v>2039</v>
      </c>
      <c r="I689">
        <v>2</v>
      </c>
      <c r="J689">
        <v>2</v>
      </c>
      <c r="K689">
        <v>0</v>
      </c>
      <c r="L689" t="s">
        <v>2042</v>
      </c>
      <c r="M689">
        <v>242</v>
      </c>
      <c r="N689">
        <v>0</v>
      </c>
      <c r="O689">
        <v>0</v>
      </c>
      <c r="P689" s="13">
        <f t="shared" si="70"/>
        <v>1</v>
      </c>
      <c r="Q689" t="str">
        <f t="shared" si="71"/>
        <v>No</v>
      </c>
      <c r="R689" t="str" cm="1">
        <f t="array" ref="R689">_xlfn.IFS(K689=0,"On Time",K689&lt;=2,"Minor",K689&lt;=5,"Major",K689&gt;5,"Severe")</f>
        <v>On Time</v>
      </c>
      <c r="S689">
        <f t="shared" si="72"/>
        <v>0</v>
      </c>
      <c r="T689">
        <f t="shared" si="73"/>
        <v>0</v>
      </c>
      <c r="U689">
        <f t="shared" si="74"/>
        <v>2024</v>
      </c>
      <c r="V689">
        <f t="shared" si="75"/>
        <v>4</v>
      </c>
      <c r="W689" s="11">
        <f t="shared" si="76"/>
        <v>0</v>
      </c>
    </row>
    <row r="690" spans="1:23">
      <c r="A690" t="s">
        <v>703</v>
      </c>
      <c r="B690" s="4">
        <v>45425</v>
      </c>
      <c r="C690" t="s">
        <v>2015</v>
      </c>
      <c r="D690" t="s">
        <v>2020</v>
      </c>
      <c r="E690" t="s">
        <v>2029</v>
      </c>
      <c r="F690" t="s">
        <v>2031</v>
      </c>
      <c r="G690" t="s">
        <v>2037</v>
      </c>
      <c r="H690" t="s">
        <v>2038</v>
      </c>
      <c r="I690">
        <v>1</v>
      </c>
      <c r="J690">
        <v>2</v>
      </c>
      <c r="K690">
        <v>1</v>
      </c>
      <c r="L690" t="s">
        <v>2041</v>
      </c>
      <c r="M690">
        <v>167</v>
      </c>
      <c r="N690">
        <v>1419</v>
      </c>
      <c r="O690">
        <v>4551</v>
      </c>
      <c r="P690" s="13">
        <f t="shared" si="70"/>
        <v>0</v>
      </c>
      <c r="Q690" t="str">
        <f t="shared" si="71"/>
        <v>No</v>
      </c>
      <c r="R690" t="str" cm="1">
        <f t="array" ref="R690">_xlfn.IFS(K690=0,"On Time",K690&lt;=2,"Minor",K690&lt;=5,"Major",K690&gt;5,"Severe")</f>
        <v>Minor</v>
      </c>
      <c r="S690">
        <f t="shared" si="72"/>
        <v>4551</v>
      </c>
      <c r="T690">
        <f t="shared" si="73"/>
        <v>1419</v>
      </c>
      <c r="U690">
        <f t="shared" si="74"/>
        <v>2024</v>
      </c>
      <c r="V690">
        <f t="shared" si="75"/>
        <v>5</v>
      </c>
      <c r="W690" s="11">
        <f t="shared" si="76"/>
        <v>1</v>
      </c>
    </row>
    <row r="691" spans="1:23">
      <c r="A691" t="s">
        <v>704</v>
      </c>
      <c r="B691" s="4">
        <v>45592</v>
      </c>
      <c r="C691" t="s">
        <v>2018</v>
      </c>
      <c r="D691" t="s">
        <v>2026</v>
      </c>
      <c r="E691" t="s">
        <v>2027</v>
      </c>
      <c r="F691" t="s">
        <v>2030</v>
      </c>
      <c r="G691" t="s">
        <v>2037</v>
      </c>
      <c r="H691" t="s">
        <v>2038</v>
      </c>
      <c r="I691">
        <v>1</v>
      </c>
      <c r="J691">
        <v>2</v>
      </c>
      <c r="K691">
        <v>1</v>
      </c>
      <c r="L691" t="s">
        <v>2041</v>
      </c>
      <c r="M691">
        <v>278</v>
      </c>
      <c r="N691">
        <v>1144</v>
      </c>
      <c r="O691">
        <v>3154</v>
      </c>
      <c r="P691" s="13">
        <f t="shared" si="70"/>
        <v>0</v>
      </c>
      <c r="Q691" t="str">
        <f t="shared" si="71"/>
        <v>No</v>
      </c>
      <c r="R691" t="str" cm="1">
        <f t="array" ref="R691">_xlfn.IFS(K691=0,"On Time",K691&lt;=2,"Minor",K691&lt;=5,"Major",K691&gt;5,"Severe")</f>
        <v>Minor</v>
      </c>
      <c r="S691">
        <f t="shared" si="72"/>
        <v>3154</v>
      </c>
      <c r="T691">
        <f t="shared" si="73"/>
        <v>1144</v>
      </c>
      <c r="U691">
        <f t="shared" si="74"/>
        <v>2024</v>
      </c>
      <c r="V691">
        <f t="shared" si="75"/>
        <v>10</v>
      </c>
      <c r="W691" s="11">
        <f t="shared" si="76"/>
        <v>1</v>
      </c>
    </row>
    <row r="692" spans="1:23">
      <c r="A692" t="s">
        <v>705</v>
      </c>
      <c r="B692" s="4">
        <v>45337</v>
      </c>
      <c r="C692" t="s">
        <v>2016</v>
      </c>
      <c r="D692" t="s">
        <v>2025</v>
      </c>
      <c r="E692" t="s">
        <v>2027</v>
      </c>
      <c r="F692" t="s">
        <v>2031</v>
      </c>
      <c r="G692" t="s">
        <v>2033</v>
      </c>
      <c r="H692" t="s">
        <v>2039</v>
      </c>
      <c r="I692">
        <v>3</v>
      </c>
      <c r="J692">
        <v>5</v>
      </c>
      <c r="K692">
        <v>2</v>
      </c>
      <c r="L692" t="s">
        <v>2041</v>
      </c>
      <c r="M692">
        <v>245</v>
      </c>
      <c r="N692">
        <v>4702</v>
      </c>
      <c r="O692">
        <v>8466</v>
      </c>
      <c r="P692" s="13">
        <f t="shared" si="70"/>
        <v>0</v>
      </c>
      <c r="Q692" t="str">
        <f t="shared" si="71"/>
        <v>No</v>
      </c>
      <c r="R692" t="str" cm="1">
        <f t="array" ref="R692">_xlfn.IFS(K692=0,"On Time",K692&lt;=2,"Minor",K692&lt;=5,"Major",K692&gt;5,"Severe")</f>
        <v>Minor</v>
      </c>
      <c r="S692">
        <f t="shared" si="72"/>
        <v>4233</v>
      </c>
      <c r="T692">
        <f t="shared" si="73"/>
        <v>2351</v>
      </c>
      <c r="U692">
        <f t="shared" si="74"/>
        <v>2024</v>
      </c>
      <c r="V692">
        <f t="shared" si="75"/>
        <v>2</v>
      </c>
      <c r="W692" s="11">
        <f t="shared" si="76"/>
        <v>1</v>
      </c>
    </row>
    <row r="693" spans="1:23">
      <c r="A693" t="s">
        <v>706</v>
      </c>
      <c r="B693" s="4">
        <v>45446</v>
      </c>
      <c r="C693" t="s">
        <v>2018</v>
      </c>
      <c r="D693" t="s">
        <v>2026</v>
      </c>
      <c r="E693" t="s">
        <v>2028</v>
      </c>
      <c r="F693" t="s">
        <v>2030</v>
      </c>
      <c r="G693" t="s">
        <v>2037</v>
      </c>
      <c r="H693" t="s">
        <v>2039</v>
      </c>
      <c r="I693">
        <v>2</v>
      </c>
      <c r="J693">
        <v>5</v>
      </c>
      <c r="K693">
        <v>3</v>
      </c>
      <c r="L693" t="s">
        <v>2041</v>
      </c>
      <c r="M693">
        <v>60</v>
      </c>
      <c r="N693">
        <v>3357</v>
      </c>
      <c r="O693">
        <v>4920</v>
      </c>
      <c r="P693" s="13">
        <f t="shared" si="70"/>
        <v>0</v>
      </c>
      <c r="Q693" t="str">
        <f t="shared" si="71"/>
        <v>No</v>
      </c>
      <c r="R693" t="str" cm="1">
        <f t="array" ref="R693">_xlfn.IFS(K693=0,"On Time",K693&lt;=2,"Minor",K693&lt;=5,"Major",K693&gt;5,"Severe")</f>
        <v>Major</v>
      </c>
      <c r="S693">
        <f t="shared" si="72"/>
        <v>1640</v>
      </c>
      <c r="T693">
        <f t="shared" si="73"/>
        <v>1119</v>
      </c>
      <c r="U693">
        <f t="shared" si="74"/>
        <v>2024</v>
      </c>
      <c r="V693">
        <f t="shared" si="75"/>
        <v>6</v>
      </c>
      <c r="W693" s="11">
        <f t="shared" si="76"/>
        <v>1</v>
      </c>
    </row>
    <row r="694" spans="1:23">
      <c r="A694" t="s">
        <v>707</v>
      </c>
      <c r="B694" s="4">
        <v>45510</v>
      </c>
      <c r="C694" t="s">
        <v>2015</v>
      </c>
      <c r="D694" t="s">
        <v>2019</v>
      </c>
      <c r="E694" t="s">
        <v>2028</v>
      </c>
      <c r="F694" t="s">
        <v>2032</v>
      </c>
      <c r="G694" t="s">
        <v>2037</v>
      </c>
      <c r="H694" t="s">
        <v>2039</v>
      </c>
      <c r="I694">
        <v>1</v>
      </c>
      <c r="J694">
        <v>8</v>
      </c>
      <c r="K694">
        <v>7</v>
      </c>
      <c r="L694" t="s">
        <v>2041</v>
      </c>
      <c r="M694">
        <v>302</v>
      </c>
      <c r="N694">
        <v>10822</v>
      </c>
      <c r="O694">
        <v>12642</v>
      </c>
      <c r="P694" s="13">
        <f t="shared" si="70"/>
        <v>0</v>
      </c>
      <c r="Q694" t="str">
        <f t="shared" si="71"/>
        <v>No</v>
      </c>
      <c r="R694" t="str" cm="1">
        <f t="array" ref="R694">_xlfn.IFS(K694=0,"On Time",K694&lt;=2,"Minor",K694&lt;=5,"Major",K694&gt;5,"Severe")</f>
        <v>Severe</v>
      </c>
      <c r="S694">
        <f t="shared" si="72"/>
        <v>1806</v>
      </c>
      <c r="T694">
        <f t="shared" si="73"/>
        <v>1546</v>
      </c>
      <c r="U694">
        <f t="shared" si="74"/>
        <v>2024</v>
      </c>
      <c r="V694">
        <f t="shared" si="75"/>
        <v>8</v>
      </c>
      <c r="W694" s="11">
        <f t="shared" si="76"/>
        <v>1</v>
      </c>
    </row>
    <row r="695" spans="1:23">
      <c r="A695" t="s">
        <v>708</v>
      </c>
      <c r="B695" s="4">
        <v>45452</v>
      </c>
      <c r="C695" t="s">
        <v>2015</v>
      </c>
      <c r="D695" t="s">
        <v>2019</v>
      </c>
      <c r="E695" t="s">
        <v>2027</v>
      </c>
      <c r="F695" t="s">
        <v>2031</v>
      </c>
      <c r="G695" t="s">
        <v>2033</v>
      </c>
      <c r="H695" t="s">
        <v>2040</v>
      </c>
      <c r="I695">
        <v>5</v>
      </c>
      <c r="J695">
        <v>9</v>
      </c>
      <c r="K695">
        <v>4</v>
      </c>
      <c r="L695" t="s">
        <v>2041</v>
      </c>
      <c r="M695">
        <v>369</v>
      </c>
      <c r="N695">
        <v>3324</v>
      </c>
      <c r="O695">
        <v>13796</v>
      </c>
      <c r="P695" s="13">
        <f t="shared" si="70"/>
        <v>0</v>
      </c>
      <c r="Q695" t="str">
        <f t="shared" si="71"/>
        <v>No</v>
      </c>
      <c r="R695" t="str" cm="1">
        <f t="array" ref="R695">_xlfn.IFS(K695=0,"On Time",K695&lt;=2,"Minor",K695&lt;=5,"Major",K695&gt;5,"Severe")</f>
        <v>Major</v>
      </c>
      <c r="S695">
        <f t="shared" si="72"/>
        <v>3449</v>
      </c>
      <c r="T695">
        <f t="shared" si="73"/>
        <v>831</v>
      </c>
      <c r="U695">
        <f t="shared" si="74"/>
        <v>2024</v>
      </c>
      <c r="V695">
        <f t="shared" si="75"/>
        <v>6</v>
      </c>
      <c r="W695" s="11">
        <f t="shared" si="76"/>
        <v>1</v>
      </c>
    </row>
    <row r="696" spans="1:23">
      <c r="A696" t="s">
        <v>709</v>
      </c>
      <c r="B696" s="4">
        <v>45430</v>
      </c>
      <c r="C696" t="s">
        <v>2018</v>
      </c>
      <c r="D696" t="s">
        <v>2024</v>
      </c>
      <c r="E696" t="s">
        <v>2027</v>
      </c>
      <c r="F696" t="s">
        <v>2031</v>
      </c>
      <c r="G696" t="s">
        <v>2037</v>
      </c>
      <c r="H696" t="s">
        <v>2040</v>
      </c>
      <c r="I696">
        <v>2</v>
      </c>
      <c r="J696">
        <v>10</v>
      </c>
      <c r="K696">
        <v>8</v>
      </c>
      <c r="L696" t="s">
        <v>2041</v>
      </c>
      <c r="M696">
        <v>364</v>
      </c>
      <c r="N696">
        <v>16432</v>
      </c>
      <c r="O696">
        <v>32568</v>
      </c>
      <c r="P696" s="13">
        <f t="shared" si="70"/>
        <v>0</v>
      </c>
      <c r="Q696" t="str">
        <f t="shared" si="71"/>
        <v>No</v>
      </c>
      <c r="R696" t="str" cm="1">
        <f t="array" ref="R696">_xlfn.IFS(K696=0,"On Time",K696&lt;=2,"Minor",K696&lt;=5,"Major",K696&gt;5,"Severe")</f>
        <v>Severe</v>
      </c>
      <c r="S696">
        <f t="shared" si="72"/>
        <v>4071</v>
      </c>
      <c r="T696">
        <f t="shared" si="73"/>
        <v>2054</v>
      </c>
      <c r="U696">
        <f t="shared" si="74"/>
        <v>2024</v>
      </c>
      <c r="V696">
        <f t="shared" si="75"/>
        <v>5</v>
      </c>
      <c r="W696" s="11">
        <f t="shared" si="76"/>
        <v>1</v>
      </c>
    </row>
    <row r="697" spans="1:23">
      <c r="A697" t="s">
        <v>710</v>
      </c>
      <c r="B697" s="4">
        <v>45413</v>
      </c>
      <c r="C697" t="s">
        <v>2015</v>
      </c>
      <c r="D697" t="s">
        <v>2019</v>
      </c>
      <c r="E697" t="s">
        <v>2029</v>
      </c>
      <c r="F697" t="s">
        <v>2030</v>
      </c>
      <c r="G697" t="s">
        <v>2036</v>
      </c>
      <c r="H697" t="s">
        <v>2039</v>
      </c>
      <c r="I697">
        <v>2</v>
      </c>
      <c r="J697">
        <v>6</v>
      </c>
      <c r="K697">
        <v>4</v>
      </c>
      <c r="L697" t="s">
        <v>2041</v>
      </c>
      <c r="M697">
        <v>351</v>
      </c>
      <c r="N697">
        <v>5100</v>
      </c>
      <c r="O697">
        <v>13128</v>
      </c>
      <c r="P697" s="13">
        <f t="shared" si="70"/>
        <v>0</v>
      </c>
      <c r="Q697" t="str">
        <f t="shared" si="71"/>
        <v>No</v>
      </c>
      <c r="R697" t="str" cm="1">
        <f t="array" ref="R697">_xlfn.IFS(K697=0,"On Time",K697&lt;=2,"Minor",K697&lt;=5,"Major",K697&gt;5,"Severe")</f>
        <v>Major</v>
      </c>
      <c r="S697">
        <f t="shared" si="72"/>
        <v>3282</v>
      </c>
      <c r="T697">
        <f t="shared" si="73"/>
        <v>1275</v>
      </c>
      <c r="U697">
        <f t="shared" si="74"/>
        <v>2024</v>
      </c>
      <c r="V697">
        <f t="shared" si="75"/>
        <v>5</v>
      </c>
      <c r="W697" s="11">
        <f t="shared" si="76"/>
        <v>1</v>
      </c>
    </row>
    <row r="698" spans="1:23">
      <c r="A698" t="s">
        <v>711</v>
      </c>
      <c r="B698" s="4">
        <v>45530</v>
      </c>
      <c r="C698" t="s">
        <v>2018</v>
      </c>
      <c r="D698" t="s">
        <v>2024</v>
      </c>
      <c r="E698" t="s">
        <v>2029</v>
      </c>
      <c r="F698" t="s">
        <v>2031</v>
      </c>
      <c r="G698" t="s">
        <v>2036</v>
      </c>
      <c r="H698" t="s">
        <v>2040</v>
      </c>
      <c r="I698">
        <v>5</v>
      </c>
      <c r="J698">
        <v>11</v>
      </c>
      <c r="K698">
        <v>6</v>
      </c>
      <c r="L698" t="s">
        <v>2041</v>
      </c>
      <c r="M698">
        <v>185</v>
      </c>
      <c r="N698">
        <v>13386</v>
      </c>
      <c r="O698">
        <v>24156</v>
      </c>
      <c r="P698" s="13">
        <f t="shared" si="70"/>
        <v>0</v>
      </c>
      <c r="Q698" t="str">
        <f t="shared" si="71"/>
        <v>No</v>
      </c>
      <c r="R698" t="str" cm="1">
        <f t="array" ref="R698">_xlfn.IFS(K698=0,"On Time",K698&lt;=2,"Minor",K698&lt;=5,"Major",K698&gt;5,"Severe")</f>
        <v>Severe</v>
      </c>
      <c r="S698">
        <f t="shared" si="72"/>
        <v>4026</v>
      </c>
      <c r="T698">
        <f t="shared" si="73"/>
        <v>2231</v>
      </c>
      <c r="U698">
        <f t="shared" si="74"/>
        <v>2024</v>
      </c>
      <c r="V698">
        <f t="shared" si="75"/>
        <v>8</v>
      </c>
      <c r="W698" s="11">
        <f t="shared" si="76"/>
        <v>1</v>
      </c>
    </row>
    <row r="699" spans="1:23">
      <c r="A699" t="s">
        <v>712</v>
      </c>
      <c r="B699" s="4">
        <v>45640</v>
      </c>
      <c r="C699" t="s">
        <v>2015</v>
      </c>
      <c r="D699" t="s">
        <v>2020</v>
      </c>
      <c r="E699" t="s">
        <v>2029</v>
      </c>
      <c r="F699" t="s">
        <v>2031</v>
      </c>
      <c r="G699" t="s">
        <v>2037</v>
      </c>
      <c r="H699" t="s">
        <v>2039</v>
      </c>
      <c r="I699">
        <v>2</v>
      </c>
      <c r="J699">
        <v>3</v>
      </c>
      <c r="K699">
        <v>1</v>
      </c>
      <c r="L699" t="s">
        <v>2041</v>
      </c>
      <c r="M699">
        <v>226</v>
      </c>
      <c r="N699">
        <v>1359</v>
      </c>
      <c r="O699">
        <v>3437</v>
      </c>
      <c r="P699" s="13">
        <f t="shared" si="70"/>
        <v>0</v>
      </c>
      <c r="Q699" t="str">
        <f t="shared" si="71"/>
        <v>No</v>
      </c>
      <c r="R699" t="str" cm="1">
        <f t="array" ref="R699">_xlfn.IFS(K699=0,"On Time",K699&lt;=2,"Minor",K699&lt;=5,"Major",K699&gt;5,"Severe")</f>
        <v>Minor</v>
      </c>
      <c r="S699">
        <f t="shared" si="72"/>
        <v>3437</v>
      </c>
      <c r="T699">
        <f t="shared" si="73"/>
        <v>1359</v>
      </c>
      <c r="U699">
        <f t="shared" si="74"/>
        <v>2024</v>
      </c>
      <c r="V699">
        <f t="shared" si="75"/>
        <v>12</v>
      </c>
      <c r="W699" s="11">
        <f t="shared" si="76"/>
        <v>1</v>
      </c>
    </row>
    <row r="700" spans="1:23">
      <c r="A700" t="s">
        <v>713</v>
      </c>
      <c r="B700" s="4">
        <v>45354</v>
      </c>
      <c r="C700" t="s">
        <v>2016</v>
      </c>
      <c r="D700" t="s">
        <v>2021</v>
      </c>
      <c r="E700" t="s">
        <v>2029</v>
      </c>
      <c r="F700" t="s">
        <v>2032</v>
      </c>
      <c r="G700" t="s">
        <v>2037</v>
      </c>
      <c r="H700" t="s">
        <v>2040</v>
      </c>
      <c r="I700">
        <v>3</v>
      </c>
      <c r="J700">
        <v>12</v>
      </c>
      <c r="K700">
        <v>9</v>
      </c>
      <c r="L700" t="s">
        <v>2041</v>
      </c>
      <c r="M700">
        <v>165</v>
      </c>
      <c r="N700">
        <v>7677</v>
      </c>
      <c r="O700">
        <v>44802</v>
      </c>
      <c r="P700" s="13">
        <f t="shared" si="70"/>
        <v>0</v>
      </c>
      <c r="Q700" t="str">
        <f t="shared" si="71"/>
        <v>No</v>
      </c>
      <c r="R700" t="str" cm="1">
        <f t="array" ref="R700">_xlfn.IFS(K700=0,"On Time",K700&lt;=2,"Minor",K700&lt;=5,"Major",K700&gt;5,"Severe")</f>
        <v>Severe</v>
      </c>
      <c r="S700">
        <f t="shared" si="72"/>
        <v>4978</v>
      </c>
      <c r="T700">
        <f t="shared" si="73"/>
        <v>853</v>
      </c>
      <c r="U700">
        <f t="shared" si="74"/>
        <v>2024</v>
      </c>
      <c r="V700">
        <f t="shared" si="75"/>
        <v>3</v>
      </c>
      <c r="W700" s="11">
        <f t="shared" si="76"/>
        <v>1</v>
      </c>
    </row>
    <row r="701" spans="1:23">
      <c r="A701" t="s">
        <v>714</v>
      </c>
      <c r="B701" s="4">
        <v>45641</v>
      </c>
      <c r="C701" t="s">
        <v>2018</v>
      </c>
      <c r="D701" t="s">
        <v>2026</v>
      </c>
      <c r="E701" t="s">
        <v>2029</v>
      </c>
      <c r="F701" t="s">
        <v>2032</v>
      </c>
      <c r="G701" t="s">
        <v>2033</v>
      </c>
      <c r="H701" t="s">
        <v>2038</v>
      </c>
      <c r="I701">
        <v>5</v>
      </c>
      <c r="J701">
        <v>10</v>
      </c>
      <c r="K701">
        <v>5</v>
      </c>
      <c r="L701" t="s">
        <v>2041</v>
      </c>
      <c r="M701">
        <v>378</v>
      </c>
      <c r="N701">
        <v>7950</v>
      </c>
      <c r="O701">
        <v>16515</v>
      </c>
      <c r="P701" s="13">
        <f t="shared" si="70"/>
        <v>0</v>
      </c>
      <c r="Q701" t="str">
        <f t="shared" si="71"/>
        <v>No</v>
      </c>
      <c r="R701" t="str" cm="1">
        <f t="array" ref="R701">_xlfn.IFS(K701=0,"On Time",K701&lt;=2,"Minor",K701&lt;=5,"Major",K701&gt;5,"Severe")</f>
        <v>Major</v>
      </c>
      <c r="S701">
        <f t="shared" si="72"/>
        <v>3303</v>
      </c>
      <c r="T701">
        <f t="shared" si="73"/>
        <v>1590</v>
      </c>
      <c r="U701">
        <f t="shared" si="74"/>
        <v>2024</v>
      </c>
      <c r="V701">
        <f t="shared" si="75"/>
        <v>12</v>
      </c>
      <c r="W701" s="11">
        <f t="shared" si="76"/>
        <v>1</v>
      </c>
    </row>
    <row r="702" spans="1:23">
      <c r="A702" t="s">
        <v>715</v>
      </c>
      <c r="B702" s="4">
        <v>45616</v>
      </c>
      <c r="C702" t="s">
        <v>2017</v>
      </c>
      <c r="D702" t="s">
        <v>2023</v>
      </c>
      <c r="E702" t="s">
        <v>2028</v>
      </c>
      <c r="F702" t="s">
        <v>2030</v>
      </c>
      <c r="G702" t="s">
        <v>2034</v>
      </c>
      <c r="H702" t="s">
        <v>2039</v>
      </c>
      <c r="I702">
        <v>2</v>
      </c>
      <c r="J702">
        <v>7</v>
      </c>
      <c r="K702">
        <v>5</v>
      </c>
      <c r="L702" t="s">
        <v>2041</v>
      </c>
      <c r="M702">
        <v>189</v>
      </c>
      <c r="N702">
        <v>11270</v>
      </c>
      <c r="O702">
        <v>11180</v>
      </c>
      <c r="P702" s="13">
        <f t="shared" si="70"/>
        <v>0</v>
      </c>
      <c r="Q702" t="str">
        <f t="shared" si="71"/>
        <v>No</v>
      </c>
      <c r="R702" t="str" cm="1">
        <f t="array" ref="R702">_xlfn.IFS(K702=0,"On Time",K702&lt;=2,"Minor",K702&lt;=5,"Major",K702&gt;5,"Severe")</f>
        <v>Major</v>
      </c>
      <c r="S702">
        <f t="shared" si="72"/>
        <v>2236</v>
      </c>
      <c r="T702">
        <f t="shared" si="73"/>
        <v>2254</v>
      </c>
      <c r="U702">
        <f t="shared" si="74"/>
        <v>2024</v>
      </c>
      <c r="V702">
        <f t="shared" si="75"/>
        <v>11</v>
      </c>
      <c r="W702" s="11">
        <f t="shared" si="76"/>
        <v>1</v>
      </c>
    </row>
    <row r="703" spans="1:23">
      <c r="A703" t="s">
        <v>716</v>
      </c>
      <c r="B703" s="4">
        <v>45299</v>
      </c>
      <c r="C703" t="s">
        <v>2017</v>
      </c>
      <c r="D703" t="s">
        <v>2023</v>
      </c>
      <c r="E703" t="s">
        <v>2029</v>
      </c>
      <c r="F703" t="s">
        <v>2032</v>
      </c>
      <c r="G703" t="s">
        <v>2033</v>
      </c>
      <c r="H703" t="s">
        <v>2039</v>
      </c>
      <c r="I703">
        <v>1</v>
      </c>
      <c r="J703">
        <v>3</v>
      </c>
      <c r="K703">
        <v>2</v>
      </c>
      <c r="L703" t="s">
        <v>2041</v>
      </c>
      <c r="M703">
        <v>231</v>
      </c>
      <c r="N703">
        <v>3210</v>
      </c>
      <c r="O703">
        <v>5930</v>
      </c>
      <c r="P703" s="13">
        <f t="shared" si="70"/>
        <v>0</v>
      </c>
      <c r="Q703" t="str">
        <f t="shared" si="71"/>
        <v>No</v>
      </c>
      <c r="R703" t="str" cm="1">
        <f t="array" ref="R703">_xlfn.IFS(K703=0,"On Time",K703&lt;=2,"Minor",K703&lt;=5,"Major",K703&gt;5,"Severe")</f>
        <v>Minor</v>
      </c>
      <c r="S703">
        <f t="shared" si="72"/>
        <v>2965</v>
      </c>
      <c r="T703">
        <f t="shared" si="73"/>
        <v>1605</v>
      </c>
      <c r="U703">
        <f t="shared" si="74"/>
        <v>2024</v>
      </c>
      <c r="V703">
        <f t="shared" si="75"/>
        <v>1</v>
      </c>
      <c r="W703" s="11">
        <f t="shared" si="76"/>
        <v>1</v>
      </c>
    </row>
    <row r="704" spans="1:23">
      <c r="A704" t="s">
        <v>717</v>
      </c>
      <c r="B704" s="4">
        <v>45292</v>
      </c>
      <c r="C704" t="s">
        <v>2017</v>
      </c>
      <c r="D704" t="s">
        <v>2023</v>
      </c>
      <c r="E704" t="s">
        <v>2027</v>
      </c>
      <c r="F704" t="s">
        <v>2031</v>
      </c>
      <c r="G704" t="s">
        <v>2034</v>
      </c>
      <c r="H704" t="s">
        <v>2038</v>
      </c>
      <c r="I704">
        <v>2</v>
      </c>
      <c r="J704">
        <v>6</v>
      </c>
      <c r="K704">
        <v>4</v>
      </c>
      <c r="L704" t="s">
        <v>2041</v>
      </c>
      <c r="M704">
        <v>196</v>
      </c>
      <c r="N704">
        <v>9280</v>
      </c>
      <c r="O704">
        <v>14696</v>
      </c>
      <c r="P704" s="13">
        <f t="shared" si="70"/>
        <v>0</v>
      </c>
      <c r="Q704" t="str">
        <f t="shared" si="71"/>
        <v>No</v>
      </c>
      <c r="R704" t="str" cm="1">
        <f t="array" ref="R704">_xlfn.IFS(K704=0,"On Time",K704&lt;=2,"Minor",K704&lt;=5,"Major",K704&gt;5,"Severe")</f>
        <v>Major</v>
      </c>
      <c r="S704">
        <f t="shared" si="72"/>
        <v>3674</v>
      </c>
      <c r="T704">
        <f t="shared" si="73"/>
        <v>2320</v>
      </c>
      <c r="U704">
        <f t="shared" si="74"/>
        <v>2024</v>
      </c>
      <c r="V704">
        <f t="shared" si="75"/>
        <v>1</v>
      </c>
      <c r="W704" s="11">
        <f t="shared" si="76"/>
        <v>1</v>
      </c>
    </row>
    <row r="705" spans="1:23">
      <c r="A705" t="s">
        <v>718</v>
      </c>
      <c r="B705" s="4">
        <v>45430</v>
      </c>
      <c r="C705" t="s">
        <v>2018</v>
      </c>
      <c r="D705" t="s">
        <v>2024</v>
      </c>
      <c r="E705" t="s">
        <v>2029</v>
      </c>
      <c r="F705" t="s">
        <v>2032</v>
      </c>
      <c r="G705" t="s">
        <v>2035</v>
      </c>
      <c r="H705" t="s">
        <v>2038</v>
      </c>
      <c r="I705">
        <v>2</v>
      </c>
      <c r="J705">
        <v>5</v>
      </c>
      <c r="K705">
        <v>3</v>
      </c>
      <c r="L705" t="s">
        <v>2041</v>
      </c>
      <c r="M705">
        <v>421</v>
      </c>
      <c r="N705">
        <v>2691</v>
      </c>
      <c r="O705">
        <v>11805</v>
      </c>
      <c r="P705" s="13">
        <f t="shared" si="70"/>
        <v>0</v>
      </c>
      <c r="Q705" t="str">
        <f t="shared" si="71"/>
        <v>No</v>
      </c>
      <c r="R705" t="str" cm="1">
        <f t="array" ref="R705">_xlfn.IFS(K705=0,"On Time",K705&lt;=2,"Minor",K705&lt;=5,"Major",K705&gt;5,"Severe")</f>
        <v>Major</v>
      </c>
      <c r="S705">
        <f t="shared" si="72"/>
        <v>3935</v>
      </c>
      <c r="T705">
        <f t="shared" si="73"/>
        <v>897</v>
      </c>
      <c r="U705">
        <f t="shared" si="74"/>
        <v>2024</v>
      </c>
      <c r="V705">
        <f t="shared" si="75"/>
        <v>5</v>
      </c>
      <c r="W705" s="11">
        <f t="shared" si="76"/>
        <v>1</v>
      </c>
    </row>
    <row r="706" spans="1:23">
      <c r="A706" t="s">
        <v>719</v>
      </c>
      <c r="B706" s="4">
        <v>45495</v>
      </c>
      <c r="C706" t="s">
        <v>2018</v>
      </c>
      <c r="D706" t="s">
        <v>2024</v>
      </c>
      <c r="E706" t="s">
        <v>2028</v>
      </c>
      <c r="F706" t="s">
        <v>2030</v>
      </c>
      <c r="G706" t="s">
        <v>2034</v>
      </c>
      <c r="H706" t="s">
        <v>2038</v>
      </c>
      <c r="I706">
        <v>3</v>
      </c>
      <c r="J706">
        <v>3</v>
      </c>
      <c r="K706">
        <v>0</v>
      </c>
      <c r="L706" t="s">
        <v>2042</v>
      </c>
      <c r="M706">
        <v>157</v>
      </c>
      <c r="N706">
        <v>0</v>
      </c>
      <c r="O706">
        <v>0</v>
      </c>
      <c r="P706" s="13">
        <f t="shared" si="70"/>
        <v>1</v>
      </c>
      <c r="Q706" t="str">
        <f t="shared" si="71"/>
        <v>No</v>
      </c>
      <c r="R706" t="str" cm="1">
        <f t="array" ref="R706">_xlfn.IFS(K706=0,"On Time",K706&lt;=2,"Minor",K706&lt;=5,"Major",K706&gt;5,"Severe")</f>
        <v>On Time</v>
      </c>
      <c r="S706">
        <f t="shared" si="72"/>
        <v>0</v>
      </c>
      <c r="T706">
        <f t="shared" si="73"/>
        <v>0</v>
      </c>
      <c r="U706">
        <f t="shared" si="74"/>
        <v>2024</v>
      </c>
      <c r="V706">
        <f t="shared" si="75"/>
        <v>7</v>
      </c>
      <c r="W706" s="11">
        <f t="shared" si="76"/>
        <v>0</v>
      </c>
    </row>
    <row r="707" spans="1:23">
      <c r="A707" t="s">
        <v>720</v>
      </c>
      <c r="B707" s="4">
        <v>45567</v>
      </c>
      <c r="C707" t="s">
        <v>2018</v>
      </c>
      <c r="D707" t="s">
        <v>2024</v>
      </c>
      <c r="E707" t="s">
        <v>2027</v>
      </c>
      <c r="F707" t="s">
        <v>2032</v>
      </c>
      <c r="G707" t="s">
        <v>2037</v>
      </c>
      <c r="H707" t="s">
        <v>2039</v>
      </c>
      <c r="I707">
        <v>2</v>
      </c>
      <c r="J707">
        <v>6</v>
      </c>
      <c r="K707">
        <v>4</v>
      </c>
      <c r="L707" t="s">
        <v>2041</v>
      </c>
      <c r="M707">
        <v>50</v>
      </c>
      <c r="N707">
        <v>3568</v>
      </c>
      <c r="O707">
        <v>9732</v>
      </c>
      <c r="P707" s="13">
        <f t="shared" ref="P707:P770" si="77">IF(L707="Yes",0,1)</f>
        <v>0</v>
      </c>
      <c r="Q707" t="str">
        <f t="shared" ref="Q707:Q770" si="78">IF(K707&gt;J707,"Yes","No")</f>
        <v>No</v>
      </c>
      <c r="R707" t="str" cm="1">
        <f t="array" ref="R707">_xlfn.IFS(K707=0,"On Time",K707&lt;=2,"Minor",K707&lt;=5,"Major",K707&gt;5,"Severe")</f>
        <v>Major</v>
      </c>
      <c r="S707">
        <f t="shared" ref="S707:S770" si="79">IFERROR(O707/K707,0)</f>
        <v>2433</v>
      </c>
      <c r="T707">
        <f t="shared" ref="T707:T770" si="80">IFERROR(N707/K707,0)</f>
        <v>892</v>
      </c>
      <c r="U707">
        <f t="shared" ref="U707:U770" si="81">YEAR(B707)</f>
        <v>2024</v>
      </c>
      <c r="V707">
        <f t="shared" ref="V707:V770" si="82">MONTH(B707)</f>
        <v>10</v>
      </c>
      <c r="W707" s="11">
        <f t="shared" ref="W707:W770" si="83">IF(L707="Yes",1,0)</f>
        <v>1</v>
      </c>
    </row>
    <row r="708" spans="1:23">
      <c r="A708" t="s">
        <v>721</v>
      </c>
      <c r="B708" s="4">
        <v>45499</v>
      </c>
      <c r="C708" t="s">
        <v>2015</v>
      </c>
      <c r="D708" t="s">
        <v>2020</v>
      </c>
      <c r="E708" t="s">
        <v>2029</v>
      </c>
      <c r="F708" t="s">
        <v>2030</v>
      </c>
      <c r="G708" t="s">
        <v>2035</v>
      </c>
      <c r="H708" t="s">
        <v>2039</v>
      </c>
      <c r="I708">
        <v>1</v>
      </c>
      <c r="J708">
        <v>6</v>
      </c>
      <c r="K708">
        <v>5</v>
      </c>
      <c r="L708" t="s">
        <v>2041</v>
      </c>
      <c r="M708">
        <v>445</v>
      </c>
      <c r="N708">
        <v>5475</v>
      </c>
      <c r="O708">
        <v>15925</v>
      </c>
      <c r="P708" s="13">
        <f t="shared" si="77"/>
        <v>0</v>
      </c>
      <c r="Q708" t="str">
        <f t="shared" si="78"/>
        <v>No</v>
      </c>
      <c r="R708" t="str" cm="1">
        <f t="array" ref="R708">_xlfn.IFS(K708=0,"On Time",K708&lt;=2,"Minor",K708&lt;=5,"Major",K708&gt;5,"Severe")</f>
        <v>Major</v>
      </c>
      <c r="S708">
        <f t="shared" si="79"/>
        <v>3185</v>
      </c>
      <c r="T708">
        <f t="shared" si="80"/>
        <v>1095</v>
      </c>
      <c r="U708">
        <f t="shared" si="81"/>
        <v>2024</v>
      </c>
      <c r="V708">
        <f t="shared" si="82"/>
        <v>7</v>
      </c>
      <c r="W708" s="11">
        <f t="shared" si="83"/>
        <v>1</v>
      </c>
    </row>
    <row r="709" spans="1:23">
      <c r="A709" t="s">
        <v>722</v>
      </c>
      <c r="B709" s="4">
        <v>45547</v>
      </c>
      <c r="C709" t="s">
        <v>2015</v>
      </c>
      <c r="D709" t="s">
        <v>2019</v>
      </c>
      <c r="E709" t="s">
        <v>2029</v>
      </c>
      <c r="F709" t="s">
        <v>2031</v>
      </c>
      <c r="G709" t="s">
        <v>2033</v>
      </c>
      <c r="H709" t="s">
        <v>2039</v>
      </c>
      <c r="I709">
        <v>1</v>
      </c>
      <c r="J709">
        <v>1</v>
      </c>
      <c r="K709">
        <v>0</v>
      </c>
      <c r="L709" t="s">
        <v>2042</v>
      </c>
      <c r="M709">
        <v>372</v>
      </c>
      <c r="N709">
        <v>0</v>
      </c>
      <c r="O709">
        <v>0</v>
      </c>
      <c r="P709" s="13">
        <f t="shared" si="77"/>
        <v>1</v>
      </c>
      <c r="Q709" t="str">
        <f t="shared" si="78"/>
        <v>No</v>
      </c>
      <c r="R709" t="str" cm="1">
        <f t="array" ref="R709">_xlfn.IFS(K709=0,"On Time",K709&lt;=2,"Minor",K709&lt;=5,"Major",K709&gt;5,"Severe")</f>
        <v>On Time</v>
      </c>
      <c r="S709">
        <f t="shared" si="79"/>
        <v>0</v>
      </c>
      <c r="T709">
        <f t="shared" si="80"/>
        <v>0</v>
      </c>
      <c r="U709">
        <f t="shared" si="81"/>
        <v>2024</v>
      </c>
      <c r="V709">
        <f t="shared" si="82"/>
        <v>9</v>
      </c>
      <c r="W709" s="11">
        <f t="shared" si="83"/>
        <v>0</v>
      </c>
    </row>
    <row r="710" spans="1:23">
      <c r="A710" t="s">
        <v>723</v>
      </c>
      <c r="B710" s="4">
        <v>45581</v>
      </c>
      <c r="C710" t="s">
        <v>2017</v>
      </c>
      <c r="D710" t="s">
        <v>2022</v>
      </c>
      <c r="E710" t="s">
        <v>2029</v>
      </c>
      <c r="F710" t="s">
        <v>2030</v>
      </c>
      <c r="G710" t="s">
        <v>2037</v>
      </c>
      <c r="H710" t="s">
        <v>2038</v>
      </c>
      <c r="I710">
        <v>5</v>
      </c>
      <c r="J710">
        <v>8</v>
      </c>
      <c r="K710">
        <v>3</v>
      </c>
      <c r="L710" t="s">
        <v>2041</v>
      </c>
      <c r="M710">
        <v>361</v>
      </c>
      <c r="N710">
        <v>5157</v>
      </c>
      <c r="O710">
        <v>12408</v>
      </c>
      <c r="P710" s="13">
        <f t="shared" si="77"/>
        <v>0</v>
      </c>
      <c r="Q710" t="str">
        <f t="shared" si="78"/>
        <v>No</v>
      </c>
      <c r="R710" t="str" cm="1">
        <f t="array" ref="R710">_xlfn.IFS(K710=0,"On Time",K710&lt;=2,"Minor",K710&lt;=5,"Major",K710&gt;5,"Severe")</f>
        <v>Major</v>
      </c>
      <c r="S710">
        <f t="shared" si="79"/>
        <v>4136</v>
      </c>
      <c r="T710">
        <f t="shared" si="80"/>
        <v>1719</v>
      </c>
      <c r="U710">
        <f t="shared" si="81"/>
        <v>2024</v>
      </c>
      <c r="V710">
        <f t="shared" si="82"/>
        <v>10</v>
      </c>
      <c r="W710" s="11">
        <f t="shared" si="83"/>
        <v>1</v>
      </c>
    </row>
    <row r="711" spans="1:23">
      <c r="A711" t="s">
        <v>724</v>
      </c>
      <c r="B711" s="4">
        <v>45292</v>
      </c>
      <c r="C711" t="s">
        <v>2015</v>
      </c>
      <c r="D711" t="s">
        <v>2020</v>
      </c>
      <c r="E711" t="s">
        <v>2028</v>
      </c>
      <c r="F711" t="s">
        <v>2031</v>
      </c>
      <c r="G711" t="s">
        <v>2035</v>
      </c>
      <c r="H711" t="s">
        <v>2038</v>
      </c>
      <c r="I711">
        <v>1</v>
      </c>
      <c r="J711">
        <v>3</v>
      </c>
      <c r="K711">
        <v>2</v>
      </c>
      <c r="L711" t="s">
        <v>2041</v>
      </c>
      <c r="M711">
        <v>200</v>
      </c>
      <c r="N711">
        <v>2956</v>
      </c>
      <c r="O711">
        <v>5712</v>
      </c>
      <c r="P711" s="13">
        <f t="shared" si="77"/>
        <v>0</v>
      </c>
      <c r="Q711" t="str">
        <f t="shared" si="78"/>
        <v>No</v>
      </c>
      <c r="R711" t="str" cm="1">
        <f t="array" ref="R711">_xlfn.IFS(K711=0,"On Time",K711&lt;=2,"Minor",K711&lt;=5,"Major",K711&gt;5,"Severe")</f>
        <v>Minor</v>
      </c>
      <c r="S711">
        <f t="shared" si="79"/>
        <v>2856</v>
      </c>
      <c r="T711">
        <f t="shared" si="80"/>
        <v>1478</v>
      </c>
      <c r="U711">
        <f t="shared" si="81"/>
        <v>2024</v>
      </c>
      <c r="V711">
        <f t="shared" si="82"/>
        <v>1</v>
      </c>
      <c r="W711" s="11">
        <f t="shared" si="83"/>
        <v>1</v>
      </c>
    </row>
    <row r="712" spans="1:23">
      <c r="A712" t="s">
        <v>725</v>
      </c>
      <c r="B712" s="4">
        <v>45346</v>
      </c>
      <c r="C712" t="s">
        <v>2016</v>
      </c>
      <c r="D712" t="s">
        <v>2025</v>
      </c>
      <c r="E712" t="s">
        <v>2028</v>
      </c>
      <c r="F712" t="s">
        <v>2032</v>
      </c>
      <c r="G712" t="s">
        <v>2033</v>
      </c>
      <c r="H712" t="s">
        <v>2038</v>
      </c>
      <c r="I712">
        <v>1</v>
      </c>
      <c r="J712">
        <v>5</v>
      </c>
      <c r="K712">
        <v>4</v>
      </c>
      <c r="L712" t="s">
        <v>2041</v>
      </c>
      <c r="M712">
        <v>194</v>
      </c>
      <c r="N712">
        <v>8176</v>
      </c>
      <c r="O712">
        <v>6032</v>
      </c>
      <c r="P712" s="13">
        <f t="shared" si="77"/>
        <v>0</v>
      </c>
      <c r="Q712" t="str">
        <f t="shared" si="78"/>
        <v>No</v>
      </c>
      <c r="R712" t="str" cm="1">
        <f t="array" ref="R712">_xlfn.IFS(K712=0,"On Time",K712&lt;=2,"Minor",K712&lt;=5,"Major",K712&gt;5,"Severe")</f>
        <v>Major</v>
      </c>
      <c r="S712">
        <f t="shared" si="79"/>
        <v>1508</v>
      </c>
      <c r="T712">
        <f t="shared" si="80"/>
        <v>2044</v>
      </c>
      <c r="U712">
        <f t="shared" si="81"/>
        <v>2024</v>
      </c>
      <c r="V712">
        <f t="shared" si="82"/>
        <v>2</v>
      </c>
      <c r="W712" s="11">
        <f t="shared" si="83"/>
        <v>1</v>
      </c>
    </row>
    <row r="713" spans="1:23">
      <c r="A713" t="s">
        <v>726</v>
      </c>
      <c r="B713" s="4">
        <v>45371</v>
      </c>
      <c r="C713" t="s">
        <v>2017</v>
      </c>
      <c r="D713" t="s">
        <v>2023</v>
      </c>
      <c r="E713" t="s">
        <v>2029</v>
      </c>
      <c r="F713" t="s">
        <v>2030</v>
      </c>
      <c r="G713" t="s">
        <v>2033</v>
      </c>
      <c r="H713" t="s">
        <v>2039</v>
      </c>
      <c r="I713">
        <v>2</v>
      </c>
      <c r="J713">
        <v>2</v>
      </c>
      <c r="K713">
        <v>0</v>
      </c>
      <c r="L713" t="s">
        <v>2042</v>
      </c>
      <c r="M713">
        <v>288</v>
      </c>
      <c r="N713">
        <v>0</v>
      </c>
      <c r="O713">
        <v>0</v>
      </c>
      <c r="P713" s="13">
        <f t="shared" si="77"/>
        <v>1</v>
      </c>
      <c r="Q713" t="str">
        <f t="shared" si="78"/>
        <v>No</v>
      </c>
      <c r="R713" t="str" cm="1">
        <f t="array" ref="R713">_xlfn.IFS(K713=0,"On Time",K713&lt;=2,"Minor",K713&lt;=5,"Major",K713&gt;5,"Severe")</f>
        <v>On Time</v>
      </c>
      <c r="S713">
        <f t="shared" si="79"/>
        <v>0</v>
      </c>
      <c r="T713">
        <f t="shared" si="80"/>
        <v>0</v>
      </c>
      <c r="U713">
        <f t="shared" si="81"/>
        <v>2024</v>
      </c>
      <c r="V713">
        <f t="shared" si="82"/>
        <v>3</v>
      </c>
      <c r="W713" s="11">
        <f t="shared" si="83"/>
        <v>0</v>
      </c>
    </row>
    <row r="714" spans="1:23">
      <c r="A714" t="s">
        <v>727</v>
      </c>
      <c r="B714" s="4">
        <v>45304</v>
      </c>
      <c r="C714" t="s">
        <v>2016</v>
      </c>
      <c r="D714" t="s">
        <v>2025</v>
      </c>
      <c r="E714" t="s">
        <v>2029</v>
      </c>
      <c r="F714" t="s">
        <v>2031</v>
      </c>
      <c r="G714" t="s">
        <v>2033</v>
      </c>
      <c r="H714" t="s">
        <v>2040</v>
      </c>
      <c r="I714">
        <v>5</v>
      </c>
      <c r="J714">
        <v>12</v>
      </c>
      <c r="K714">
        <v>7</v>
      </c>
      <c r="L714" t="s">
        <v>2041</v>
      </c>
      <c r="M714">
        <v>75</v>
      </c>
      <c r="N714">
        <v>11529</v>
      </c>
      <c r="O714">
        <v>19915</v>
      </c>
      <c r="P714" s="13">
        <f t="shared" si="77"/>
        <v>0</v>
      </c>
      <c r="Q714" t="str">
        <f t="shared" si="78"/>
        <v>No</v>
      </c>
      <c r="R714" t="str" cm="1">
        <f t="array" ref="R714">_xlfn.IFS(K714=0,"On Time",K714&lt;=2,"Minor",K714&lt;=5,"Major",K714&gt;5,"Severe")</f>
        <v>Severe</v>
      </c>
      <c r="S714">
        <f t="shared" si="79"/>
        <v>2845</v>
      </c>
      <c r="T714">
        <f t="shared" si="80"/>
        <v>1647</v>
      </c>
      <c r="U714">
        <f t="shared" si="81"/>
        <v>2024</v>
      </c>
      <c r="V714">
        <f t="shared" si="82"/>
        <v>1</v>
      </c>
      <c r="W714" s="11">
        <f t="shared" si="83"/>
        <v>1</v>
      </c>
    </row>
    <row r="715" spans="1:23">
      <c r="A715" t="s">
        <v>728</v>
      </c>
      <c r="B715" s="4">
        <v>45493</v>
      </c>
      <c r="C715" t="s">
        <v>2017</v>
      </c>
      <c r="D715" t="s">
        <v>2023</v>
      </c>
      <c r="E715" t="s">
        <v>2028</v>
      </c>
      <c r="F715" t="s">
        <v>2030</v>
      </c>
      <c r="G715" t="s">
        <v>2033</v>
      </c>
      <c r="H715" t="s">
        <v>2039</v>
      </c>
      <c r="I715">
        <v>1</v>
      </c>
      <c r="J715">
        <v>5</v>
      </c>
      <c r="K715">
        <v>4</v>
      </c>
      <c r="L715" t="s">
        <v>2041</v>
      </c>
      <c r="M715">
        <v>333</v>
      </c>
      <c r="N715">
        <v>6452</v>
      </c>
      <c r="O715">
        <v>11676</v>
      </c>
      <c r="P715" s="13">
        <f t="shared" si="77"/>
        <v>0</v>
      </c>
      <c r="Q715" t="str">
        <f t="shared" si="78"/>
        <v>No</v>
      </c>
      <c r="R715" t="str" cm="1">
        <f t="array" ref="R715">_xlfn.IFS(K715=0,"On Time",K715&lt;=2,"Minor",K715&lt;=5,"Major",K715&gt;5,"Severe")</f>
        <v>Major</v>
      </c>
      <c r="S715">
        <f t="shared" si="79"/>
        <v>2919</v>
      </c>
      <c r="T715">
        <f t="shared" si="80"/>
        <v>1613</v>
      </c>
      <c r="U715">
        <f t="shared" si="81"/>
        <v>2024</v>
      </c>
      <c r="V715">
        <f t="shared" si="82"/>
        <v>7</v>
      </c>
      <c r="W715" s="11">
        <f t="shared" si="83"/>
        <v>1</v>
      </c>
    </row>
    <row r="716" spans="1:23">
      <c r="A716" t="s">
        <v>729</v>
      </c>
      <c r="B716" s="4">
        <v>45508</v>
      </c>
      <c r="C716" t="s">
        <v>2015</v>
      </c>
      <c r="D716" t="s">
        <v>2019</v>
      </c>
      <c r="E716" t="s">
        <v>2029</v>
      </c>
      <c r="F716" t="s">
        <v>2031</v>
      </c>
      <c r="G716" t="s">
        <v>2033</v>
      </c>
      <c r="H716" t="s">
        <v>2038</v>
      </c>
      <c r="I716">
        <v>2</v>
      </c>
      <c r="J716">
        <v>4</v>
      </c>
      <c r="K716">
        <v>2</v>
      </c>
      <c r="L716" t="s">
        <v>2041</v>
      </c>
      <c r="M716">
        <v>328</v>
      </c>
      <c r="N716">
        <v>4764</v>
      </c>
      <c r="O716">
        <v>8922</v>
      </c>
      <c r="P716" s="13">
        <f t="shared" si="77"/>
        <v>0</v>
      </c>
      <c r="Q716" t="str">
        <f t="shared" si="78"/>
        <v>No</v>
      </c>
      <c r="R716" t="str" cm="1">
        <f t="array" ref="R716">_xlfn.IFS(K716=0,"On Time",K716&lt;=2,"Minor",K716&lt;=5,"Major",K716&gt;5,"Severe")</f>
        <v>Minor</v>
      </c>
      <c r="S716">
        <f t="shared" si="79"/>
        <v>4461</v>
      </c>
      <c r="T716">
        <f t="shared" si="80"/>
        <v>2382</v>
      </c>
      <c r="U716">
        <f t="shared" si="81"/>
        <v>2024</v>
      </c>
      <c r="V716">
        <f t="shared" si="82"/>
        <v>8</v>
      </c>
      <c r="W716" s="11">
        <f t="shared" si="83"/>
        <v>1</v>
      </c>
    </row>
    <row r="717" spans="1:23">
      <c r="A717" t="s">
        <v>730</v>
      </c>
      <c r="B717" s="4">
        <v>45494</v>
      </c>
      <c r="C717" t="s">
        <v>2016</v>
      </c>
      <c r="D717" t="s">
        <v>2025</v>
      </c>
      <c r="E717" t="s">
        <v>2028</v>
      </c>
      <c r="F717" t="s">
        <v>2032</v>
      </c>
      <c r="G717" t="s">
        <v>2037</v>
      </c>
      <c r="H717" t="s">
        <v>2038</v>
      </c>
      <c r="I717">
        <v>2</v>
      </c>
      <c r="J717">
        <v>7</v>
      </c>
      <c r="K717">
        <v>5</v>
      </c>
      <c r="L717" t="s">
        <v>2041</v>
      </c>
      <c r="M717">
        <v>428</v>
      </c>
      <c r="N717">
        <v>10260</v>
      </c>
      <c r="O717">
        <v>10380</v>
      </c>
      <c r="P717" s="13">
        <f t="shared" si="77"/>
        <v>0</v>
      </c>
      <c r="Q717" t="str">
        <f t="shared" si="78"/>
        <v>No</v>
      </c>
      <c r="R717" t="str" cm="1">
        <f t="array" ref="R717">_xlfn.IFS(K717=0,"On Time",K717&lt;=2,"Minor",K717&lt;=5,"Major",K717&gt;5,"Severe")</f>
        <v>Major</v>
      </c>
      <c r="S717">
        <f t="shared" si="79"/>
        <v>2076</v>
      </c>
      <c r="T717">
        <f t="shared" si="80"/>
        <v>2052</v>
      </c>
      <c r="U717">
        <f t="shared" si="81"/>
        <v>2024</v>
      </c>
      <c r="V717">
        <f t="shared" si="82"/>
        <v>7</v>
      </c>
      <c r="W717" s="11">
        <f t="shared" si="83"/>
        <v>1</v>
      </c>
    </row>
    <row r="718" spans="1:23">
      <c r="A718" t="s">
        <v>731</v>
      </c>
      <c r="B718" s="4">
        <v>45522</v>
      </c>
      <c r="C718" t="s">
        <v>2015</v>
      </c>
      <c r="D718" t="s">
        <v>2019</v>
      </c>
      <c r="E718" t="s">
        <v>2027</v>
      </c>
      <c r="F718" t="s">
        <v>2030</v>
      </c>
      <c r="G718" t="s">
        <v>2037</v>
      </c>
      <c r="H718" t="s">
        <v>2039</v>
      </c>
      <c r="I718">
        <v>2</v>
      </c>
      <c r="J718">
        <v>5</v>
      </c>
      <c r="K718">
        <v>3</v>
      </c>
      <c r="L718" t="s">
        <v>2041</v>
      </c>
      <c r="M718">
        <v>348</v>
      </c>
      <c r="N718">
        <v>6330</v>
      </c>
      <c r="O718">
        <v>14970</v>
      </c>
      <c r="P718" s="13">
        <f t="shared" si="77"/>
        <v>0</v>
      </c>
      <c r="Q718" t="str">
        <f t="shared" si="78"/>
        <v>No</v>
      </c>
      <c r="R718" t="str" cm="1">
        <f t="array" ref="R718">_xlfn.IFS(K718=0,"On Time",K718&lt;=2,"Minor",K718&lt;=5,"Major",K718&gt;5,"Severe")</f>
        <v>Major</v>
      </c>
      <c r="S718">
        <f t="shared" si="79"/>
        <v>4990</v>
      </c>
      <c r="T718">
        <f t="shared" si="80"/>
        <v>2110</v>
      </c>
      <c r="U718">
        <f t="shared" si="81"/>
        <v>2024</v>
      </c>
      <c r="V718">
        <f t="shared" si="82"/>
        <v>8</v>
      </c>
      <c r="W718" s="11">
        <f t="shared" si="83"/>
        <v>1</v>
      </c>
    </row>
    <row r="719" spans="1:23">
      <c r="A719" t="s">
        <v>732</v>
      </c>
      <c r="B719" s="4">
        <v>45459</v>
      </c>
      <c r="C719" t="s">
        <v>2017</v>
      </c>
      <c r="D719" t="s">
        <v>2023</v>
      </c>
      <c r="E719" t="s">
        <v>2028</v>
      </c>
      <c r="F719" t="s">
        <v>2031</v>
      </c>
      <c r="G719" t="s">
        <v>2037</v>
      </c>
      <c r="H719" t="s">
        <v>2038</v>
      </c>
      <c r="I719">
        <v>3</v>
      </c>
      <c r="J719">
        <v>6</v>
      </c>
      <c r="K719">
        <v>3</v>
      </c>
      <c r="L719" t="s">
        <v>2041</v>
      </c>
      <c r="M719">
        <v>334</v>
      </c>
      <c r="N719">
        <v>7200</v>
      </c>
      <c r="O719">
        <v>13254</v>
      </c>
      <c r="P719" s="13">
        <f t="shared" si="77"/>
        <v>0</v>
      </c>
      <c r="Q719" t="str">
        <f t="shared" si="78"/>
        <v>No</v>
      </c>
      <c r="R719" t="str" cm="1">
        <f t="array" ref="R719">_xlfn.IFS(K719=0,"On Time",K719&lt;=2,"Minor",K719&lt;=5,"Major",K719&gt;5,"Severe")</f>
        <v>Major</v>
      </c>
      <c r="S719">
        <f t="shared" si="79"/>
        <v>4418</v>
      </c>
      <c r="T719">
        <f t="shared" si="80"/>
        <v>2400</v>
      </c>
      <c r="U719">
        <f t="shared" si="81"/>
        <v>2024</v>
      </c>
      <c r="V719">
        <f t="shared" si="82"/>
        <v>6</v>
      </c>
      <c r="W719" s="11">
        <f t="shared" si="83"/>
        <v>1</v>
      </c>
    </row>
    <row r="720" spans="1:23">
      <c r="A720" t="s">
        <v>733</v>
      </c>
      <c r="B720" s="4">
        <v>45488</v>
      </c>
      <c r="C720" t="s">
        <v>2017</v>
      </c>
      <c r="D720" t="s">
        <v>2022</v>
      </c>
      <c r="E720" t="s">
        <v>2027</v>
      </c>
      <c r="F720" t="s">
        <v>2032</v>
      </c>
      <c r="G720" t="s">
        <v>2035</v>
      </c>
      <c r="H720" t="s">
        <v>2040</v>
      </c>
      <c r="I720">
        <v>2</v>
      </c>
      <c r="J720">
        <v>7</v>
      </c>
      <c r="K720">
        <v>5</v>
      </c>
      <c r="L720" t="s">
        <v>2041</v>
      </c>
      <c r="M720">
        <v>158</v>
      </c>
      <c r="N720">
        <v>7410</v>
      </c>
      <c r="O720">
        <v>13450</v>
      </c>
      <c r="P720" s="13">
        <f t="shared" si="77"/>
        <v>0</v>
      </c>
      <c r="Q720" t="str">
        <f t="shared" si="78"/>
        <v>No</v>
      </c>
      <c r="R720" t="str" cm="1">
        <f t="array" ref="R720">_xlfn.IFS(K720=0,"On Time",K720&lt;=2,"Minor",K720&lt;=5,"Major",K720&gt;5,"Severe")</f>
        <v>Major</v>
      </c>
      <c r="S720">
        <f t="shared" si="79"/>
        <v>2690</v>
      </c>
      <c r="T720">
        <f t="shared" si="80"/>
        <v>1482</v>
      </c>
      <c r="U720">
        <f t="shared" si="81"/>
        <v>2024</v>
      </c>
      <c r="V720">
        <f t="shared" si="82"/>
        <v>7</v>
      </c>
      <c r="W720" s="11">
        <f t="shared" si="83"/>
        <v>1</v>
      </c>
    </row>
    <row r="721" spans="1:23">
      <c r="A721" t="s">
        <v>734</v>
      </c>
      <c r="B721" s="4">
        <v>45315</v>
      </c>
      <c r="C721" t="s">
        <v>2018</v>
      </c>
      <c r="D721" t="s">
        <v>2026</v>
      </c>
      <c r="E721" t="s">
        <v>2029</v>
      </c>
      <c r="F721" t="s">
        <v>2031</v>
      </c>
      <c r="G721" t="s">
        <v>2035</v>
      </c>
      <c r="H721" t="s">
        <v>2040</v>
      </c>
      <c r="I721">
        <v>1</v>
      </c>
      <c r="J721">
        <v>5</v>
      </c>
      <c r="K721">
        <v>4</v>
      </c>
      <c r="L721" t="s">
        <v>2041</v>
      </c>
      <c r="M721">
        <v>226</v>
      </c>
      <c r="N721">
        <v>3932</v>
      </c>
      <c r="O721">
        <v>19024</v>
      </c>
      <c r="P721" s="13">
        <f t="shared" si="77"/>
        <v>0</v>
      </c>
      <c r="Q721" t="str">
        <f t="shared" si="78"/>
        <v>No</v>
      </c>
      <c r="R721" t="str" cm="1">
        <f t="array" ref="R721">_xlfn.IFS(K721=0,"On Time",K721&lt;=2,"Minor",K721&lt;=5,"Major",K721&gt;5,"Severe")</f>
        <v>Major</v>
      </c>
      <c r="S721">
        <f t="shared" si="79"/>
        <v>4756</v>
      </c>
      <c r="T721">
        <f t="shared" si="80"/>
        <v>983</v>
      </c>
      <c r="U721">
        <f t="shared" si="81"/>
        <v>2024</v>
      </c>
      <c r="V721">
        <f t="shared" si="82"/>
        <v>1</v>
      </c>
      <c r="W721" s="11">
        <f t="shared" si="83"/>
        <v>1</v>
      </c>
    </row>
    <row r="722" spans="1:23">
      <c r="A722" t="s">
        <v>735</v>
      </c>
      <c r="B722" s="4">
        <v>45486</v>
      </c>
      <c r="C722" t="s">
        <v>2015</v>
      </c>
      <c r="D722" t="s">
        <v>2020</v>
      </c>
      <c r="E722" t="s">
        <v>2029</v>
      </c>
      <c r="F722" t="s">
        <v>2031</v>
      </c>
      <c r="G722" t="s">
        <v>2037</v>
      </c>
      <c r="H722" t="s">
        <v>2039</v>
      </c>
      <c r="I722">
        <v>2</v>
      </c>
      <c r="J722">
        <v>7</v>
      </c>
      <c r="K722">
        <v>5</v>
      </c>
      <c r="L722" t="s">
        <v>2041</v>
      </c>
      <c r="M722">
        <v>479</v>
      </c>
      <c r="N722">
        <v>12340</v>
      </c>
      <c r="O722">
        <v>23210</v>
      </c>
      <c r="P722" s="13">
        <f t="shared" si="77"/>
        <v>0</v>
      </c>
      <c r="Q722" t="str">
        <f t="shared" si="78"/>
        <v>No</v>
      </c>
      <c r="R722" t="str" cm="1">
        <f t="array" ref="R722">_xlfn.IFS(K722=0,"On Time",K722&lt;=2,"Minor",K722&lt;=5,"Major",K722&gt;5,"Severe")</f>
        <v>Major</v>
      </c>
      <c r="S722">
        <f t="shared" si="79"/>
        <v>4642</v>
      </c>
      <c r="T722">
        <f t="shared" si="80"/>
        <v>2468</v>
      </c>
      <c r="U722">
        <f t="shared" si="81"/>
        <v>2024</v>
      </c>
      <c r="V722">
        <f t="shared" si="82"/>
        <v>7</v>
      </c>
      <c r="W722" s="11">
        <f t="shared" si="83"/>
        <v>1</v>
      </c>
    </row>
    <row r="723" spans="1:23">
      <c r="A723" t="s">
        <v>736</v>
      </c>
      <c r="B723" s="4">
        <v>45492</v>
      </c>
      <c r="C723" t="s">
        <v>2015</v>
      </c>
      <c r="D723" t="s">
        <v>2019</v>
      </c>
      <c r="E723" t="s">
        <v>2027</v>
      </c>
      <c r="F723" t="s">
        <v>2031</v>
      </c>
      <c r="G723" t="s">
        <v>2037</v>
      </c>
      <c r="H723" t="s">
        <v>2038</v>
      </c>
      <c r="I723">
        <v>3</v>
      </c>
      <c r="J723">
        <v>8</v>
      </c>
      <c r="K723">
        <v>5</v>
      </c>
      <c r="L723" t="s">
        <v>2041</v>
      </c>
      <c r="M723">
        <v>438</v>
      </c>
      <c r="N723">
        <v>7195</v>
      </c>
      <c r="O723">
        <v>12460</v>
      </c>
      <c r="P723" s="13">
        <f t="shared" si="77"/>
        <v>0</v>
      </c>
      <c r="Q723" t="str">
        <f t="shared" si="78"/>
        <v>No</v>
      </c>
      <c r="R723" t="str" cm="1">
        <f t="array" ref="R723">_xlfn.IFS(K723=0,"On Time",K723&lt;=2,"Minor",K723&lt;=5,"Major",K723&gt;5,"Severe")</f>
        <v>Major</v>
      </c>
      <c r="S723">
        <f t="shared" si="79"/>
        <v>2492</v>
      </c>
      <c r="T723">
        <f t="shared" si="80"/>
        <v>1439</v>
      </c>
      <c r="U723">
        <f t="shared" si="81"/>
        <v>2024</v>
      </c>
      <c r="V723">
        <f t="shared" si="82"/>
        <v>7</v>
      </c>
      <c r="W723" s="11">
        <f t="shared" si="83"/>
        <v>1</v>
      </c>
    </row>
    <row r="724" spans="1:23">
      <c r="A724" t="s">
        <v>737</v>
      </c>
      <c r="B724" s="4">
        <v>45497</v>
      </c>
      <c r="C724" t="s">
        <v>2017</v>
      </c>
      <c r="D724" t="s">
        <v>2023</v>
      </c>
      <c r="E724" t="s">
        <v>2028</v>
      </c>
      <c r="F724" t="s">
        <v>2031</v>
      </c>
      <c r="G724" t="s">
        <v>2033</v>
      </c>
      <c r="H724" t="s">
        <v>2039</v>
      </c>
      <c r="I724">
        <v>2</v>
      </c>
      <c r="J724">
        <v>5</v>
      </c>
      <c r="K724">
        <v>3</v>
      </c>
      <c r="L724" t="s">
        <v>2041</v>
      </c>
      <c r="M724">
        <v>380</v>
      </c>
      <c r="N724">
        <v>3495</v>
      </c>
      <c r="O724">
        <v>8481</v>
      </c>
      <c r="P724" s="13">
        <f t="shared" si="77"/>
        <v>0</v>
      </c>
      <c r="Q724" t="str">
        <f t="shared" si="78"/>
        <v>No</v>
      </c>
      <c r="R724" t="str" cm="1">
        <f t="array" ref="R724">_xlfn.IFS(K724=0,"On Time",K724&lt;=2,"Minor",K724&lt;=5,"Major",K724&gt;5,"Severe")</f>
        <v>Major</v>
      </c>
      <c r="S724">
        <f t="shared" si="79"/>
        <v>2827</v>
      </c>
      <c r="T724">
        <f t="shared" si="80"/>
        <v>1165</v>
      </c>
      <c r="U724">
        <f t="shared" si="81"/>
        <v>2024</v>
      </c>
      <c r="V724">
        <f t="shared" si="82"/>
        <v>7</v>
      </c>
      <c r="W724" s="11">
        <f t="shared" si="83"/>
        <v>1</v>
      </c>
    </row>
    <row r="725" spans="1:23">
      <c r="A725" t="s">
        <v>738</v>
      </c>
      <c r="B725" s="4">
        <v>45490</v>
      </c>
      <c r="C725" t="s">
        <v>2016</v>
      </c>
      <c r="D725" t="s">
        <v>2025</v>
      </c>
      <c r="E725" t="s">
        <v>2027</v>
      </c>
      <c r="F725" t="s">
        <v>2030</v>
      </c>
      <c r="G725" t="s">
        <v>2037</v>
      </c>
      <c r="H725" t="s">
        <v>2038</v>
      </c>
      <c r="I725">
        <v>3</v>
      </c>
      <c r="J725">
        <v>8</v>
      </c>
      <c r="K725">
        <v>5</v>
      </c>
      <c r="L725" t="s">
        <v>2041</v>
      </c>
      <c r="M725">
        <v>203</v>
      </c>
      <c r="N725">
        <v>11690</v>
      </c>
      <c r="O725">
        <v>11140</v>
      </c>
      <c r="P725" s="13">
        <f t="shared" si="77"/>
        <v>0</v>
      </c>
      <c r="Q725" t="str">
        <f t="shared" si="78"/>
        <v>No</v>
      </c>
      <c r="R725" t="str" cm="1">
        <f t="array" ref="R725">_xlfn.IFS(K725=0,"On Time",K725&lt;=2,"Minor",K725&lt;=5,"Major",K725&gt;5,"Severe")</f>
        <v>Major</v>
      </c>
      <c r="S725">
        <f t="shared" si="79"/>
        <v>2228</v>
      </c>
      <c r="T725">
        <f t="shared" si="80"/>
        <v>2338</v>
      </c>
      <c r="U725">
        <f t="shared" si="81"/>
        <v>2024</v>
      </c>
      <c r="V725">
        <f t="shared" si="82"/>
        <v>7</v>
      </c>
      <c r="W725" s="11">
        <f t="shared" si="83"/>
        <v>1</v>
      </c>
    </row>
    <row r="726" spans="1:23">
      <c r="A726" t="s">
        <v>739</v>
      </c>
      <c r="B726" s="4">
        <v>45601</v>
      </c>
      <c r="C726" t="s">
        <v>2018</v>
      </c>
      <c r="D726" t="s">
        <v>2024</v>
      </c>
      <c r="E726" t="s">
        <v>2029</v>
      </c>
      <c r="F726" t="s">
        <v>2032</v>
      </c>
      <c r="G726" t="s">
        <v>2037</v>
      </c>
      <c r="H726" t="s">
        <v>2039</v>
      </c>
      <c r="I726">
        <v>3</v>
      </c>
      <c r="J726">
        <v>5</v>
      </c>
      <c r="K726">
        <v>2</v>
      </c>
      <c r="L726" t="s">
        <v>2041</v>
      </c>
      <c r="M726">
        <v>458</v>
      </c>
      <c r="N726">
        <v>3320</v>
      </c>
      <c r="O726">
        <v>8124</v>
      </c>
      <c r="P726" s="13">
        <f t="shared" si="77"/>
        <v>0</v>
      </c>
      <c r="Q726" t="str">
        <f t="shared" si="78"/>
        <v>No</v>
      </c>
      <c r="R726" t="str" cm="1">
        <f t="array" ref="R726">_xlfn.IFS(K726=0,"On Time",K726&lt;=2,"Minor",K726&lt;=5,"Major",K726&gt;5,"Severe")</f>
        <v>Minor</v>
      </c>
      <c r="S726">
        <f t="shared" si="79"/>
        <v>4062</v>
      </c>
      <c r="T726">
        <f t="shared" si="80"/>
        <v>1660</v>
      </c>
      <c r="U726">
        <f t="shared" si="81"/>
        <v>2024</v>
      </c>
      <c r="V726">
        <f t="shared" si="82"/>
        <v>11</v>
      </c>
      <c r="W726" s="11">
        <f t="shared" si="83"/>
        <v>1</v>
      </c>
    </row>
    <row r="727" spans="1:23">
      <c r="A727" t="s">
        <v>740</v>
      </c>
      <c r="B727" s="4">
        <v>45641</v>
      </c>
      <c r="C727" t="s">
        <v>2016</v>
      </c>
      <c r="D727" t="s">
        <v>2025</v>
      </c>
      <c r="E727" t="s">
        <v>2029</v>
      </c>
      <c r="F727" t="s">
        <v>2030</v>
      </c>
      <c r="G727" t="s">
        <v>2037</v>
      </c>
      <c r="H727" t="s">
        <v>2040</v>
      </c>
      <c r="I727">
        <v>3</v>
      </c>
      <c r="J727">
        <v>10</v>
      </c>
      <c r="K727">
        <v>7</v>
      </c>
      <c r="L727" t="s">
        <v>2041</v>
      </c>
      <c r="M727">
        <v>363</v>
      </c>
      <c r="N727">
        <v>17073</v>
      </c>
      <c r="O727">
        <v>25039</v>
      </c>
      <c r="P727" s="13">
        <f t="shared" si="77"/>
        <v>0</v>
      </c>
      <c r="Q727" t="str">
        <f t="shared" si="78"/>
        <v>No</v>
      </c>
      <c r="R727" t="str" cm="1">
        <f t="array" ref="R727">_xlfn.IFS(K727=0,"On Time",K727&lt;=2,"Minor",K727&lt;=5,"Major",K727&gt;5,"Severe")</f>
        <v>Severe</v>
      </c>
      <c r="S727">
        <f t="shared" si="79"/>
        <v>3577</v>
      </c>
      <c r="T727">
        <f t="shared" si="80"/>
        <v>2439</v>
      </c>
      <c r="U727">
        <f t="shared" si="81"/>
        <v>2024</v>
      </c>
      <c r="V727">
        <f t="shared" si="82"/>
        <v>12</v>
      </c>
      <c r="W727" s="11">
        <f t="shared" si="83"/>
        <v>1</v>
      </c>
    </row>
    <row r="728" spans="1:23">
      <c r="A728" t="s">
        <v>741</v>
      </c>
      <c r="B728" s="4">
        <v>45498</v>
      </c>
      <c r="C728" t="s">
        <v>2017</v>
      </c>
      <c r="D728" t="s">
        <v>2023</v>
      </c>
      <c r="E728" t="s">
        <v>2028</v>
      </c>
      <c r="F728" t="s">
        <v>2031</v>
      </c>
      <c r="G728" t="s">
        <v>2034</v>
      </c>
      <c r="H728" t="s">
        <v>2038</v>
      </c>
      <c r="I728">
        <v>1</v>
      </c>
      <c r="J728">
        <v>1</v>
      </c>
      <c r="K728">
        <v>0</v>
      </c>
      <c r="L728" t="s">
        <v>2042</v>
      </c>
      <c r="M728">
        <v>177</v>
      </c>
      <c r="N728">
        <v>0</v>
      </c>
      <c r="O728">
        <v>0</v>
      </c>
      <c r="P728" s="13">
        <f t="shared" si="77"/>
        <v>1</v>
      </c>
      <c r="Q728" t="str">
        <f t="shared" si="78"/>
        <v>No</v>
      </c>
      <c r="R728" t="str" cm="1">
        <f t="array" ref="R728">_xlfn.IFS(K728=0,"On Time",K728&lt;=2,"Minor",K728&lt;=5,"Major",K728&gt;5,"Severe")</f>
        <v>On Time</v>
      </c>
      <c r="S728">
        <f t="shared" si="79"/>
        <v>0</v>
      </c>
      <c r="T728">
        <f t="shared" si="80"/>
        <v>0</v>
      </c>
      <c r="U728">
        <f t="shared" si="81"/>
        <v>2024</v>
      </c>
      <c r="V728">
        <f t="shared" si="82"/>
        <v>7</v>
      </c>
      <c r="W728" s="11">
        <f t="shared" si="83"/>
        <v>0</v>
      </c>
    </row>
    <row r="729" spans="1:23">
      <c r="A729" t="s">
        <v>742</v>
      </c>
      <c r="B729" s="4">
        <v>45594</v>
      </c>
      <c r="C729" t="s">
        <v>2016</v>
      </c>
      <c r="D729" t="s">
        <v>2025</v>
      </c>
      <c r="E729" t="s">
        <v>2027</v>
      </c>
      <c r="F729" t="s">
        <v>2031</v>
      </c>
      <c r="G729" t="s">
        <v>2037</v>
      </c>
      <c r="H729" t="s">
        <v>2039</v>
      </c>
      <c r="I729">
        <v>2</v>
      </c>
      <c r="J729">
        <v>4</v>
      </c>
      <c r="K729">
        <v>2</v>
      </c>
      <c r="L729" t="s">
        <v>2041</v>
      </c>
      <c r="M729">
        <v>406</v>
      </c>
      <c r="N729">
        <v>4292</v>
      </c>
      <c r="O729">
        <v>3070</v>
      </c>
      <c r="P729" s="13">
        <f t="shared" si="77"/>
        <v>0</v>
      </c>
      <c r="Q729" t="str">
        <f t="shared" si="78"/>
        <v>No</v>
      </c>
      <c r="R729" t="str" cm="1">
        <f t="array" ref="R729">_xlfn.IFS(K729=0,"On Time",K729&lt;=2,"Minor",K729&lt;=5,"Major",K729&gt;5,"Severe")</f>
        <v>Minor</v>
      </c>
      <c r="S729">
        <f t="shared" si="79"/>
        <v>1535</v>
      </c>
      <c r="T729">
        <f t="shared" si="80"/>
        <v>2146</v>
      </c>
      <c r="U729">
        <f t="shared" si="81"/>
        <v>2024</v>
      </c>
      <c r="V729">
        <f t="shared" si="82"/>
        <v>10</v>
      </c>
      <c r="W729" s="11">
        <f t="shared" si="83"/>
        <v>1</v>
      </c>
    </row>
    <row r="730" spans="1:23">
      <c r="A730" t="s">
        <v>743</v>
      </c>
      <c r="B730" s="4">
        <v>45311</v>
      </c>
      <c r="C730" t="s">
        <v>2018</v>
      </c>
      <c r="D730" t="s">
        <v>2026</v>
      </c>
      <c r="E730" t="s">
        <v>2029</v>
      </c>
      <c r="F730" t="s">
        <v>2031</v>
      </c>
      <c r="G730" t="s">
        <v>2034</v>
      </c>
      <c r="H730" t="s">
        <v>2039</v>
      </c>
      <c r="I730">
        <v>1</v>
      </c>
      <c r="J730">
        <v>3</v>
      </c>
      <c r="K730">
        <v>2</v>
      </c>
      <c r="L730" t="s">
        <v>2041</v>
      </c>
      <c r="M730">
        <v>127</v>
      </c>
      <c r="N730">
        <v>3074</v>
      </c>
      <c r="O730">
        <v>9320</v>
      </c>
      <c r="P730" s="13">
        <f t="shared" si="77"/>
        <v>0</v>
      </c>
      <c r="Q730" t="str">
        <f t="shared" si="78"/>
        <v>No</v>
      </c>
      <c r="R730" t="str" cm="1">
        <f t="array" ref="R730">_xlfn.IFS(K730=0,"On Time",K730&lt;=2,"Minor",K730&lt;=5,"Major",K730&gt;5,"Severe")</f>
        <v>Minor</v>
      </c>
      <c r="S730">
        <f t="shared" si="79"/>
        <v>4660</v>
      </c>
      <c r="T730">
        <f t="shared" si="80"/>
        <v>1537</v>
      </c>
      <c r="U730">
        <f t="shared" si="81"/>
        <v>2024</v>
      </c>
      <c r="V730">
        <f t="shared" si="82"/>
        <v>1</v>
      </c>
      <c r="W730" s="11">
        <f t="shared" si="83"/>
        <v>1</v>
      </c>
    </row>
    <row r="731" spans="1:23">
      <c r="A731" t="s">
        <v>744</v>
      </c>
      <c r="B731" s="4">
        <v>45293</v>
      </c>
      <c r="C731" t="s">
        <v>2015</v>
      </c>
      <c r="D731" t="s">
        <v>2020</v>
      </c>
      <c r="E731" t="s">
        <v>2028</v>
      </c>
      <c r="F731" t="s">
        <v>2032</v>
      </c>
      <c r="G731" t="s">
        <v>2035</v>
      </c>
      <c r="H731" t="s">
        <v>2039</v>
      </c>
      <c r="I731">
        <v>3</v>
      </c>
      <c r="J731">
        <v>7</v>
      </c>
      <c r="K731">
        <v>4</v>
      </c>
      <c r="L731" t="s">
        <v>2041</v>
      </c>
      <c r="M731">
        <v>334</v>
      </c>
      <c r="N731">
        <v>5288</v>
      </c>
      <c r="O731">
        <v>18420</v>
      </c>
      <c r="P731" s="13">
        <f t="shared" si="77"/>
        <v>0</v>
      </c>
      <c r="Q731" t="str">
        <f t="shared" si="78"/>
        <v>No</v>
      </c>
      <c r="R731" t="str" cm="1">
        <f t="array" ref="R731">_xlfn.IFS(K731=0,"On Time",K731&lt;=2,"Minor",K731&lt;=5,"Major",K731&gt;5,"Severe")</f>
        <v>Major</v>
      </c>
      <c r="S731">
        <f t="shared" si="79"/>
        <v>4605</v>
      </c>
      <c r="T731">
        <f t="shared" si="80"/>
        <v>1322</v>
      </c>
      <c r="U731">
        <f t="shared" si="81"/>
        <v>2024</v>
      </c>
      <c r="V731">
        <f t="shared" si="82"/>
        <v>1</v>
      </c>
      <c r="W731" s="11">
        <f t="shared" si="83"/>
        <v>1</v>
      </c>
    </row>
    <row r="732" spans="1:23">
      <c r="A732" t="s">
        <v>745</v>
      </c>
      <c r="B732" s="4">
        <v>45570</v>
      </c>
      <c r="C732" t="s">
        <v>2016</v>
      </c>
      <c r="D732" t="s">
        <v>2025</v>
      </c>
      <c r="E732" t="s">
        <v>2027</v>
      </c>
      <c r="F732" t="s">
        <v>2031</v>
      </c>
      <c r="G732" t="s">
        <v>2037</v>
      </c>
      <c r="H732" t="s">
        <v>2038</v>
      </c>
      <c r="I732">
        <v>5</v>
      </c>
      <c r="J732">
        <v>10</v>
      </c>
      <c r="K732">
        <v>5</v>
      </c>
      <c r="L732" t="s">
        <v>2041</v>
      </c>
      <c r="M732">
        <v>153</v>
      </c>
      <c r="N732">
        <v>8760</v>
      </c>
      <c r="O732">
        <v>8370</v>
      </c>
      <c r="P732" s="13">
        <f t="shared" si="77"/>
        <v>0</v>
      </c>
      <c r="Q732" t="str">
        <f t="shared" si="78"/>
        <v>No</v>
      </c>
      <c r="R732" t="str" cm="1">
        <f t="array" ref="R732">_xlfn.IFS(K732=0,"On Time",K732&lt;=2,"Minor",K732&lt;=5,"Major",K732&gt;5,"Severe")</f>
        <v>Major</v>
      </c>
      <c r="S732">
        <f t="shared" si="79"/>
        <v>1674</v>
      </c>
      <c r="T732">
        <f t="shared" si="80"/>
        <v>1752</v>
      </c>
      <c r="U732">
        <f t="shared" si="81"/>
        <v>2024</v>
      </c>
      <c r="V732">
        <f t="shared" si="82"/>
        <v>10</v>
      </c>
      <c r="W732" s="11">
        <f t="shared" si="83"/>
        <v>1</v>
      </c>
    </row>
    <row r="733" spans="1:23">
      <c r="A733" t="s">
        <v>746</v>
      </c>
      <c r="B733" s="4">
        <v>45547</v>
      </c>
      <c r="C733" t="s">
        <v>2015</v>
      </c>
      <c r="D733" t="s">
        <v>2020</v>
      </c>
      <c r="E733" t="s">
        <v>2029</v>
      </c>
      <c r="F733" t="s">
        <v>2031</v>
      </c>
      <c r="G733" t="s">
        <v>2035</v>
      </c>
      <c r="H733" t="s">
        <v>2038</v>
      </c>
      <c r="I733">
        <v>2</v>
      </c>
      <c r="J733">
        <v>6</v>
      </c>
      <c r="K733">
        <v>4</v>
      </c>
      <c r="L733" t="s">
        <v>2041</v>
      </c>
      <c r="M733">
        <v>200</v>
      </c>
      <c r="N733">
        <v>9180</v>
      </c>
      <c r="O733">
        <v>12376</v>
      </c>
      <c r="P733" s="13">
        <f t="shared" si="77"/>
        <v>0</v>
      </c>
      <c r="Q733" t="str">
        <f t="shared" si="78"/>
        <v>No</v>
      </c>
      <c r="R733" t="str" cm="1">
        <f t="array" ref="R733">_xlfn.IFS(K733=0,"On Time",K733&lt;=2,"Minor",K733&lt;=5,"Major",K733&gt;5,"Severe")</f>
        <v>Major</v>
      </c>
      <c r="S733">
        <f t="shared" si="79"/>
        <v>3094</v>
      </c>
      <c r="T733">
        <f t="shared" si="80"/>
        <v>2295</v>
      </c>
      <c r="U733">
        <f t="shared" si="81"/>
        <v>2024</v>
      </c>
      <c r="V733">
        <f t="shared" si="82"/>
        <v>9</v>
      </c>
      <c r="W733" s="11">
        <f t="shared" si="83"/>
        <v>1</v>
      </c>
    </row>
    <row r="734" spans="1:23">
      <c r="A734" t="s">
        <v>747</v>
      </c>
      <c r="B734" s="4">
        <v>45509</v>
      </c>
      <c r="C734" t="s">
        <v>2016</v>
      </c>
      <c r="D734" t="s">
        <v>2025</v>
      </c>
      <c r="E734" t="s">
        <v>2028</v>
      </c>
      <c r="F734" t="s">
        <v>2031</v>
      </c>
      <c r="G734" t="s">
        <v>2033</v>
      </c>
      <c r="H734" t="s">
        <v>2040</v>
      </c>
      <c r="I734">
        <v>3</v>
      </c>
      <c r="J734">
        <v>10</v>
      </c>
      <c r="K734">
        <v>7</v>
      </c>
      <c r="L734" t="s">
        <v>2041</v>
      </c>
      <c r="M734">
        <v>308</v>
      </c>
      <c r="N734">
        <v>8253</v>
      </c>
      <c r="O734">
        <v>25270</v>
      </c>
      <c r="P734" s="13">
        <f t="shared" si="77"/>
        <v>0</v>
      </c>
      <c r="Q734" t="str">
        <f t="shared" si="78"/>
        <v>No</v>
      </c>
      <c r="R734" t="str" cm="1">
        <f t="array" ref="R734">_xlfn.IFS(K734=0,"On Time",K734&lt;=2,"Minor",K734&lt;=5,"Major",K734&gt;5,"Severe")</f>
        <v>Severe</v>
      </c>
      <c r="S734">
        <f t="shared" si="79"/>
        <v>3610</v>
      </c>
      <c r="T734">
        <f t="shared" si="80"/>
        <v>1179</v>
      </c>
      <c r="U734">
        <f t="shared" si="81"/>
        <v>2024</v>
      </c>
      <c r="V734">
        <f t="shared" si="82"/>
        <v>8</v>
      </c>
      <c r="W734" s="11">
        <f t="shared" si="83"/>
        <v>1</v>
      </c>
    </row>
    <row r="735" spans="1:23">
      <c r="A735" t="s">
        <v>748</v>
      </c>
      <c r="B735" s="4">
        <v>45336</v>
      </c>
      <c r="C735" t="s">
        <v>2017</v>
      </c>
      <c r="D735" t="s">
        <v>2023</v>
      </c>
      <c r="E735" t="s">
        <v>2027</v>
      </c>
      <c r="F735" t="s">
        <v>2030</v>
      </c>
      <c r="G735" t="s">
        <v>2034</v>
      </c>
      <c r="H735" t="s">
        <v>2039</v>
      </c>
      <c r="I735">
        <v>3</v>
      </c>
      <c r="J735">
        <v>8</v>
      </c>
      <c r="K735">
        <v>5</v>
      </c>
      <c r="L735" t="s">
        <v>2041</v>
      </c>
      <c r="M735">
        <v>231</v>
      </c>
      <c r="N735">
        <v>8305</v>
      </c>
      <c r="O735">
        <v>11360</v>
      </c>
      <c r="P735" s="13">
        <f t="shared" si="77"/>
        <v>0</v>
      </c>
      <c r="Q735" t="str">
        <f t="shared" si="78"/>
        <v>No</v>
      </c>
      <c r="R735" t="str" cm="1">
        <f t="array" ref="R735">_xlfn.IFS(K735=0,"On Time",K735&lt;=2,"Minor",K735&lt;=5,"Major",K735&gt;5,"Severe")</f>
        <v>Major</v>
      </c>
      <c r="S735">
        <f t="shared" si="79"/>
        <v>2272</v>
      </c>
      <c r="T735">
        <f t="shared" si="80"/>
        <v>1661</v>
      </c>
      <c r="U735">
        <f t="shared" si="81"/>
        <v>2024</v>
      </c>
      <c r="V735">
        <f t="shared" si="82"/>
        <v>2</v>
      </c>
      <c r="W735" s="11">
        <f t="shared" si="83"/>
        <v>1</v>
      </c>
    </row>
    <row r="736" spans="1:23">
      <c r="A736" t="s">
        <v>749</v>
      </c>
      <c r="B736" s="4">
        <v>45610</v>
      </c>
      <c r="C736" t="s">
        <v>2018</v>
      </c>
      <c r="D736" t="s">
        <v>2026</v>
      </c>
      <c r="E736" t="s">
        <v>2028</v>
      </c>
      <c r="F736" t="s">
        <v>2030</v>
      </c>
      <c r="G736" t="s">
        <v>2034</v>
      </c>
      <c r="H736" t="s">
        <v>2039</v>
      </c>
      <c r="I736">
        <v>3</v>
      </c>
      <c r="J736">
        <v>3</v>
      </c>
      <c r="K736">
        <v>0</v>
      </c>
      <c r="L736" t="s">
        <v>2042</v>
      </c>
      <c r="M736">
        <v>446</v>
      </c>
      <c r="N736">
        <v>0</v>
      </c>
      <c r="O736">
        <v>0</v>
      </c>
      <c r="P736" s="13">
        <f t="shared" si="77"/>
        <v>1</v>
      </c>
      <c r="Q736" t="str">
        <f t="shared" si="78"/>
        <v>No</v>
      </c>
      <c r="R736" t="str" cm="1">
        <f t="array" ref="R736">_xlfn.IFS(K736=0,"On Time",K736&lt;=2,"Minor",K736&lt;=5,"Major",K736&gt;5,"Severe")</f>
        <v>On Time</v>
      </c>
      <c r="S736">
        <f t="shared" si="79"/>
        <v>0</v>
      </c>
      <c r="T736">
        <f t="shared" si="80"/>
        <v>0</v>
      </c>
      <c r="U736">
        <f t="shared" si="81"/>
        <v>2024</v>
      </c>
      <c r="V736">
        <f t="shared" si="82"/>
        <v>11</v>
      </c>
      <c r="W736" s="11">
        <f t="shared" si="83"/>
        <v>0</v>
      </c>
    </row>
    <row r="737" spans="1:23">
      <c r="A737" t="s">
        <v>750</v>
      </c>
      <c r="B737" s="4">
        <v>45397</v>
      </c>
      <c r="C737" t="s">
        <v>2017</v>
      </c>
      <c r="D737" t="s">
        <v>2022</v>
      </c>
      <c r="E737" t="s">
        <v>2029</v>
      </c>
      <c r="F737" t="s">
        <v>2031</v>
      </c>
      <c r="G737" t="s">
        <v>2033</v>
      </c>
      <c r="H737" t="s">
        <v>2038</v>
      </c>
      <c r="I737">
        <v>1</v>
      </c>
      <c r="J737">
        <v>4</v>
      </c>
      <c r="K737">
        <v>3</v>
      </c>
      <c r="L737" t="s">
        <v>2041</v>
      </c>
      <c r="M737">
        <v>268</v>
      </c>
      <c r="N737">
        <v>5181</v>
      </c>
      <c r="O737">
        <v>10719</v>
      </c>
      <c r="P737" s="13">
        <f t="shared" si="77"/>
        <v>0</v>
      </c>
      <c r="Q737" t="str">
        <f t="shared" si="78"/>
        <v>No</v>
      </c>
      <c r="R737" t="str" cm="1">
        <f t="array" ref="R737">_xlfn.IFS(K737=0,"On Time",K737&lt;=2,"Minor",K737&lt;=5,"Major",K737&gt;5,"Severe")</f>
        <v>Major</v>
      </c>
      <c r="S737">
        <f t="shared" si="79"/>
        <v>3573</v>
      </c>
      <c r="T737">
        <f t="shared" si="80"/>
        <v>1727</v>
      </c>
      <c r="U737">
        <f t="shared" si="81"/>
        <v>2024</v>
      </c>
      <c r="V737">
        <f t="shared" si="82"/>
        <v>4</v>
      </c>
      <c r="W737" s="11">
        <f t="shared" si="83"/>
        <v>1</v>
      </c>
    </row>
    <row r="738" spans="1:23">
      <c r="A738" t="s">
        <v>751</v>
      </c>
      <c r="B738" s="4">
        <v>45397</v>
      </c>
      <c r="C738" t="s">
        <v>2018</v>
      </c>
      <c r="D738" t="s">
        <v>2026</v>
      </c>
      <c r="E738" t="s">
        <v>2027</v>
      </c>
      <c r="F738" t="s">
        <v>2030</v>
      </c>
      <c r="G738" t="s">
        <v>2036</v>
      </c>
      <c r="H738" t="s">
        <v>2038</v>
      </c>
      <c r="I738">
        <v>1</v>
      </c>
      <c r="J738">
        <v>3</v>
      </c>
      <c r="K738">
        <v>2</v>
      </c>
      <c r="L738" t="s">
        <v>2041</v>
      </c>
      <c r="M738">
        <v>341</v>
      </c>
      <c r="N738">
        <v>2076</v>
      </c>
      <c r="O738">
        <v>9574</v>
      </c>
      <c r="P738" s="13">
        <f t="shared" si="77"/>
        <v>0</v>
      </c>
      <c r="Q738" t="str">
        <f t="shared" si="78"/>
        <v>No</v>
      </c>
      <c r="R738" t="str" cm="1">
        <f t="array" ref="R738">_xlfn.IFS(K738=0,"On Time",K738&lt;=2,"Minor",K738&lt;=5,"Major",K738&gt;5,"Severe")</f>
        <v>Minor</v>
      </c>
      <c r="S738">
        <f t="shared" si="79"/>
        <v>4787</v>
      </c>
      <c r="T738">
        <f t="shared" si="80"/>
        <v>1038</v>
      </c>
      <c r="U738">
        <f t="shared" si="81"/>
        <v>2024</v>
      </c>
      <c r="V738">
        <f t="shared" si="82"/>
        <v>4</v>
      </c>
      <c r="W738" s="11">
        <f t="shared" si="83"/>
        <v>1</v>
      </c>
    </row>
    <row r="739" spans="1:23">
      <c r="A739" t="s">
        <v>752</v>
      </c>
      <c r="B739" s="4">
        <v>45320</v>
      </c>
      <c r="C739" t="s">
        <v>2018</v>
      </c>
      <c r="D739" t="s">
        <v>2026</v>
      </c>
      <c r="E739" t="s">
        <v>2028</v>
      </c>
      <c r="F739" t="s">
        <v>2030</v>
      </c>
      <c r="G739" t="s">
        <v>2034</v>
      </c>
      <c r="H739" t="s">
        <v>2038</v>
      </c>
      <c r="I739">
        <v>3</v>
      </c>
      <c r="J739">
        <v>7</v>
      </c>
      <c r="K739">
        <v>4</v>
      </c>
      <c r="L739" t="s">
        <v>2041</v>
      </c>
      <c r="M739">
        <v>457</v>
      </c>
      <c r="N739">
        <v>8560</v>
      </c>
      <c r="O739">
        <v>11224</v>
      </c>
      <c r="P739" s="13">
        <f t="shared" si="77"/>
        <v>0</v>
      </c>
      <c r="Q739" t="str">
        <f t="shared" si="78"/>
        <v>No</v>
      </c>
      <c r="R739" t="str" cm="1">
        <f t="array" ref="R739">_xlfn.IFS(K739=0,"On Time",K739&lt;=2,"Minor",K739&lt;=5,"Major",K739&gt;5,"Severe")</f>
        <v>Major</v>
      </c>
      <c r="S739">
        <f t="shared" si="79"/>
        <v>2806</v>
      </c>
      <c r="T739">
        <f t="shared" si="80"/>
        <v>2140</v>
      </c>
      <c r="U739">
        <f t="shared" si="81"/>
        <v>2024</v>
      </c>
      <c r="V739">
        <f t="shared" si="82"/>
        <v>1</v>
      </c>
      <c r="W739" s="11">
        <f t="shared" si="83"/>
        <v>1</v>
      </c>
    </row>
    <row r="740" spans="1:23">
      <c r="A740" t="s">
        <v>753</v>
      </c>
      <c r="B740" s="4">
        <v>45534</v>
      </c>
      <c r="C740" t="s">
        <v>2015</v>
      </c>
      <c r="D740" t="s">
        <v>2019</v>
      </c>
      <c r="E740" t="s">
        <v>2028</v>
      </c>
      <c r="F740" t="s">
        <v>2030</v>
      </c>
      <c r="G740" t="s">
        <v>2037</v>
      </c>
      <c r="H740" t="s">
        <v>2040</v>
      </c>
      <c r="I740">
        <v>5</v>
      </c>
      <c r="J740">
        <v>8</v>
      </c>
      <c r="K740">
        <v>3</v>
      </c>
      <c r="L740" t="s">
        <v>2041</v>
      </c>
      <c r="M740">
        <v>262</v>
      </c>
      <c r="N740">
        <v>7062</v>
      </c>
      <c r="O740">
        <v>9690</v>
      </c>
      <c r="P740" s="13">
        <f t="shared" si="77"/>
        <v>0</v>
      </c>
      <c r="Q740" t="str">
        <f t="shared" si="78"/>
        <v>No</v>
      </c>
      <c r="R740" t="str" cm="1">
        <f t="array" ref="R740">_xlfn.IFS(K740=0,"On Time",K740&lt;=2,"Minor",K740&lt;=5,"Major",K740&gt;5,"Severe")</f>
        <v>Major</v>
      </c>
      <c r="S740">
        <f t="shared" si="79"/>
        <v>3230</v>
      </c>
      <c r="T740">
        <f t="shared" si="80"/>
        <v>2354</v>
      </c>
      <c r="U740">
        <f t="shared" si="81"/>
        <v>2024</v>
      </c>
      <c r="V740">
        <f t="shared" si="82"/>
        <v>8</v>
      </c>
      <c r="W740" s="11">
        <f t="shared" si="83"/>
        <v>1</v>
      </c>
    </row>
    <row r="741" spans="1:23">
      <c r="A741" t="s">
        <v>754</v>
      </c>
      <c r="B741" s="4">
        <v>45461</v>
      </c>
      <c r="C741" t="s">
        <v>2016</v>
      </c>
      <c r="D741" t="s">
        <v>2025</v>
      </c>
      <c r="E741" t="s">
        <v>2029</v>
      </c>
      <c r="F741" t="s">
        <v>2031</v>
      </c>
      <c r="G741" t="s">
        <v>2035</v>
      </c>
      <c r="H741" t="s">
        <v>2038</v>
      </c>
      <c r="I741">
        <v>2</v>
      </c>
      <c r="J741">
        <v>4</v>
      </c>
      <c r="K741">
        <v>2</v>
      </c>
      <c r="L741" t="s">
        <v>2041</v>
      </c>
      <c r="M741">
        <v>388</v>
      </c>
      <c r="N741">
        <v>1786</v>
      </c>
      <c r="O741">
        <v>9386</v>
      </c>
      <c r="P741" s="13">
        <f t="shared" si="77"/>
        <v>0</v>
      </c>
      <c r="Q741" t="str">
        <f t="shared" si="78"/>
        <v>No</v>
      </c>
      <c r="R741" t="str" cm="1">
        <f t="array" ref="R741">_xlfn.IFS(K741=0,"On Time",K741&lt;=2,"Minor",K741&lt;=5,"Major",K741&gt;5,"Severe")</f>
        <v>Minor</v>
      </c>
      <c r="S741">
        <f t="shared" si="79"/>
        <v>4693</v>
      </c>
      <c r="T741">
        <f t="shared" si="80"/>
        <v>893</v>
      </c>
      <c r="U741">
        <f t="shared" si="81"/>
        <v>2024</v>
      </c>
      <c r="V741">
        <f t="shared" si="82"/>
        <v>6</v>
      </c>
      <c r="W741" s="11">
        <f t="shared" si="83"/>
        <v>1</v>
      </c>
    </row>
    <row r="742" spans="1:23">
      <c r="A742" t="s">
        <v>755</v>
      </c>
      <c r="B742" s="4">
        <v>45526</v>
      </c>
      <c r="C742" t="s">
        <v>2017</v>
      </c>
      <c r="D742" t="s">
        <v>2023</v>
      </c>
      <c r="E742" t="s">
        <v>2027</v>
      </c>
      <c r="F742" t="s">
        <v>2031</v>
      </c>
      <c r="G742" t="s">
        <v>2033</v>
      </c>
      <c r="H742" t="s">
        <v>2039</v>
      </c>
      <c r="I742">
        <v>2</v>
      </c>
      <c r="J742">
        <v>4</v>
      </c>
      <c r="K742">
        <v>2</v>
      </c>
      <c r="L742" t="s">
        <v>2041</v>
      </c>
      <c r="M742">
        <v>166</v>
      </c>
      <c r="N742">
        <v>2976</v>
      </c>
      <c r="O742">
        <v>4162</v>
      </c>
      <c r="P742" s="13">
        <f t="shared" si="77"/>
        <v>0</v>
      </c>
      <c r="Q742" t="str">
        <f t="shared" si="78"/>
        <v>No</v>
      </c>
      <c r="R742" t="str" cm="1">
        <f t="array" ref="R742">_xlfn.IFS(K742=0,"On Time",K742&lt;=2,"Minor",K742&lt;=5,"Major",K742&gt;5,"Severe")</f>
        <v>Minor</v>
      </c>
      <c r="S742">
        <f t="shared" si="79"/>
        <v>2081</v>
      </c>
      <c r="T742">
        <f t="shared" si="80"/>
        <v>1488</v>
      </c>
      <c r="U742">
        <f t="shared" si="81"/>
        <v>2024</v>
      </c>
      <c r="V742">
        <f t="shared" si="82"/>
        <v>8</v>
      </c>
      <c r="W742" s="11">
        <f t="shared" si="83"/>
        <v>1</v>
      </c>
    </row>
    <row r="743" spans="1:23">
      <c r="A743" t="s">
        <v>756</v>
      </c>
      <c r="B743" s="4">
        <v>45331</v>
      </c>
      <c r="C743" t="s">
        <v>2018</v>
      </c>
      <c r="D743" t="s">
        <v>2024</v>
      </c>
      <c r="E743" t="s">
        <v>2029</v>
      </c>
      <c r="F743" t="s">
        <v>2032</v>
      </c>
      <c r="G743" t="s">
        <v>2036</v>
      </c>
      <c r="H743" t="s">
        <v>2039</v>
      </c>
      <c r="I743">
        <v>3</v>
      </c>
      <c r="J743">
        <v>5</v>
      </c>
      <c r="K743">
        <v>2</v>
      </c>
      <c r="L743" t="s">
        <v>2041</v>
      </c>
      <c r="M743">
        <v>205</v>
      </c>
      <c r="N743">
        <v>4732</v>
      </c>
      <c r="O743">
        <v>6548</v>
      </c>
      <c r="P743" s="13">
        <f t="shared" si="77"/>
        <v>0</v>
      </c>
      <c r="Q743" t="str">
        <f t="shared" si="78"/>
        <v>No</v>
      </c>
      <c r="R743" t="str" cm="1">
        <f t="array" ref="R743">_xlfn.IFS(K743=0,"On Time",K743&lt;=2,"Minor",K743&lt;=5,"Major",K743&gt;5,"Severe")</f>
        <v>Minor</v>
      </c>
      <c r="S743">
        <f t="shared" si="79"/>
        <v>3274</v>
      </c>
      <c r="T743">
        <f t="shared" si="80"/>
        <v>2366</v>
      </c>
      <c r="U743">
        <f t="shared" si="81"/>
        <v>2024</v>
      </c>
      <c r="V743">
        <f t="shared" si="82"/>
        <v>2</v>
      </c>
      <c r="W743" s="11">
        <f t="shared" si="83"/>
        <v>1</v>
      </c>
    </row>
    <row r="744" spans="1:23">
      <c r="A744" t="s">
        <v>757</v>
      </c>
      <c r="B744" s="4">
        <v>45378</v>
      </c>
      <c r="C744" t="s">
        <v>2017</v>
      </c>
      <c r="D744" t="s">
        <v>2023</v>
      </c>
      <c r="E744" t="s">
        <v>2029</v>
      </c>
      <c r="F744" t="s">
        <v>2031</v>
      </c>
      <c r="G744" t="s">
        <v>2033</v>
      </c>
      <c r="H744" t="s">
        <v>2038</v>
      </c>
      <c r="I744">
        <v>2</v>
      </c>
      <c r="J744">
        <v>5</v>
      </c>
      <c r="K744">
        <v>3</v>
      </c>
      <c r="L744" t="s">
        <v>2041</v>
      </c>
      <c r="M744">
        <v>336</v>
      </c>
      <c r="N744">
        <v>6456</v>
      </c>
      <c r="O744">
        <v>6915</v>
      </c>
      <c r="P744" s="13">
        <f t="shared" si="77"/>
        <v>0</v>
      </c>
      <c r="Q744" t="str">
        <f t="shared" si="78"/>
        <v>No</v>
      </c>
      <c r="R744" t="str" cm="1">
        <f t="array" ref="R744">_xlfn.IFS(K744=0,"On Time",K744&lt;=2,"Minor",K744&lt;=5,"Major",K744&gt;5,"Severe")</f>
        <v>Major</v>
      </c>
      <c r="S744">
        <f t="shared" si="79"/>
        <v>2305</v>
      </c>
      <c r="T744">
        <f t="shared" si="80"/>
        <v>2152</v>
      </c>
      <c r="U744">
        <f t="shared" si="81"/>
        <v>2024</v>
      </c>
      <c r="V744">
        <f t="shared" si="82"/>
        <v>3</v>
      </c>
      <c r="W744" s="11">
        <f t="shared" si="83"/>
        <v>1</v>
      </c>
    </row>
    <row r="745" spans="1:23">
      <c r="A745" t="s">
        <v>758</v>
      </c>
      <c r="B745" s="4">
        <v>45458</v>
      </c>
      <c r="C745" t="s">
        <v>2015</v>
      </c>
      <c r="D745" t="s">
        <v>2020</v>
      </c>
      <c r="E745" t="s">
        <v>2029</v>
      </c>
      <c r="F745" t="s">
        <v>2031</v>
      </c>
      <c r="G745" t="s">
        <v>2033</v>
      </c>
      <c r="H745" t="s">
        <v>2039</v>
      </c>
      <c r="I745">
        <v>2</v>
      </c>
      <c r="J745">
        <v>7</v>
      </c>
      <c r="K745">
        <v>5</v>
      </c>
      <c r="L745" t="s">
        <v>2041</v>
      </c>
      <c r="M745">
        <v>61</v>
      </c>
      <c r="N745">
        <v>9525</v>
      </c>
      <c r="O745">
        <v>14230</v>
      </c>
      <c r="P745" s="13">
        <f t="shared" si="77"/>
        <v>0</v>
      </c>
      <c r="Q745" t="str">
        <f t="shared" si="78"/>
        <v>No</v>
      </c>
      <c r="R745" t="str" cm="1">
        <f t="array" ref="R745">_xlfn.IFS(K745=0,"On Time",K745&lt;=2,"Minor",K745&lt;=5,"Major",K745&gt;5,"Severe")</f>
        <v>Major</v>
      </c>
      <c r="S745">
        <f t="shared" si="79"/>
        <v>2846</v>
      </c>
      <c r="T745">
        <f t="shared" si="80"/>
        <v>1905</v>
      </c>
      <c r="U745">
        <f t="shared" si="81"/>
        <v>2024</v>
      </c>
      <c r="V745">
        <f t="shared" si="82"/>
        <v>6</v>
      </c>
      <c r="W745" s="11">
        <f t="shared" si="83"/>
        <v>1</v>
      </c>
    </row>
    <row r="746" spans="1:23">
      <c r="A746" t="s">
        <v>759</v>
      </c>
      <c r="B746" s="4">
        <v>45500</v>
      </c>
      <c r="C746" t="s">
        <v>2016</v>
      </c>
      <c r="D746" t="s">
        <v>2025</v>
      </c>
      <c r="E746" t="s">
        <v>2027</v>
      </c>
      <c r="F746" t="s">
        <v>2031</v>
      </c>
      <c r="G746" t="s">
        <v>2034</v>
      </c>
      <c r="H746" t="s">
        <v>2040</v>
      </c>
      <c r="I746">
        <v>2</v>
      </c>
      <c r="J746">
        <v>7</v>
      </c>
      <c r="K746">
        <v>5</v>
      </c>
      <c r="L746" t="s">
        <v>2041</v>
      </c>
      <c r="M746">
        <v>102</v>
      </c>
      <c r="N746">
        <v>10695</v>
      </c>
      <c r="O746">
        <v>16055</v>
      </c>
      <c r="P746" s="13">
        <f t="shared" si="77"/>
        <v>0</v>
      </c>
      <c r="Q746" t="str">
        <f t="shared" si="78"/>
        <v>No</v>
      </c>
      <c r="R746" t="str" cm="1">
        <f t="array" ref="R746">_xlfn.IFS(K746=0,"On Time",K746&lt;=2,"Minor",K746&lt;=5,"Major",K746&gt;5,"Severe")</f>
        <v>Major</v>
      </c>
      <c r="S746">
        <f t="shared" si="79"/>
        <v>3211</v>
      </c>
      <c r="T746">
        <f t="shared" si="80"/>
        <v>2139</v>
      </c>
      <c r="U746">
        <f t="shared" si="81"/>
        <v>2024</v>
      </c>
      <c r="V746">
        <f t="shared" si="82"/>
        <v>7</v>
      </c>
      <c r="W746" s="11">
        <f t="shared" si="83"/>
        <v>1</v>
      </c>
    </row>
    <row r="747" spans="1:23">
      <c r="A747" t="s">
        <v>760</v>
      </c>
      <c r="B747" s="4">
        <v>45449</v>
      </c>
      <c r="C747" t="s">
        <v>2016</v>
      </c>
      <c r="D747" t="s">
        <v>2025</v>
      </c>
      <c r="E747" t="s">
        <v>2029</v>
      </c>
      <c r="F747" t="s">
        <v>2032</v>
      </c>
      <c r="G747" t="s">
        <v>2033</v>
      </c>
      <c r="H747" t="s">
        <v>2038</v>
      </c>
      <c r="I747">
        <v>1</v>
      </c>
      <c r="J747">
        <v>6</v>
      </c>
      <c r="K747">
        <v>5</v>
      </c>
      <c r="L747" t="s">
        <v>2041</v>
      </c>
      <c r="M747">
        <v>350</v>
      </c>
      <c r="N747">
        <v>10635</v>
      </c>
      <c r="O747">
        <v>24220</v>
      </c>
      <c r="P747" s="13">
        <f t="shared" si="77"/>
        <v>0</v>
      </c>
      <c r="Q747" t="str">
        <f t="shared" si="78"/>
        <v>No</v>
      </c>
      <c r="R747" t="str" cm="1">
        <f t="array" ref="R747">_xlfn.IFS(K747=0,"On Time",K747&lt;=2,"Minor",K747&lt;=5,"Major",K747&gt;5,"Severe")</f>
        <v>Major</v>
      </c>
      <c r="S747">
        <f t="shared" si="79"/>
        <v>4844</v>
      </c>
      <c r="T747">
        <f t="shared" si="80"/>
        <v>2127</v>
      </c>
      <c r="U747">
        <f t="shared" si="81"/>
        <v>2024</v>
      </c>
      <c r="V747">
        <f t="shared" si="82"/>
        <v>6</v>
      </c>
      <c r="W747" s="11">
        <f t="shared" si="83"/>
        <v>1</v>
      </c>
    </row>
    <row r="748" spans="1:23">
      <c r="A748" t="s">
        <v>761</v>
      </c>
      <c r="B748" s="4">
        <v>45390</v>
      </c>
      <c r="C748" t="s">
        <v>2015</v>
      </c>
      <c r="D748" t="s">
        <v>2019</v>
      </c>
      <c r="E748" t="s">
        <v>2029</v>
      </c>
      <c r="F748" t="s">
        <v>2031</v>
      </c>
      <c r="G748" t="s">
        <v>2033</v>
      </c>
      <c r="H748" t="s">
        <v>2038</v>
      </c>
      <c r="I748">
        <v>2</v>
      </c>
      <c r="J748">
        <v>3</v>
      </c>
      <c r="K748">
        <v>1</v>
      </c>
      <c r="L748" t="s">
        <v>2041</v>
      </c>
      <c r="M748">
        <v>163</v>
      </c>
      <c r="N748">
        <v>2047</v>
      </c>
      <c r="O748">
        <v>1524</v>
      </c>
      <c r="P748" s="13">
        <f t="shared" si="77"/>
        <v>0</v>
      </c>
      <c r="Q748" t="str">
        <f t="shared" si="78"/>
        <v>No</v>
      </c>
      <c r="R748" t="str" cm="1">
        <f t="array" ref="R748">_xlfn.IFS(K748=0,"On Time",K748&lt;=2,"Minor",K748&lt;=5,"Major",K748&gt;5,"Severe")</f>
        <v>Minor</v>
      </c>
      <c r="S748">
        <f t="shared" si="79"/>
        <v>1524</v>
      </c>
      <c r="T748">
        <f t="shared" si="80"/>
        <v>2047</v>
      </c>
      <c r="U748">
        <f t="shared" si="81"/>
        <v>2024</v>
      </c>
      <c r="V748">
        <f t="shared" si="82"/>
        <v>4</v>
      </c>
      <c r="W748" s="11">
        <f t="shared" si="83"/>
        <v>1</v>
      </c>
    </row>
    <row r="749" spans="1:23">
      <c r="A749" t="s">
        <v>762</v>
      </c>
      <c r="B749" s="4">
        <v>45654</v>
      </c>
      <c r="C749" t="s">
        <v>2016</v>
      </c>
      <c r="D749" t="s">
        <v>2021</v>
      </c>
      <c r="E749" t="s">
        <v>2029</v>
      </c>
      <c r="F749" t="s">
        <v>2030</v>
      </c>
      <c r="G749" t="s">
        <v>2035</v>
      </c>
      <c r="H749" t="s">
        <v>2038</v>
      </c>
      <c r="I749">
        <v>3</v>
      </c>
      <c r="J749">
        <v>6</v>
      </c>
      <c r="K749">
        <v>3</v>
      </c>
      <c r="L749" t="s">
        <v>2041</v>
      </c>
      <c r="M749">
        <v>470</v>
      </c>
      <c r="N749">
        <v>6831</v>
      </c>
      <c r="O749">
        <v>6768</v>
      </c>
      <c r="P749" s="13">
        <f t="shared" si="77"/>
        <v>0</v>
      </c>
      <c r="Q749" t="str">
        <f t="shared" si="78"/>
        <v>No</v>
      </c>
      <c r="R749" t="str" cm="1">
        <f t="array" ref="R749">_xlfn.IFS(K749=0,"On Time",K749&lt;=2,"Minor",K749&lt;=5,"Major",K749&gt;5,"Severe")</f>
        <v>Major</v>
      </c>
      <c r="S749">
        <f t="shared" si="79"/>
        <v>2256</v>
      </c>
      <c r="T749">
        <f t="shared" si="80"/>
        <v>2277</v>
      </c>
      <c r="U749">
        <f t="shared" si="81"/>
        <v>2024</v>
      </c>
      <c r="V749">
        <f t="shared" si="82"/>
        <v>12</v>
      </c>
      <c r="W749" s="11">
        <f t="shared" si="83"/>
        <v>1</v>
      </c>
    </row>
    <row r="750" spans="1:23">
      <c r="A750" t="s">
        <v>763</v>
      </c>
      <c r="B750" s="4">
        <v>45397</v>
      </c>
      <c r="C750" t="s">
        <v>2016</v>
      </c>
      <c r="D750" t="s">
        <v>2025</v>
      </c>
      <c r="E750" t="s">
        <v>2027</v>
      </c>
      <c r="F750" t="s">
        <v>2031</v>
      </c>
      <c r="G750" t="s">
        <v>2033</v>
      </c>
      <c r="H750" t="s">
        <v>2039</v>
      </c>
      <c r="I750">
        <v>1</v>
      </c>
      <c r="J750">
        <v>1</v>
      </c>
      <c r="K750">
        <v>0</v>
      </c>
      <c r="L750" t="s">
        <v>2042</v>
      </c>
      <c r="M750">
        <v>225</v>
      </c>
      <c r="N750">
        <v>0</v>
      </c>
      <c r="O750">
        <v>0</v>
      </c>
      <c r="P750" s="13">
        <f t="shared" si="77"/>
        <v>1</v>
      </c>
      <c r="Q750" t="str">
        <f t="shared" si="78"/>
        <v>No</v>
      </c>
      <c r="R750" t="str" cm="1">
        <f t="array" ref="R750">_xlfn.IFS(K750=0,"On Time",K750&lt;=2,"Minor",K750&lt;=5,"Major",K750&gt;5,"Severe")</f>
        <v>On Time</v>
      </c>
      <c r="S750">
        <f t="shared" si="79"/>
        <v>0</v>
      </c>
      <c r="T750">
        <f t="shared" si="80"/>
        <v>0</v>
      </c>
      <c r="U750">
        <f t="shared" si="81"/>
        <v>2024</v>
      </c>
      <c r="V750">
        <f t="shared" si="82"/>
        <v>4</v>
      </c>
      <c r="W750" s="11">
        <f t="shared" si="83"/>
        <v>0</v>
      </c>
    </row>
    <row r="751" spans="1:23">
      <c r="A751" t="s">
        <v>764</v>
      </c>
      <c r="B751" s="4">
        <v>45591</v>
      </c>
      <c r="C751" t="s">
        <v>2017</v>
      </c>
      <c r="D751" t="s">
        <v>2022</v>
      </c>
      <c r="E751" t="s">
        <v>2027</v>
      </c>
      <c r="F751" t="s">
        <v>2031</v>
      </c>
      <c r="G751" t="s">
        <v>2034</v>
      </c>
      <c r="H751" t="s">
        <v>2039</v>
      </c>
      <c r="I751">
        <v>1</v>
      </c>
      <c r="J751">
        <v>2</v>
      </c>
      <c r="K751">
        <v>1</v>
      </c>
      <c r="L751" t="s">
        <v>2041</v>
      </c>
      <c r="M751">
        <v>109</v>
      </c>
      <c r="N751">
        <v>1360</v>
      </c>
      <c r="O751">
        <v>4433</v>
      </c>
      <c r="P751" s="13">
        <f t="shared" si="77"/>
        <v>0</v>
      </c>
      <c r="Q751" t="str">
        <f t="shared" si="78"/>
        <v>No</v>
      </c>
      <c r="R751" t="str" cm="1">
        <f t="array" ref="R751">_xlfn.IFS(K751=0,"On Time",K751&lt;=2,"Minor",K751&lt;=5,"Major",K751&gt;5,"Severe")</f>
        <v>Minor</v>
      </c>
      <c r="S751">
        <f t="shared" si="79"/>
        <v>4433</v>
      </c>
      <c r="T751">
        <f t="shared" si="80"/>
        <v>1360</v>
      </c>
      <c r="U751">
        <f t="shared" si="81"/>
        <v>2024</v>
      </c>
      <c r="V751">
        <f t="shared" si="82"/>
        <v>10</v>
      </c>
      <c r="W751" s="11">
        <f t="shared" si="83"/>
        <v>1</v>
      </c>
    </row>
    <row r="752" spans="1:23">
      <c r="A752" t="s">
        <v>765</v>
      </c>
      <c r="B752" s="4">
        <v>45500</v>
      </c>
      <c r="C752" t="s">
        <v>2015</v>
      </c>
      <c r="D752" t="s">
        <v>2020</v>
      </c>
      <c r="E752" t="s">
        <v>2028</v>
      </c>
      <c r="F752" t="s">
        <v>2031</v>
      </c>
      <c r="G752" t="s">
        <v>2034</v>
      </c>
      <c r="H752" t="s">
        <v>2040</v>
      </c>
      <c r="I752">
        <v>5</v>
      </c>
      <c r="J752">
        <v>9</v>
      </c>
      <c r="K752">
        <v>4</v>
      </c>
      <c r="L752" t="s">
        <v>2041</v>
      </c>
      <c r="M752">
        <v>293</v>
      </c>
      <c r="N752">
        <v>4100</v>
      </c>
      <c r="O752">
        <v>7552</v>
      </c>
      <c r="P752" s="13">
        <f t="shared" si="77"/>
        <v>0</v>
      </c>
      <c r="Q752" t="str">
        <f t="shared" si="78"/>
        <v>No</v>
      </c>
      <c r="R752" t="str" cm="1">
        <f t="array" ref="R752">_xlfn.IFS(K752=0,"On Time",K752&lt;=2,"Minor",K752&lt;=5,"Major",K752&gt;5,"Severe")</f>
        <v>Major</v>
      </c>
      <c r="S752">
        <f t="shared" si="79"/>
        <v>1888</v>
      </c>
      <c r="T752">
        <f t="shared" si="80"/>
        <v>1025</v>
      </c>
      <c r="U752">
        <f t="shared" si="81"/>
        <v>2024</v>
      </c>
      <c r="V752">
        <f t="shared" si="82"/>
        <v>7</v>
      </c>
      <c r="W752" s="11">
        <f t="shared" si="83"/>
        <v>1</v>
      </c>
    </row>
    <row r="753" spans="1:23">
      <c r="A753" t="s">
        <v>766</v>
      </c>
      <c r="B753" s="4">
        <v>45320</v>
      </c>
      <c r="C753" t="s">
        <v>2018</v>
      </c>
      <c r="D753" t="s">
        <v>2026</v>
      </c>
      <c r="E753" t="s">
        <v>2028</v>
      </c>
      <c r="F753" t="s">
        <v>2030</v>
      </c>
      <c r="G753" t="s">
        <v>2036</v>
      </c>
      <c r="H753" t="s">
        <v>2039</v>
      </c>
      <c r="I753">
        <v>2</v>
      </c>
      <c r="J753">
        <v>6</v>
      </c>
      <c r="K753">
        <v>4</v>
      </c>
      <c r="L753" t="s">
        <v>2041</v>
      </c>
      <c r="M753">
        <v>228</v>
      </c>
      <c r="N753">
        <v>8520</v>
      </c>
      <c r="O753">
        <v>17904</v>
      </c>
      <c r="P753" s="13">
        <f t="shared" si="77"/>
        <v>0</v>
      </c>
      <c r="Q753" t="str">
        <f t="shared" si="78"/>
        <v>No</v>
      </c>
      <c r="R753" t="str" cm="1">
        <f t="array" ref="R753">_xlfn.IFS(K753=0,"On Time",K753&lt;=2,"Minor",K753&lt;=5,"Major",K753&gt;5,"Severe")</f>
        <v>Major</v>
      </c>
      <c r="S753">
        <f t="shared" si="79"/>
        <v>4476</v>
      </c>
      <c r="T753">
        <f t="shared" si="80"/>
        <v>2130</v>
      </c>
      <c r="U753">
        <f t="shared" si="81"/>
        <v>2024</v>
      </c>
      <c r="V753">
        <f t="shared" si="82"/>
        <v>1</v>
      </c>
      <c r="W753" s="11">
        <f t="shared" si="83"/>
        <v>1</v>
      </c>
    </row>
    <row r="754" spans="1:23">
      <c r="A754" t="s">
        <v>767</v>
      </c>
      <c r="B754" s="4">
        <v>45317</v>
      </c>
      <c r="C754" t="s">
        <v>2017</v>
      </c>
      <c r="D754" t="s">
        <v>2023</v>
      </c>
      <c r="E754" t="s">
        <v>2029</v>
      </c>
      <c r="F754" t="s">
        <v>2031</v>
      </c>
      <c r="G754" t="s">
        <v>2033</v>
      </c>
      <c r="H754" t="s">
        <v>2038</v>
      </c>
      <c r="I754">
        <v>1</v>
      </c>
      <c r="J754">
        <v>5</v>
      </c>
      <c r="K754">
        <v>4</v>
      </c>
      <c r="L754" t="s">
        <v>2041</v>
      </c>
      <c r="M754">
        <v>364</v>
      </c>
      <c r="N754">
        <v>4000</v>
      </c>
      <c r="O754">
        <v>7520</v>
      </c>
      <c r="P754" s="13">
        <f t="shared" si="77"/>
        <v>0</v>
      </c>
      <c r="Q754" t="str">
        <f t="shared" si="78"/>
        <v>No</v>
      </c>
      <c r="R754" t="str" cm="1">
        <f t="array" ref="R754">_xlfn.IFS(K754=0,"On Time",K754&lt;=2,"Minor",K754&lt;=5,"Major",K754&gt;5,"Severe")</f>
        <v>Major</v>
      </c>
      <c r="S754">
        <f t="shared" si="79"/>
        <v>1880</v>
      </c>
      <c r="T754">
        <f t="shared" si="80"/>
        <v>1000</v>
      </c>
      <c r="U754">
        <f t="shared" si="81"/>
        <v>2024</v>
      </c>
      <c r="V754">
        <f t="shared" si="82"/>
        <v>1</v>
      </c>
      <c r="W754" s="11">
        <f t="shared" si="83"/>
        <v>1</v>
      </c>
    </row>
    <row r="755" spans="1:23">
      <c r="A755" t="s">
        <v>768</v>
      </c>
      <c r="B755" s="4">
        <v>45479</v>
      </c>
      <c r="C755" t="s">
        <v>2018</v>
      </c>
      <c r="D755" t="s">
        <v>2026</v>
      </c>
      <c r="E755" t="s">
        <v>2028</v>
      </c>
      <c r="F755" t="s">
        <v>2031</v>
      </c>
      <c r="G755" t="s">
        <v>2033</v>
      </c>
      <c r="H755" t="s">
        <v>2038</v>
      </c>
      <c r="I755">
        <v>1</v>
      </c>
      <c r="J755">
        <v>4</v>
      </c>
      <c r="K755">
        <v>3</v>
      </c>
      <c r="L755" t="s">
        <v>2041</v>
      </c>
      <c r="M755">
        <v>82</v>
      </c>
      <c r="N755">
        <v>7467</v>
      </c>
      <c r="O755">
        <v>11316</v>
      </c>
      <c r="P755" s="13">
        <f t="shared" si="77"/>
        <v>0</v>
      </c>
      <c r="Q755" t="str">
        <f t="shared" si="78"/>
        <v>No</v>
      </c>
      <c r="R755" t="str" cm="1">
        <f t="array" ref="R755">_xlfn.IFS(K755=0,"On Time",K755&lt;=2,"Minor",K755&lt;=5,"Major",K755&gt;5,"Severe")</f>
        <v>Major</v>
      </c>
      <c r="S755">
        <f t="shared" si="79"/>
        <v>3772</v>
      </c>
      <c r="T755">
        <f t="shared" si="80"/>
        <v>2489</v>
      </c>
      <c r="U755">
        <f t="shared" si="81"/>
        <v>2024</v>
      </c>
      <c r="V755">
        <f t="shared" si="82"/>
        <v>7</v>
      </c>
      <c r="W755" s="11">
        <f t="shared" si="83"/>
        <v>1</v>
      </c>
    </row>
    <row r="756" spans="1:23">
      <c r="A756" t="s">
        <v>769</v>
      </c>
      <c r="B756" s="4">
        <v>45319</v>
      </c>
      <c r="C756" t="s">
        <v>2016</v>
      </c>
      <c r="D756" t="s">
        <v>2021</v>
      </c>
      <c r="E756" t="s">
        <v>2028</v>
      </c>
      <c r="F756" t="s">
        <v>2031</v>
      </c>
      <c r="G756" t="s">
        <v>2033</v>
      </c>
      <c r="H756" t="s">
        <v>2040</v>
      </c>
      <c r="I756">
        <v>3</v>
      </c>
      <c r="J756">
        <v>7</v>
      </c>
      <c r="K756">
        <v>4</v>
      </c>
      <c r="L756" t="s">
        <v>2041</v>
      </c>
      <c r="M756">
        <v>212</v>
      </c>
      <c r="N756">
        <v>5996</v>
      </c>
      <c r="O756">
        <v>19100</v>
      </c>
      <c r="P756" s="13">
        <f t="shared" si="77"/>
        <v>0</v>
      </c>
      <c r="Q756" t="str">
        <f t="shared" si="78"/>
        <v>No</v>
      </c>
      <c r="R756" t="str" cm="1">
        <f t="array" ref="R756">_xlfn.IFS(K756=0,"On Time",K756&lt;=2,"Minor",K756&lt;=5,"Major",K756&gt;5,"Severe")</f>
        <v>Major</v>
      </c>
      <c r="S756">
        <f t="shared" si="79"/>
        <v>4775</v>
      </c>
      <c r="T756">
        <f t="shared" si="80"/>
        <v>1499</v>
      </c>
      <c r="U756">
        <f t="shared" si="81"/>
        <v>2024</v>
      </c>
      <c r="V756">
        <f t="shared" si="82"/>
        <v>1</v>
      </c>
      <c r="W756" s="11">
        <f t="shared" si="83"/>
        <v>1</v>
      </c>
    </row>
    <row r="757" spans="1:23">
      <c r="A757" t="s">
        <v>770</v>
      </c>
      <c r="B757" s="4">
        <v>45293</v>
      </c>
      <c r="C757" t="s">
        <v>2017</v>
      </c>
      <c r="D757" t="s">
        <v>2022</v>
      </c>
      <c r="E757" t="s">
        <v>2029</v>
      </c>
      <c r="F757" t="s">
        <v>2031</v>
      </c>
      <c r="G757" t="s">
        <v>2035</v>
      </c>
      <c r="H757" t="s">
        <v>2038</v>
      </c>
      <c r="I757">
        <v>2</v>
      </c>
      <c r="J757">
        <v>6</v>
      </c>
      <c r="K757">
        <v>4</v>
      </c>
      <c r="L757" t="s">
        <v>2041</v>
      </c>
      <c r="M757">
        <v>79</v>
      </c>
      <c r="N757">
        <v>5164</v>
      </c>
      <c r="O757">
        <v>18736</v>
      </c>
      <c r="P757" s="13">
        <f t="shared" si="77"/>
        <v>0</v>
      </c>
      <c r="Q757" t="str">
        <f t="shared" si="78"/>
        <v>No</v>
      </c>
      <c r="R757" t="str" cm="1">
        <f t="array" ref="R757">_xlfn.IFS(K757=0,"On Time",K757&lt;=2,"Minor",K757&lt;=5,"Major",K757&gt;5,"Severe")</f>
        <v>Major</v>
      </c>
      <c r="S757">
        <f t="shared" si="79"/>
        <v>4684</v>
      </c>
      <c r="T757">
        <f t="shared" si="80"/>
        <v>1291</v>
      </c>
      <c r="U757">
        <f t="shared" si="81"/>
        <v>2024</v>
      </c>
      <c r="V757">
        <f t="shared" si="82"/>
        <v>1</v>
      </c>
      <c r="W757" s="11">
        <f t="shared" si="83"/>
        <v>1</v>
      </c>
    </row>
    <row r="758" spans="1:23">
      <c r="A758" t="s">
        <v>771</v>
      </c>
      <c r="B758" s="4">
        <v>45374</v>
      </c>
      <c r="C758" t="s">
        <v>2016</v>
      </c>
      <c r="D758" t="s">
        <v>2021</v>
      </c>
      <c r="E758" t="s">
        <v>2029</v>
      </c>
      <c r="F758" t="s">
        <v>2032</v>
      </c>
      <c r="G758" t="s">
        <v>2034</v>
      </c>
      <c r="H758" t="s">
        <v>2038</v>
      </c>
      <c r="I758">
        <v>3</v>
      </c>
      <c r="J758">
        <v>7</v>
      </c>
      <c r="K758">
        <v>4</v>
      </c>
      <c r="L758" t="s">
        <v>2041</v>
      </c>
      <c r="M758">
        <v>203</v>
      </c>
      <c r="N758">
        <v>8696</v>
      </c>
      <c r="O758">
        <v>19940</v>
      </c>
      <c r="P758" s="13">
        <f t="shared" si="77"/>
        <v>0</v>
      </c>
      <c r="Q758" t="str">
        <f t="shared" si="78"/>
        <v>No</v>
      </c>
      <c r="R758" t="str" cm="1">
        <f t="array" ref="R758">_xlfn.IFS(K758=0,"On Time",K758&lt;=2,"Minor",K758&lt;=5,"Major",K758&gt;5,"Severe")</f>
        <v>Major</v>
      </c>
      <c r="S758">
        <f t="shared" si="79"/>
        <v>4985</v>
      </c>
      <c r="T758">
        <f t="shared" si="80"/>
        <v>2174</v>
      </c>
      <c r="U758">
        <f t="shared" si="81"/>
        <v>2024</v>
      </c>
      <c r="V758">
        <f t="shared" si="82"/>
        <v>3</v>
      </c>
      <c r="W758" s="11">
        <f t="shared" si="83"/>
        <v>1</v>
      </c>
    </row>
    <row r="759" spans="1:23">
      <c r="A759" t="s">
        <v>772</v>
      </c>
      <c r="B759" s="4">
        <v>45503</v>
      </c>
      <c r="C759" t="s">
        <v>2017</v>
      </c>
      <c r="D759" t="s">
        <v>2023</v>
      </c>
      <c r="E759" t="s">
        <v>2028</v>
      </c>
      <c r="F759" t="s">
        <v>2031</v>
      </c>
      <c r="G759" t="s">
        <v>2034</v>
      </c>
      <c r="H759" t="s">
        <v>2040</v>
      </c>
      <c r="I759">
        <v>1</v>
      </c>
      <c r="J759">
        <v>5</v>
      </c>
      <c r="K759">
        <v>4</v>
      </c>
      <c r="L759" t="s">
        <v>2041</v>
      </c>
      <c r="M759">
        <v>306</v>
      </c>
      <c r="N759">
        <v>7584</v>
      </c>
      <c r="O759">
        <v>17452</v>
      </c>
      <c r="P759" s="13">
        <f t="shared" si="77"/>
        <v>0</v>
      </c>
      <c r="Q759" t="str">
        <f t="shared" si="78"/>
        <v>No</v>
      </c>
      <c r="R759" t="str" cm="1">
        <f t="array" ref="R759">_xlfn.IFS(K759=0,"On Time",K759&lt;=2,"Minor",K759&lt;=5,"Major",K759&gt;5,"Severe")</f>
        <v>Major</v>
      </c>
      <c r="S759">
        <f t="shared" si="79"/>
        <v>4363</v>
      </c>
      <c r="T759">
        <f t="shared" si="80"/>
        <v>1896</v>
      </c>
      <c r="U759">
        <f t="shared" si="81"/>
        <v>2024</v>
      </c>
      <c r="V759">
        <f t="shared" si="82"/>
        <v>7</v>
      </c>
      <c r="W759" s="11">
        <f t="shared" si="83"/>
        <v>1</v>
      </c>
    </row>
    <row r="760" spans="1:23">
      <c r="A760" t="s">
        <v>773</v>
      </c>
      <c r="B760" s="4">
        <v>45650</v>
      </c>
      <c r="C760" t="s">
        <v>2017</v>
      </c>
      <c r="D760" t="s">
        <v>2022</v>
      </c>
      <c r="E760" t="s">
        <v>2029</v>
      </c>
      <c r="F760" t="s">
        <v>2031</v>
      </c>
      <c r="G760" t="s">
        <v>2033</v>
      </c>
      <c r="H760" t="s">
        <v>2038</v>
      </c>
      <c r="I760">
        <v>2</v>
      </c>
      <c r="J760">
        <v>6</v>
      </c>
      <c r="K760">
        <v>4</v>
      </c>
      <c r="L760" t="s">
        <v>2041</v>
      </c>
      <c r="M760">
        <v>260</v>
      </c>
      <c r="N760">
        <v>5260</v>
      </c>
      <c r="O760">
        <v>7880</v>
      </c>
      <c r="P760" s="13">
        <f t="shared" si="77"/>
        <v>0</v>
      </c>
      <c r="Q760" t="str">
        <f t="shared" si="78"/>
        <v>No</v>
      </c>
      <c r="R760" t="str" cm="1">
        <f t="array" ref="R760">_xlfn.IFS(K760=0,"On Time",K760&lt;=2,"Minor",K760&lt;=5,"Major",K760&gt;5,"Severe")</f>
        <v>Major</v>
      </c>
      <c r="S760">
        <f t="shared" si="79"/>
        <v>1970</v>
      </c>
      <c r="T760">
        <f t="shared" si="80"/>
        <v>1315</v>
      </c>
      <c r="U760">
        <f t="shared" si="81"/>
        <v>2024</v>
      </c>
      <c r="V760">
        <f t="shared" si="82"/>
        <v>12</v>
      </c>
      <c r="W760" s="11">
        <f t="shared" si="83"/>
        <v>1</v>
      </c>
    </row>
    <row r="761" spans="1:23">
      <c r="A761" t="s">
        <v>774</v>
      </c>
      <c r="B761" s="4">
        <v>45502</v>
      </c>
      <c r="C761" t="s">
        <v>2018</v>
      </c>
      <c r="D761" t="s">
        <v>2024</v>
      </c>
      <c r="E761" t="s">
        <v>2029</v>
      </c>
      <c r="F761" t="s">
        <v>2032</v>
      </c>
      <c r="G761" t="s">
        <v>2036</v>
      </c>
      <c r="H761" t="s">
        <v>2038</v>
      </c>
      <c r="I761">
        <v>3</v>
      </c>
      <c r="J761">
        <v>7</v>
      </c>
      <c r="K761">
        <v>4</v>
      </c>
      <c r="L761" t="s">
        <v>2041</v>
      </c>
      <c r="M761">
        <v>306</v>
      </c>
      <c r="N761">
        <v>6536</v>
      </c>
      <c r="O761">
        <v>10756</v>
      </c>
      <c r="P761" s="13">
        <f t="shared" si="77"/>
        <v>0</v>
      </c>
      <c r="Q761" t="str">
        <f t="shared" si="78"/>
        <v>No</v>
      </c>
      <c r="R761" t="str" cm="1">
        <f t="array" ref="R761">_xlfn.IFS(K761=0,"On Time",K761&lt;=2,"Minor",K761&lt;=5,"Major",K761&gt;5,"Severe")</f>
        <v>Major</v>
      </c>
      <c r="S761">
        <f t="shared" si="79"/>
        <v>2689</v>
      </c>
      <c r="T761">
        <f t="shared" si="80"/>
        <v>1634</v>
      </c>
      <c r="U761">
        <f t="shared" si="81"/>
        <v>2024</v>
      </c>
      <c r="V761">
        <f t="shared" si="82"/>
        <v>7</v>
      </c>
      <c r="W761" s="11">
        <f t="shared" si="83"/>
        <v>1</v>
      </c>
    </row>
    <row r="762" spans="1:23">
      <c r="A762" t="s">
        <v>775</v>
      </c>
      <c r="B762" s="4">
        <v>45623</v>
      </c>
      <c r="C762" t="s">
        <v>2016</v>
      </c>
      <c r="D762" t="s">
        <v>2025</v>
      </c>
      <c r="E762" t="s">
        <v>2027</v>
      </c>
      <c r="F762" t="s">
        <v>2030</v>
      </c>
      <c r="G762" t="s">
        <v>2035</v>
      </c>
      <c r="H762" t="s">
        <v>2039</v>
      </c>
      <c r="I762">
        <v>2</v>
      </c>
      <c r="J762">
        <v>4</v>
      </c>
      <c r="K762">
        <v>2</v>
      </c>
      <c r="L762" t="s">
        <v>2041</v>
      </c>
      <c r="M762">
        <v>281</v>
      </c>
      <c r="N762">
        <v>3054</v>
      </c>
      <c r="O762">
        <v>5316</v>
      </c>
      <c r="P762" s="13">
        <f t="shared" si="77"/>
        <v>0</v>
      </c>
      <c r="Q762" t="str">
        <f t="shared" si="78"/>
        <v>No</v>
      </c>
      <c r="R762" t="str" cm="1">
        <f t="array" ref="R762">_xlfn.IFS(K762=0,"On Time",K762&lt;=2,"Minor",K762&lt;=5,"Major",K762&gt;5,"Severe")</f>
        <v>Minor</v>
      </c>
      <c r="S762">
        <f t="shared" si="79"/>
        <v>2658</v>
      </c>
      <c r="T762">
        <f t="shared" si="80"/>
        <v>1527</v>
      </c>
      <c r="U762">
        <f t="shared" si="81"/>
        <v>2024</v>
      </c>
      <c r="V762">
        <f t="shared" si="82"/>
        <v>11</v>
      </c>
      <c r="W762" s="11">
        <f t="shared" si="83"/>
        <v>1</v>
      </c>
    </row>
    <row r="763" spans="1:23">
      <c r="A763" t="s">
        <v>776</v>
      </c>
      <c r="B763" s="4">
        <v>45422</v>
      </c>
      <c r="C763" t="s">
        <v>2018</v>
      </c>
      <c r="D763" t="s">
        <v>2024</v>
      </c>
      <c r="E763" t="s">
        <v>2028</v>
      </c>
      <c r="F763" t="s">
        <v>2031</v>
      </c>
      <c r="G763" t="s">
        <v>2036</v>
      </c>
      <c r="H763" t="s">
        <v>2039</v>
      </c>
      <c r="I763">
        <v>2</v>
      </c>
      <c r="J763">
        <v>3</v>
      </c>
      <c r="K763">
        <v>1</v>
      </c>
      <c r="L763" t="s">
        <v>2041</v>
      </c>
      <c r="M763">
        <v>136</v>
      </c>
      <c r="N763">
        <v>1324</v>
      </c>
      <c r="O763">
        <v>4082</v>
      </c>
      <c r="P763" s="13">
        <f t="shared" si="77"/>
        <v>0</v>
      </c>
      <c r="Q763" t="str">
        <f t="shared" si="78"/>
        <v>No</v>
      </c>
      <c r="R763" t="str" cm="1">
        <f t="array" ref="R763">_xlfn.IFS(K763=0,"On Time",K763&lt;=2,"Minor",K763&lt;=5,"Major",K763&gt;5,"Severe")</f>
        <v>Minor</v>
      </c>
      <c r="S763">
        <f t="shared" si="79"/>
        <v>4082</v>
      </c>
      <c r="T763">
        <f t="shared" si="80"/>
        <v>1324</v>
      </c>
      <c r="U763">
        <f t="shared" si="81"/>
        <v>2024</v>
      </c>
      <c r="V763">
        <f t="shared" si="82"/>
        <v>5</v>
      </c>
      <c r="W763" s="11">
        <f t="shared" si="83"/>
        <v>1</v>
      </c>
    </row>
    <row r="764" spans="1:23">
      <c r="A764" t="s">
        <v>777</v>
      </c>
      <c r="B764" s="4">
        <v>45475</v>
      </c>
      <c r="C764" t="s">
        <v>2015</v>
      </c>
      <c r="D764" t="s">
        <v>2020</v>
      </c>
      <c r="E764" t="s">
        <v>2027</v>
      </c>
      <c r="F764" t="s">
        <v>2031</v>
      </c>
      <c r="G764" t="s">
        <v>2037</v>
      </c>
      <c r="H764" t="s">
        <v>2039</v>
      </c>
      <c r="I764">
        <v>2</v>
      </c>
      <c r="J764">
        <v>2</v>
      </c>
      <c r="K764">
        <v>0</v>
      </c>
      <c r="L764" t="s">
        <v>2042</v>
      </c>
      <c r="M764">
        <v>382</v>
      </c>
      <c r="N764">
        <v>0</v>
      </c>
      <c r="O764">
        <v>0</v>
      </c>
      <c r="P764" s="13">
        <f t="shared" si="77"/>
        <v>1</v>
      </c>
      <c r="Q764" t="str">
        <f t="shared" si="78"/>
        <v>No</v>
      </c>
      <c r="R764" t="str" cm="1">
        <f t="array" ref="R764">_xlfn.IFS(K764=0,"On Time",K764&lt;=2,"Minor",K764&lt;=5,"Major",K764&gt;5,"Severe")</f>
        <v>On Time</v>
      </c>
      <c r="S764">
        <f t="shared" si="79"/>
        <v>0</v>
      </c>
      <c r="T764">
        <f t="shared" si="80"/>
        <v>0</v>
      </c>
      <c r="U764">
        <f t="shared" si="81"/>
        <v>2024</v>
      </c>
      <c r="V764">
        <f t="shared" si="82"/>
        <v>7</v>
      </c>
      <c r="W764" s="11">
        <f t="shared" si="83"/>
        <v>0</v>
      </c>
    </row>
    <row r="765" spans="1:23">
      <c r="A765" t="s">
        <v>778</v>
      </c>
      <c r="B765" s="4">
        <v>45404</v>
      </c>
      <c r="C765" t="s">
        <v>2018</v>
      </c>
      <c r="D765" t="s">
        <v>2024</v>
      </c>
      <c r="E765" t="s">
        <v>2028</v>
      </c>
      <c r="F765" t="s">
        <v>2031</v>
      </c>
      <c r="G765" t="s">
        <v>2036</v>
      </c>
      <c r="H765" t="s">
        <v>2038</v>
      </c>
      <c r="I765">
        <v>1</v>
      </c>
      <c r="J765">
        <v>3</v>
      </c>
      <c r="K765">
        <v>2</v>
      </c>
      <c r="L765" t="s">
        <v>2041</v>
      </c>
      <c r="M765">
        <v>460</v>
      </c>
      <c r="N765">
        <v>3260</v>
      </c>
      <c r="O765">
        <v>9494</v>
      </c>
      <c r="P765" s="13">
        <f t="shared" si="77"/>
        <v>0</v>
      </c>
      <c r="Q765" t="str">
        <f t="shared" si="78"/>
        <v>No</v>
      </c>
      <c r="R765" t="str" cm="1">
        <f t="array" ref="R765">_xlfn.IFS(K765=0,"On Time",K765&lt;=2,"Minor",K765&lt;=5,"Major",K765&gt;5,"Severe")</f>
        <v>Minor</v>
      </c>
      <c r="S765">
        <f t="shared" si="79"/>
        <v>4747</v>
      </c>
      <c r="T765">
        <f t="shared" si="80"/>
        <v>1630</v>
      </c>
      <c r="U765">
        <f t="shared" si="81"/>
        <v>2024</v>
      </c>
      <c r="V765">
        <f t="shared" si="82"/>
        <v>4</v>
      </c>
      <c r="W765" s="11">
        <f t="shared" si="83"/>
        <v>1</v>
      </c>
    </row>
    <row r="766" spans="1:23">
      <c r="A766" t="s">
        <v>779</v>
      </c>
      <c r="B766" s="4">
        <v>45553</v>
      </c>
      <c r="C766" t="s">
        <v>2017</v>
      </c>
      <c r="D766" t="s">
        <v>2022</v>
      </c>
      <c r="E766" t="s">
        <v>2029</v>
      </c>
      <c r="F766" t="s">
        <v>2031</v>
      </c>
      <c r="G766" t="s">
        <v>2037</v>
      </c>
      <c r="H766" t="s">
        <v>2038</v>
      </c>
      <c r="I766">
        <v>5</v>
      </c>
      <c r="J766">
        <v>7</v>
      </c>
      <c r="K766">
        <v>2</v>
      </c>
      <c r="L766" t="s">
        <v>2041</v>
      </c>
      <c r="M766">
        <v>349</v>
      </c>
      <c r="N766">
        <v>3742</v>
      </c>
      <c r="O766">
        <v>4504</v>
      </c>
      <c r="P766" s="13">
        <f t="shared" si="77"/>
        <v>0</v>
      </c>
      <c r="Q766" t="str">
        <f t="shared" si="78"/>
        <v>No</v>
      </c>
      <c r="R766" t="str" cm="1">
        <f t="array" ref="R766">_xlfn.IFS(K766=0,"On Time",K766&lt;=2,"Minor",K766&lt;=5,"Major",K766&gt;5,"Severe")</f>
        <v>Minor</v>
      </c>
      <c r="S766">
        <f t="shared" si="79"/>
        <v>2252</v>
      </c>
      <c r="T766">
        <f t="shared" si="80"/>
        <v>1871</v>
      </c>
      <c r="U766">
        <f t="shared" si="81"/>
        <v>2024</v>
      </c>
      <c r="V766">
        <f t="shared" si="82"/>
        <v>9</v>
      </c>
      <c r="W766" s="11">
        <f t="shared" si="83"/>
        <v>1</v>
      </c>
    </row>
    <row r="767" spans="1:23">
      <c r="A767" t="s">
        <v>780</v>
      </c>
      <c r="B767" s="4">
        <v>45610</v>
      </c>
      <c r="C767" t="s">
        <v>2018</v>
      </c>
      <c r="D767" t="s">
        <v>2026</v>
      </c>
      <c r="E767" t="s">
        <v>2028</v>
      </c>
      <c r="F767" t="s">
        <v>2032</v>
      </c>
      <c r="G767" t="s">
        <v>2033</v>
      </c>
      <c r="H767" t="s">
        <v>2039</v>
      </c>
      <c r="I767">
        <v>1</v>
      </c>
      <c r="J767">
        <v>3</v>
      </c>
      <c r="K767">
        <v>2</v>
      </c>
      <c r="L767" t="s">
        <v>2041</v>
      </c>
      <c r="M767">
        <v>281</v>
      </c>
      <c r="N767">
        <v>4886</v>
      </c>
      <c r="O767">
        <v>5144</v>
      </c>
      <c r="P767" s="13">
        <f t="shared" si="77"/>
        <v>0</v>
      </c>
      <c r="Q767" t="str">
        <f t="shared" si="78"/>
        <v>No</v>
      </c>
      <c r="R767" t="str" cm="1">
        <f t="array" ref="R767">_xlfn.IFS(K767=0,"On Time",K767&lt;=2,"Minor",K767&lt;=5,"Major",K767&gt;5,"Severe")</f>
        <v>Minor</v>
      </c>
      <c r="S767">
        <f t="shared" si="79"/>
        <v>2572</v>
      </c>
      <c r="T767">
        <f t="shared" si="80"/>
        <v>2443</v>
      </c>
      <c r="U767">
        <f t="shared" si="81"/>
        <v>2024</v>
      </c>
      <c r="V767">
        <f t="shared" si="82"/>
        <v>11</v>
      </c>
      <c r="W767" s="11">
        <f t="shared" si="83"/>
        <v>1</v>
      </c>
    </row>
    <row r="768" spans="1:23">
      <c r="A768" t="s">
        <v>781</v>
      </c>
      <c r="B768" s="4">
        <v>45386</v>
      </c>
      <c r="C768" t="s">
        <v>2018</v>
      </c>
      <c r="D768" t="s">
        <v>2024</v>
      </c>
      <c r="E768" t="s">
        <v>2029</v>
      </c>
      <c r="F768" t="s">
        <v>2031</v>
      </c>
      <c r="G768" t="s">
        <v>2035</v>
      </c>
      <c r="H768" t="s">
        <v>2039</v>
      </c>
      <c r="I768">
        <v>5</v>
      </c>
      <c r="J768">
        <v>6</v>
      </c>
      <c r="K768">
        <v>1</v>
      </c>
      <c r="L768" t="s">
        <v>2041</v>
      </c>
      <c r="M768">
        <v>356</v>
      </c>
      <c r="N768">
        <v>1709</v>
      </c>
      <c r="O768">
        <v>2845</v>
      </c>
      <c r="P768" s="13">
        <f t="shared" si="77"/>
        <v>0</v>
      </c>
      <c r="Q768" t="str">
        <f t="shared" si="78"/>
        <v>No</v>
      </c>
      <c r="R768" t="str" cm="1">
        <f t="array" ref="R768">_xlfn.IFS(K768=0,"On Time",K768&lt;=2,"Minor",K768&lt;=5,"Major",K768&gt;5,"Severe")</f>
        <v>Minor</v>
      </c>
      <c r="S768">
        <f t="shared" si="79"/>
        <v>2845</v>
      </c>
      <c r="T768">
        <f t="shared" si="80"/>
        <v>1709</v>
      </c>
      <c r="U768">
        <f t="shared" si="81"/>
        <v>2024</v>
      </c>
      <c r="V768">
        <f t="shared" si="82"/>
        <v>4</v>
      </c>
      <c r="W768" s="11">
        <f t="shared" si="83"/>
        <v>1</v>
      </c>
    </row>
    <row r="769" spans="1:23">
      <c r="A769" t="s">
        <v>782</v>
      </c>
      <c r="B769" s="4">
        <v>45432</v>
      </c>
      <c r="C769" t="s">
        <v>2017</v>
      </c>
      <c r="D769" t="s">
        <v>2023</v>
      </c>
      <c r="E769" t="s">
        <v>2029</v>
      </c>
      <c r="F769" t="s">
        <v>2032</v>
      </c>
      <c r="G769" t="s">
        <v>2033</v>
      </c>
      <c r="H769" t="s">
        <v>2038</v>
      </c>
      <c r="I769">
        <v>2</v>
      </c>
      <c r="J769">
        <v>9</v>
      </c>
      <c r="K769">
        <v>7</v>
      </c>
      <c r="L769" t="s">
        <v>2041</v>
      </c>
      <c r="M769">
        <v>102</v>
      </c>
      <c r="N769">
        <v>15337</v>
      </c>
      <c r="O769">
        <v>33166</v>
      </c>
      <c r="P769" s="13">
        <f t="shared" si="77"/>
        <v>0</v>
      </c>
      <c r="Q769" t="str">
        <f t="shared" si="78"/>
        <v>No</v>
      </c>
      <c r="R769" t="str" cm="1">
        <f t="array" ref="R769">_xlfn.IFS(K769=0,"On Time",K769&lt;=2,"Minor",K769&lt;=5,"Major",K769&gt;5,"Severe")</f>
        <v>Severe</v>
      </c>
      <c r="S769">
        <f t="shared" si="79"/>
        <v>4738</v>
      </c>
      <c r="T769">
        <f t="shared" si="80"/>
        <v>2191</v>
      </c>
      <c r="U769">
        <f t="shared" si="81"/>
        <v>2024</v>
      </c>
      <c r="V769">
        <f t="shared" si="82"/>
        <v>5</v>
      </c>
      <c r="W769" s="11">
        <f t="shared" si="83"/>
        <v>1</v>
      </c>
    </row>
    <row r="770" spans="1:23">
      <c r="A770" t="s">
        <v>783</v>
      </c>
      <c r="B770" s="4">
        <v>45630</v>
      </c>
      <c r="C770" t="s">
        <v>2018</v>
      </c>
      <c r="D770" t="s">
        <v>2024</v>
      </c>
      <c r="E770" t="s">
        <v>2027</v>
      </c>
      <c r="F770" t="s">
        <v>2032</v>
      </c>
      <c r="G770" t="s">
        <v>2036</v>
      </c>
      <c r="H770" t="s">
        <v>2038</v>
      </c>
      <c r="I770">
        <v>1</v>
      </c>
      <c r="J770">
        <v>3</v>
      </c>
      <c r="K770">
        <v>2</v>
      </c>
      <c r="L770" t="s">
        <v>2041</v>
      </c>
      <c r="M770">
        <v>172</v>
      </c>
      <c r="N770">
        <v>2382</v>
      </c>
      <c r="O770">
        <v>7550</v>
      </c>
      <c r="P770" s="13">
        <f t="shared" si="77"/>
        <v>0</v>
      </c>
      <c r="Q770" t="str">
        <f t="shared" si="78"/>
        <v>No</v>
      </c>
      <c r="R770" t="str" cm="1">
        <f t="array" ref="R770">_xlfn.IFS(K770=0,"On Time",K770&lt;=2,"Minor",K770&lt;=5,"Major",K770&gt;5,"Severe")</f>
        <v>Minor</v>
      </c>
      <c r="S770">
        <f t="shared" si="79"/>
        <v>3775</v>
      </c>
      <c r="T770">
        <f t="shared" si="80"/>
        <v>1191</v>
      </c>
      <c r="U770">
        <f t="shared" si="81"/>
        <v>2024</v>
      </c>
      <c r="V770">
        <f t="shared" si="82"/>
        <v>12</v>
      </c>
      <c r="W770" s="11">
        <f t="shared" si="83"/>
        <v>1</v>
      </c>
    </row>
    <row r="771" spans="1:23">
      <c r="A771" t="s">
        <v>784</v>
      </c>
      <c r="B771" s="4">
        <v>45514</v>
      </c>
      <c r="C771" t="s">
        <v>2018</v>
      </c>
      <c r="D771" t="s">
        <v>2024</v>
      </c>
      <c r="E771" t="s">
        <v>2029</v>
      </c>
      <c r="F771" t="s">
        <v>2031</v>
      </c>
      <c r="G771" t="s">
        <v>2033</v>
      </c>
      <c r="H771" t="s">
        <v>2039</v>
      </c>
      <c r="I771">
        <v>2</v>
      </c>
      <c r="J771">
        <v>5</v>
      </c>
      <c r="K771">
        <v>3</v>
      </c>
      <c r="L771" t="s">
        <v>2041</v>
      </c>
      <c r="M771">
        <v>65</v>
      </c>
      <c r="N771">
        <v>7191</v>
      </c>
      <c r="O771">
        <v>9039</v>
      </c>
      <c r="P771" s="13">
        <f t="shared" ref="P771:P834" si="84">IF(L771="Yes",0,1)</f>
        <v>0</v>
      </c>
      <c r="Q771" t="str">
        <f t="shared" ref="Q771:Q834" si="85">IF(K771&gt;J771,"Yes","No")</f>
        <v>No</v>
      </c>
      <c r="R771" t="str" cm="1">
        <f t="array" ref="R771">_xlfn.IFS(K771=0,"On Time",K771&lt;=2,"Minor",K771&lt;=5,"Major",K771&gt;5,"Severe")</f>
        <v>Major</v>
      </c>
      <c r="S771">
        <f t="shared" ref="S771:S834" si="86">IFERROR(O771/K771,0)</f>
        <v>3013</v>
      </c>
      <c r="T771">
        <f t="shared" ref="T771:T834" si="87">IFERROR(N771/K771,0)</f>
        <v>2397</v>
      </c>
      <c r="U771">
        <f t="shared" ref="U771:U834" si="88">YEAR(B771)</f>
        <v>2024</v>
      </c>
      <c r="V771">
        <f t="shared" ref="V771:V834" si="89">MONTH(B771)</f>
        <v>8</v>
      </c>
      <c r="W771" s="11">
        <f t="shared" ref="W771:W834" si="90">IF(L771="Yes",1,0)</f>
        <v>1</v>
      </c>
    </row>
    <row r="772" spans="1:23">
      <c r="A772" t="s">
        <v>785</v>
      </c>
      <c r="B772" s="4">
        <v>45342</v>
      </c>
      <c r="C772" t="s">
        <v>2016</v>
      </c>
      <c r="D772" t="s">
        <v>2025</v>
      </c>
      <c r="E772" t="s">
        <v>2028</v>
      </c>
      <c r="F772" t="s">
        <v>2031</v>
      </c>
      <c r="G772" t="s">
        <v>2036</v>
      </c>
      <c r="H772" t="s">
        <v>2039</v>
      </c>
      <c r="I772">
        <v>3</v>
      </c>
      <c r="J772">
        <v>4</v>
      </c>
      <c r="K772">
        <v>1</v>
      </c>
      <c r="L772" t="s">
        <v>2041</v>
      </c>
      <c r="M772">
        <v>308</v>
      </c>
      <c r="N772">
        <v>2287</v>
      </c>
      <c r="O772">
        <v>3786</v>
      </c>
      <c r="P772" s="13">
        <f t="shared" si="84"/>
        <v>0</v>
      </c>
      <c r="Q772" t="str">
        <f t="shared" si="85"/>
        <v>No</v>
      </c>
      <c r="R772" t="str" cm="1">
        <f t="array" ref="R772">_xlfn.IFS(K772=0,"On Time",K772&lt;=2,"Minor",K772&lt;=5,"Major",K772&gt;5,"Severe")</f>
        <v>Minor</v>
      </c>
      <c r="S772">
        <f t="shared" si="86"/>
        <v>3786</v>
      </c>
      <c r="T772">
        <f t="shared" si="87"/>
        <v>2287</v>
      </c>
      <c r="U772">
        <f t="shared" si="88"/>
        <v>2024</v>
      </c>
      <c r="V772">
        <f t="shared" si="89"/>
        <v>2</v>
      </c>
      <c r="W772" s="11">
        <f t="shared" si="90"/>
        <v>1</v>
      </c>
    </row>
    <row r="773" spans="1:23">
      <c r="A773" t="s">
        <v>786</v>
      </c>
      <c r="B773" s="4">
        <v>45558</v>
      </c>
      <c r="C773" t="s">
        <v>2018</v>
      </c>
      <c r="D773" t="s">
        <v>2024</v>
      </c>
      <c r="E773" t="s">
        <v>2027</v>
      </c>
      <c r="F773" t="s">
        <v>2031</v>
      </c>
      <c r="G773" t="s">
        <v>2036</v>
      </c>
      <c r="H773" t="s">
        <v>2039</v>
      </c>
      <c r="I773">
        <v>2</v>
      </c>
      <c r="J773">
        <v>6</v>
      </c>
      <c r="K773">
        <v>4</v>
      </c>
      <c r="L773" t="s">
        <v>2041</v>
      </c>
      <c r="M773">
        <v>446</v>
      </c>
      <c r="N773">
        <v>5848</v>
      </c>
      <c r="O773">
        <v>15924</v>
      </c>
      <c r="P773" s="13">
        <f t="shared" si="84"/>
        <v>0</v>
      </c>
      <c r="Q773" t="str">
        <f t="shared" si="85"/>
        <v>No</v>
      </c>
      <c r="R773" t="str" cm="1">
        <f t="array" ref="R773">_xlfn.IFS(K773=0,"On Time",K773&lt;=2,"Minor",K773&lt;=5,"Major",K773&gt;5,"Severe")</f>
        <v>Major</v>
      </c>
      <c r="S773">
        <f t="shared" si="86"/>
        <v>3981</v>
      </c>
      <c r="T773">
        <f t="shared" si="87"/>
        <v>1462</v>
      </c>
      <c r="U773">
        <f t="shared" si="88"/>
        <v>2024</v>
      </c>
      <c r="V773">
        <f t="shared" si="89"/>
        <v>9</v>
      </c>
      <c r="W773" s="11">
        <f t="shared" si="90"/>
        <v>1</v>
      </c>
    </row>
    <row r="774" spans="1:23">
      <c r="A774" t="s">
        <v>787</v>
      </c>
      <c r="B774" s="4">
        <v>45601</v>
      </c>
      <c r="C774" t="s">
        <v>2017</v>
      </c>
      <c r="D774" t="s">
        <v>2022</v>
      </c>
      <c r="E774" t="s">
        <v>2029</v>
      </c>
      <c r="F774" t="s">
        <v>2031</v>
      </c>
      <c r="G774" t="s">
        <v>2033</v>
      </c>
      <c r="H774" t="s">
        <v>2040</v>
      </c>
      <c r="I774">
        <v>3</v>
      </c>
      <c r="J774">
        <v>7</v>
      </c>
      <c r="K774">
        <v>4</v>
      </c>
      <c r="L774" t="s">
        <v>2041</v>
      </c>
      <c r="M774">
        <v>278</v>
      </c>
      <c r="N774">
        <v>5420</v>
      </c>
      <c r="O774">
        <v>18116</v>
      </c>
      <c r="P774" s="13">
        <f t="shared" si="84"/>
        <v>0</v>
      </c>
      <c r="Q774" t="str">
        <f t="shared" si="85"/>
        <v>No</v>
      </c>
      <c r="R774" t="str" cm="1">
        <f t="array" ref="R774">_xlfn.IFS(K774=0,"On Time",K774&lt;=2,"Minor",K774&lt;=5,"Major",K774&gt;5,"Severe")</f>
        <v>Major</v>
      </c>
      <c r="S774">
        <f t="shared" si="86"/>
        <v>4529</v>
      </c>
      <c r="T774">
        <f t="shared" si="87"/>
        <v>1355</v>
      </c>
      <c r="U774">
        <f t="shared" si="88"/>
        <v>2024</v>
      </c>
      <c r="V774">
        <f t="shared" si="89"/>
        <v>11</v>
      </c>
      <c r="W774" s="11">
        <f t="shared" si="90"/>
        <v>1</v>
      </c>
    </row>
    <row r="775" spans="1:23">
      <c r="A775" t="s">
        <v>788</v>
      </c>
      <c r="B775" s="4">
        <v>45344</v>
      </c>
      <c r="C775" t="s">
        <v>2015</v>
      </c>
      <c r="D775" t="s">
        <v>2020</v>
      </c>
      <c r="E775" t="s">
        <v>2027</v>
      </c>
      <c r="F775" t="s">
        <v>2030</v>
      </c>
      <c r="G775" t="s">
        <v>2036</v>
      </c>
      <c r="H775" t="s">
        <v>2039</v>
      </c>
      <c r="I775">
        <v>2</v>
      </c>
      <c r="J775">
        <v>4</v>
      </c>
      <c r="K775">
        <v>2</v>
      </c>
      <c r="L775" t="s">
        <v>2041</v>
      </c>
      <c r="M775">
        <v>126</v>
      </c>
      <c r="N775">
        <v>2578</v>
      </c>
      <c r="O775">
        <v>3816</v>
      </c>
      <c r="P775" s="13">
        <f t="shared" si="84"/>
        <v>0</v>
      </c>
      <c r="Q775" t="str">
        <f t="shared" si="85"/>
        <v>No</v>
      </c>
      <c r="R775" t="str" cm="1">
        <f t="array" ref="R775">_xlfn.IFS(K775=0,"On Time",K775&lt;=2,"Minor",K775&lt;=5,"Major",K775&gt;5,"Severe")</f>
        <v>Minor</v>
      </c>
      <c r="S775">
        <f t="shared" si="86"/>
        <v>1908</v>
      </c>
      <c r="T775">
        <f t="shared" si="87"/>
        <v>1289</v>
      </c>
      <c r="U775">
        <f t="shared" si="88"/>
        <v>2024</v>
      </c>
      <c r="V775">
        <f t="shared" si="89"/>
        <v>2</v>
      </c>
      <c r="W775" s="11">
        <f t="shared" si="90"/>
        <v>1</v>
      </c>
    </row>
    <row r="776" spans="1:23">
      <c r="A776" t="s">
        <v>789</v>
      </c>
      <c r="B776" s="4">
        <v>45578</v>
      </c>
      <c r="C776" t="s">
        <v>2018</v>
      </c>
      <c r="D776" t="s">
        <v>2026</v>
      </c>
      <c r="E776" t="s">
        <v>2029</v>
      </c>
      <c r="F776" t="s">
        <v>2030</v>
      </c>
      <c r="G776" t="s">
        <v>2035</v>
      </c>
      <c r="H776" t="s">
        <v>2038</v>
      </c>
      <c r="I776">
        <v>1</v>
      </c>
      <c r="J776">
        <v>4</v>
      </c>
      <c r="K776">
        <v>3</v>
      </c>
      <c r="L776" t="s">
        <v>2041</v>
      </c>
      <c r="M776">
        <v>302</v>
      </c>
      <c r="N776">
        <v>3789</v>
      </c>
      <c r="O776">
        <v>14097</v>
      </c>
      <c r="P776" s="13">
        <f t="shared" si="84"/>
        <v>0</v>
      </c>
      <c r="Q776" t="str">
        <f t="shared" si="85"/>
        <v>No</v>
      </c>
      <c r="R776" t="str" cm="1">
        <f t="array" ref="R776">_xlfn.IFS(K776=0,"On Time",K776&lt;=2,"Minor",K776&lt;=5,"Major",K776&gt;5,"Severe")</f>
        <v>Major</v>
      </c>
      <c r="S776">
        <f t="shared" si="86"/>
        <v>4699</v>
      </c>
      <c r="T776">
        <f t="shared" si="87"/>
        <v>1263</v>
      </c>
      <c r="U776">
        <f t="shared" si="88"/>
        <v>2024</v>
      </c>
      <c r="V776">
        <f t="shared" si="89"/>
        <v>10</v>
      </c>
      <c r="W776" s="11">
        <f t="shared" si="90"/>
        <v>1</v>
      </c>
    </row>
    <row r="777" spans="1:23">
      <c r="A777" t="s">
        <v>790</v>
      </c>
      <c r="B777" s="4">
        <v>45433</v>
      </c>
      <c r="C777" t="s">
        <v>2015</v>
      </c>
      <c r="D777" t="s">
        <v>2019</v>
      </c>
      <c r="E777" t="s">
        <v>2027</v>
      </c>
      <c r="F777" t="s">
        <v>2031</v>
      </c>
      <c r="G777" t="s">
        <v>2036</v>
      </c>
      <c r="H777" t="s">
        <v>2038</v>
      </c>
      <c r="I777">
        <v>2</v>
      </c>
      <c r="J777">
        <v>7</v>
      </c>
      <c r="K777">
        <v>5</v>
      </c>
      <c r="L777" t="s">
        <v>2041</v>
      </c>
      <c r="M777">
        <v>57</v>
      </c>
      <c r="N777">
        <v>5845</v>
      </c>
      <c r="O777">
        <v>22170</v>
      </c>
      <c r="P777" s="13">
        <f t="shared" si="84"/>
        <v>0</v>
      </c>
      <c r="Q777" t="str">
        <f t="shared" si="85"/>
        <v>No</v>
      </c>
      <c r="R777" t="str" cm="1">
        <f t="array" ref="R777">_xlfn.IFS(K777=0,"On Time",K777&lt;=2,"Minor",K777&lt;=5,"Major",K777&gt;5,"Severe")</f>
        <v>Major</v>
      </c>
      <c r="S777">
        <f t="shared" si="86"/>
        <v>4434</v>
      </c>
      <c r="T777">
        <f t="shared" si="87"/>
        <v>1169</v>
      </c>
      <c r="U777">
        <f t="shared" si="88"/>
        <v>2024</v>
      </c>
      <c r="V777">
        <f t="shared" si="89"/>
        <v>5</v>
      </c>
      <c r="W777" s="11">
        <f t="shared" si="90"/>
        <v>1</v>
      </c>
    </row>
    <row r="778" spans="1:23">
      <c r="A778" t="s">
        <v>791</v>
      </c>
      <c r="B778" s="4">
        <v>45648</v>
      </c>
      <c r="C778" t="s">
        <v>2015</v>
      </c>
      <c r="D778" t="s">
        <v>2020</v>
      </c>
      <c r="E778" t="s">
        <v>2027</v>
      </c>
      <c r="F778" t="s">
        <v>2031</v>
      </c>
      <c r="G778" t="s">
        <v>2036</v>
      </c>
      <c r="H778" t="s">
        <v>2039</v>
      </c>
      <c r="I778">
        <v>2</v>
      </c>
      <c r="J778">
        <v>2</v>
      </c>
      <c r="K778">
        <v>0</v>
      </c>
      <c r="L778" t="s">
        <v>2042</v>
      </c>
      <c r="M778">
        <v>344</v>
      </c>
      <c r="N778">
        <v>0</v>
      </c>
      <c r="O778">
        <v>0</v>
      </c>
      <c r="P778" s="13">
        <f t="shared" si="84"/>
        <v>1</v>
      </c>
      <c r="Q778" t="str">
        <f t="shared" si="85"/>
        <v>No</v>
      </c>
      <c r="R778" t="str" cm="1">
        <f t="array" ref="R778">_xlfn.IFS(K778=0,"On Time",K778&lt;=2,"Minor",K778&lt;=5,"Major",K778&gt;5,"Severe")</f>
        <v>On Time</v>
      </c>
      <c r="S778">
        <f t="shared" si="86"/>
        <v>0</v>
      </c>
      <c r="T778">
        <f t="shared" si="87"/>
        <v>0</v>
      </c>
      <c r="U778">
        <f t="shared" si="88"/>
        <v>2024</v>
      </c>
      <c r="V778">
        <f t="shared" si="89"/>
        <v>12</v>
      </c>
      <c r="W778" s="11">
        <f t="shared" si="90"/>
        <v>0</v>
      </c>
    </row>
    <row r="779" spans="1:23">
      <c r="A779" t="s">
        <v>792</v>
      </c>
      <c r="B779" s="4">
        <v>45600</v>
      </c>
      <c r="C779" t="s">
        <v>2017</v>
      </c>
      <c r="D779" t="s">
        <v>2022</v>
      </c>
      <c r="E779" t="s">
        <v>2027</v>
      </c>
      <c r="F779" t="s">
        <v>2030</v>
      </c>
      <c r="G779" t="s">
        <v>2033</v>
      </c>
      <c r="H779" t="s">
        <v>2040</v>
      </c>
      <c r="I779">
        <v>3</v>
      </c>
      <c r="J779">
        <v>8</v>
      </c>
      <c r="K779">
        <v>5</v>
      </c>
      <c r="L779" t="s">
        <v>2041</v>
      </c>
      <c r="M779">
        <v>68</v>
      </c>
      <c r="N779">
        <v>4455</v>
      </c>
      <c r="O779">
        <v>13735</v>
      </c>
      <c r="P779" s="13">
        <f t="shared" si="84"/>
        <v>0</v>
      </c>
      <c r="Q779" t="str">
        <f t="shared" si="85"/>
        <v>No</v>
      </c>
      <c r="R779" t="str" cm="1">
        <f t="array" ref="R779">_xlfn.IFS(K779=0,"On Time",K779&lt;=2,"Minor",K779&lt;=5,"Major",K779&gt;5,"Severe")</f>
        <v>Major</v>
      </c>
      <c r="S779">
        <f t="shared" si="86"/>
        <v>2747</v>
      </c>
      <c r="T779">
        <f t="shared" si="87"/>
        <v>891</v>
      </c>
      <c r="U779">
        <f t="shared" si="88"/>
        <v>2024</v>
      </c>
      <c r="V779">
        <f t="shared" si="89"/>
        <v>11</v>
      </c>
      <c r="W779" s="11">
        <f t="shared" si="90"/>
        <v>1</v>
      </c>
    </row>
    <row r="780" spans="1:23">
      <c r="A780" t="s">
        <v>793</v>
      </c>
      <c r="B780" s="4">
        <v>45627</v>
      </c>
      <c r="C780" t="s">
        <v>2015</v>
      </c>
      <c r="D780" t="s">
        <v>2020</v>
      </c>
      <c r="E780" t="s">
        <v>2029</v>
      </c>
      <c r="F780" t="s">
        <v>2031</v>
      </c>
      <c r="G780" t="s">
        <v>2033</v>
      </c>
      <c r="H780" t="s">
        <v>2038</v>
      </c>
      <c r="I780">
        <v>2</v>
      </c>
      <c r="J780">
        <v>6</v>
      </c>
      <c r="K780">
        <v>4</v>
      </c>
      <c r="L780" t="s">
        <v>2041</v>
      </c>
      <c r="M780">
        <v>230</v>
      </c>
      <c r="N780">
        <v>4040</v>
      </c>
      <c r="O780">
        <v>12672</v>
      </c>
      <c r="P780" s="13">
        <f t="shared" si="84"/>
        <v>0</v>
      </c>
      <c r="Q780" t="str">
        <f t="shared" si="85"/>
        <v>No</v>
      </c>
      <c r="R780" t="str" cm="1">
        <f t="array" ref="R780">_xlfn.IFS(K780=0,"On Time",K780&lt;=2,"Minor",K780&lt;=5,"Major",K780&gt;5,"Severe")</f>
        <v>Major</v>
      </c>
      <c r="S780">
        <f t="shared" si="86"/>
        <v>3168</v>
      </c>
      <c r="T780">
        <f t="shared" si="87"/>
        <v>1010</v>
      </c>
      <c r="U780">
        <f t="shared" si="88"/>
        <v>2024</v>
      </c>
      <c r="V780">
        <f t="shared" si="89"/>
        <v>12</v>
      </c>
      <c r="W780" s="11">
        <f t="shared" si="90"/>
        <v>1</v>
      </c>
    </row>
    <row r="781" spans="1:23">
      <c r="A781" t="s">
        <v>794</v>
      </c>
      <c r="B781" s="4">
        <v>45554</v>
      </c>
      <c r="C781" t="s">
        <v>2018</v>
      </c>
      <c r="D781" t="s">
        <v>2024</v>
      </c>
      <c r="E781" t="s">
        <v>2027</v>
      </c>
      <c r="F781" t="s">
        <v>2031</v>
      </c>
      <c r="G781" t="s">
        <v>2036</v>
      </c>
      <c r="H781" t="s">
        <v>2040</v>
      </c>
      <c r="I781">
        <v>5</v>
      </c>
      <c r="J781">
        <v>13</v>
      </c>
      <c r="K781">
        <v>8</v>
      </c>
      <c r="L781" t="s">
        <v>2041</v>
      </c>
      <c r="M781">
        <v>455</v>
      </c>
      <c r="N781">
        <v>9160</v>
      </c>
      <c r="O781">
        <v>16720</v>
      </c>
      <c r="P781" s="13">
        <f t="shared" si="84"/>
        <v>0</v>
      </c>
      <c r="Q781" t="str">
        <f t="shared" si="85"/>
        <v>No</v>
      </c>
      <c r="R781" t="str" cm="1">
        <f t="array" ref="R781">_xlfn.IFS(K781=0,"On Time",K781&lt;=2,"Minor",K781&lt;=5,"Major",K781&gt;5,"Severe")</f>
        <v>Severe</v>
      </c>
      <c r="S781">
        <f t="shared" si="86"/>
        <v>2090</v>
      </c>
      <c r="T781">
        <f t="shared" si="87"/>
        <v>1145</v>
      </c>
      <c r="U781">
        <f t="shared" si="88"/>
        <v>2024</v>
      </c>
      <c r="V781">
        <f t="shared" si="89"/>
        <v>9</v>
      </c>
      <c r="W781" s="11">
        <f t="shared" si="90"/>
        <v>1</v>
      </c>
    </row>
    <row r="782" spans="1:23">
      <c r="A782" t="s">
        <v>795</v>
      </c>
      <c r="B782" s="4">
        <v>45322</v>
      </c>
      <c r="C782" t="s">
        <v>2016</v>
      </c>
      <c r="D782" t="s">
        <v>2021</v>
      </c>
      <c r="E782" t="s">
        <v>2029</v>
      </c>
      <c r="F782" t="s">
        <v>2031</v>
      </c>
      <c r="G782" t="s">
        <v>2034</v>
      </c>
      <c r="H782" t="s">
        <v>2038</v>
      </c>
      <c r="I782">
        <v>2</v>
      </c>
      <c r="J782">
        <v>2</v>
      </c>
      <c r="K782">
        <v>0</v>
      </c>
      <c r="L782" t="s">
        <v>2042</v>
      </c>
      <c r="M782">
        <v>144</v>
      </c>
      <c r="N782">
        <v>0</v>
      </c>
      <c r="O782">
        <v>0</v>
      </c>
      <c r="P782" s="13">
        <f t="shared" si="84"/>
        <v>1</v>
      </c>
      <c r="Q782" t="str">
        <f t="shared" si="85"/>
        <v>No</v>
      </c>
      <c r="R782" t="str" cm="1">
        <f t="array" ref="R782">_xlfn.IFS(K782=0,"On Time",K782&lt;=2,"Minor",K782&lt;=5,"Major",K782&gt;5,"Severe")</f>
        <v>On Time</v>
      </c>
      <c r="S782">
        <f t="shared" si="86"/>
        <v>0</v>
      </c>
      <c r="T782">
        <f t="shared" si="87"/>
        <v>0</v>
      </c>
      <c r="U782">
        <f t="shared" si="88"/>
        <v>2024</v>
      </c>
      <c r="V782">
        <f t="shared" si="89"/>
        <v>1</v>
      </c>
      <c r="W782" s="11">
        <f t="shared" si="90"/>
        <v>0</v>
      </c>
    </row>
    <row r="783" spans="1:23">
      <c r="A783" t="s">
        <v>796</v>
      </c>
      <c r="B783" s="4">
        <v>45452</v>
      </c>
      <c r="C783" t="s">
        <v>2016</v>
      </c>
      <c r="D783" t="s">
        <v>2025</v>
      </c>
      <c r="E783" t="s">
        <v>2029</v>
      </c>
      <c r="F783" t="s">
        <v>2031</v>
      </c>
      <c r="G783" t="s">
        <v>2036</v>
      </c>
      <c r="H783" t="s">
        <v>2038</v>
      </c>
      <c r="I783">
        <v>2</v>
      </c>
      <c r="J783">
        <v>5</v>
      </c>
      <c r="K783">
        <v>3</v>
      </c>
      <c r="L783" t="s">
        <v>2041</v>
      </c>
      <c r="M783">
        <v>409</v>
      </c>
      <c r="N783">
        <v>3828</v>
      </c>
      <c r="O783">
        <v>4857</v>
      </c>
      <c r="P783" s="13">
        <f t="shared" si="84"/>
        <v>0</v>
      </c>
      <c r="Q783" t="str">
        <f t="shared" si="85"/>
        <v>No</v>
      </c>
      <c r="R783" t="str" cm="1">
        <f t="array" ref="R783">_xlfn.IFS(K783=0,"On Time",K783&lt;=2,"Minor",K783&lt;=5,"Major",K783&gt;5,"Severe")</f>
        <v>Major</v>
      </c>
      <c r="S783">
        <f t="shared" si="86"/>
        <v>1619</v>
      </c>
      <c r="T783">
        <f t="shared" si="87"/>
        <v>1276</v>
      </c>
      <c r="U783">
        <f t="shared" si="88"/>
        <v>2024</v>
      </c>
      <c r="V783">
        <f t="shared" si="89"/>
        <v>6</v>
      </c>
      <c r="W783" s="11">
        <f t="shared" si="90"/>
        <v>1</v>
      </c>
    </row>
    <row r="784" spans="1:23">
      <c r="A784" t="s">
        <v>797</v>
      </c>
      <c r="B784" s="4">
        <v>45638</v>
      </c>
      <c r="C784" t="s">
        <v>2016</v>
      </c>
      <c r="D784" t="s">
        <v>2025</v>
      </c>
      <c r="E784" t="s">
        <v>2029</v>
      </c>
      <c r="F784" t="s">
        <v>2032</v>
      </c>
      <c r="G784" t="s">
        <v>2033</v>
      </c>
      <c r="H784" t="s">
        <v>2039</v>
      </c>
      <c r="I784">
        <v>1</v>
      </c>
      <c r="J784">
        <v>7</v>
      </c>
      <c r="K784">
        <v>6</v>
      </c>
      <c r="L784" t="s">
        <v>2041</v>
      </c>
      <c r="M784">
        <v>258</v>
      </c>
      <c r="N784">
        <v>9018</v>
      </c>
      <c r="O784">
        <v>12054</v>
      </c>
      <c r="P784" s="13">
        <f t="shared" si="84"/>
        <v>0</v>
      </c>
      <c r="Q784" t="str">
        <f t="shared" si="85"/>
        <v>No</v>
      </c>
      <c r="R784" t="str" cm="1">
        <f t="array" ref="R784">_xlfn.IFS(K784=0,"On Time",K784&lt;=2,"Minor",K784&lt;=5,"Major",K784&gt;5,"Severe")</f>
        <v>Severe</v>
      </c>
      <c r="S784">
        <f t="shared" si="86"/>
        <v>2009</v>
      </c>
      <c r="T784">
        <f t="shared" si="87"/>
        <v>1503</v>
      </c>
      <c r="U784">
        <f t="shared" si="88"/>
        <v>2024</v>
      </c>
      <c r="V784">
        <f t="shared" si="89"/>
        <v>12</v>
      </c>
      <c r="W784" s="11">
        <f t="shared" si="90"/>
        <v>1</v>
      </c>
    </row>
    <row r="785" spans="1:23">
      <c r="A785" t="s">
        <v>798</v>
      </c>
      <c r="B785" s="4">
        <v>45624</v>
      </c>
      <c r="C785" t="s">
        <v>2015</v>
      </c>
      <c r="D785" t="s">
        <v>2019</v>
      </c>
      <c r="E785" t="s">
        <v>2029</v>
      </c>
      <c r="F785" t="s">
        <v>2032</v>
      </c>
      <c r="G785" t="s">
        <v>2035</v>
      </c>
      <c r="H785" t="s">
        <v>2038</v>
      </c>
      <c r="I785">
        <v>1</v>
      </c>
      <c r="J785">
        <v>7</v>
      </c>
      <c r="K785">
        <v>6</v>
      </c>
      <c r="L785" t="s">
        <v>2041</v>
      </c>
      <c r="M785">
        <v>179</v>
      </c>
      <c r="N785">
        <v>9930</v>
      </c>
      <c r="O785">
        <v>25908</v>
      </c>
      <c r="P785" s="13">
        <f t="shared" si="84"/>
        <v>0</v>
      </c>
      <c r="Q785" t="str">
        <f t="shared" si="85"/>
        <v>No</v>
      </c>
      <c r="R785" t="str" cm="1">
        <f t="array" ref="R785">_xlfn.IFS(K785=0,"On Time",K785&lt;=2,"Minor",K785&lt;=5,"Major",K785&gt;5,"Severe")</f>
        <v>Severe</v>
      </c>
      <c r="S785">
        <f t="shared" si="86"/>
        <v>4318</v>
      </c>
      <c r="T785">
        <f t="shared" si="87"/>
        <v>1655</v>
      </c>
      <c r="U785">
        <f t="shared" si="88"/>
        <v>2024</v>
      </c>
      <c r="V785">
        <f t="shared" si="89"/>
        <v>11</v>
      </c>
      <c r="W785" s="11">
        <f t="shared" si="90"/>
        <v>1</v>
      </c>
    </row>
    <row r="786" spans="1:23">
      <c r="A786" t="s">
        <v>799</v>
      </c>
      <c r="B786" s="4">
        <v>45459</v>
      </c>
      <c r="C786" t="s">
        <v>2016</v>
      </c>
      <c r="D786" t="s">
        <v>2025</v>
      </c>
      <c r="E786" t="s">
        <v>2028</v>
      </c>
      <c r="F786" t="s">
        <v>2032</v>
      </c>
      <c r="G786" t="s">
        <v>2036</v>
      </c>
      <c r="H786" t="s">
        <v>2039</v>
      </c>
      <c r="I786">
        <v>1</v>
      </c>
      <c r="J786">
        <v>7</v>
      </c>
      <c r="K786">
        <v>6</v>
      </c>
      <c r="L786" t="s">
        <v>2041</v>
      </c>
      <c r="M786">
        <v>482</v>
      </c>
      <c r="N786">
        <v>13158</v>
      </c>
      <c r="O786">
        <v>18234</v>
      </c>
      <c r="P786" s="13">
        <f t="shared" si="84"/>
        <v>0</v>
      </c>
      <c r="Q786" t="str">
        <f t="shared" si="85"/>
        <v>No</v>
      </c>
      <c r="R786" t="str" cm="1">
        <f t="array" ref="R786">_xlfn.IFS(K786=0,"On Time",K786&lt;=2,"Minor",K786&lt;=5,"Major",K786&gt;5,"Severe")</f>
        <v>Severe</v>
      </c>
      <c r="S786">
        <f t="shared" si="86"/>
        <v>3039</v>
      </c>
      <c r="T786">
        <f t="shared" si="87"/>
        <v>2193</v>
      </c>
      <c r="U786">
        <f t="shared" si="88"/>
        <v>2024</v>
      </c>
      <c r="V786">
        <f t="shared" si="89"/>
        <v>6</v>
      </c>
      <c r="W786" s="11">
        <f t="shared" si="90"/>
        <v>1</v>
      </c>
    </row>
    <row r="787" spans="1:23">
      <c r="A787" t="s">
        <v>800</v>
      </c>
      <c r="B787" s="4">
        <v>45332</v>
      </c>
      <c r="C787" t="s">
        <v>2017</v>
      </c>
      <c r="D787" t="s">
        <v>2023</v>
      </c>
      <c r="E787" t="s">
        <v>2029</v>
      </c>
      <c r="F787" t="s">
        <v>2030</v>
      </c>
      <c r="G787" t="s">
        <v>2036</v>
      </c>
      <c r="H787" t="s">
        <v>2040</v>
      </c>
      <c r="I787">
        <v>5</v>
      </c>
      <c r="J787">
        <v>12</v>
      </c>
      <c r="K787">
        <v>7</v>
      </c>
      <c r="L787" t="s">
        <v>2041</v>
      </c>
      <c r="M787">
        <v>165</v>
      </c>
      <c r="N787">
        <v>7602</v>
      </c>
      <c r="O787">
        <v>17059</v>
      </c>
      <c r="P787" s="13">
        <f t="shared" si="84"/>
        <v>0</v>
      </c>
      <c r="Q787" t="str">
        <f t="shared" si="85"/>
        <v>No</v>
      </c>
      <c r="R787" t="str" cm="1">
        <f t="array" ref="R787">_xlfn.IFS(K787=0,"On Time",K787&lt;=2,"Minor",K787&lt;=5,"Major",K787&gt;5,"Severe")</f>
        <v>Severe</v>
      </c>
      <c r="S787">
        <f t="shared" si="86"/>
        <v>2437</v>
      </c>
      <c r="T787">
        <f t="shared" si="87"/>
        <v>1086</v>
      </c>
      <c r="U787">
        <f t="shared" si="88"/>
        <v>2024</v>
      </c>
      <c r="V787">
        <f t="shared" si="89"/>
        <v>2</v>
      </c>
      <c r="W787" s="11">
        <f t="shared" si="90"/>
        <v>1</v>
      </c>
    </row>
    <row r="788" spans="1:23">
      <c r="A788" t="s">
        <v>801</v>
      </c>
      <c r="B788" s="4">
        <v>45565</v>
      </c>
      <c r="C788" t="s">
        <v>2016</v>
      </c>
      <c r="D788" t="s">
        <v>2025</v>
      </c>
      <c r="E788" t="s">
        <v>2028</v>
      </c>
      <c r="F788" t="s">
        <v>2031</v>
      </c>
      <c r="G788" t="s">
        <v>2033</v>
      </c>
      <c r="H788" t="s">
        <v>2040</v>
      </c>
      <c r="I788">
        <v>1</v>
      </c>
      <c r="J788">
        <v>4</v>
      </c>
      <c r="K788">
        <v>3</v>
      </c>
      <c r="L788" t="s">
        <v>2041</v>
      </c>
      <c r="M788">
        <v>274</v>
      </c>
      <c r="N788">
        <v>3516</v>
      </c>
      <c r="O788">
        <v>8748</v>
      </c>
      <c r="P788" s="13">
        <f t="shared" si="84"/>
        <v>0</v>
      </c>
      <c r="Q788" t="str">
        <f t="shared" si="85"/>
        <v>No</v>
      </c>
      <c r="R788" t="str" cm="1">
        <f t="array" ref="R788">_xlfn.IFS(K788=0,"On Time",K788&lt;=2,"Minor",K788&lt;=5,"Major",K788&gt;5,"Severe")</f>
        <v>Major</v>
      </c>
      <c r="S788">
        <f t="shared" si="86"/>
        <v>2916</v>
      </c>
      <c r="T788">
        <f t="shared" si="87"/>
        <v>1172</v>
      </c>
      <c r="U788">
        <f t="shared" si="88"/>
        <v>2024</v>
      </c>
      <c r="V788">
        <f t="shared" si="89"/>
        <v>9</v>
      </c>
      <c r="W788" s="11">
        <f t="shared" si="90"/>
        <v>1</v>
      </c>
    </row>
    <row r="789" spans="1:23">
      <c r="A789" t="s">
        <v>802</v>
      </c>
      <c r="B789" s="4">
        <v>45600</v>
      </c>
      <c r="C789" t="s">
        <v>2016</v>
      </c>
      <c r="D789" t="s">
        <v>2025</v>
      </c>
      <c r="E789" t="s">
        <v>2029</v>
      </c>
      <c r="F789" t="s">
        <v>2031</v>
      </c>
      <c r="G789" t="s">
        <v>2033</v>
      </c>
      <c r="H789" t="s">
        <v>2038</v>
      </c>
      <c r="I789">
        <v>3</v>
      </c>
      <c r="J789">
        <v>5</v>
      </c>
      <c r="K789">
        <v>2</v>
      </c>
      <c r="L789" t="s">
        <v>2041</v>
      </c>
      <c r="M789">
        <v>386</v>
      </c>
      <c r="N789">
        <v>3852</v>
      </c>
      <c r="O789">
        <v>8666</v>
      </c>
      <c r="P789" s="13">
        <f t="shared" si="84"/>
        <v>0</v>
      </c>
      <c r="Q789" t="str">
        <f t="shared" si="85"/>
        <v>No</v>
      </c>
      <c r="R789" t="str" cm="1">
        <f t="array" ref="R789">_xlfn.IFS(K789=0,"On Time",K789&lt;=2,"Minor",K789&lt;=5,"Major",K789&gt;5,"Severe")</f>
        <v>Minor</v>
      </c>
      <c r="S789">
        <f t="shared" si="86"/>
        <v>4333</v>
      </c>
      <c r="T789">
        <f t="shared" si="87"/>
        <v>1926</v>
      </c>
      <c r="U789">
        <f t="shared" si="88"/>
        <v>2024</v>
      </c>
      <c r="V789">
        <f t="shared" si="89"/>
        <v>11</v>
      </c>
      <c r="W789" s="11">
        <f t="shared" si="90"/>
        <v>1</v>
      </c>
    </row>
    <row r="790" spans="1:23">
      <c r="A790" t="s">
        <v>803</v>
      </c>
      <c r="B790" s="4">
        <v>45386</v>
      </c>
      <c r="C790" t="s">
        <v>2016</v>
      </c>
      <c r="D790" t="s">
        <v>2025</v>
      </c>
      <c r="E790" t="s">
        <v>2027</v>
      </c>
      <c r="F790" t="s">
        <v>2031</v>
      </c>
      <c r="G790" t="s">
        <v>2033</v>
      </c>
      <c r="H790" t="s">
        <v>2040</v>
      </c>
      <c r="I790">
        <v>2</v>
      </c>
      <c r="J790">
        <v>10</v>
      </c>
      <c r="K790">
        <v>8</v>
      </c>
      <c r="L790" t="s">
        <v>2041</v>
      </c>
      <c r="M790">
        <v>465</v>
      </c>
      <c r="N790">
        <v>15248</v>
      </c>
      <c r="O790">
        <v>36928</v>
      </c>
      <c r="P790" s="13">
        <f t="shared" si="84"/>
        <v>0</v>
      </c>
      <c r="Q790" t="str">
        <f t="shared" si="85"/>
        <v>No</v>
      </c>
      <c r="R790" t="str" cm="1">
        <f t="array" ref="R790">_xlfn.IFS(K790=0,"On Time",K790&lt;=2,"Minor",K790&lt;=5,"Major",K790&gt;5,"Severe")</f>
        <v>Severe</v>
      </c>
      <c r="S790">
        <f t="shared" si="86"/>
        <v>4616</v>
      </c>
      <c r="T790">
        <f t="shared" si="87"/>
        <v>1906</v>
      </c>
      <c r="U790">
        <f t="shared" si="88"/>
        <v>2024</v>
      </c>
      <c r="V790">
        <f t="shared" si="89"/>
        <v>4</v>
      </c>
      <c r="W790" s="11">
        <f t="shared" si="90"/>
        <v>1</v>
      </c>
    </row>
    <row r="791" spans="1:23">
      <c r="A791" t="s">
        <v>804</v>
      </c>
      <c r="B791" s="4">
        <v>45420</v>
      </c>
      <c r="C791" t="s">
        <v>2016</v>
      </c>
      <c r="D791" t="s">
        <v>2021</v>
      </c>
      <c r="E791" t="s">
        <v>2027</v>
      </c>
      <c r="F791" t="s">
        <v>2031</v>
      </c>
      <c r="G791" t="s">
        <v>2036</v>
      </c>
      <c r="H791" t="s">
        <v>2038</v>
      </c>
      <c r="I791">
        <v>2</v>
      </c>
      <c r="J791">
        <v>7</v>
      </c>
      <c r="K791">
        <v>5</v>
      </c>
      <c r="L791" t="s">
        <v>2041</v>
      </c>
      <c r="M791">
        <v>149</v>
      </c>
      <c r="N791">
        <v>4455</v>
      </c>
      <c r="O791">
        <v>11230</v>
      </c>
      <c r="P791" s="13">
        <f t="shared" si="84"/>
        <v>0</v>
      </c>
      <c r="Q791" t="str">
        <f t="shared" si="85"/>
        <v>No</v>
      </c>
      <c r="R791" t="str" cm="1">
        <f t="array" ref="R791">_xlfn.IFS(K791=0,"On Time",K791&lt;=2,"Minor",K791&lt;=5,"Major",K791&gt;5,"Severe")</f>
        <v>Major</v>
      </c>
      <c r="S791">
        <f t="shared" si="86"/>
        <v>2246</v>
      </c>
      <c r="T791">
        <f t="shared" si="87"/>
        <v>891</v>
      </c>
      <c r="U791">
        <f t="shared" si="88"/>
        <v>2024</v>
      </c>
      <c r="V791">
        <f t="shared" si="89"/>
        <v>5</v>
      </c>
      <c r="W791" s="11">
        <f t="shared" si="90"/>
        <v>1</v>
      </c>
    </row>
    <row r="792" spans="1:23">
      <c r="A792" t="s">
        <v>805</v>
      </c>
      <c r="B792" s="4">
        <v>45485</v>
      </c>
      <c r="C792" t="s">
        <v>2016</v>
      </c>
      <c r="D792" t="s">
        <v>2021</v>
      </c>
      <c r="E792" t="s">
        <v>2027</v>
      </c>
      <c r="F792" t="s">
        <v>2031</v>
      </c>
      <c r="G792" t="s">
        <v>2036</v>
      </c>
      <c r="H792" t="s">
        <v>2039</v>
      </c>
      <c r="I792">
        <v>1</v>
      </c>
      <c r="J792">
        <v>1</v>
      </c>
      <c r="K792">
        <v>0</v>
      </c>
      <c r="L792" t="s">
        <v>2042</v>
      </c>
      <c r="M792">
        <v>370</v>
      </c>
      <c r="N792">
        <v>0</v>
      </c>
      <c r="O792">
        <v>0</v>
      </c>
      <c r="P792" s="13">
        <f t="shared" si="84"/>
        <v>1</v>
      </c>
      <c r="Q792" t="str">
        <f t="shared" si="85"/>
        <v>No</v>
      </c>
      <c r="R792" t="str" cm="1">
        <f t="array" ref="R792">_xlfn.IFS(K792=0,"On Time",K792&lt;=2,"Minor",K792&lt;=5,"Major",K792&gt;5,"Severe")</f>
        <v>On Time</v>
      </c>
      <c r="S792">
        <f t="shared" si="86"/>
        <v>0</v>
      </c>
      <c r="T792">
        <f t="shared" si="87"/>
        <v>0</v>
      </c>
      <c r="U792">
        <f t="shared" si="88"/>
        <v>2024</v>
      </c>
      <c r="V792">
        <f t="shared" si="89"/>
        <v>7</v>
      </c>
      <c r="W792" s="11">
        <f t="shared" si="90"/>
        <v>0</v>
      </c>
    </row>
    <row r="793" spans="1:23">
      <c r="A793" t="s">
        <v>806</v>
      </c>
      <c r="B793" s="4">
        <v>45649</v>
      </c>
      <c r="C793" t="s">
        <v>2018</v>
      </c>
      <c r="D793" t="s">
        <v>2026</v>
      </c>
      <c r="E793" t="s">
        <v>2029</v>
      </c>
      <c r="F793" t="s">
        <v>2032</v>
      </c>
      <c r="G793" t="s">
        <v>2033</v>
      </c>
      <c r="H793" t="s">
        <v>2038</v>
      </c>
      <c r="I793">
        <v>2</v>
      </c>
      <c r="J793">
        <v>4</v>
      </c>
      <c r="K793">
        <v>2</v>
      </c>
      <c r="L793" t="s">
        <v>2041</v>
      </c>
      <c r="M793">
        <v>390</v>
      </c>
      <c r="N793">
        <v>1954</v>
      </c>
      <c r="O793">
        <v>6946</v>
      </c>
      <c r="P793" s="13">
        <f t="shared" si="84"/>
        <v>0</v>
      </c>
      <c r="Q793" t="str">
        <f t="shared" si="85"/>
        <v>No</v>
      </c>
      <c r="R793" t="str" cm="1">
        <f t="array" ref="R793">_xlfn.IFS(K793=0,"On Time",K793&lt;=2,"Minor",K793&lt;=5,"Major",K793&gt;5,"Severe")</f>
        <v>Minor</v>
      </c>
      <c r="S793">
        <f t="shared" si="86"/>
        <v>3473</v>
      </c>
      <c r="T793">
        <f t="shared" si="87"/>
        <v>977</v>
      </c>
      <c r="U793">
        <f t="shared" si="88"/>
        <v>2024</v>
      </c>
      <c r="V793">
        <f t="shared" si="89"/>
        <v>12</v>
      </c>
      <c r="W793" s="11">
        <f t="shared" si="90"/>
        <v>1</v>
      </c>
    </row>
    <row r="794" spans="1:23">
      <c r="A794" t="s">
        <v>807</v>
      </c>
      <c r="B794" s="4">
        <v>45492</v>
      </c>
      <c r="C794" t="s">
        <v>2017</v>
      </c>
      <c r="D794" t="s">
        <v>2023</v>
      </c>
      <c r="E794" t="s">
        <v>2028</v>
      </c>
      <c r="F794" t="s">
        <v>2032</v>
      </c>
      <c r="G794" t="s">
        <v>2034</v>
      </c>
      <c r="H794" t="s">
        <v>2039</v>
      </c>
      <c r="I794">
        <v>1</v>
      </c>
      <c r="J794">
        <v>6</v>
      </c>
      <c r="K794">
        <v>5</v>
      </c>
      <c r="L794" t="s">
        <v>2041</v>
      </c>
      <c r="M794">
        <v>146</v>
      </c>
      <c r="N794">
        <v>11475</v>
      </c>
      <c r="O794">
        <v>21835</v>
      </c>
      <c r="P794" s="13">
        <f t="shared" si="84"/>
        <v>0</v>
      </c>
      <c r="Q794" t="str">
        <f t="shared" si="85"/>
        <v>No</v>
      </c>
      <c r="R794" t="str" cm="1">
        <f t="array" ref="R794">_xlfn.IFS(K794=0,"On Time",K794&lt;=2,"Minor",K794&lt;=5,"Major",K794&gt;5,"Severe")</f>
        <v>Major</v>
      </c>
      <c r="S794">
        <f t="shared" si="86"/>
        <v>4367</v>
      </c>
      <c r="T794">
        <f t="shared" si="87"/>
        <v>2295</v>
      </c>
      <c r="U794">
        <f t="shared" si="88"/>
        <v>2024</v>
      </c>
      <c r="V794">
        <f t="shared" si="89"/>
        <v>7</v>
      </c>
      <c r="W794" s="11">
        <f t="shared" si="90"/>
        <v>1</v>
      </c>
    </row>
    <row r="795" spans="1:23">
      <c r="A795" t="s">
        <v>808</v>
      </c>
      <c r="B795" s="4">
        <v>45521</v>
      </c>
      <c r="C795" t="s">
        <v>2015</v>
      </c>
      <c r="D795" t="s">
        <v>2019</v>
      </c>
      <c r="E795" t="s">
        <v>2028</v>
      </c>
      <c r="F795" t="s">
        <v>2031</v>
      </c>
      <c r="G795" t="s">
        <v>2035</v>
      </c>
      <c r="H795" t="s">
        <v>2039</v>
      </c>
      <c r="I795">
        <v>2</v>
      </c>
      <c r="J795">
        <v>7</v>
      </c>
      <c r="K795">
        <v>5</v>
      </c>
      <c r="L795" t="s">
        <v>2041</v>
      </c>
      <c r="M795">
        <v>139</v>
      </c>
      <c r="N795">
        <v>9795</v>
      </c>
      <c r="O795">
        <v>20750</v>
      </c>
      <c r="P795" s="13">
        <f t="shared" si="84"/>
        <v>0</v>
      </c>
      <c r="Q795" t="str">
        <f t="shared" si="85"/>
        <v>No</v>
      </c>
      <c r="R795" t="str" cm="1">
        <f t="array" ref="R795">_xlfn.IFS(K795=0,"On Time",K795&lt;=2,"Minor",K795&lt;=5,"Major",K795&gt;5,"Severe")</f>
        <v>Major</v>
      </c>
      <c r="S795">
        <f t="shared" si="86"/>
        <v>4150</v>
      </c>
      <c r="T795">
        <f t="shared" si="87"/>
        <v>1959</v>
      </c>
      <c r="U795">
        <f t="shared" si="88"/>
        <v>2024</v>
      </c>
      <c r="V795">
        <f t="shared" si="89"/>
        <v>8</v>
      </c>
      <c r="W795" s="11">
        <f t="shared" si="90"/>
        <v>1</v>
      </c>
    </row>
    <row r="796" spans="1:23">
      <c r="A796" t="s">
        <v>809</v>
      </c>
      <c r="B796" s="4">
        <v>45331</v>
      </c>
      <c r="C796" t="s">
        <v>2015</v>
      </c>
      <c r="D796" t="s">
        <v>2019</v>
      </c>
      <c r="E796" t="s">
        <v>2028</v>
      </c>
      <c r="F796" t="s">
        <v>2031</v>
      </c>
      <c r="G796" t="s">
        <v>2037</v>
      </c>
      <c r="H796" t="s">
        <v>2040</v>
      </c>
      <c r="I796">
        <v>5</v>
      </c>
      <c r="J796">
        <v>8</v>
      </c>
      <c r="K796">
        <v>3</v>
      </c>
      <c r="L796" t="s">
        <v>2041</v>
      </c>
      <c r="M796">
        <v>81</v>
      </c>
      <c r="N796">
        <v>6204</v>
      </c>
      <c r="O796">
        <v>13068</v>
      </c>
      <c r="P796" s="13">
        <f t="shared" si="84"/>
        <v>0</v>
      </c>
      <c r="Q796" t="str">
        <f t="shared" si="85"/>
        <v>No</v>
      </c>
      <c r="R796" t="str" cm="1">
        <f t="array" ref="R796">_xlfn.IFS(K796=0,"On Time",K796&lt;=2,"Minor",K796&lt;=5,"Major",K796&gt;5,"Severe")</f>
        <v>Major</v>
      </c>
      <c r="S796">
        <f t="shared" si="86"/>
        <v>4356</v>
      </c>
      <c r="T796">
        <f t="shared" si="87"/>
        <v>2068</v>
      </c>
      <c r="U796">
        <f t="shared" si="88"/>
        <v>2024</v>
      </c>
      <c r="V796">
        <f t="shared" si="89"/>
        <v>2</v>
      </c>
      <c r="W796" s="11">
        <f t="shared" si="90"/>
        <v>1</v>
      </c>
    </row>
    <row r="797" spans="1:23">
      <c r="A797" t="s">
        <v>810</v>
      </c>
      <c r="B797" s="4">
        <v>45494</v>
      </c>
      <c r="C797" t="s">
        <v>2016</v>
      </c>
      <c r="D797" t="s">
        <v>2025</v>
      </c>
      <c r="E797" t="s">
        <v>2029</v>
      </c>
      <c r="F797" t="s">
        <v>2031</v>
      </c>
      <c r="G797" t="s">
        <v>2035</v>
      </c>
      <c r="H797" t="s">
        <v>2038</v>
      </c>
      <c r="I797">
        <v>2</v>
      </c>
      <c r="J797">
        <v>5</v>
      </c>
      <c r="K797">
        <v>3</v>
      </c>
      <c r="L797" t="s">
        <v>2041</v>
      </c>
      <c r="M797">
        <v>218</v>
      </c>
      <c r="N797">
        <v>3534</v>
      </c>
      <c r="O797">
        <v>8166</v>
      </c>
      <c r="P797" s="13">
        <f t="shared" si="84"/>
        <v>0</v>
      </c>
      <c r="Q797" t="str">
        <f t="shared" si="85"/>
        <v>No</v>
      </c>
      <c r="R797" t="str" cm="1">
        <f t="array" ref="R797">_xlfn.IFS(K797=0,"On Time",K797&lt;=2,"Minor",K797&lt;=5,"Major",K797&gt;5,"Severe")</f>
        <v>Major</v>
      </c>
      <c r="S797">
        <f t="shared" si="86"/>
        <v>2722</v>
      </c>
      <c r="T797">
        <f t="shared" si="87"/>
        <v>1178</v>
      </c>
      <c r="U797">
        <f t="shared" si="88"/>
        <v>2024</v>
      </c>
      <c r="V797">
        <f t="shared" si="89"/>
        <v>7</v>
      </c>
      <c r="W797" s="11">
        <f t="shared" si="90"/>
        <v>1</v>
      </c>
    </row>
    <row r="798" spans="1:23">
      <c r="A798" t="s">
        <v>811</v>
      </c>
      <c r="B798" s="4">
        <v>45301</v>
      </c>
      <c r="C798" t="s">
        <v>2016</v>
      </c>
      <c r="D798" t="s">
        <v>2025</v>
      </c>
      <c r="E798" t="s">
        <v>2027</v>
      </c>
      <c r="F798" t="s">
        <v>2032</v>
      </c>
      <c r="G798" t="s">
        <v>2036</v>
      </c>
      <c r="H798" t="s">
        <v>2038</v>
      </c>
      <c r="I798">
        <v>2</v>
      </c>
      <c r="J798">
        <v>3</v>
      </c>
      <c r="K798">
        <v>1</v>
      </c>
      <c r="L798" t="s">
        <v>2041</v>
      </c>
      <c r="M798">
        <v>471</v>
      </c>
      <c r="N798">
        <v>2001</v>
      </c>
      <c r="O798">
        <v>2687</v>
      </c>
      <c r="P798" s="13">
        <f t="shared" si="84"/>
        <v>0</v>
      </c>
      <c r="Q798" t="str">
        <f t="shared" si="85"/>
        <v>No</v>
      </c>
      <c r="R798" t="str" cm="1">
        <f t="array" ref="R798">_xlfn.IFS(K798=0,"On Time",K798&lt;=2,"Minor",K798&lt;=5,"Major",K798&gt;5,"Severe")</f>
        <v>Minor</v>
      </c>
      <c r="S798">
        <f t="shared" si="86"/>
        <v>2687</v>
      </c>
      <c r="T798">
        <f t="shared" si="87"/>
        <v>2001</v>
      </c>
      <c r="U798">
        <f t="shared" si="88"/>
        <v>2024</v>
      </c>
      <c r="V798">
        <f t="shared" si="89"/>
        <v>1</v>
      </c>
      <c r="W798" s="11">
        <f t="shared" si="90"/>
        <v>1</v>
      </c>
    </row>
    <row r="799" spans="1:23">
      <c r="A799" t="s">
        <v>812</v>
      </c>
      <c r="B799" s="4">
        <v>45481</v>
      </c>
      <c r="C799" t="s">
        <v>2015</v>
      </c>
      <c r="D799" t="s">
        <v>2019</v>
      </c>
      <c r="E799" t="s">
        <v>2029</v>
      </c>
      <c r="F799" t="s">
        <v>2031</v>
      </c>
      <c r="G799" t="s">
        <v>2035</v>
      </c>
      <c r="H799" t="s">
        <v>2039</v>
      </c>
      <c r="I799">
        <v>1</v>
      </c>
      <c r="J799">
        <v>3</v>
      </c>
      <c r="K799">
        <v>2</v>
      </c>
      <c r="L799" t="s">
        <v>2041</v>
      </c>
      <c r="M799">
        <v>433</v>
      </c>
      <c r="N799">
        <v>2978</v>
      </c>
      <c r="O799">
        <v>9232</v>
      </c>
      <c r="P799" s="13">
        <f t="shared" si="84"/>
        <v>0</v>
      </c>
      <c r="Q799" t="str">
        <f t="shared" si="85"/>
        <v>No</v>
      </c>
      <c r="R799" t="str" cm="1">
        <f t="array" ref="R799">_xlfn.IFS(K799=0,"On Time",K799&lt;=2,"Minor",K799&lt;=5,"Major",K799&gt;5,"Severe")</f>
        <v>Minor</v>
      </c>
      <c r="S799">
        <f t="shared" si="86"/>
        <v>4616</v>
      </c>
      <c r="T799">
        <f t="shared" si="87"/>
        <v>1489</v>
      </c>
      <c r="U799">
        <f t="shared" si="88"/>
        <v>2024</v>
      </c>
      <c r="V799">
        <f t="shared" si="89"/>
        <v>7</v>
      </c>
      <c r="W799" s="11">
        <f t="shared" si="90"/>
        <v>1</v>
      </c>
    </row>
    <row r="800" spans="1:23">
      <c r="A800" t="s">
        <v>813</v>
      </c>
      <c r="B800" s="4">
        <v>45509</v>
      </c>
      <c r="C800" t="s">
        <v>2015</v>
      </c>
      <c r="D800" t="s">
        <v>2020</v>
      </c>
      <c r="E800" t="s">
        <v>2029</v>
      </c>
      <c r="F800" t="s">
        <v>2031</v>
      </c>
      <c r="G800" t="s">
        <v>2037</v>
      </c>
      <c r="H800" t="s">
        <v>2038</v>
      </c>
      <c r="I800">
        <v>3</v>
      </c>
      <c r="J800">
        <v>5</v>
      </c>
      <c r="K800">
        <v>2</v>
      </c>
      <c r="L800" t="s">
        <v>2041</v>
      </c>
      <c r="M800">
        <v>303</v>
      </c>
      <c r="N800">
        <v>2140</v>
      </c>
      <c r="O800">
        <v>4832</v>
      </c>
      <c r="P800" s="13">
        <f t="shared" si="84"/>
        <v>0</v>
      </c>
      <c r="Q800" t="str">
        <f t="shared" si="85"/>
        <v>No</v>
      </c>
      <c r="R800" t="str" cm="1">
        <f t="array" ref="R800">_xlfn.IFS(K800=0,"On Time",K800&lt;=2,"Minor",K800&lt;=5,"Major",K800&gt;5,"Severe")</f>
        <v>Minor</v>
      </c>
      <c r="S800">
        <f t="shared" si="86"/>
        <v>2416</v>
      </c>
      <c r="T800">
        <f t="shared" si="87"/>
        <v>1070</v>
      </c>
      <c r="U800">
        <f t="shared" si="88"/>
        <v>2024</v>
      </c>
      <c r="V800">
        <f t="shared" si="89"/>
        <v>8</v>
      </c>
      <c r="W800" s="11">
        <f t="shared" si="90"/>
        <v>1</v>
      </c>
    </row>
    <row r="801" spans="1:23">
      <c r="A801" t="s">
        <v>814</v>
      </c>
      <c r="B801" s="4">
        <v>45391</v>
      </c>
      <c r="C801" t="s">
        <v>2017</v>
      </c>
      <c r="D801" t="s">
        <v>2023</v>
      </c>
      <c r="E801" t="s">
        <v>2028</v>
      </c>
      <c r="F801" t="s">
        <v>2032</v>
      </c>
      <c r="G801" t="s">
        <v>2036</v>
      </c>
      <c r="H801" t="s">
        <v>2039</v>
      </c>
      <c r="I801">
        <v>2</v>
      </c>
      <c r="J801">
        <v>4</v>
      </c>
      <c r="K801">
        <v>2</v>
      </c>
      <c r="L801" t="s">
        <v>2041</v>
      </c>
      <c r="M801">
        <v>192</v>
      </c>
      <c r="N801">
        <v>2184</v>
      </c>
      <c r="O801">
        <v>6670</v>
      </c>
      <c r="P801" s="13">
        <f t="shared" si="84"/>
        <v>0</v>
      </c>
      <c r="Q801" t="str">
        <f t="shared" si="85"/>
        <v>No</v>
      </c>
      <c r="R801" t="str" cm="1">
        <f t="array" ref="R801">_xlfn.IFS(K801=0,"On Time",K801&lt;=2,"Minor",K801&lt;=5,"Major",K801&gt;5,"Severe")</f>
        <v>Minor</v>
      </c>
      <c r="S801">
        <f t="shared" si="86"/>
        <v>3335</v>
      </c>
      <c r="T801">
        <f t="shared" si="87"/>
        <v>1092</v>
      </c>
      <c r="U801">
        <f t="shared" si="88"/>
        <v>2024</v>
      </c>
      <c r="V801">
        <f t="shared" si="89"/>
        <v>4</v>
      </c>
      <c r="W801" s="11">
        <f t="shared" si="90"/>
        <v>1</v>
      </c>
    </row>
    <row r="802" spans="1:23">
      <c r="A802" t="s">
        <v>815</v>
      </c>
      <c r="B802" s="4">
        <v>45479</v>
      </c>
      <c r="C802" t="s">
        <v>2015</v>
      </c>
      <c r="D802" t="s">
        <v>2020</v>
      </c>
      <c r="E802" t="s">
        <v>2027</v>
      </c>
      <c r="F802" t="s">
        <v>2030</v>
      </c>
      <c r="G802" t="s">
        <v>2033</v>
      </c>
      <c r="H802" t="s">
        <v>2038</v>
      </c>
      <c r="I802">
        <v>3</v>
      </c>
      <c r="J802">
        <v>4</v>
      </c>
      <c r="K802">
        <v>1</v>
      </c>
      <c r="L802" t="s">
        <v>2041</v>
      </c>
      <c r="M802">
        <v>415</v>
      </c>
      <c r="N802">
        <v>1027</v>
      </c>
      <c r="O802">
        <v>1949</v>
      </c>
      <c r="P802" s="13">
        <f t="shared" si="84"/>
        <v>0</v>
      </c>
      <c r="Q802" t="str">
        <f t="shared" si="85"/>
        <v>No</v>
      </c>
      <c r="R802" t="str" cm="1">
        <f t="array" ref="R802">_xlfn.IFS(K802=0,"On Time",K802&lt;=2,"Minor",K802&lt;=5,"Major",K802&gt;5,"Severe")</f>
        <v>Minor</v>
      </c>
      <c r="S802">
        <f t="shared" si="86"/>
        <v>1949</v>
      </c>
      <c r="T802">
        <f t="shared" si="87"/>
        <v>1027</v>
      </c>
      <c r="U802">
        <f t="shared" si="88"/>
        <v>2024</v>
      </c>
      <c r="V802">
        <f t="shared" si="89"/>
        <v>7</v>
      </c>
      <c r="W802" s="11">
        <f t="shared" si="90"/>
        <v>1</v>
      </c>
    </row>
    <row r="803" spans="1:23">
      <c r="A803" t="s">
        <v>816</v>
      </c>
      <c r="B803" s="4">
        <v>45529</v>
      </c>
      <c r="C803" t="s">
        <v>2015</v>
      </c>
      <c r="D803" t="s">
        <v>2020</v>
      </c>
      <c r="E803" t="s">
        <v>2027</v>
      </c>
      <c r="F803" t="s">
        <v>2030</v>
      </c>
      <c r="G803" t="s">
        <v>2034</v>
      </c>
      <c r="H803" t="s">
        <v>2038</v>
      </c>
      <c r="I803">
        <v>2</v>
      </c>
      <c r="J803">
        <v>6</v>
      </c>
      <c r="K803">
        <v>4</v>
      </c>
      <c r="L803" t="s">
        <v>2041</v>
      </c>
      <c r="M803">
        <v>201</v>
      </c>
      <c r="N803">
        <v>7808</v>
      </c>
      <c r="O803">
        <v>8216</v>
      </c>
      <c r="P803" s="13">
        <f t="shared" si="84"/>
        <v>0</v>
      </c>
      <c r="Q803" t="str">
        <f t="shared" si="85"/>
        <v>No</v>
      </c>
      <c r="R803" t="str" cm="1">
        <f t="array" ref="R803">_xlfn.IFS(K803=0,"On Time",K803&lt;=2,"Minor",K803&lt;=5,"Major",K803&gt;5,"Severe")</f>
        <v>Major</v>
      </c>
      <c r="S803">
        <f t="shared" si="86"/>
        <v>2054</v>
      </c>
      <c r="T803">
        <f t="shared" si="87"/>
        <v>1952</v>
      </c>
      <c r="U803">
        <f t="shared" si="88"/>
        <v>2024</v>
      </c>
      <c r="V803">
        <f t="shared" si="89"/>
        <v>8</v>
      </c>
      <c r="W803" s="11">
        <f t="shared" si="90"/>
        <v>1</v>
      </c>
    </row>
    <row r="804" spans="1:23">
      <c r="A804" t="s">
        <v>817</v>
      </c>
      <c r="B804" s="4">
        <v>45477</v>
      </c>
      <c r="C804" t="s">
        <v>2018</v>
      </c>
      <c r="D804" t="s">
        <v>2024</v>
      </c>
      <c r="E804" t="s">
        <v>2027</v>
      </c>
      <c r="F804" t="s">
        <v>2030</v>
      </c>
      <c r="G804" t="s">
        <v>2035</v>
      </c>
      <c r="H804" t="s">
        <v>2038</v>
      </c>
      <c r="I804">
        <v>5</v>
      </c>
      <c r="J804">
        <v>7</v>
      </c>
      <c r="K804">
        <v>2</v>
      </c>
      <c r="L804" t="s">
        <v>2041</v>
      </c>
      <c r="M804">
        <v>180</v>
      </c>
      <c r="N804">
        <v>2906</v>
      </c>
      <c r="O804">
        <v>4564</v>
      </c>
      <c r="P804" s="13">
        <f t="shared" si="84"/>
        <v>0</v>
      </c>
      <c r="Q804" t="str">
        <f t="shared" si="85"/>
        <v>No</v>
      </c>
      <c r="R804" t="str" cm="1">
        <f t="array" ref="R804">_xlfn.IFS(K804=0,"On Time",K804&lt;=2,"Minor",K804&lt;=5,"Major",K804&gt;5,"Severe")</f>
        <v>Minor</v>
      </c>
      <c r="S804">
        <f t="shared" si="86"/>
        <v>2282</v>
      </c>
      <c r="T804">
        <f t="shared" si="87"/>
        <v>1453</v>
      </c>
      <c r="U804">
        <f t="shared" si="88"/>
        <v>2024</v>
      </c>
      <c r="V804">
        <f t="shared" si="89"/>
        <v>7</v>
      </c>
      <c r="W804" s="11">
        <f t="shared" si="90"/>
        <v>1</v>
      </c>
    </row>
    <row r="805" spans="1:23">
      <c r="A805" t="s">
        <v>818</v>
      </c>
      <c r="B805" s="4">
        <v>45318</v>
      </c>
      <c r="C805" t="s">
        <v>2018</v>
      </c>
      <c r="D805" t="s">
        <v>2026</v>
      </c>
      <c r="E805" t="s">
        <v>2029</v>
      </c>
      <c r="F805" t="s">
        <v>2031</v>
      </c>
      <c r="G805" t="s">
        <v>2033</v>
      </c>
      <c r="H805" t="s">
        <v>2038</v>
      </c>
      <c r="I805">
        <v>2</v>
      </c>
      <c r="J805">
        <v>5</v>
      </c>
      <c r="K805">
        <v>3</v>
      </c>
      <c r="L805" t="s">
        <v>2041</v>
      </c>
      <c r="M805">
        <v>190</v>
      </c>
      <c r="N805">
        <v>7344</v>
      </c>
      <c r="O805">
        <v>11088</v>
      </c>
      <c r="P805" s="13">
        <f t="shared" si="84"/>
        <v>0</v>
      </c>
      <c r="Q805" t="str">
        <f t="shared" si="85"/>
        <v>No</v>
      </c>
      <c r="R805" t="str" cm="1">
        <f t="array" ref="R805">_xlfn.IFS(K805=0,"On Time",K805&lt;=2,"Minor",K805&lt;=5,"Major",K805&gt;5,"Severe")</f>
        <v>Major</v>
      </c>
      <c r="S805">
        <f t="shared" si="86"/>
        <v>3696</v>
      </c>
      <c r="T805">
        <f t="shared" si="87"/>
        <v>2448</v>
      </c>
      <c r="U805">
        <f t="shared" si="88"/>
        <v>2024</v>
      </c>
      <c r="V805">
        <f t="shared" si="89"/>
        <v>1</v>
      </c>
      <c r="W805" s="11">
        <f t="shared" si="90"/>
        <v>1</v>
      </c>
    </row>
    <row r="806" spans="1:23">
      <c r="A806" t="s">
        <v>819</v>
      </c>
      <c r="B806" s="4">
        <v>45421</v>
      </c>
      <c r="C806" t="s">
        <v>2015</v>
      </c>
      <c r="D806" t="s">
        <v>2019</v>
      </c>
      <c r="E806" t="s">
        <v>2029</v>
      </c>
      <c r="F806" t="s">
        <v>2030</v>
      </c>
      <c r="G806" t="s">
        <v>2034</v>
      </c>
      <c r="H806" t="s">
        <v>2040</v>
      </c>
      <c r="I806">
        <v>3</v>
      </c>
      <c r="J806">
        <v>5</v>
      </c>
      <c r="K806">
        <v>2</v>
      </c>
      <c r="L806" t="s">
        <v>2041</v>
      </c>
      <c r="M806">
        <v>52</v>
      </c>
      <c r="N806">
        <v>2640</v>
      </c>
      <c r="O806">
        <v>9054</v>
      </c>
      <c r="P806" s="13">
        <f t="shared" si="84"/>
        <v>0</v>
      </c>
      <c r="Q806" t="str">
        <f t="shared" si="85"/>
        <v>No</v>
      </c>
      <c r="R806" t="str" cm="1">
        <f t="array" ref="R806">_xlfn.IFS(K806=0,"On Time",K806&lt;=2,"Minor",K806&lt;=5,"Major",K806&gt;5,"Severe")</f>
        <v>Minor</v>
      </c>
      <c r="S806">
        <f t="shared" si="86"/>
        <v>4527</v>
      </c>
      <c r="T806">
        <f t="shared" si="87"/>
        <v>1320</v>
      </c>
      <c r="U806">
        <f t="shared" si="88"/>
        <v>2024</v>
      </c>
      <c r="V806">
        <f t="shared" si="89"/>
        <v>5</v>
      </c>
      <c r="W806" s="11">
        <f t="shared" si="90"/>
        <v>1</v>
      </c>
    </row>
    <row r="807" spans="1:23">
      <c r="A807" t="s">
        <v>820</v>
      </c>
      <c r="B807" s="4">
        <v>45443</v>
      </c>
      <c r="C807" t="s">
        <v>2016</v>
      </c>
      <c r="D807" t="s">
        <v>2021</v>
      </c>
      <c r="E807" t="s">
        <v>2029</v>
      </c>
      <c r="F807" t="s">
        <v>2030</v>
      </c>
      <c r="G807" t="s">
        <v>2035</v>
      </c>
      <c r="H807" t="s">
        <v>2039</v>
      </c>
      <c r="I807">
        <v>2</v>
      </c>
      <c r="J807">
        <v>2</v>
      </c>
      <c r="K807">
        <v>0</v>
      </c>
      <c r="L807" t="s">
        <v>2042</v>
      </c>
      <c r="M807">
        <v>126</v>
      </c>
      <c r="N807">
        <v>0</v>
      </c>
      <c r="O807">
        <v>0</v>
      </c>
      <c r="P807" s="13">
        <f t="shared" si="84"/>
        <v>1</v>
      </c>
      <c r="Q807" t="str">
        <f t="shared" si="85"/>
        <v>No</v>
      </c>
      <c r="R807" t="str" cm="1">
        <f t="array" ref="R807">_xlfn.IFS(K807=0,"On Time",K807&lt;=2,"Minor",K807&lt;=5,"Major",K807&gt;5,"Severe")</f>
        <v>On Time</v>
      </c>
      <c r="S807">
        <f t="shared" si="86"/>
        <v>0</v>
      </c>
      <c r="T807">
        <f t="shared" si="87"/>
        <v>0</v>
      </c>
      <c r="U807">
        <f t="shared" si="88"/>
        <v>2024</v>
      </c>
      <c r="V807">
        <f t="shared" si="89"/>
        <v>5</v>
      </c>
      <c r="W807" s="11">
        <f t="shared" si="90"/>
        <v>0</v>
      </c>
    </row>
    <row r="808" spans="1:23">
      <c r="A808" t="s">
        <v>821</v>
      </c>
      <c r="B808" s="4">
        <v>45553</v>
      </c>
      <c r="C808" t="s">
        <v>2018</v>
      </c>
      <c r="D808" t="s">
        <v>2024</v>
      </c>
      <c r="E808" t="s">
        <v>2028</v>
      </c>
      <c r="F808" t="s">
        <v>2032</v>
      </c>
      <c r="G808" t="s">
        <v>2037</v>
      </c>
      <c r="H808" t="s">
        <v>2039</v>
      </c>
      <c r="I808">
        <v>2</v>
      </c>
      <c r="J808">
        <v>3</v>
      </c>
      <c r="K808">
        <v>1</v>
      </c>
      <c r="L808" t="s">
        <v>2041</v>
      </c>
      <c r="M808">
        <v>167</v>
      </c>
      <c r="N808">
        <v>2352</v>
      </c>
      <c r="O808">
        <v>4848</v>
      </c>
      <c r="P808" s="13">
        <f t="shared" si="84"/>
        <v>0</v>
      </c>
      <c r="Q808" t="str">
        <f t="shared" si="85"/>
        <v>No</v>
      </c>
      <c r="R808" t="str" cm="1">
        <f t="array" ref="R808">_xlfn.IFS(K808=0,"On Time",K808&lt;=2,"Minor",K808&lt;=5,"Major",K808&gt;5,"Severe")</f>
        <v>Minor</v>
      </c>
      <c r="S808">
        <f t="shared" si="86"/>
        <v>4848</v>
      </c>
      <c r="T808">
        <f t="shared" si="87"/>
        <v>2352</v>
      </c>
      <c r="U808">
        <f t="shared" si="88"/>
        <v>2024</v>
      </c>
      <c r="V808">
        <f t="shared" si="89"/>
        <v>9</v>
      </c>
      <c r="W808" s="11">
        <f t="shared" si="90"/>
        <v>1</v>
      </c>
    </row>
    <row r="809" spans="1:23">
      <c r="A809" t="s">
        <v>822</v>
      </c>
      <c r="B809" s="4">
        <v>45333</v>
      </c>
      <c r="C809" t="s">
        <v>2015</v>
      </c>
      <c r="D809" t="s">
        <v>2020</v>
      </c>
      <c r="E809" t="s">
        <v>2029</v>
      </c>
      <c r="F809" t="s">
        <v>2031</v>
      </c>
      <c r="G809" t="s">
        <v>2037</v>
      </c>
      <c r="H809" t="s">
        <v>2038</v>
      </c>
      <c r="I809">
        <v>2</v>
      </c>
      <c r="J809">
        <v>7</v>
      </c>
      <c r="K809">
        <v>5</v>
      </c>
      <c r="L809" t="s">
        <v>2041</v>
      </c>
      <c r="M809">
        <v>476</v>
      </c>
      <c r="N809">
        <v>9355</v>
      </c>
      <c r="O809">
        <v>13895</v>
      </c>
      <c r="P809" s="13">
        <f t="shared" si="84"/>
        <v>0</v>
      </c>
      <c r="Q809" t="str">
        <f t="shared" si="85"/>
        <v>No</v>
      </c>
      <c r="R809" t="str" cm="1">
        <f t="array" ref="R809">_xlfn.IFS(K809=0,"On Time",K809&lt;=2,"Minor",K809&lt;=5,"Major",K809&gt;5,"Severe")</f>
        <v>Major</v>
      </c>
      <c r="S809">
        <f t="shared" si="86"/>
        <v>2779</v>
      </c>
      <c r="T809">
        <f t="shared" si="87"/>
        <v>1871</v>
      </c>
      <c r="U809">
        <f t="shared" si="88"/>
        <v>2024</v>
      </c>
      <c r="V809">
        <f t="shared" si="89"/>
        <v>2</v>
      </c>
      <c r="W809" s="11">
        <f t="shared" si="90"/>
        <v>1</v>
      </c>
    </row>
    <row r="810" spans="1:23">
      <c r="A810" t="s">
        <v>823</v>
      </c>
      <c r="B810" s="4">
        <v>45299</v>
      </c>
      <c r="C810" t="s">
        <v>2015</v>
      </c>
      <c r="D810" t="s">
        <v>2019</v>
      </c>
      <c r="E810" t="s">
        <v>2028</v>
      </c>
      <c r="F810" t="s">
        <v>2031</v>
      </c>
      <c r="G810" t="s">
        <v>2034</v>
      </c>
      <c r="H810" t="s">
        <v>2040</v>
      </c>
      <c r="I810">
        <v>2</v>
      </c>
      <c r="J810">
        <v>8</v>
      </c>
      <c r="K810">
        <v>6</v>
      </c>
      <c r="L810" t="s">
        <v>2041</v>
      </c>
      <c r="M810">
        <v>128</v>
      </c>
      <c r="N810">
        <v>13608</v>
      </c>
      <c r="O810">
        <v>23628</v>
      </c>
      <c r="P810" s="13">
        <f t="shared" si="84"/>
        <v>0</v>
      </c>
      <c r="Q810" t="str">
        <f t="shared" si="85"/>
        <v>No</v>
      </c>
      <c r="R810" t="str" cm="1">
        <f t="array" ref="R810">_xlfn.IFS(K810=0,"On Time",K810&lt;=2,"Minor",K810&lt;=5,"Major",K810&gt;5,"Severe")</f>
        <v>Severe</v>
      </c>
      <c r="S810">
        <f t="shared" si="86"/>
        <v>3938</v>
      </c>
      <c r="T810">
        <f t="shared" si="87"/>
        <v>2268</v>
      </c>
      <c r="U810">
        <f t="shared" si="88"/>
        <v>2024</v>
      </c>
      <c r="V810">
        <f t="shared" si="89"/>
        <v>1</v>
      </c>
      <c r="W810" s="11">
        <f t="shared" si="90"/>
        <v>1</v>
      </c>
    </row>
    <row r="811" spans="1:23">
      <c r="A811" t="s">
        <v>824</v>
      </c>
      <c r="B811" s="4">
        <v>45474</v>
      </c>
      <c r="C811" t="s">
        <v>2015</v>
      </c>
      <c r="D811" t="s">
        <v>2020</v>
      </c>
      <c r="E811" t="s">
        <v>2028</v>
      </c>
      <c r="F811" t="s">
        <v>2032</v>
      </c>
      <c r="G811" t="s">
        <v>2035</v>
      </c>
      <c r="H811" t="s">
        <v>2038</v>
      </c>
      <c r="I811">
        <v>1</v>
      </c>
      <c r="J811">
        <v>4</v>
      </c>
      <c r="K811">
        <v>3</v>
      </c>
      <c r="L811" t="s">
        <v>2041</v>
      </c>
      <c r="M811">
        <v>401</v>
      </c>
      <c r="N811">
        <v>4560</v>
      </c>
      <c r="O811">
        <v>5976</v>
      </c>
      <c r="P811" s="13">
        <f t="shared" si="84"/>
        <v>0</v>
      </c>
      <c r="Q811" t="str">
        <f t="shared" si="85"/>
        <v>No</v>
      </c>
      <c r="R811" t="str" cm="1">
        <f t="array" ref="R811">_xlfn.IFS(K811=0,"On Time",K811&lt;=2,"Minor",K811&lt;=5,"Major",K811&gt;5,"Severe")</f>
        <v>Major</v>
      </c>
      <c r="S811">
        <f t="shared" si="86"/>
        <v>1992</v>
      </c>
      <c r="T811">
        <f t="shared" si="87"/>
        <v>1520</v>
      </c>
      <c r="U811">
        <f t="shared" si="88"/>
        <v>2024</v>
      </c>
      <c r="V811">
        <f t="shared" si="89"/>
        <v>7</v>
      </c>
      <c r="W811" s="11">
        <f t="shared" si="90"/>
        <v>1</v>
      </c>
    </row>
    <row r="812" spans="1:23">
      <c r="A812" t="s">
        <v>825</v>
      </c>
      <c r="B812" s="4">
        <v>45369</v>
      </c>
      <c r="C812" t="s">
        <v>2015</v>
      </c>
      <c r="D812" t="s">
        <v>2019</v>
      </c>
      <c r="E812" t="s">
        <v>2029</v>
      </c>
      <c r="F812" t="s">
        <v>2032</v>
      </c>
      <c r="G812" t="s">
        <v>2035</v>
      </c>
      <c r="H812" t="s">
        <v>2038</v>
      </c>
      <c r="I812">
        <v>2</v>
      </c>
      <c r="J812">
        <v>8</v>
      </c>
      <c r="K812">
        <v>6</v>
      </c>
      <c r="L812" t="s">
        <v>2041</v>
      </c>
      <c r="M812">
        <v>237</v>
      </c>
      <c r="N812">
        <v>12240</v>
      </c>
      <c r="O812">
        <v>27432</v>
      </c>
      <c r="P812" s="13">
        <f t="shared" si="84"/>
        <v>0</v>
      </c>
      <c r="Q812" t="str">
        <f t="shared" si="85"/>
        <v>No</v>
      </c>
      <c r="R812" t="str" cm="1">
        <f t="array" ref="R812">_xlfn.IFS(K812=0,"On Time",K812&lt;=2,"Minor",K812&lt;=5,"Major",K812&gt;5,"Severe")</f>
        <v>Severe</v>
      </c>
      <c r="S812">
        <f t="shared" si="86"/>
        <v>4572</v>
      </c>
      <c r="T812">
        <f t="shared" si="87"/>
        <v>2040</v>
      </c>
      <c r="U812">
        <f t="shared" si="88"/>
        <v>2024</v>
      </c>
      <c r="V812">
        <f t="shared" si="89"/>
        <v>3</v>
      </c>
      <c r="W812" s="11">
        <f t="shared" si="90"/>
        <v>1</v>
      </c>
    </row>
    <row r="813" spans="1:23">
      <c r="A813" t="s">
        <v>826</v>
      </c>
      <c r="B813" s="4">
        <v>45468</v>
      </c>
      <c r="C813" t="s">
        <v>2015</v>
      </c>
      <c r="D813" t="s">
        <v>2019</v>
      </c>
      <c r="E813" t="s">
        <v>2029</v>
      </c>
      <c r="F813" t="s">
        <v>2030</v>
      </c>
      <c r="G813" t="s">
        <v>2033</v>
      </c>
      <c r="H813" t="s">
        <v>2038</v>
      </c>
      <c r="I813">
        <v>2</v>
      </c>
      <c r="J813">
        <v>7</v>
      </c>
      <c r="K813">
        <v>5</v>
      </c>
      <c r="L813" t="s">
        <v>2041</v>
      </c>
      <c r="M813">
        <v>270</v>
      </c>
      <c r="N813">
        <v>6565</v>
      </c>
      <c r="O813">
        <v>21445</v>
      </c>
      <c r="P813" s="13">
        <f t="shared" si="84"/>
        <v>0</v>
      </c>
      <c r="Q813" t="str">
        <f t="shared" si="85"/>
        <v>No</v>
      </c>
      <c r="R813" t="str" cm="1">
        <f t="array" ref="R813">_xlfn.IFS(K813=0,"On Time",K813&lt;=2,"Minor",K813&lt;=5,"Major",K813&gt;5,"Severe")</f>
        <v>Major</v>
      </c>
      <c r="S813">
        <f t="shared" si="86"/>
        <v>4289</v>
      </c>
      <c r="T813">
        <f t="shared" si="87"/>
        <v>1313</v>
      </c>
      <c r="U813">
        <f t="shared" si="88"/>
        <v>2024</v>
      </c>
      <c r="V813">
        <f t="shared" si="89"/>
        <v>6</v>
      </c>
      <c r="W813" s="11">
        <f t="shared" si="90"/>
        <v>1</v>
      </c>
    </row>
    <row r="814" spans="1:23">
      <c r="A814" t="s">
        <v>827</v>
      </c>
      <c r="B814" s="4">
        <v>45467</v>
      </c>
      <c r="C814" t="s">
        <v>2018</v>
      </c>
      <c r="D814" t="s">
        <v>2024</v>
      </c>
      <c r="E814" t="s">
        <v>2027</v>
      </c>
      <c r="F814" t="s">
        <v>2032</v>
      </c>
      <c r="G814" t="s">
        <v>2034</v>
      </c>
      <c r="H814" t="s">
        <v>2039</v>
      </c>
      <c r="I814">
        <v>1</v>
      </c>
      <c r="J814">
        <v>6</v>
      </c>
      <c r="K814">
        <v>5</v>
      </c>
      <c r="L814" t="s">
        <v>2041</v>
      </c>
      <c r="M814">
        <v>235</v>
      </c>
      <c r="N814">
        <v>12435</v>
      </c>
      <c r="O814">
        <v>23570</v>
      </c>
      <c r="P814" s="13">
        <f t="shared" si="84"/>
        <v>0</v>
      </c>
      <c r="Q814" t="str">
        <f t="shared" si="85"/>
        <v>No</v>
      </c>
      <c r="R814" t="str" cm="1">
        <f t="array" ref="R814">_xlfn.IFS(K814=0,"On Time",K814&lt;=2,"Minor",K814&lt;=5,"Major",K814&gt;5,"Severe")</f>
        <v>Major</v>
      </c>
      <c r="S814">
        <f t="shared" si="86"/>
        <v>4714</v>
      </c>
      <c r="T814">
        <f t="shared" si="87"/>
        <v>2487</v>
      </c>
      <c r="U814">
        <f t="shared" si="88"/>
        <v>2024</v>
      </c>
      <c r="V814">
        <f t="shared" si="89"/>
        <v>6</v>
      </c>
      <c r="W814" s="11">
        <f t="shared" si="90"/>
        <v>1</v>
      </c>
    </row>
    <row r="815" spans="1:23">
      <c r="A815" t="s">
        <v>828</v>
      </c>
      <c r="B815" s="4">
        <v>45598</v>
      </c>
      <c r="C815" t="s">
        <v>2015</v>
      </c>
      <c r="D815" t="s">
        <v>2019</v>
      </c>
      <c r="E815" t="s">
        <v>2028</v>
      </c>
      <c r="F815" t="s">
        <v>2032</v>
      </c>
      <c r="G815" t="s">
        <v>2035</v>
      </c>
      <c r="H815" t="s">
        <v>2038</v>
      </c>
      <c r="I815">
        <v>1</v>
      </c>
      <c r="J815">
        <v>6</v>
      </c>
      <c r="K815">
        <v>5</v>
      </c>
      <c r="L815" t="s">
        <v>2041</v>
      </c>
      <c r="M815">
        <v>209</v>
      </c>
      <c r="N815">
        <v>7630</v>
      </c>
      <c r="O815">
        <v>10555</v>
      </c>
      <c r="P815" s="13">
        <f t="shared" si="84"/>
        <v>0</v>
      </c>
      <c r="Q815" t="str">
        <f t="shared" si="85"/>
        <v>No</v>
      </c>
      <c r="R815" t="str" cm="1">
        <f t="array" ref="R815">_xlfn.IFS(K815=0,"On Time",K815&lt;=2,"Minor",K815&lt;=5,"Major",K815&gt;5,"Severe")</f>
        <v>Major</v>
      </c>
      <c r="S815">
        <f t="shared" si="86"/>
        <v>2111</v>
      </c>
      <c r="T815">
        <f t="shared" si="87"/>
        <v>1526</v>
      </c>
      <c r="U815">
        <f t="shared" si="88"/>
        <v>2024</v>
      </c>
      <c r="V815">
        <f t="shared" si="89"/>
        <v>11</v>
      </c>
      <c r="W815" s="11">
        <f t="shared" si="90"/>
        <v>1</v>
      </c>
    </row>
    <row r="816" spans="1:23">
      <c r="A816" t="s">
        <v>829</v>
      </c>
      <c r="B816" s="4">
        <v>45512</v>
      </c>
      <c r="C816" t="s">
        <v>2016</v>
      </c>
      <c r="D816" t="s">
        <v>2021</v>
      </c>
      <c r="E816" t="s">
        <v>2028</v>
      </c>
      <c r="F816" t="s">
        <v>2031</v>
      </c>
      <c r="G816" t="s">
        <v>2033</v>
      </c>
      <c r="H816" t="s">
        <v>2038</v>
      </c>
      <c r="I816">
        <v>2</v>
      </c>
      <c r="J816">
        <v>4</v>
      </c>
      <c r="K816">
        <v>2</v>
      </c>
      <c r="L816" t="s">
        <v>2041</v>
      </c>
      <c r="M816">
        <v>189</v>
      </c>
      <c r="N816">
        <v>1820</v>
      </c>
      <c r="O816">
        <v>9288</v>
      </c>
      <c r="P816" s="13">
        <f t="shared" si="84"/>
        <v>0</v>
      </c>
      <c r="Q816" t="str">
        <f t="shared" si="85"/>
        <v>No</v>
      </c>
      <c r="R816" t="str" cm="1">
        <f t="array" ref="R816">_xlfn.IFS(K816=0,"On Time",K816&lt;=2,"Minor",K816&lt;=5,"Major",K816&gt;5,"Severe")</f>
        <v>Minor</v>
      </c>
      <c r="S816">
        <f t="shared" si="86"/>
        <v>4644</v>
      </c>
      <c r="T816">
        <f t="shared" si="87"/>
        <v>910</v>
      </c>
      <c r="U816">
        <f t="shared" si="88"/>
        <v>2024</v>
      </c>
      <c r="V816">
        <f t="shared" si="89"/>
        <v>8</v>
      </c>
      <c r="W816" s="11">
        <f t="shared" si="90"/>
        <v>1</v>
      </c>
    </row>
    <row r="817" spans="1:23">
      <c r="A817" t="s">
        <v>830</v>
      </c>
      <c r="B817" s="4">
        <v>45655</v>
      </c>
      <c r="C817" t="s">
        <v>2017</v>
      </c>
      <c r="D817" t="s">
        <v>2023</v>
      </c>
      <c r="E817" t="s">
        <v>2027</v>
      </c>
      <c r="F817" t="s">
        <v>2030</v>
      </c>
      <c r="G817" t="s">
        <v>2035</v>
      </c>
      <c r="H817" t="s">
        <v>2039</v>
      </c>
      <c r="I817">
        <v>3</v>
      </c>
      <c r="J817">
        <v>3</v>
      </c>
      <c r="K817">
        <v>0</v>
      </c>
      <c r="L817" t="s">
        <v>2042</v>
      </c>
      <c r="M817">
        <v>443</v>
      </c>
      <c r="N817">
        <v>0</v>
      </c>
      <c r="O817">
        <v>0</v>
      </c>
      <c r="P817" s="13">
        <f t="shared" si="84"/>
        <v>1</v>
      </c>
      <c r="Q817" t="str">
        <f t="shared" si="85"/>
        <v>No</v>
      </c>
      <c r="R817" t="str" cm="1">
        <f t="array" ref="R817">_xlfn.IFS(K817=0,"On Time",K817&lt;=2,"Minor",K817&lt;=5,"Major",K817&gt;5,"Severe")</f>
        <v>On Time</v>
      </c>
      <c r="S817">
        <f t="shared" si="86"/>
        <v>0</v>
      </c>
      <c r="T817">
        <f t="shared" si="87"/>
        <v>0</v>
      </c>
      <c r="U817">
        <f t="shared" si="88"/>
        <v>2024</v>
      </c>
      <c r="V817">
        <f t="shared" si="89"/>
        <v>12</v>
      </c>
      <c r="W817" s="11">
        <f t="shared" si="90"/>
        <v>0</v>
      </c>
    </row>
    <row r="818" spans="1:23">
      <c r="A818" t="s">
        <v>831</v>
      </c>
      <c r="B818" s="4">
        <v>45593</v>
      </c>
      <c r="C818" t="s">
        <v>2016</v>
      </c>
      <c r="D818" t="s">
        <v>2021</v>
      </c>
      <c r="E818" t="s">
        <v>2028</v>
      </c>
      <c r="F818" t="s">
        <v>2030</v>
      </c>
      <c r="G818" t="s">
        <v>2036</v>
      </c>
      <c r="H818" t="s">
        <v>2039</v>
      </c>
      <c r="I818">
        <v>3</v>
      </c>
      <c r="J818">
        <v>4</v>
      </c>
      <c r="K818">
        <v>1</v>
      </c>
      <c r="L818" t="s">
        <v>2041</v>
      </c>
      <c r="M818">
        <v>472</v>
      </c>
      <c r="N818">
        <v>1887</v>
      </c>
      <c r="O818">
        <v>4992</v>
      </c>
      <c r="P818" s="13">
        <f t="shared" si="84"/>
        <v>0</v>
      </c>
      <c r="Q818" t="str">
        <f t="shared" si="85"/>
        <v>No</v>
      </c>
      <c r="R818" t="str" cm="1">
        <f t="array" ref="R818">_xlfn.IFS(K818=0,"On Time",K818&lt;=2,"Minor",K818&lt;=5,"Major",K818&gt;5,"Severe")</f>
        <v>Minor</v>
      </c>
      <c r="S818">
        <f t="shared" si="86"/>
        <v>4992</v>
      </c>
      <c r="T818">
        <f t="shared" si="87"/>
        <v>1887</v>
      </c>
      <c r="U818">
        <f t="shared" si="88"/>
        <v>2024</v>
      </c>
      <c r="V818">
        <f t="shared" si="89"/>
        <v>10</v>
      </c>
      <c r="W818" s="11">
        <f t="shared" si="90"/>
        <v>1</v>
      </c>
    </row>
    <row r="819" spans="1:23">
      <c r="A819" t="s">
        <v>832</v>
      </c>
      <c r="B819" s="4">
        <v>45595</v>
      </c>
      <c r="C819" t="s">
        <v>2015</v>
      </c>
      <c r="D819" t="s">
        <v>2020</v>
      </c>
      <c r="E819" t="s">
        <v>2028</v>
      </c>
      <c r="F819" t="s">
        <v>2030</v>
      </c>
      <c r="G819" t="s">
        <v>2036</v>
      </c>
      <c r="H819" t="s">
        <v>2038</v>
      </c>
      <c r="I819">
        <v>3</v>
      </c>
      <c r="J819">
        <v>3</v>
      </c>
      <c r="K819">
        <v>0</v>
      </c>
      <c r="L819" t="s">
        <v>2042</v>
      </c>
      <c r="M819">
        <v>265</v>
      </c>
      <c r="N819">
        <v>0</v>
      </c>
      <c r="O819">
        <v>0</v>
      </c>
      <c r="P819" s="13">
        <f t="shared" si="84"/>
        <v>1</v>
      </c>
      <c r="Q819" t="str">
        <f t="shared" si="85"/>
        <v>No</v>
      </c>
      <c r="R819" t="str" cm="1">
        <f t="array" ref="R819">_xlfn.IFS(K819=0,"On Time",K819&lt;=2,"Minor",K819&lt;=5,"Major",K819&gt;5,"Severe")</f>
        <v>On Time</v>
      </c>
      <c r="S819">
        <f t="shared" si="86"/>
        <v>0</v>
      </c>
      <c r="T819">
        <f t="shared" si="87"/>
        <v>0</v>
      </c>
      <c r="U819">
        <f t="shared" si="88"/>
        <v>2024</v>
      </c>
      <c r="V819">
        <f t="shared" si="89"/>
        <v>10</v>
      </c>
      <c r="W819" s="11">
        <f t="shared" si="90"/>
        <v>0</v>
      </c>
    </row>
    <row r="820" spans="1:23">
      <c r="A820" t="s">
        <v>833</v>
      </c>
      <c r="B820" s="4">
        <v>45588</v>
      </c>
      <c r="C820" t="s">
        <v>2015</v>
      </c>
      <c r="D820" t="s">
        <v>2020</v>
      </c>
      <c r="E820" t="s">
        <v>2029</v>
      </c>
      <c r="F820" t="s">
        <v>2030</v>
      </c>
      <c r="G820" t="s">
        <v>2037</v>
      </c>
      <c r="H820" t="s">
        <v>2040</v>
      </c>
      <c r="I820">
        <v>1</v>
      </c>
      <c r="J820">
        <v>6</v>
      </c>
      <c r="K820">
        <v>5</v>
      </c>
      <c r="L820" t="s">
        <v>2041</v>
      </c>
      <c r="M820">
        <v>159</v>
      </c>
      <c r="N820">
        <v>4070</v>
      </c>
      <c r="O820">
        <v>20445</v>
      </c>
      <c r="P820" s="13">
        <f t="shared" si="84"/>
        <v>0</v>
      </c>
      <c r="Q820" t="str">
        <f t="shared" si="85"/>
        <v>No</v>
      </c>
      <c r="R820" t="str" cm="1">
        <f t="array" ref="R820">_xlfn.IFS(K820=0,"On Time",K820&lt;=2,"Minor",K820&lt;=5,"Major",K820&gt;5,"Severe")</f>
        <v>Major</v>
      </c>
      <c r="S820">
        <f t="shared" si="86"/>
        <v>4089</v>
      </c>
      <c r="T820">
        <f t="shared" si="87"/>
        <v>814</v>
      </c>
      <c r="U820">
        <f t="shared" si="88"/>
        <v>2024</v>
      </c>
      <c r="V820">
        <f t="shared" si="89"/>
        <v>10</v>
      </c>
      <c r="W820" s="11">
        <f t="shared" si="90"/>
        <v>1</v>
      </c>
    </row>
    <row r="821" spans="1:23">
      <c r="A821" t="s">
        <v>834</v>
      </c>
      <c r="B821" s="4">
        <v>45541</v>
      </c>
      <c r="C821" t="s">
        <v>2016</v>
      </c>
      <c r="D821" t="s">
        <v>2025</v>
      </c>
      <c r="E821" t="s">
        <v>2028</v>
      </c>
      <c r="F821" t="s">
        <v>2030</v>
      </c>
      <c r="G821" t="s">
        <v>2033</v>
      </c>
      <c r="H821" t="s">
        <v>2038</v>
      </c>
      <c r="I821">
        <v>3</v>
      </c>
      <c r="J821">
        <v>7</v>
      </c>
      <c r="K821">
        <v>4</v>
      </c>
      <c r="L821" t="s">
        <v>2041</v>
      </c>
      <c r="M821">
        <v>211</v>
      </c>
      <c r="N821">
        <v>9336</v>
      </c>
      <c r="O821">
        <v>16084</v>
      </c>
      <c r="P821" s="13">
        <f t="shared" si="84"/>
        <v>0</v>
      </c>
      <c r="Q821" t="str">
        <f t="shared" si="85"/>
        <v>No</v>
      </c>
      <c r="R821" t="str" cm="1">
        <f t="array" ref="R821">_xlfn.IFS(K821=0,"On Time",K821&lt;=2,"Minor",K821&lt;=5,"Major",K821&gt;5,"Severe")</f>
        <v>Major</v>
      </c>
      <c r="S821">
        <f t="shared" si="86"/>
        <v>4021</v>
      </c>
      <c r="T821">
        <f t="shared" si="87"/>
        <v>2334</v>
      </c>
      <c r="U821">
        <f t="shared" si="88"/>
        <v>2024</v>
      </c>
      <c r="V821">
        <f t="shared" si="89"/>
        <v>9</v>
      </c>
      <c r="W821" s="11">
        <f t="shared" si="90"/>
        <v>1</v>
      </c>
    </row>
    <row r="822" spans="1:23">
      <c r="A822" t="s">
        <v>835</v>
      </c>
      <c r="B822" s="4">
        <v>45329</v>
      </c>
      <c r="C822" t="s">
        <v>2015</v>
      </c>
      <c r="D822" t="s">
        <v>2020</v>
      </c>
      <c r="E822" t="s">
        <v>2027</v>
      </c>
      <c r="F822" t="s">
        <v>2031</v>
      </c>
      <c r="G822" t="s">
        <v>2035</v>
      </c>
      <c r="H822" t="s">
        <v>2040</v>
      </c>
      <c r="I822">
        <v>3</v>
      </c>
      <c r="J822">
        <v>6</v>
      </c>
      <c r="K822">
        <v>3</v>
      </c>
      <c r="L822" t="s">
        <v>2041</v>
      </c>
      <c r="M822">
        <v>124</v>
      </c>
      <c r="N822">
        <v>4488</v>
      </c>
      <c r="O822">
        <v>6930</v>
      </c>
      <c r="P822" s="13">
        <f t="shared" si="84"/>
        <v>0</v>
      </c>
      <c r="Q822" t="str">
        <f t="shared" si="85"/>
        <v>No</v>
      </c>
      <c r="R822" t="str" cm="1">
        <f t="array" ref="R822">_xlfn.IFS(K822=0,"On Time",K822&lt;=2,"Minor",K822&lt;=5,"Major",K822&gt;5,"Severe")</f>
        <v>Major</v>
      </c>
      <c r="S822">
        <f t="shared" si="86"/>
        <v>2310</v>
      </c>
      <c r="T822">
        <f t="shared" si="87"/>
        <v>1496</v>
      </c>
      <c r="U822">
        <f t="shared" si="88"/>
        <v>2024</v>
      </c>
      <c r="V822">
        <f t="shared" si="89"/>
        <v>2</v>
      </c>
      <c r="W822" s="11">
        <f t="shared" si="90"/>
        <v>1</v>
      </c>
    </row>
    <row r="823" spans="1:23">
      <c r="A823" t="s">
        <v>836</v>
      </c>
      <c r="B823" s="4">
        <v>45368</v>
      </c>
      <c r="C823" t="s">
        <v>2018</v>
      </c>
      <c r="D823" t="s">
        <v>2026</v>
      </c>
      <c r="E823" t="s">
        <v>2028</v>
      </c>
      <c r="F823" t="s">
        <v>2031</v>
      </c>
      <c r="G823" t="s">
        <v>2033</v>
      </c>
      <c r="H823" t="s">
        <v>2038</v>
      </c>
      <c r="I823">
        <v>5</v>
      </c>
      <c r="J823">
        <v>7</v>
      </c>
      <c r="K823">
        <v>2</v>
      </c>
      <c r="L823" t="s">
        <v>2041</v>
      </c>
      <c r="M823">
        <v>126</v>
      </c>
      <c r="N823">
        <v>3146</v>
      </c>
      <c r="O823">
        <v>5536</v>
      </c>
      <c r="P823" s="13">
        <f t="shared" si="84"/>
        <v>0</v>
      </c>
      <c r="Q823" t="str">
        <f t="shared" si="85"/>
        <v>No</v>
      </c>
      <c r="R823" t="str" cm="1">
        <f t="array" ref="R823">_xlfn.IFS(K823=0,"On Time",K823&lt;=2,"Minor",K823&lt;=5,"Major",K823&gt;5,"Severe")</f>
        <v>Minor</v>
      </c>
      <c r="S823">
        <f t="shared" si="86"/>
        <v>2768</v>
      </c>
      <c r="T823">
        <f t="shared" si="87"/>
        <v>1573</v>
      </c>
      <c r="U823">
        <f t="shared" si="88"/>
        <v>2024</v>
      </c>
      <c r="V823">
        <f t="shared" si="89"/>
        <v>3</v>
      </c>
      <c r="W823" s="11">
        <f t="shared" si="90"/>
        <v>1</v>
      </c>
    </row>
    <row r="824" spans="1:23">
      <c r="A824" t="s">
        <v>837</v>
      </c>
      <c r="B824" s="4">
        <v>45306</v>
      </c>
      <c r="C824" t="s">
        <v>2016</v>
      </c>
      <c r="D824" t="s">
        <v>2021</v>
      </c>
      <c r="E824" t="s">
        <v>2027</v>
      </c>
      <c r="F824" t="s">
        <v>2031</v>
      </c>
      <c r="G824" t="s">
        <v>2033</v>
      </c>
      <c r="H824" t="s">
        <v>2040</v>
      </c>
      <c r="I824">
        <v>2</v>
      </c>
      <c r="J824">
        <v>6</v>
      </c>
      <c r="K824">
        <v>4</v>
      </c>
      <c r="L824" t="s">
        <v>2041</v>
      </c>
      <c r="M824">
        <v>420</v>
      </c>
      <c r="N824">
        <v>5760</v>
      </c>
      <c r="O824">
        <v>13532</v>
      </c>
      <c r="P824" s="13">
        <f t="shared" si="84"/>
        <v>0</v>
      </c>
      <c r="Q824" t="str">
        <f t="shared" si="85"/>
        <v>No</v>
      </c>
      <c r="R824" t="str" cm="1">
        <f t="array" ref="R824">_xlfn.IFS(K824=0,"On Time",K824&lt;=2,"Minor",K824&lt;=5,"Major",K824&gt;5,"Severe")</f>
        <v>Major</v>
      </c>
      <c r="S824">
        <f t="shared" si="86"/>
        <v>3383</v>
      </c>
      <c r="T824">
        <f t="shared" si="87"/>
        <v>1440</v>
      </c>
      <c r="U824">
        <f t="shared" si="88"/>
        <v>2024</v>
      </c>
      <c r="V824">
        <f t="shared" si="89"/>
        <v>1</v>
      </c>
      <c r="W824" s="11">
        <f t="shared" si="90"/>
        <v>1</v>
      </c>
    </row>
    <row r="825" spans="1:23">
      <c r="A825" t="s">
        <v>838</v>
      </c>
      <c r="B825" s="4">
        <v>45521</v>
      </c>
      <c r="C825" t="s">
        <v>2018</v>
      </c>
      <c r="D825" t="s">
        <v>2024</v>
      </c>
      <c r="E825" t="s">
        <v>2029</v>
      </c>
      <c r="F825" t="s">
        <v>2032</v>
      </c>
      <c r="G825" t="s">
        <v>2034</v>
      </c>
      <c r="H825" t="s">
        <v>2038</v>
      </c>
      <c r="I825">
        <v>1</v>
      </c>
      <c r="J825">
        <v>3</v>
      </c>
      <c r="K825">
        <v>2</v>
      </c>
      <c r="L825" t="s">
        <v>2041</v>
      </c>
      <c r="M825">
        <v>290</v>
      </c>
      <c r="N825">
        <v>4850</v>
      </c>
      <c r="O825">
        <v>7886</v>
      </c>
      <c r="P825" s="13">
        <f t="shared" si="84"/>
        <v>0</v>
      </c>
      <c r="Q825" t="str">
        <f t="shared" si="85"/>
        <v>No</v>
      </c>
      <c r="R825" t="str" cm="1">
        <f t="array" ref="R825">_xlfn.IFS(K825=0,"On Time",K825&lt;=2,"Minor",K825&lt;=5,"Major",K825&gt;5,"Severe")</f>
        <v>Minor</v>
      </c>
      <c r="S825">
        <f t="shared" si="86"/>
        <v>3943</v>
      </c>
      <c r="T825">
        <f t="shared" si="87"/>
        <v>2425</v>
      </c>
      <c r="U825">
        <f t="shared" si="88"/>
        <v>2024</v>
      </c>
      <c r="V825">
        <f t="shared" si="89"/>
        <v>8</v>
      </c>
      <c r="W825" s="11">
        <f t="shared" si="90"/>
        <v>1</v>
      </c>
    </row>
    <row r="826" spans="1:23">
      <c r="A826" t="s">
        <v>839</v>
      </c>
      <c r="B826" s="4">
        <v>45433</v>
      </c>
      <c r="C826" t="s">
        <v>2018</v>
      </c>
      <c r="D826" t="s">
        <v>2026</v>
      </c>
      <c r="E826" t="s">
        <v>2028</v>
      </c>
      <c r="F826" t="s">
        <v>2030</v>
      </c>
      <c r="G826" t="s">
        <v>2035</v>
      </c>
      <c r="H826" t="s">
        <v>2039</v>
      </c>
      <c r="I826">
        <v>3</v>
      </c>
      <c r="J826">
        <v>6</v>
      </c>
      <c r="K826">
        <v>3</v>
      </c>
      <c r="L826" t="s">
        <v>2041</v>
      </c>
      <c r="M826">
        <v>118</v>
      </c>
      <c r="N826">
        <v>6573</v>
      </c>
      <c r="O826">
        <v>10902</v>
      </c>
      <c r="P826" s="13">
        <f t="shared" si="84"/>
        <v>0</v>
      </c>
      <c r="Q826" t="str">
        <f t="shared" si="85"/>
        <v>No</v>
      </c>
      <c r="R826" t="str" cm="1">
        <f t="array" ref="R826">_xlfn.IFS(K826=0,"On Time",K826&lt;=2,"Minor",K826&lt;=5,"Major",K826&gt;5,"Severe")</f>
        <v>Major</v>
      </c>
      <c r="S826">
        <f t="shared" si="86"/>
        <v>3634</v>
      </c>
      <c r="T826">
        <f t="shared" si="87"/>
        <v>2191</v>
      </c>
      <c r="U826">
        <f t="shared" si="88"/>
        <v>2024</v>
      </c>
      <c r="V826">
        <f t="shared" si="89"/>
        <v>5</v>
      </c>
      <c r="W826" s="11">
        <f t="shared" si="90"/>
        <v>1</v>
      </c>
    </row>
    <row r="827" spans="1:23">
      <c r="A827" t="s">
        <v>840</v>
      </c>
      <c r="B827" s="4">
        <v>45327</v>
      </c>
      <c r="C827" t="s">
        <v>2018</v>
      </c>
      <c r="D827" t="s">
        <v>2024</v>
      </c>
      <c r="E827" t="s">
        <v>2028</v>
      </c>
      <c r="F827" t="s">
        <v>2031</v>
      </c>
      <c r="G827" t="s">
        <v>2035</v>
      </c>
      <c r="H827" t="s">
        <v>2039</v>
      </c>
      <c r="I827">
        <v>2</v>
      </c>
      <c r="J827">
        <v>3</v>
      </c>
      <c r="K827">
        <v>1</v>
      </c>
      <c r="L827" t="s">
        <v>2041</v>
      </c>
      <c r="M827">
        <v>70</v>
      </c>
      <c r="N827">
        <v>1518</v>
      </c>
      <c r="O827">
        <v>2129</v>
      </c>
      <c r="P827" s="13">
        <f t="shared" si="84"/>
        <v>0</v>
      </c>
      <c r="Q827" t="str">
        <f t="shared" si="85"/>
        <v>No</v>
      </c>
      <c r="R827" t="str" cm="1">
        <f t="array" ref="R827">_xlfn.IFS(K827=0,"On Time",K827&lt;=2,"Minor",K827&lt;=5,"Major",K827&gt;5,"Severe")</f>
        <v>Minor</v>
      </c>
      <c r="S827">
        <f t="shared" si="86"/>
        <v>2129</v>
      </c>
      <c r="T827">
        <f t="shared" si="87"/>
        <v>1518</v>
      </c>
      <c r="U827">
        <f t="shared" si="88"/>
        <v>2024</v>
      </c>
      <c r="V827">
        <f t="shared" si="89"/>
        <v>2</v>
      </c>
      <c r="W827" s="11">
        <f t="shared" si="90"/>
        <v>1</v>
      </c>
    </row>
    <row r="828" spans="1:23">
      <c r="A828" t="s">
        <v>841</v>
      </c>
      <c r="B828" s="4">
        <v>45505</v>
      </c>
      <c r="C828" t="s">
        <v>2016</v>
      </c>
      <c r="D828" t="s">
        <v>2021</v>
      </c>
      <c r="E828" t="s">
        <v>2028</v>
      </c>
      <c r="F828" t="s">
        <v>2031</v>
      </c>
      <c r="G828" t="s">
        <v>2033</v>
      </c>
      <c r="H828" t="s">
        <v>2040</v>
      </c>
      <c r="I828">
        <v>2</v>
      </c>
      <c r="J828">
        <v>5</v>
      </c>
      <c r="K828">
        <v>3</v>
      </c>
      <c r="L828" t="s">
        <v>2041</v>
      </c>
      <c r="M828">
        <v>435</v>
      </c>
      <c r="N828">
        <v>7074</v>
      </c>
      <c r="O828">
        <v>11133</v>
      </c>
      <c r="P828" s="13">
        <f t="shared" si="84"/>
        <v>0</v>
      </c>
      <c r="Q828" t="str">
        <f t="shared" si="85"/>
        <v>No</v>
      </c>
      <c r="R828" t="str" cm="1">
        <f t="array" ref="R828">_xlfn.IFS(K828=0,"On Time",K828&lt;=2,"Minor",K828&lt;=5,"Major",K828&gt;5,"Severe")</f>
        <v>Major</v>
      </c>
      <c r="S828">
        <f t="shared" si="86"/>
        <v>3711</v>
      </c>
      <c r="T828">
        <f t="shared" si="87"/>
        <v>2358</v>
      </c>
      <c r="U828">
        <f t="shared" si="88"/>
        <v>2024</v>
      </c>
      <c r="V828">
        <f t="shared" si="89"/>
        <v>8</v>
      </c>
      <c r="W828" s="11">
        <f t="shared" si="90"/>
        <v>1</v>
      </c>
    </row>
    <row r="829" spans="1:23">
      <c r="A829" t="s">
        <v>842</v>
      </c>
      <c r="B829" s="4">
        <v>45575</v>
      </c>
      <c r="C829" t="s">
        <v>2015</v>
      </c>
      <c r="D829" t="s">
        <v>2019</v>
      </c>
      <c r="E829" t="s">
        <v>2029</v>
      </c>
      <c r="F829" t="s">
        <v>2030</v>
      </c>
      <c r="G829" t="s">
        <v>2036</v>
      </c>
      <c r="H829" t="s">
        <v>2038</v>
      </c>
      <c r="I829">
        <v>1</v>
      </c>
      <c r="J829">
        <v>3</v>
      </c>
      <c r="K829">
        <v>2</v>
      </c>
      <c r="L829" t="s">
        <v>2041</v>
      </c>
      <c r="M829">
        <v>160</v>
      </c>
      <c r="N829">
        <v>2450</v>
      </c>
      <c r="O829">
        <v>5312</v>
      </c>
      <c r="P829" s="13">
        <f t="shared" si="84"/>
        <v>0</v>
      </c>
      <c r="Q829" t="str">
        <f t="shared" si="85"/>
        <v>No</v>
      </c>
      <c r="R829" t="str" cm="1">
        <f t="array" ref="R829">_xlfn.IFS(K829=0,"On Time",K829&lt;=2,"Minor",K829&lt;=5,"Major",K829&gt;5,"Severe")</f>
        <v>Minor</v>
      </c>
      <c r="S829">
        <f t="shared" si="86"/>
        <v>2656</v>
      </c>
      <c r="T829">
        <f t="shared" si="87"/>
        <v>1225</v>
      </c>
      <c r="U829">
        <f t="shared" si="88"/>
        <v>2024</v>
      </c>
      <c r="V829">
        <f t="shared" si="89"/>
        <v>10</v>
      </c>
      <c r="W829" s="11">
        <f t="shared" si="90"/>
        <v>1</v>
      </c>
    </row>
    <row r="830" spans="1:23">
      <c r="A830" t="s">
        <v>843</v>
      </c>
      <c r="B830" s="4">
        <v>45402</v>
      </c>
      <c r="C830" t="s">
        <v>2016</v>
      </c>
      <c r="D830" t="s">
        <v>2025</v>
      </c>
      <c r="E830" t="s">
        <v>2029</v>
      </c>
      <c r="F830" t="s">
        <v>2030</v>
      </c>
      <c r="G830" t="s">
        <v>2033</v>
      </c>
      <c r="H830" t="s">
        <v>2038</v>
      </c>
      <c r="I830">
        <v>1</v>
      </c>
      <c r="J830">
        <v>6</v>
      </c>
      <c r="K830">
        <v>5</v>
      </c>
      <c r="L830" t="s">
        <v>2041</v>
      </c>
      <c r="M830">
        <v>479</v>
      </c>
      <c r="N830">
        <v>5000</v>
      </c>
      <c r="O830">
        <v>11765</v>
      </c>
      <c r="P830" s="13">
        <f t="shared" si="84"/>
        <v>0</v>
      </c>
      <c r="Q830" t="str">
        <f t="shared" si="85"/>
        <v>No</v>
      </c>
      <c r="R830" t="str" cm="1">
        <f t="array" ref="R830">_xlfn.IFS(K830=0,"On Time",K830&lt;=2,"Minor",K830&lt;=5,"Major",K830&gt;5,"Severe")</f>
        <v>Major</v>
      </c>
      <c r="S830">
        <f t="shared" si="86"/>
        <v>2353</v>
      </c>
      <c r="T830">
        <f t="shared" si="87"/>
        <v>1000</v>
      </c>
      <c r="U830">
        <f t="shared" si="88"/>
        <v>2024</v>
      </c>
      <c r="V830">
        <f t="shared" si="89"/>
        <v>4</v>
      </c>
      <c r="W830" s="11">
        <f t="shared" si="90"/>
        <v>1</v>
      </c>
    </row>
    <row r="831" spans="1:23">
      <c r="A831" t="s">
        <v>844</v>
      </c>
      <c r="B831" s="4">
        <v>45486</v>
      </c>
      <c r="C831" t="s">
        <v>2018</v>
      </c>
      <c r="D831" t="s">
        <v>2026</v>
      </c>
      <c r="E831" t="s">
        <v>2027</v>
      </c>
      <c r="F831" t="s">
        <v>2031</v>
      </c>
      <c r="G831" t="s">
        <v>2033</v>
      </c>
      <c r="H831" t="s">
        <v>2040</v>
      </c>
      <c r="I831">
        <v>2</v>
      </c>
      <c r="J831">
        <v>6</v>
      </c>
      <c r="K831">
        <v>4</v>
      </c>
      <c r="L831" t="s">
        <v>2041</v>
      </c>
      <c r="M831">
        <v>463</v>
      </c>
      <c r="N831">
        <v>3412</v>
      </c>
      <c r="O831">
        <v>12644</v>
      </c>
      <c r="P831" s="13">
        <f t="shared" si="84"/>
        <v>0</v>
      </c>
      <c r="Q831" t="str">
        <f t="shared" si="85"/>
        <v>No</v>
      </c>
      <c r="R831" t="str" cm="1">
        <f t="array" ref="R831">_xlfn.IFS(K831=0,"On Time",K831&lt;=2,"Minor",K831&lt;=5,"Major",K831&gt;5,"Severe")</f>
        <v>Major</v>
      </c>
      <c r="S831">
        <f t="shared" si="86"/>
        <v>3161</v>
      </c>
      <c r="T831">
        <f t="shared" si="87"/>
        <v>853</v>
      </c>
      <c r="U831">
        <f t="shared" si="88"/>
        <v>2024</v>
      </c>
      <c r="V831">
        <f t="shared" si="89"/>
        <v>7</v>
      </c>
      <c r="W831" s="11">
        <f t="shared" si="90"/>
        <v>1</v>
      </c>
    </row>
    <row r="832" spans="1:23">
      <c r="A832" t="s">
        <v>845</v>
      </c>
      <c r="B832" s="4">
        <v>45623</v>
      </c>
      <c r="C832" t="s">
        <v>2018</v>
      </c>
      <c r="D832" t="s">
        <v>2026</v>
      </c>
      <c r="E832" t="s">
        <v>2027</v>
      </c>
      <c r="F832" t="s">
        <v>2032</v>
      </c>
      <c r="G832" t="s">
        <v>2034</v>
      </c>
      <c r="H832" t="s">
        <v>2038</v>
      </c>
      <c r="I832">
        <v>3</v>
      </c>
      <c r="J832">
        <v>5</v>
      </c>
      <c r="K832">
        <v>2</v>
      </c>
      <c r="L832" t="s">
        <v>2041</v>
      </c>
      <c r="M832">
        <v>76</v>
      </c>
      <c r="N832">
        <v>3252</v>
      </c>
      <c r="O832">
        <v>9470</v>
      </c>
      <c r="P832" s="13">
        <f t="shared" si="84"/>
        <v>0</v>
      </c>
      <c r="Q832" t="str">
        <f t="shared" si="85"/>
        <v>No</v>
      </c>
      <c r="R832" t="str" cm="1">
        <f t="array" ref="R832">_xlfn.IFS(K832=0,"On Time",K832&lt;=2,"Minor",K832&lt;=5,"Major",K832&gt;5,"Severe")</f>
        <v>Minor</v>
      </c>
      <c r="S832">
        <f t="shared" si="86"/>
        <v>4735</v>
      </c>
      <c r="T832">
        <f t="shared" si="87"/>
        <v>1626</v>
      </c>
      <c r="U832">
        <f t="shared" si="88"/>
        <v>2024</v>
      </c>
      <c r="V832">
        <f t="shared" si="89"/>
        <v>11</v>
      </c>
      <c r="W832" s="11">
        <f t="shared" si="90"/>
        <v>1</v>
      </c>
    </row>
    <row r="833" spans="1:23">
      <c r="A833" t="s">
        <v>846</v>
      </c>
      <c r="B833" s="4">
        <v>45392</v>
      </c>
      <c r="C833" t="s">
        <v>2016</v>
      </c>
      <c r="D833" t="s">
        <v>2021</v>
      </c>
      <c r="E833" t="s">
        <v>2029</v>
      </c>
      <c r="F833" t="s">
        <v>2031</v>
      </c>
      <c r="G833" t="s">
        <v>2034</v>
      </c>
      <c r="H833" t="s">
        <v>2038</v>
      </c>
      <c r="I833">
        <v>1</v>
      </c>
      <c r="J833">
        <v>3</v>
      </c>
      <c r="K833">
        <v>2</v>
      </c>
      <c r="L833" t="s">
        <v>2041</v>
      </c>
      <c r="M833">
        <v>156</v>
      </c>
      <c r="N833">
        <v>3594</v>
      </c>
      <c r="O833">
        <v>8212</v>
      </c>
      <c r="P833" s="13">
        <f t="shared" si="84"/>
        <v>0</v>
      </c>
      <c r="Q833" t="str">
        <f t="shared" si="85"/>
        <v>No</v>
      </c>
      <c r="R833" t="str" cm="1">
        <f t="array" ref="R833">_xlfn.IFS(K833=0,"On Time",K833&lt;=2,"Minor",K833&lt;=5,"Major",K833&gt;5,"Severe")</f>
        <v>Minor</v>
      </c>
      <c r="S833">
        <f t="shared" si="86"/>
        <v>4106</v>
      </c>
      <c r="T833">
        <f t="shared" si="87"/>
        <v>1797</v>
      </c>
      <c r="U833">
        <f t="shared" si="88"/>
        <v>2024</v>
      </c>
      <c r="V833">
        <f t="shared" si="89"/>
        <v>4</v>
      </c>
      <c r="W833" s="11">
        <f t="shared" si="90"/>
        <v>1</v>
      </c>
    </row>
    <row r="834" spans="1:23">
      <c r="A834" t="s">
        <v>847</v>
      </c>
      <c r="B834" s="4">
        <v>45625</v>
      </c>
      <c r="C834" t="s">
        <v>2015</v>
      </c>
      <c r="D834" t="s">
        <v>2019</v>
      </c>
      <c r="E834" t="s">
        <v>2028</v>
      </c>
      <c r="F834" t="s">
        <v>2031</v>
      </c>
      <c r="G834" t="s">
        <v>2037</v>
      </c>
      <c r="H834" t="s">
        <v>2039</v>
      </c>
      <c r="I834">
        <v>5</v>
      </c>
      <c r="J834">
        <v>6</v>
      </c>
      <c r="K834">
        <v>1</v>
      </c>
      <c r="L834" t="s">
        <v>2041</v>
      </c>
      <c r="M834">
        <v>293</v>
      </c>
      <c r="N834">
        <v>1312</v>
      </c>
      <c r="O834">
        <v>2375</v>
      </c>
      <c r="P834" s="13">
        <f t="shared" si="84"/>
        <v>0</v>
      </c>
      <c r="Q834" t="str">
        <f t="shared" si="85"/>
        <v>No</v>
      </c>
      <c r="R834" t="str" cm="1">
        <f t="array" ref="R834">_xlfn.IFS(K834=0,"On Time",K834&lt;=2,"Minor",K834&lt;=5,"Major",K834&gt;5,"Severe")</f>
        <v>Minor</v>
      </c>
      <c r="S834">
        <f t="shared" si="86"/>
        <v>2375</v>
      </c>
      <c r="T834">
        <f t="shared" si="87"/>
        <v>1312</v>
      </c>
      <c r="U834">
        <f t="shared" si="88"/>
        <v>2024</v>
      </c>
      <c r="V834">
        <f t="shared" si="89"/>
        <v>11</v>
      </c>
      <c r="W834" s="11">
        <f t="shared" si="90"/>
        <v>1</v>
      </c>
    </row>
    <row r="835" spans="1:23">
      <c r="A835" t="s">
        <v>848</v>
      </c>
      <c r="B835" s="4">
        <v>45531</v>
      </c>
      <c r="C835" t="s">
        <v>2016</v>
      </c>
      <c r="D835" t="s">
        <v>2021</v>
      </c>
      <c r="E835" t="s">
        <v>2029</v>
      </c>
      <c r="F835" t="s">
        <v>2031</v>
      </c>
      <c r="G835" t="s">
        <v>2033</v>
      </c>
      <c r="H835" t="s">
        <v>2038</v>
      </c>
      <c r="I835">
        <v>2</v>
      </c>
      <c r="J835">
        <v>3</v>
      </c>
      <c r="K835">
        <v>1</v>
      </c>
      <c r="L835" t="s">
        <v>2041</v>
      </c>
      <c r="M835">
        <v>377</v>
      </c>
      <c r="N835">
        <v>848</v>
      </c>
      <c r="O835">
        <v>3271</v>
      </c>
      <c r="P835" s="13">
        <f t="shared" ref="P835:P898" si="91">IF(L835="Yes",0,1)</f>
        <v>0</v>
      </c>
      <c r="Q835" t="str">
        <f t="shared" ref="Q835:Q898" si="92">IF(K835&gt;J835,"Yes","No")</f>
        <v>No</v>
      </c>
      <c r="R835" t="str" cm="1">
        <f t="array" ref="R835">_xlfn.IFS(K835=0,"On Time",K835&lt;=2,"Minor",K835&lt;=5,"Major",K835&gt;5,"Severe")</f>
        <v>Minor</v>
      </c>
      <c r="S835">
        <f t="shared" ref="S835:S898" si="93">IFERROR(O835/K835,0)</f>
        <v>3271</v>
      </c>
      <c r="T835">
        <f t="shared" ref="T835:T898" si="94">IFERROR(N835/K835,0)</f>
        <v>848</v>
      </c>
      <c r="U835">
        <f t="shared" ref="U835:U898" si="95">YEAR(B835)</f>
        <v>2024</v>
      </c>
      <c r="V835">
        <f t="shared" ref="V835:V898" si="96">MONTH(B835)</f>
        <v>8</v>
      </c>
      <c r="W835" s="11">
        <f t="shared" ref="W835:W898" si="97">IF(L835="Yes",1,0)</f>
        <v>1</v>
      </c>
    </row>
    <row r="836" spans="1:23">
      <c r="A836" t="s">
        <v>849</v>
      </c>
      <c r="B836" s="4">
        <v>45609</v>
      </c>
      <c r="C836" t="s">
        <v>2017</v>
      </c>
      <c r="D836" t="s">
        <v>2022</v>
      </c>
      <c r="E836" t="s">
        <v>2029</v>
      </c>
      <c r="F836" t="s">
        <v>2031</v>
      </c>
      <c r="G836" t="s">
        <v>2033</v>
      </c>
      <c r="H836" t="s">
        <v>2038</v>
      </c>
      <c r="I836">
        <v>5</v>
      </c>
      <c r="J836">
        <v>7</v>
      </c>
      <c r="K836">
        <v>2</v>
      </c>
      <c r="L836" t="s">
        <v>2041</v>
      </c>
      <c r="M836">
        <v>306</v>
      </c>
      <c r="N836">
        <v>2688</v>
      </c>
      <c r="O836">
        <v>5126</v>
      </c>
      <c r="P836" s="13">
        <f t="shared" si="91"/>
        <v>0</v>
      </c>
      <c r="Q836" t="str">
        <f t="shared" si="92"/>
        <v>No</v>
      </c>
      <c r="R836" t="str" cm="1">
        <f t="array" ref="R836">_xlfn.IFS(K836=0,"On Time",K836&lt;=2,"Minor",K836&lt;=5,"Major",K836&gt;5,"Severe")</f>
        <v>Minor</v>
      </c>
      <c r="S836">
        <f t="shared" si="93"/>
        <v>2563</v>
      </c>
      <c r="T836">
        <f t="shared" si="94"/>
        <v>1344</v>
      </c>
      <c r="U836">
        <f t="shared" si="95"/>
        <v>2024</v>
      </c>
      <c r="V836">
        <f t="shared" si="96"/>
        <v>11</v>
      </c>
      <c r="W836" s="11">
        <f t="shared" si="97"/>
        <v>1</v>
      </c>
    </row>
    <row r="837" spans="1:23">
      <c r="A837" t="s">
        <v>850</v>
      </c>
      <c r="B837" s="4">
        <v>45328</v>
      </c>
      <c r="C837" t="s">
        <v>2015</v>
      </c>
      <c r="D837" t="s">
        <v>2019</v>
      </c>
      <c r="E837" t="s">
        <v>2029</v>
      </c>
      <c r="F837" t="s">
        <v>2031</v>
      </c>
      <c r="G837" t="s">
        <v>2037</v>
      </c>
      <c r="H837" t="s">
        <v>2039</v>
      </c>
      <c r="I837">
        <v>5</v>
      </c>
      <c r="J837">
        <v>6</v>
      </c>
      <c r="K837">
        <v>1</v>
      </c>
      <c r="L837" t="s">
        <v>2041</v>
      </c>
      <c r="M837">
        <v>183</v>
      </c>
      <c r="N837">
        <v>2115</v>
      </c>
      <c r="O837">
        <v>4325</v>
      </c>
      <c r="P837" s="13">
        <f t="shared" si="91"/>
        <v>0</v>
      </c>
      <c r="Q837" t="str">
        <f t="shared" si="92"/>
        <v>No</v>
      </c>
      <c r="R837" t="str" cm="1">
        <f t="array" ref="R837">_xlfn.IFS(K837=0,"On Time",K837&lt;=2,"Minor",K837&lt;=5,"Major",K837&gt;5,"Severe")</f>
        <v>Minor</v>
      </c>
      <c r="S837">
        <f t="shared" si="93"/>
        <v>4325</v>
      </c>
      <c r="T837">
        <f t="shared" si="94"/>
        <v>2115</v>
      </c>
      <c r="U837">
        <f t="shared" si="95"/>
        <v>2024</v>
      </c>
      <c r="V837">
        <f t="shared" si="96"/>
        <v>2</v>
      </c>
      <c r="W837" s="11">
        <f t="shared" si="97"/>
        <v>1</v>
      </c>
    </row>
    <row r="838" spans="1:23">
      <c r="A838" t="s">
        <v>851</v>
      </c>
      <c r="B838" s="4">
        <v>45598</v>
      </c>
      <c r="C838" t="s">
        <v>2016</v>
      </c>
      <c r="D838" t="s">
        <v>2025</v>
      </c>
      <c r="E838" t="s">
        <v>2028</v>
      </c>
      <c r="F838" t="s">
        <v>2031</v>
      </c>
      <c r="G838" t="s">
        <v>2037</v>
      </c>
      <c r="H838" t="s">
        <v>2039</v>
      </c>
      <c r="I838">
        <v>1</v>
      </c>
      <c r="J838">
        <v>3</v>
      </c>
      <c r="K838">
        <v>2</v>
      </c>
      <c r="L838" t="s">
        <v>2041</v>
      </c>
      <c r="M838">
        <v>100</v>
      </c>
      <c r="N838">
        <v>2730</v>
      </c>
      <c r="O838">
        <v>4530</v>
      </c>
      <c r="P838" s="13">
        <f t="shared" si="91"/>
        <v>0</v>
      </c>
      <c r="Q838" t="str">
        <f t="shared" si="92"/>
        <v>No</v>
      </c>
      <c r="R838" t="str" cm="1">
        <f t="array" ref="R838">_xlfn.IFS(K838=0,"On Time",K838&lt;=2,"Minor",K838&lt;=5,"Major",K838&gt;5,"Severe")</f>
        <v>Minor</v>
      </c>
      <c r="S838">
        <f t="shared" si="93"/>
        <v>2265</v>
      </c>
      <c r="T838">
        <f t="shared" si="94"/>
        <v>1365</v>
      </c>
      <c r="U838">
        <f t="shared" si="95"/>
        <v>2024</v>
      </c>
      <c r="V838">
        <f t="shared" si="96"/>
        <v>11</v>
      </c>
      <c r="W838" s="11">
        <f t="shared" si="97"/>
        <v>1</v>
      </c>
    </row>
    <row r="839" spans="1:23">
      <c r="A839" t="s">
        <v>852</v>
      </c>
      <c r="B839" s="4">
        <v>45593</v>
      </c>
      <c r="C839" t="s">
        <v>2015</v>
      </c>
      <c r="D839" t="s">
        <v>2020</v>
      </c>
      <c r="E839" t="s">
        <v>2027</v>
      </c>
      <c r="F839" t="s">
        <v>2031</v>
      </c>
      <c r="G839" t="s">
        <v>2037</v>
      </c>
      <c r="H839" t="s">
        <v>2040</v>
      </c>
      <c r="I839">
        <v>3</v>
      </c>
      <c r="J839">
        <v>10</v>
      </c>
      <c r="K839">
        <v>7</v>
      </c>
      <c r="L839" t="s">
        <v>2041</v>
      </c>
      <c r="M839">
        <v>126</v>
      </c>
      <c r="N839">
        <v>10913</v>
      </c>
      <c r="O839">
        <v>14119</v>
      </c>
      <c r="P839" s="13">
        <f t="shared" si="91"/>
        <v>0</v>
      </c>
      <c r="Q839" t="str">
        <f t="shared" si="92"/>
        <v>No</v>
      </c>
      <c r="R839" t="str" cm="1">
        <f t="array" ref="R839">_xlfn.IFS(K839=0,"On Time",K839&lt;=2,"Minor",K839&lt;=5,"Major",K839&gt;5,"Severe")</f>
        <v>Severe</v>
      </c>
      <c r="S839">
        <f t="shared" si="93"/>
        <v>2017</v>
      </c>
      <c r="T839">
        <f t="shared" si="94"/>
        <v>1559</v>
      </c>
      <c r="U839">
        <f t="shared" si="95"/>
        <v>2024</v>
      </c>
      <c r="V839">
        <f t="shared" si="96"/>
        <v>10</v>
      </c>
      <c r="W839" s="11">
        <f t="shared" si="97"/>
        <v>1</v>
      </c>
    </row>
    <row r="840" spans="1:23">
      <c r="A840" t="s">
        <v>853</v>
      </c>
      <c r="B840" s="4">
        <v>45551</v>
      </c>
      <c r="C840" t="s">
        <v>2017</v>
      </c>
      <c r="D840" t="s">
        <v>2022</v>
      </c>
      <c r="E840" t="s">
        <v>2028</v>
      </c>
      <c r="F840" t="s">
        <v>2031</v>
      </c>
      <c r="G840" t="s">
        <v>2037</v>
      </c>
      <c r="H840" t="s">
        <v>2038</v>
      </c>
      <c r="I840">
        <v>1</v>
      </c>
      <c r="J840">
        <v>6</v>
      </c>
      <c r="K840">
        <v>5</v>
      </c>
      <c r="L840" t="s">
        <v>2041</v>
      </c>
      <c r="M840">
        <v>175</v>
      </c>
      <c r="N840">
        <v>4400</v>
      </c>
      <c r="O840">
        <v>20935</v>
      </c>
      <c r="P840" s="13">
        <f t="shared" si="91"/>
        <v>0</v>
      </c>
      <c r="Q840" t="str">
        <f t="shared" si="92"/>
        <v>No</v>
      </c>
      <c r="R840" t="str" cm="1">
        <f t="array" ref="R840">_xlfn.IFS(K840=0,"On Time",K840&lt;=2,"Minor",K840&lt;=5,"Major",K840&gt;5,"Severe")</f>
        <v>Major</v>
      </c>
      <c r="S840">
        <f t="shared" si="93"/>
        <v>4187</v>
      </c>
      <c r="T840">
        <f t="shared" si="94"/>
        <v>880</v>
      </c>
      <c r="U840">
        <f t="shared" si="95"/>
        <v>2024</v>
      </c>
      <c r="V840">
        <f t="shared" si="96"/>
        <v>9</v>
      </c>
      <c r="W840" s="11">
        <f t="shared" si="97"/>
        <v>1</v>
      </c>
    </row>
    <row r="841" spans="1:23">
      <c r="A841" t="s">
        <v>854</v>
      </c>
      <c r="B841" s="4">
        <v>45390</v>
      </c>
      <c r="C841" t="s">
        <v>2017</v>
      </c>
      <c r="D841" t="s">
        <v>2023</v>
      </c>
      <c r="E841" t="s">
        <v>2027</v>
      </c>
      <c r="F841" t="s">
        <v>2031</v>
      </c>
      <c r="G841" t="s">
        <v>2035</v>
      </c>
      <c r="H841" t="s">
        <v>2038</v>
      </c>
      <c r="I841">
        <v>1</v>
      </c>
      <c r="J841">
        <v>1</v>
      </c>
      <c r="K841">
        <v>0</v>
      </c>
      <c r="L841" t="s">
        <v>2042</v>
      </c>
      <c r="M841">
        <v>379</v>
      </c>
      <c r="N841">
        <v>0</v>
      </c>
      <c r="O841">
        <v>0</v>
      </c>
      <c r="P841" s="13">
        <f t="shared" si="91"/>
        <v>1</v>
      </c>
      <c r="Q841" t="str">
        <f t="shared" si="92"/>
        <v>No</v>
      </c>
      <c r="R841" t="str" cm="1">
        <f t="array" ref="R841">_xlfn.IFS(K841=0,"On Time",K841&lt;=2,"Minor",K841&lt;=5,"Major",K841&gt;5,"Severe")</f>
        <v>On Time</v>
      </c>
      <c r="S841">
        <f t="shared" si="93"/>
        <v>0</v>
      </c>
      <c r="T841">
        <f t="shared" si="94"/>
        <v>0</v>
      </c>
      <c r="U841">
        <f t="shared" si="95"/>
        <v>2024</v>
      </c>
      <c r="V841">
        <f t="shared" si="96"/>
        <v>4</v>
      </c>
      <c r="W841" s="11">
        <f t="shared" si="97"/>
        <v>0</v>
      </c>
    </row>
    <row r="842" spans="1:23">
      <c r="A842" t="s">
        <v>855</v>
      </c>
      <c r="B842" s="4">
        <v>45501</v>
      </c>
      <c r="C842" t="s">
        <v>2017</v>
      </c>
      <c r="D842" t="s">
        <v>2023</v>
      </c>
      <c r="E842" t="s">
        <v>2029</v>
      </c>
      <c r="F842" t="s">
        <v>2031</v>
      </c>
      <c r="G842" t="s">
        <v>2033</v>
      </c>
      <c r="H842" t="s">
        <v>2038</v>
      </c>
      <c r="I842">
        <v>1</v>
      </c>
      <c r="J842">
        <v>2</v>
      </c>
      <c r="K842">
        <v>1</v>
      </c>
      <c r="L842" t="s">
        <v>2041</v>
      </c>
      <c r="M842">
        <v>312</v>
      </c>
      <c r="N842">
        <v>2067</v>
      </c>
      <c r="O842">
        <v>2598</v>
      </c>
      <c r="P842" s="13">
        <f t="shared" si="91"/>
        <v>0</v>
      </c>
      <c r="Q842" t="str">
        <f t="shared" si="92"/>
        <v>No</v>
      </c>
      <c r="R842" t="str" cm="1">
        <f t="array" ref="R842">_xlfn.IFS(K842=0,"On Time",K842&lt;=2,"Minor",K842&lt;=5,"Major",K842&gt;5,"Severe")</f>
        <v>Minor</v>
      </c>
      <c r="S842">
        <f t="shared" si="93"/>
        <v>2598</v>
      </c>
      <c r="T842">
        <f t="shared" si="94"/>
        <v>2067</v>
      </c>
      <c r="U842">
        <f t="shared" si="95"/>
        <v>2024</v>
      </c>
      <c r="V842">
        <f t="shared" si="96"/>
        <v>7</v>
      </c>
      <c r="W842" s="11">
        <f t="shared" si="97"/>
        <v>1</v>
      </c>
    </row>
    <row r="843" spans="1:23">
      <c r="A843" t="s">
        <v>856</v>
      </c>
      <c r="B843" s="4">
        <v>45622</v>
      </c>
      <c r="C843" t="s">
        <v>2018</v>
      </c>
      <c r="D843" t="s">
        <v>2024</v>
      </c>
      <c r="E843" t="s">
        <v>2029</v>
      </c>
      <c r="F843" t="s">
        <v>2031</v>
      </c>
      <c r="G843" t="s">
        <v>2037</v>
      </c>
      <c r="H843" t="s">
        <v>2040</v>
      </c>
      <c r="I843">
        <v>1</v>
      </c>
      <c r="J843">
        <v>9</v>
      </c>
      <c r="K843">
        <v>8</v>
      </c>
      <c r="L843" t="s">
        <v>2041</v>
      </c>
      <c r="M843">
        <v>257</v>
      </c>
      <c r="N843">
        <v>8672</v>
      </c>
      <c r="O843">
        <v>25048</v>
      </c>
      <c r="P843" s="13">
        <f t="shared" si="91"/>
        <v>0</v>
      </c>
      <c r="Q843" t="str">
        <f t="shared" si="92"/>
        <v>No</v>
      </c>
      <c r="R843" t="str" cm="1">
        <f t="array" ref="R843">_xlfn.IFS(K843=0,"On Time",K843&lt;=2,"Minor",K843&lt;=5,"Major",K843&gt;5,"Severe")</f>
        <v>Severe</v>
      </c>
      <c r="S843">
        <f t="shared" si="93"/>
        <v>3131</v>
      </c>
      <c r="T843">
        <f t="shared" si="94"/>
        <v>1084</v>
      </c>
      <c r="U843">
        <f t="shared" si="95"/>
        <v>2024</v>
      </c>
      <c r="V843">
        <f t="shared" si="96"/>
        <v>11</v>
      </c>
      <c r="W843" s="11">
        <f t="shared" si="97"/>
        <v>1</v>
      </c>
    </row>
    <row r="844" spans="1:23">
      <c r="A844" t="s">
        <v>857</v>
      </c>
      <c r="B844" s="4">
        <v>45561</v>
      </c>
      <c r="C844" t="s">
        <v>2015</v>
      </c>
      <c r="D844" t="s">
        <v>2019</v>
      </c>
      <c r="E844" t="s">
        <v>2029</v>
      </c>
      <c r="F844" t="s">
        <v>2030</v>
      </c>
      <c r="G844" t="s">
        <v>2037</v>
      </c>
      <c r="H844" t="s">
        <v>2040</v>
      </c>
      <c r="I844">
        <v>2</v>
      </c>
      <c r="J844">
        <v>9</v>
      </c>
      <c r="K844">
        <v>7</v>
      </c>
      <c r="L844" t="s">
        <v>2041</v>
      </c>
      <c r="M844">
        <v>115</v>
      </c>
      <c r="N844">
        <v>6853</v>
      </c>
      <c r="O844">
        <v>23212</v>
      </c>
      <c r="P844" s="13">
        <f t="shared" si="91"/>
        <v>0</v>
      </c>
      <c r="Q844" t="str">
        <f t="shared" si="92"/>
        <v>No</v>
      </c>
      <c r="R844" t="str" cm="1">
        <f t="array" ref="R844">_xlfn.IFS(K844=0,"On Time",K844&lt;=2,"Minor",K844&lt;=5,"Major",K844&gt;5,"Severe")</f>
        <v>Severe</v>
      </c>
      <c r="S844">
        <f t="shared" si="93"/>
        <v>3316</v>
      </c>
      <c r="T844">
        <f t="shared" si="94"/>
        <v>979</v>
      </c>
      <c r="U844">
        <f t="shared" si="95"/>
        <v>2024</v>
      </c>
      <c r="V844">
        <f t="shared" si="96"/>
        <v>9</v>
      </c>
      <c r="W844" s="11">
        <f t="shared" si="97"/>
        <v>1</v>
      </c>
    </row>
    <row r="845" spans="1:23">
      <c r="A845" t="s">
        <v>858</v>
      </c>
      <c r="B845" s="4">
        <v>45607</v>
      </c>
      <c r="C845" t="s">
        <v>2017</v>
      </c>
      <c r="D845" t="s">
        <v>2022</v>
      </c>
      <c r="E845" t="s">
        <v>2029</v>
      </c>
      <c r="F845" t="s">
        <v>2030</v>
      </c>
      <c r="G845" t="s">
        <v>2037</v>
      </c>
      <c r="H845" t="s">
        <v>2038</v>
      </c>
      <c r="I845">
        <v>5</v>
      </c>
      <c r="J845">
        <v>9</v>
      </c>
      <c r="K845">
        <v>4</v>
      </c>
      <c r="L845" t="s">
        <v>2041</v>
      </c>
      <c r="M845">
        <v>376</v>
      </c>
      <c r="N845">
        <v>3288</v>
      </c>
      <c r="O845">
        <v>13788</v>
      </c>
      <c r="P845" s="13">
        <f t="shared" si="91"/>
        <v>0</v>
      </c>
      <c r="Q845" t="str">
        <f t="shared" si="92"/>
        <v>No</v>
      </c>
      <c r="R845" t="str" cm="1">
        <f t="array" ref="R845">_xlfn.IFS(K845=0,"On Time",K845&lt;=2,"Minor",K845&lt;=5,"Major",K845&gt;5,"Severe")</f>
        <v>Major</v>
      </c>
      <c r="S845">
        <f t="shared" si="93"/>
        <v>3447</v>
      </c>
      <c r="T845">
        <f t="shared" si="94"/>
        <v>822</v>
      </c>
      <c r="U845">
        <f t="shared" si="95"/>
        <v>2024</v>
      </c>
      <c r="V845">
        <f t="shared" si="96"/>
        <v>11</v>
      </c>
      <c r="W845" s="11">
        <f t="shared" si="97"/>
        <v>1</v>
      </c>
    </row>
    <row r="846" spans="1:23">
      <c r="A846" t="s">
        <v>859</v>
      </c>
      <c r="B846" s="4">
        <v>45414</v>
      </c>
      <c r="C846" t="s">
        <v>2016</v>
      </c>
      <c r="D846" t="s">
        <v>2025</v>
      </c>
      <c r="E846" t="s">
        <v>2027</v>
      </c>
      <c r="F846" t="s">
        <v>2030</v>
      </c>
      <c r="G846" t="s">
        <v>2036</v>
      </c>
      <c r="H846" t="s">
        <v>2040</v>
      </c>
      <c r="I846">
        <v>1</v>
      </c>
      <c r="J846">
        <v>9</v>
      </c>
      <c r="K846">
        <v>8</v>
      </c>
      <c r="L846" t="s">
        <v>2041</v>
      </c>
      <c r="M846">
        <v>169</v>
      </c>
      <c r="N846">
        <v>7920</v>
      </c>
      <c r="O846">
        <v>31400</v>
      </c>
      <c r="P846" s="13">
        <f t="shared" si="91"/>
        <v>0</v>
      </c>
      <c r="Q846" t="str">
        <f t="shared" si="92"/>
        <v>No</v>
      </c>
      <c r="R846" t="str" cm="1">
        <f t="array" ref="R846">_xlfn.IFS(K846=0,"On Time",K846&lt;=2,"Minor",K846&lt;=5,"Major",K846&gt;5,"Severe")</f>
        <v>Severe</v>
      </c>
      <c r="S846">
        <f t="shared" si="93"/>
        <v>3925</v>
      </c>
      <c r="T846">
        <f t="shared" si="94"/>
        <v>990</v>
      </c>
      <c r="U846">
        <f t="shared" si="95"/>
        <v>2024</v>
      </c>
      <c r="V846">
        <f t="shared" si="96"/>
        <v>5</v>
      </c>
      <c r="W846" s="11">
        <f t="shared" si="97"/>
        <v>1</v>
      </c>
    </row>
    <row r="847" spans="1:23">
      <c r="A847" t="s">
        <v>860</v>
      </c>
      <c r="B847" s="4">
        <v>45469</v>
      </c>
      <c r="C847" t="s">
        <v>2018</v>
      </c>
      <c r="D847" t="s">
        <v>2026</v>
      </c>
      <c r="E847" t="s">
        <v>2027</v>
      </c>
      <c r="F847" t="s">
        <v>2031</v>
      </c>
      <c r="G847" t="s">
        <v>2037</v>
      </c>
      <c r="H847" t="s">
        <v>2038</v>
      </c>
      <c r="I847">
        <v>5</v>
      </c>
      <c r="J847">
        <v>8</v>
      </c>
      <c r="K847">
        <v>3</v>
      </c>
      <c r="L847" t="s">
        <v>2041</v>
      </c>
      <c r="M847">
        <v>336</v>
      </c>
      <c r="N847">
        <v>3900</v>
      </c>
      <c r="O847">
        <v>11034</v>
      </c>
      <c r="P847" s="13">
        <f t="shared" si="91"/>
        <v>0</v>
      </c>
      <c r="Q847" t="str">
        <f t="shared" si="92"/>
        <v>No</v>
      </c>
      <c r="R847" t="str" cm="1">
        <f t="array" ref="R847">_xlfn.IFS(K847=0,"On Time",K847&lt;=2,"Minor",K847&lt;=5,"Major",K847&gt;5,"Severe")</f>
        <v>Major</v>
      </c>
      <c r="S847">
        <f t="shared" si="93"/>
        <v>3678</v>
      </c>
      <c r="T847">
        <f t="shared" si="94"/>
        <v>1300</v>
      </c>
      <c r="U847">
        <f t="shared" si="95"/>
        <v>2024</v>
      </c>
      <c r="V847">
        <f t="shared" si="96"/>
        <v>6</v>
      </c>
      <c r="W847" s="11">
        <f t="shared" si="97"/>
        <v>1</v>
      </c>
    </row>
    <row r="848" spans="1:23">
      <c r="A848" t="s">
        <v>861</v>
      </c>
      <c r="B848" s="4">
        <v>45540</v>
      </c>
      <c r="C848" t="s">
        <v>2016</v>
      </c>
      <c r="D848" t="s">
        <v>2025</v>
      </c>
      <c r="E848" t="s">
        <v>2027</v>
      </c>
      <c r="F848" t="s">
        <v>2031</v>
      </c>
      <c r="G848" t="s">
        <v>2034</v>
      </c>
      <c r="H848" t="s">
        <v>2038</v>
      </c>
      <c r="I848">
        <v>3</v>
      </c>
      <c r="J848">
        <v>6</v>
      </c>
      <c r="K848">
        <v>3</v>
      </c>
      <c r="L848" t="s">
        <v>2041</v>
      </c>
      <c r="M848">
        <v>114</v>
      </c>
      <c r="N848">
        <v>3657</v>
      </c>
      <c r="O848">
        <v>14742</v>
      </c>
      <c r="P848" s="13">
        <f t="shared" si="91"/>
        <v>0</v>
      </c>
      <c r="Q848" t="str">
        <f t="shared" si="92"/>
        <v>No</v>
      </c>
      <c r="R848" t="str" cm="1">
        <f t="array" ref="R848">_xlfn.IFS(K848=0,"On Time",K848&lt;=2,"Minor",K848&lt;=5,"Major",K848&gt;5,"Severe")</f>
        <v>Major</v>
      </c>
      <c r="S848">
        <f t="shared" si="93"/>
        <v>4914</v>
      </c>
      <c r="T848">
        <f t="shared" si="94"/>
        <v>1219</v>
      </c>
      <c r="U848">
        <f t="shared" si="95"/>
        <v>2024</v>
      </c>
      <c r="V848">
        <f t="shared" si="96"/>
        <v>9</v>
      </c>
      <c r="W848" s="11">
        <f t="shared" si="97"/>
        <v>1</v>
      </c>
    </row>
    <row r="849" spans="1:23">
      <c r="A849" t="s">
        <v>862</v>
      </c>
      <c r="B849" s="4">
        <v>45304</v>
      </c>
      <c r="C849" t="s">
        <v>2016</v>
      </c>
      <c r="D849" t="s">
        <v>2021</v>
      </c>
      <c r="E849" t="s">
        <v>2029</v>
      </c>
      <c r="F849" t="s">
        <v>2030</v>
      </c>
      <c r="G849" t="s">
        <v>2033</v>
      </c>
      <c r="H849" t="s">
        <v>2038</v>
      </c>
      <c r="I849">
        <v>2</v>
      </c>
      <c r="J849">
        <v>7</v>
      </c>
      <c r="K849">
        <v>5</v>
      </c>
      <c r="L849" t="s">
        <v>2041</v>
      </c>
      <c r="M849">
        <v>477</v>
      </c>
      <c r="N849">
        <v>8115</v>
      </c>
      <c r="O849">
        <v>12140</v>
      </c>
      <c r="P849" s="13">
        <f t="shared" si="91"/>
        <v>0</v>
      </c>
      <c r="Q849" t="str">
        <f t="shared" si="92"/>
        <v>No</v>
      </c>
      <c r="R849" t="str" cm="1">
        <f t="array" ref="R849">_xlfn.IFS(K849=0,"On Time",K849&lt;=2,"Minor",K849&lt;=5,"Major",K849&gt;5,"Severe")</f>
        <v>Major</v>
      </c>
      <c r="S849">
        <f t="shared" si="93"/>
        <v>2428</v>
      </c>
      <c r="T849">
        <f t="shared" si="94"/>
        <v>1623</v>
      </c>
      <c r="U849">
        <f t="shared" si="95"/>
        <v>2024</v>
      </c>
      <c r="V849">
        <f t="shared" si="96"/>
        <v>1</v>
      </c>
      <c r="W849" s="11">
        <f t="shared" si="97"/>
        <v>1</v>
      </c>
    </row>
    <row r="850" spans="1:23">
      <c r="A850" t="s">
        <v>863</v>
      </c>
      <c r="B850" s="4">
        <v>45354</v>
      </c>
      <c r="C850" t="s">
        <v>2016</v>
      </c>
      <c r="D850" t="s">
        <v>2025</v>
      </c>
      <c r="E850" t="s">
        <v>2027</v>
      </c>
      <c r="F850" t="s">
        <v>2032</v>
      </c>
      <c r="G850" t="s">
        <v>2036</v>
      </c>
      <c r="H850" t="s">
        <v>2039</v>
      </c>
      <c r="I850">
        <v>3</v>
      </c>
      <c r="J850">
        <v>8</v>
      </c>
      <c r="K850">
        <v>5</v>
      </c>
      <c r="L850" t="s">
        <v>2041</v>
      </c>
      <c r="M850">
        <v>487</v>
      </c>
      <c r="N850">
        <v>9730</v>
      </c>
      <c r="O850">
        <v>14730</v>
      </c>
      <c r="P850" s="13">
        <f t="shared" si="91"/>
        <v>0</v>
      </c>
      <c r="Q850" t="str">
        <f t="shared" si="92"/>
        <v>No</v>
      </c>
      <c r="R850" t="str" cm="1">
        <f t="array" ref="R850">_xlfn.IFS(K850=0,"On Time",K850&lt;=2,"Minor",K850&lt;=5,"Major",K850&gt;5,"Severe")</f>
        <v>Major</v>
      </c>
      <c r="S850">
        <f t="shared" si="93"/>
        <v>2946</v>
      </c>
      <c r="T850">
        <f t="shared" si="94"/>
        <v>1946</v>
      </c>
      <c r="U850">
        <f t="shared" si="95"/>
        <v>2024</v>
      </c>
      <c r="V850">
        <f t="shared" si="96"/>
        <v>3</v>
      </c>
      <c r="W850" s="11">
        <f t="shared" si="97"/>
        <v>1</v>
      </c>
    </row>
    <row r="851" spans="1:23">
      <c r="A851" t="s">
        <v>864</v>
      </c>
      <c r="B851" s="4">
        <v>45518</v>
      </c>
      <c r="C851" t="s">
        <v>2016</v>
      </c>
      <c r="D851" t="s">
        <v>2025</v>
      </c>
      <c r="E851" t="s">
        <v>2027</v>
      </c>
      <c r="F851" t="s">
        <v>2031</v>
      </c>
      <c r="G851" t="s">
        <v>2037</v>
      </c>
      <c r="H851" t="s">
        <v>2039</v>
      </c>
      <c r="I851">
        <v>2</v>
      </c>
      <c r="J851">
        <v>5</v>
      </c>
      <c r="K851">
        <v>3</v>
      </c>
      <c r="L851" t="s">
        <v>2041</v>
      </c>
      <c r="M851">
        <v>456</v>
      </c>
      <c r="N851">
        <v>4656</v>
      </c>
      <c r="O851">
        <v>13722</v>
      </c>
      <c r="P851" s="13">
        <f t="shared" si="91"/>
        <v>0</v>
      </c>
      <c r="Q851" t="str">
        <f t="shared" si="92"/>
        <v>No</v>
      </c>
      <c r="R851" t="str" cm="1">
        <f t="array" ref="R851">_xlfn.IFS(K851=0,"On Time",K851&lt;=2,"Minor",K851&lt;=5,"Major",K851&gt;5,"Severe")</f>
        <v>Major</v>
      </c>
      <c r="S851">
        <f t="shared" si="93"/>
        <v>4574</v>
      </c>
      <c r="T851">
        <f t="shared" si="94"/>
        <v>1552</v>
      </c>
      <c r="U851">
        <f t="shared" si="95"/>
        <v>2024</v>
      </c>
      <c r="V851">
        <f t="shared" si="96"/>
        <v>8</v>
      </c>
      <c r="W851" s="11">
        <f t="shared" si="97"/>
        <v>1</v>
      </c>
    </row>
    <row r="852" spans="1:23">
      <c r="A852" t="s">
        <v>865</v>
      </c>
      <c r="B852" s="4">
        <v>45420</v>
      </c>
      <c r="C852" t="s">
        <v>2017</v>
      </c>
      <c r="D852" t="s">
        <v>2022</v>
      </c>
      <c r="E852" t="s">
        <v>2028</v>
      </c>
      <c r="F852" t="s">
        <v>2031</v>
      </c>
      <c r="G852" t="s">
        <v>2035</v>
      </c>
      <c r="H852" t="s">
        <v>2038</v>
      </c>
      <c r="I852">
        <v>3</v>
      </c>
      <c r="J852">
        <v>7</v>
      </c>
      <c r="K852">
        <v>4</v>
      </c>
      <c r="L852" t="s">
        <v>2041</v>
      </c>
      <c r="M852">
        <v>250</v>
      </c>
      <c r="N852">
        <v>9876</v>
      </c>
      <c r="O852">
        <v>18224</v>
      </c>
      <c r="P852" s="13">
        <f t="shared" si="91"/>
        <v>0</v>
      </c>
      <c r="Q852" t="str">
        <f t="shared" si="92"/>
        <v>No</v>
      </c>
      <c r="R852" t="str" cm="1">
        <f t="array" ref="R852">_xlfn.IFS(K852=0,"On Time",K852&lt;=2,"Minor",K852&lt;=5,"Major",K852&gt;5,"Severe")</f>
        <v>Major</v>
      </c>
      <c r="S852">
        <f t="shared" si="93"/>
        <v>4556</v>
      </c>
      <c r="T852">
        <f t="shared" si="94"/>
        <v>2469</v>
      </c>
      <c r="U852">
        <f t="shared" si="95"/>
        <v>2024</v>
      </c>
      <c r="V852">
        <f t="shared" si="96"/>
        <v>5</v>
      </c>
      <c r="W852" s="11">
        <f t="shared" si="97"/>
        <v>1</v>
      </c>
    </row>
    <row r="853" spans="1:23">
      <c r="A853" t="s">
        <v>866</v>
      </c>
      <c r="B853" s="4">
        <v>45462</v>
      </c>
      <c r="C853" t="s">
        <v>2018</v>
      </c>
      <c r="D853" t="s">
        <v>2024</v>
      </c>
      <c r="E853" t="s">
        <v>2027</v>
      </c>
      <c r="F853" t="s">
        <v>2031</v>
      </c>
      <c r="G853" t="s">
        <v>2037</v>
      </c>
      <c r="H853" t="s">
        <v>2038</v>
      </c>
      <c r="I853">
        <v>1</v>
      </c>
      <c r="J853">
        <v>4</v>
      </c>
      <c r="K853">
        <v>3</v>
      </c>
      <c r="L853" t="s">
        <v>2041</v>
      </c>
      <c r="M853">
        <v>360</v>
      </c>
      <c r="N853">
        <v>4509</v>
      </c>
      <c r="O853">
        <v>12903</v>
      </c>
      <c r="P853" s="13">
        <f t="shared" si="91"/>
        <v>0</v>
      </c>
      <c r="Q853" t="str">
        <f t="shared" si="92"/>
        <v>No</v>
      </c>
      <c r="R853" t="str" cm="1">
        <f t="array" ref="R853">_xlfn.IFS(K853=0,"On Time",K853&lt;=2,"Minor",K853&lt;=5,"Major",K853&gt;5,"Severe")</f>
        <v>Major</v>
      </c>
      <c r="S853">
        <f t="shared" si="93"/>
        <v>4301</v>
      </c>
      <c r="T853">
        <f t="shared" si="94"/>
        <v>1503</v>
      </c>
      <c r="U853">
        <f t="shared" si="95"/>
        <v>2024</v>
      </c>
      <c r="V853">
        <f t="shared" si="96"/>
        <v>6</v>
      </c>
      <c r="W853" s="11">
        <f t="shared" si="97"/>
        <v>1</v>
      </c>
    </row>
    <row r="854" spans="1:23">
      <c r="A854" t="s">
        <v>867</v>
      </c>
      <c r="B854" s="4">
        <v>45341</v>
      </c>
      <c r="C854" t="s">
        <v>2018</v>
      </c>
      <c r="D854" t="s">
        <v>2024</v>
      </c>
      <c r="E854" t="s">
        <v>2027</v>
      </c>
      <c r="F854" t="s">
        <v>2032</v>
      </c>
      <c r="G854" t="s">
        <v>2037</v>
      </c>
      <c r="H854" t="s">
        <v>2040</v>
      </c>
      <c r="I854">
        <v>3</v>
      </c>
      <c r="J854">
        <v>12</v>
      </c>
      <c r="K854">
        <v>9</v>
      </c>
      <c r="L854" t="s">
        <v>2041</v>
      </c>
      <c r="M854">
        <v>467</v>
      </c>
      <c r="N854">
        <v>19035</v>
      </c>
      <c r="O854">
        <v>44379</v>
      </c>
      <c r="P854" s="13">
        <f t="shared" si="91"/>
        <v>0</v>
      </c>
      <c r="Q854" t="str">
        <f t="shared" si="92"/>
        <v>No</v>
      </c>
      <c r="R854" t="str" cm="1">
        <f t="array" ref="R854">_xlfn.IFS(K854=0,"On Time",K854&lt;=2,"Minor",K854&lt;=5,"Major",K854&gt;5,"Severe")</f>
        <v>Severe</v>
      </c>
      <c r="S854">
        <f t="shared" si="93"/>
        <v>4931</v>
      </c>
      <c r="T854">
        <f t="shared" si="94"/>
        <v>2115</v>
      </c>
      <c r="U854">
        <f t="shared" si="95"/>
        <v>2024</v>
      </c>
      <c r="V854">
        <f t="shared" si="96"/>
        <v>2</v>
      </c>
      <c r="W854" s="11">
        <f t="shared" si="97"/>
        <v>1</v>
      </c>
    </row>
    <row r="855" spans="1:23">
      <c r="A855" t="s">
        <v>868</v>
      </c>
      <c r="B855" s="4">
        <v>45450</v>
      </c>
      <c r="C855" t="s">
        <v>2018</v>
      </c>
      <c r="D855" t="s">
        <v>2026</v>
      </c>
      <c r="E855" t="s">
        <v>2028</v>
      </c>
      <c r="F855" t="s">
        <v>2031</v>
      </c>
      <c r="G855" t="s">
        <v>2037</v>
      </c>
      <c r="H855" t="s">
        <v>2038</v>
      </c>
      <c r="I855">
        <v>2</v>
      </c>
      <c r="J855">
        <v>2</v>
      </c>
      <c r="K855">
        <v>0</v>
      </c>
      <c r="L855" t="s">
        <v>2042</v>
      </c>
      <c r="M855">
        <v>187</v>
      </c>
      <c r="N855">
        <v>0</v>
      </c>
      <c r="O855">
        <v>0</v>
      </c>
      <c r="P855" s="13">
        <f t="shared" si="91"/>
        <v>1</v>
      </c>
      <c r="Q855" t="str">
        <f t="shared" si="92"/>
        <v>No</v>
      </c>
      <c r="R855" t="str" cm="1">
        <f t="array" ref="R855">_xlfn.IFS(K855=0,"On Time",K855&lt;=2,"Minor",K855&lt;=5,"Major",K855&gt;5,"Severe")</f>
        <v>On Time</v>
      </c>
      <c r="S855">
        <f t="shared" si="93"/>
        <v>0</v>
      </c>
      <c r="T855">
        <f t="shared" si="94"/>
        <v>0</v>
      </c>
      <c r="U855">
        <f t="shared" si="95"/>
        <v>2024</v>
      </c>
      <c r="V855">
        <f t="shared" si="96"/>
        <v>6</v>
      </c>
      <c r="W855" s="11">
        <f t="shared" si="97"/>
        <v>0</v>
      </c>
    </row>
    <row r="856" spans="1:23">
      <c r="A856" t="s">
        <v>869</v>
      </c>
      <c r="B856" s="4">
        <v>45553</v>
      </c>
      <c r="C856" t="s">
        <v>2018</v>
      </c>
      <c r="D856" t="s">
        <v>2026</v>
      </c>
      <c r="E856" t="s">
        <v>2028</v>
      </c>
      <c r="F856" t="s">
        <v>2031</v>
      </c>
      <c r="G856" t="s">
        <v>2033</v>
      </c>
      <c r="H856" t="s">
        <v>2038</v>
      </c>
      <c r="I856">
        <v>1</v>
      </c>
      <c r="J856">
        <v>3</v>
      </c>
      <c r="K856">
        <v>2</v>
      </c>
      <c r="L856" t="s">
        <v>2041</v>
      </c>
      <c r="M856">
        <v>72</v>
      </c>
      <c r="N856">
        <v>4636</v>
      </c>
      <c r="O856">
        <v>3848</v>
      </c>
      <c r="P856" s="13">
        <f t="shared" si="91"/>
        <v>0</v>
      </c>
      <c r="Q856" t="str">
        <f t="shared" si="92"/>
        <v>No</v>
      </c>
      <c r="R856" t="str" cm="1">
        <f t="array" ref="R856">_xlfn.IFS(K856=0,"On Time",K856&lt;=2,"Minor",K856&lt;=5,"Major",K856&gt;5,"Severe")</f>
        <v>Minor</v>
      </c>
      <c r="S856">
        <f t="shared" si="93"/>
        <v>1924</v>
      </c>
      <c r="T856">
        <f t="shared" si="94"/>
        <v>2318</v>
      </c>
      <c r="U856">
        <f t="shared" si="95"/>
        <v>2024</v>
      </c>
      <c r="V856">
        <f t="shared" si="96"/>
        <v>9</v>
      </c>
      <c r="W856" s="11">
        <f t="shared" si="97"/>
        <v>1</v>
      </c>
    </row>
    <row r="857" spans="1:23">
      <c r="A857" t="s">
        <v>870</v>
      </c>
      <c r="B857" s="4">
        <v>45539</v>
      </c>
      <c r="C857" t="s">
        <v>2016</v>
      </c>
      <c r="D857" t="s">
        <v>2021</v>
      </c>
      <c r="E857" t="s">
        <v>2029</v>
      </c>
      <c r="F857" t="s">
        <v>2031</v>
      </c>
      <c r="G857" t="s">
        <v>2037</v>
      </c>
      <c r="H857" t="s">
        <v>2038</v>
      </c>
      <c r="I857">
        <v>5</v>
      </c>
      <c r="J857">
        <v>5</v>
      </c>
      <c r="K857">
        <v>0</v>
      </c>
      <c r="L857" t="s">
        <v>2042</v>
      </c>
      <c r="M857">
        <v>235</v>
      </c>
      <c r="N857">
        <v>0</v>
      </c>
      <c r="O857">
        <v>0</v>
      </c>
      <c r="P857" s="13">
        <f t="shared" si="91"/>
        <v>1</v>
      </c>
      <c r="Q857" t="str">
        <f t="shared" si="92"/>
        <v>No</v>
      </c>
      <c r="R857" t="str" cm="1">
        <f t="array" ref="R857">_xlfn.IFS(K857=0,"On Time",K857&lt;=2,"Minor",K857&lt;=5,"Major",K857&gt;5,"Severe")</f>
        <v>On Time</v>
      </c>
      <c r="S857">
        <f t="shared" si="93"/>
        <v>0</v>
      </c>
      <c r="T857">
        <f t="shared" si="94"/>
        <v>0</v>
      </c>
      <c r="U857">
        <f t="shared" si="95"/>
        <v>2024</v>
      </c>
      <c r="V857">
        <f t="shared" si="96"/>
        <v>9</v>
      </c>
      <c r="W857" s="11">
        <f t="shared" si="97"/>
        <v>0</v>
      </c>
    </row>
    <row r="858" spans="1:23">
      <c r="A858" t="s">
        <v>871</v>
      </c>
      <c r="B858" s="4">
        <v>45511</v>
      </c>
      <c r="C858" t="s">
        <v>2018</v>
      </c>
      <c r="D858" t="s">
        <v>2024</v>
      </c>
      <c r="E858" t="s">
        <v>2029</v>
      </c>
      <c r="F858" t="s">
        <v>2031</v>
      </c>
      <c r="G858" t="s">
        <v>2033</v>
      </c>
      <c r="H858" t="s">
        <v>2038</v>
      </c>
      <c r="I858">
        <v>1</v>
      </c>
      <c r="J858">
        <v>1</v>
      </c>
      <c r="K858">
        <v>0</v>
      </c>
      <c r="L858" t="s">
        <v>2042</v>
      </c>
      <c r="M858">
        <v>301</v>
      </c>
      <c r="N858">
        <v>0</v>
      </c>
      <c r="O858">
        <v>0</v>
      </c>
      <c r="P858" s="13">
        <f t="shared" si="91"/>
        <v>1</v>
      </c>
      <c r="Q858" t="str">
        <f t="shared" si="92"/>
        <v>No</v>
      </c>
      <c r="R858" t="str" cm="1">
        <f t="array" ref="R858">_xlfn.IFS(K858=0,"On Time",K858&lt;=2,"Minor",K858&lt;=5,"Major",K858&gt;5,"Severe")</f>
        <v>On Time</v>
      </c>
      <c r="S858">
        <f t="shared" si="93"/>
        <v>0</v>
      </c>
      <c r="T858">
        <f t="shared" si="94"/>
        <v>0</v>
      </c>
      <c r="U858">
        <f t="shared" si="95"/>
        <v>2024</v>
      </c>
      <c r="V858">
        <f t="shared" si="96"/>
        <v>8</v>
      </c>
      <c r="W858" s="11">
        <f t="shared" si="97"/>
        <v>0</v>
      </c>
    </row>
    <row r="859" spans="1:23">
      <c r="A859" t="s">
        <v>872</v>
      </c>
      <c r="B859" s="4">
        <v>45397</v>
      </c>
      <c r="C859" t="s">
        <v>2017</v>
      </c>
      <c r="D859" t="s">
        <v>2023</v>
      </c>
      <c r="E859" t="s">
        <v>2029</v>
      </c>
      <c r="F859" t="s">
        <v>2031</v>
      </c>
      <c r="G859" t="s">
        <v>2033</v>
      </c>
      <c r="H859" t="s">
        <v>2038</v>
      </c>
      <c r="I859">
        <v>2</v>
      </c>
      <c r="J859">
        <v>5</v>
      </c>
      <c r="K859">
        <v>3</v>
      </c>
      <c r="L859" t="s">
        <v>2041</v>
      </c>
      <c r="M859">
        <v>247</v>
      </c>
      <c r="N859">
        <v>3474</v>
      </c>
      <c r="O859">
        <v>9093</v>
      </c>
      <c r="P859" s="13">
        <f t="shared" si="91"/>
        <v>0</v>
      </c>
      <c r="Q859" t="str">
        <f t="shared" si="92"/>
        <v>No</v>
      </c>
      <c r="R859" t="str" cm="1">
        <f t="array" ref="R859">_xlfn.IFS(K859=0,"On Time",K859&lt;=2,"Minor",K859&lt;=5,"Major",K859&gt;5,"Severe")</f>
        <v>Major</v>
      </c>
      <c r="S859">
        <f t="shared" si="93"/>
        <v>3031</v>
      </c>
      <c r="T859">
        <f t="shared" si="94"/>
        <v>1158</v>
      </c>
      <c r="U859">
        <f t="shared" si="95"/>
        <v>2024</v>
      </c>
      <c r="V859">
        <f t="shared" si="96"/>
        <v>4</v>
      </c>
      <c r="W859" s="11">
        <f t="shared" si="97"/>
        <v>1</v>
      </c>
    </row>
    <row r="860" spans="1:23">
      <c r="A860" t="s">
        <v>873</v>
      </c>
      <c r="B860" s="4">
        <v>45454</v>
      </c>
      <c r="C860" t="s">
        <v>2018</v>
      </c>
      <c r="D860" t="s">
        <v>2024</v>
      </c>
      <c r="E860" t="s">
        <v>2027</v>
      </c>
      <c r="F860" t="s">
        <v>2031</v>
      </c>
      <c r="G860" t="s">
        <v>2037</v>
      </c>
      <c r="H860" t="s">
        <v>2040</v>
      </c>
      <c r="I860">
        <v>5</v>
      </c>
      <c r="J860">
        <v>13</v>
      </c>
      <c r="K860">
        <v>8</v>
      </c>
      <c r="L860" t="s">
        <v>2041</v>
      </c>
      <c r="M860">
        <v>305</v>
      </c>
      <c r="N860">
        <v>13032</v>
      </c>
      <c r="O860">
        <v>21840</v>
      </c>
      <c r="P860" s="13">
        <f t="shared" si="91"/>
        <v>0</v>
      </c>
      <c r="Q860" t="str">
        <f t="shared" si="92"/>
        <v>No</v>
      </c>
      <c r="R860" t="str" cm="1">
        <f t="array" ref="R860">_xlfn.IFS(K860=0,"On Time",K860&lt;=2,"Minor",K860&lt;=5,"Major",K860&gt;5,"Severe")</f>
        <v>Severe</v>
      </c>
      <c r="S860">
        <f t="shared" si="93"/>
        <v>2730</v>
      </c>
      <c r="T860">
        <f t="shared" si="94"/>
        <v>1629</v>
      </c>
      <c r="U860">
        <f t="shared" si="95"/>
        <v>2024</v>
      </c>
      <c r="V860">
        <f t="shared" si="96"/>
        <v>6</v>
      </c>
      <c r="W860" s="11">
        <f t="shared" si="97"/>
        <v>1</v>
      </c>
    </row>
    <row r="861" spans="1:23">
      <c r="A861" t="s">
        <v>874</v>
      </c>
      <c r="B861" s="4">
        <v>45528</v>
      </c>
      <c r="C861" t="s">
        <v>2015</v>
      </c>
      <c r="D861" t="s">
        <v>2019</v>
      </c>
      <c r="E861" t="s">
        <v>2027</v>
      </c>
      <c r="F861" t="s">
        <v>2030</v>
      </c>
      <c r="G861" t="s">
        <v>2037</v>
      </c>
      <c r="H861" t="s">
        <v>2038</v>
      </c>
      <c r="I861">
        <v>1</v>
      </c>
      <c r="J861">
        <v>6</v>
      </c>
      <c r="K861">
        <v>5</v>
      </c>
      <c r="L861" t="s">
        <v>2041</v>
      </c>
      <c r="M861">
        <v>363</v>
      </c>
      <c r="N861">
        <v>9530</v>
      </c>
      <c r="O861">
        <v>15290</v>
      </c>
      <c r="P861" s="13">
        <f t="shared" si="91"/>
        <v>0</v>
      </c>
      <c r="Q861" t="str">
        <f t="shared" si="92"/>
        <v>No</v>
      </c>
      <c r="R861" t="str" cm="1">
        <f t="array" ref="R861">_xlfn.IFS(K861=0,"On Time",K861&lt;=2,"Minor",K861&lt;=5,"Major",K861&gt;5,"Severe")</f>
        <v>Major</v>
      </c>
      <c r="S861">
        <f t="shared" si="93"/>
        <v>3058</v>
      </c>
      <c r="T861">
        <f t="shared" si="94"/>
        <v>1906</v>
      </c>
      <c r="U861">
        <f t="shared" si="95"/>
        <v>2024</v>
      </c>
      <c r="V861">
        <f t="shared" si="96"/>
        <v>8</v>
      </c>
      <c r="W861" s="11">
        <f t="shared" si="97"/>
        <v>1</v>
      </c>
    </row>
    <row r="862" spans="1:23">
      <c r="A862" t="s">
        <v>875</v>
      </c>
      <c r="B862" s="4">
        <v>45651</v>
      </c>
      <c r="C862" t="s">
        <v>2016</v>
      </c>
      <c r="D862" t="s">
        <v>2021</v>
      </c>
      <c r="E862" t="s">
        <v>2027</v>
      </c>
      <c r="F862" t="s">
        <v>2032</v>
      </c>
      <c r="G862" t="s">
        <v>2037</v>
      </c>
      <c r="H862" t="s">
        <v>2039</v>
      </c>
      <c r="I862">
        <v>5</v>
      </c>
      <c r="J862">
        <v>7</v>
      </c>
      <c r="K862">
        <v>2</v>
      </c>
      <c r="L862" t="s">
        <v>2041</v>
      </c>
      <c r="M862">
        <v>298</v>
      </c>
      <c r="N862">
        <v>2352</v>
      </c>
      <c r="O862">
        <v>8116</v>
      </c>
      <c r="P862" s="13">
        <f t="shared" si="91"/>
        <v>0</v>
      </c>
      <c r="Q862" t="str">
        <f t="shared" si="92"/>
        <v>No</v>
      </c>
      <c r="R862" t="str" cm="1">
        <f t="array" ref="R862">_xlfn.IFS(K862=0,"On Time",K862&lt;=2,"Minor",K862&lt;=5,"Major",K862&gt;5,"Severe")</f>
        <v>Minor</v>
      </c>
      <c r="S862">
        <f t="shared" si="93"/>
        <v>4058</v>
      </c>
      <c r="T862">
        <f t="shared" si="94"/>
        <v>1176</v>
      </c>
      <c r="U862">
        <f t="shared" si="95"/>
        <v>2024</v>
      </c>
      <c r="V862">
        <f t="shared" si="96"/>
        <v>12</v>
      </c>
      <c r="W862" s="11">
        <f t="shared" si="97"/>
        <v>1</v>
      </c>
    </row>
    <row r="863" spans="1:23">
      <c r="A863" t="s">
        <v>876</v>
      </c>
      <c r="B863" s="4">
        <v>45486</v>
      </c>
      <c r="C863" t="s">
        <v>2016</v>
      </c>
      <c r="D863" t="s">
        <v>2021</v>
      </c>
      <c r="E863" t="s">
        <v>2028</v>
      </c>
      <c r="F863" t="s">
        <v>2032</v>
      </c>
      <c r="G863" t="s">
        <v>2035</v>
      </c>
      <c r="H863" t="s">
        <v>2038</v>
      </c>
      <c r="I863">
        <v>1</v>
      </c>
      <c r="J863">
        <v>4</v>
      </c>
      <c r="K863">
        <v>3</v>
      </c>
      <c r="L863" t="s">
        <v>2041</v>
      </c>
      <c r="M863">
        <v>377</v>
      </c>
      <c r="N863">
        <v>6936</v>
      </c>
      <c r="O863">
        <v>11973</v>
      </c>
      <c r="P863" s="13">
        <f t="shared" si="91"/>
        <v>0</v>
      </c>
      <c r="Q863" t="str">
        <f t="shared" si="92"/>
        <v>No</v>
      </c>
      <c r="R863" t="str" cm="1">
        <f t="array" ref="R863">_xlfn.IFS(K863=0,"On Time",K863&lt;=2,"Minor",K863&lt;=5,"Major",K863&gt;5,"Severe")</f>
        <v>Major</v>
      </c>
      <c r="S863">
        <f t="shared" si="93"/>
        <v>3991</v>
      </c>
      <c r="T863">
        <f t="shared" si="94"/>
        <v>2312</v>
      </c>
      <c r="U863">
        <f t="shared" si="95"/>
        <v>2024</v>
      </c>
      <c r="V863">
        <f t="shared" si="96"/>
        <v>7</v>
      </c>
      <c r="W863" s="11">
        <f t="shared" si="97"/>
        <v>1</v>
      </c>
    </row>
    <row r="864" spans="1:23">
      <c r="A864" t="s">
        <v>877</v>
      </c>
      <c r="B864" s="4">
        <v>45469</v>
      </c>
      <c r="C864" t="s">
        <v>2018</v>
      </c>
      <c r="D864" t="s">
        <v>2024</v>
      </c>
      <c r="E864" t="s">
        <v>2028</v>
      </c>
      <c r="F864" t="s">
        <v>2031</v>
      </c>
      <c r="G864" t="s">
        <v>2033</v>
      </c>
      <c r="H864" t="s">
        <v>2039</v>
      </c>
      <c r="I864">
        <v>3</v>
      </c>
      <c r="J864">
        <v>8</v>
      </c>
      <c r="K864">
        <v>5</v>
      </c>
      <c r="L864" t="s">
        <v>2041</v>
      </c>
      <c r="M864">
        <v>315</v>
      </c>
      <c r="N864">
        <v>10935</v>
      </c>
      <c r="O864">
        <v>9895</v>
      </c>
      <c r="P864" s="13">
        <f t="shared" si="91"/>
        <v>0</v>
      </c>
      <c r="Q864" t="str">
        <f t="shared" si="92"/>
        <v>No</v>
      </c>
      <c r="R864" t="str" cm="1">
        <f t="array" ref="R864">_xlfn.IFS(K864=0,"On Time",K864&lt;=2,"Minor",K864&lt;=5,"Major",K864&gt;5,"Severe")</f>
        <v>Major</v>
      </c>
      <c r="S864">
        <f t="shared" si="93"/>
        <v>1979</v>
      </c>
      <c r="T864">
        <f t="shared" si="94"/>
        <v>2187</v>
      </c>
      <c r="U864">
        <f t="shared" si="95"/>
        <v>2024</v>
      </c>
      <c r="V864">
        <f t="shared" si="96"/>
        <v>6</v>
      </c>
      <c r="W864" s="11">
        <f t="shared" si="97"/>
        <v>1</v>
      </c>
    </row>
    <row r="865" spans="1:23">
      <c r="A865" t="s">
        <v>878</v>
      </c>
      <c r="B865" s="4">
        <v>45474</v>
      </c>
      <c r="C865" t="s">
        <v>2018</v>
      </c>
      <c r="D865" t="s">
        <v>2026</v>
      </c>
      <c r="E865" t="s">
        <v>2027</v>
      </c>
      <c r="F865" t="s">
        <v>2031</v>
      </c>
      <c r="G865" t="s">
        <v>2036</v>
      </c>
      <c r="H865" t="s">
        <v>2038</v>
      </c>
      <c r="I865">
        <v>3</v>
      </c>
      <c r="J865">
        <v>8</v>
      </c>
      <c r="K865">
        <v>5</v>
      </c>
      <c r="L865" t="s">
        <v>2041</v>
      </c>
      <c r="M865">
        <v>336</v>
      </c>
      <c r="N865">
        <v>4555</v>
      </c>
      <c r="O865">
        <v>23970</v>
      </c>
      <c r="P865" s="13">
        <f t="shared" si="91"/>
        <v>0</v>
      </c>
      <c r="Q865" t="str">
        <f t="shared" si="92"/>
        <v>No</v>
      </c>
      <c r="R865" t="str" cm="1">
        <f t="array" ref="R865">_xlfn.IFS(K865=0,"On Time",K865&lt;=2,"Minor",K865&lt;=5,"Major",K865&gt;5,"Severe")</f>
        <v>Major</v>
      </c>
      <c r="S865">
        <f t="shared" si="93"/>
        <v>4794</v>
      </c>
      <c r="T865">
        <f t="shared" si="94"/>
        <v>911</v>
      </c>
      <c r="U865">
        <f t="shared" si="95"/>
        <v>2024</v>
      </c>
      <c r="V865">
        <f t="shared" si="96"/>
        <v>7</v>
      </c>
      <c r="W865" s="11">
        <f t="shared" si="97"/>
        <v>1</v>
      </c>
    </row>
    <row r="866" spans="1:23">
      <c r="A866" t="s">
        <v>879</v>
      </c>
      <c r="B866" s="4">
        <v>45495</v>
      </c>
      <c r="C866" t="s">
        <v>2017</v>
      </c>
      <c r="D866" t="s">
        <v>2022</v>
      </c>
      <c r="E866" t="s">
        <v>2029</v>
      </c>
      <c r="F866" t="s">
        <v>2032</v>
      </c>
      <c r="G866" t="s">
        <v>2037</v>
      </c>
      <c r="H866" t="s">
        <v>2038</v>
      </c>
      <c r="I866">
        <v>2</v>
      </c>
      <c r="J866">
        <v>8</v>
      </c>
      <c r="K866">
        <v>6</v>
      </c>
      <c r="L866" t="s">
        <v>2041</v>
      </c>
      <c r="M866">
        <v>145</v>
      </c>
      <c r="N866">
        <v>8664</v>
      </c>
      <c r="O866">
        <v>22536</v>
      </c>
      <c r="P866" s="13">
        <f t="shared" si="91"/>
        <v>0</v>
      </c>
      <c r="Q866" t="str">
        <f t="shared" si="92"/>
        <v>No</v>
      </c>
      <c r="R866" t="str" cm="1">
        <f t="array" ref="R866">_xlfn.IFS(K866=0,"On Time",K866&lt;=2,"Minor",K866&lt;=5,"Major",K866&gt;5,"Severe")</f>
        <v>Severe</v>
      </c>
      <c r="S866">
        <f t="shared" si="93"/>
        <v>3756</v>
      </c>
      <c r="T866">
        <f t="shared" si="94"/>
        <v>1444</v>
      </c>
      <c r="U866">
        <f t="shared" si="95"/>
        <v>2024</v>
      </c>
      <c r="V866">
        <f t="shared" si="96"/>
        <v>7</v>
      </c>
      <c r="W866" s="11">
        <f t="shared" si="97"/>
        <v>1</v>
      </c>
    </row>
    <row r="867" spans="1:23">
      <c r="A867" t="s">
        <v>880</v>
      </c>
      <c r="B867" s="4">
        <v>45599</v>
      </c>
      <c r="C867" t="s">
        <v>2018</v>
      </c>
      <c r="D867" t="s">
        <v>2026</v>
      </c>
      <c r="E867" t="s">
        <v>2029</v>
      </c>
      <c r="F867" t="s">
        <v>2031</v>
      </c>
      <c r="G867" t="s">
        <v>2037</v>
      </c>
      <c r="H867" t="s">
        <v>2038</v>
      </c>
      <c r="I867">
        <v>3</v>
      </c>
      <c r="J867">
        <v>8</v>
      </c>
      <c r="K867">
        <v>5</v>
      </c>
      <c r="L867" t="s">
        <v>2041</v>
      </c>
      <c r="M867">
        <v>192</v>
      </c>
      <c r="N867">
        <v>8590</v>
      </c>
      <c r="O867">
        <v>15820</v>
      </c>
      <c r="P867" s="13">
        <f t="shared" si="91"/>
        <v>0</v>
      </c>
      <c r="Q867" t="str">
        <f t="shared" si="92"/>
        <v>No</v>
      </c>
      <c r="R867" t="str" cm="1">
        <f t="array" ref="R867">_xlfn.IFS(K867=0,"On Time",K867&lt;=2,"Minor",K867&lt;=5,"Major",K867&gt;5,"Severe")</f>
        <v>Major</v>
      </c>
      <c r="S867">
        <f t="shared" si="93"/>
        <v>3164</v>
      </c>
      <c r="T867">
        <f t="shared" si="94"/>
        <v>1718</v>
      </c>
      <c r="U867">
        <f t="shared" si="95"/>
        <v>2024</v>
      </c>
      <c r="V867">
        <f t="shared" si="96"/>
        <v>11</v>
      </c>
      <c r="W867" s="11">
        <f t="shared" si="97"/>
        <v>1</v>
      </c>
    </row>
    <row r="868" spans="1:23">
      <c r="A868" t="s">
        <v>881</v>
      </c>
      <c r="B868" s="4">
        <v>45526</v>
      </c>
      <c r="C868" t="s">
        <v>2018</v>
      </c>
      <c r="D868" t="s">
        <v>2026</v>
      </c>
      <c r="E868" t="s">
        <v>2027</v>
      </c>
      <c r="F868" t="s">
        <v>2032</v>
      </c>
      <c r="G868" t="s">
        <v>2035</v>
      </c>
      <c r="H868" t="s">
        <v>2039</v>
      </c>
      <c r="I868">
        <v>1</v>
      </c>
      <c r="J868">
        <v>6</v>
      </c>
      <c r="K868">
        <v>5</v>
      </c>
      <c r="L868" t="s">
        <v>2041</v>
      </c>
      <c r="M868">
        <v>233</v>
      </c>
      <c r="N868">
        <v>4755</v>
      </c>
      <c r="O868">
        <v>21360</v>
      </c>
      <c r="P868" s="13">
        <f t="shared" si="91"/>
        <v>0</v>
      </c>
      <c r="Q868" t="str">
        <f t="shared" si="92"/>
        <v>No</v>
      </c>
      <c r="R868" t="str" cm="1">
        <f t="array" ref="R868">_xlfn.IFS(K868=0,"On Time",K868&lt;=2,"Minor",K868&lt;=5,"Major",K868&gt;5,"Severe")</f>
        <v>Major</v>
      </c>
      <c r="S868">
        <f t="shared" si="93"/>
        <v>4272</v>
      </c>
      <c r="T868">
        <f t="shared" si="94"/>
        <v>951</v>
      </c>
      <c r="U868">
        <f t="shared" si="95"/>
        <v>2024</v>
      </c>
      <c r="V868">
        <f t="shared" si="96"/>
        <v>8</v>
      </c>
      <c r="W868" s="11">
        <f t="shared" si="97"/>
        <v>1</v>
      </c>
    </row>
    <row r="869" spans="1:23">
      <c r="A869" t="s">
        <v>882</v>
      </c>
      <c r="B869" s="4">
        <v>45491</v>
      </c>
      <c r="C869" t="s">
        <v>2017</v>
      </c>
      <c r="D869" t="s">
        <v>2022</v>
      </c>
      <c r="E869" t="s">
        <v>2027</v>
      </c>
      <c r="F869" t="s">
        <v>2032</v>
      </c>
      <c r="G869" t="s">
        <v>2035</v>
      </c>
      <c r="H869" t="s">
        <v>2039</v>
      </c>
      <c r="I869">
        <v>2</v>
      </c>
      <c r="J869">
        <v>7</v>
      </c>
      <c r="K869">
        <v>5</v>
      </c>
      <c r="L869" t="s">
        <v>2041</v>
      </c>
      <c r="M869">
        <v>101</v>
      </c>
      <c r="N869">
        <v>11180</v>
      </c>
      <c r="O869">
        <v>15010</v>
      </c>
      <c r="P869" s="13">
        <f t="shared" si="91"/>
        <v>0</v>
      </c>
      <c r="Q869" t="str">
        <f t="shared" si="92"/>
        <v>No</v>
      </c>
      <c r="R869" t="str" cm="1">
        <f t="array" ref="R869">_xlfn.IFS(K869=0,"On Time",K869&lt;=2,"Minor",K869&lt;=5,"Major",K869&gt;5,"Severe")</f>
        <v>Major</v>
      </c>
      <c r="S869">
        <f t="shared" si="93"/>
        <v>3002</v>
      </c>
      <c r="T869">
        <f t="shared" si="94"/>
        <v>2236</v>
      </c>
      <c r="U869">
        <f t="shared" si="95"/>
        <v>2024</v>
      </c>
      <c r="V869">
        <f t="shared" si="96"/>
        <v>7</v>
      </c>
      <c r="W869" s="11">
        <f t="shared" si="97"/>
        <v>1</v>
      </c>
    </row>
    <row r="870" spans="1:23">
      <c r="A870" t="s">
        <v>883</v>
      </c>
      <c r="B870" s="4">
        <v>45433</v>
      </c>
      <c r="C870" t="s">
        <v>2016</v>
      </c>
      <c r="D870" t="s">
        <v>2021</v>
      </c>
      <c r="E870" t="s">
        <v>2029</v>
      </c>
      <c r="F870" t="s">
        <v>2031</v>
      </c>
      <c r="G870" t="s">
        <v>2037</v>
      </c>
      <c r="H870" t="s">
        <v>2039</v>
      </c>
      <c r="I870">
        <v>2</v>
      </c>
      <c r="J870">
        <v>3</v>
      </c>
      <c r="K870">
        <v>1</v>
      </c>
      <c r="L870" t="s">
        <v>2041</v>
      </c>
      <c r="M870">
        <v>176</v>
      </c>
      <c r="N870">
        <v>2494</v>
      </c>
      <c r="O870">
        <v>1782</v>
      </c>
      <c r="P870" s="13">
        <f t="shared" si="91"/>
        <v>0</v>
      </c>
      <c r="Q870" t="str">
        <f t="shared" si="92"/>
        <v>No</v>
      </c>
      <c r="R870" t="str" cm="1">
        <f t="array" ref="R870">_xlfn.IFS(K870=0,"On Time",K870&lt;=2,"Minor",K870&lt;=5,"Major",K870&gt;5,"Severe")</f>
        <v>Minor</v>
      </c>
      <c r="S870">
        <f t="shared" si="93"/>
        <v>1782</v>
      </c>
      <c r="T870">
        <f t="shared" si="94"/>
        <v>2494</v>
      </c>
      <c r="U870">
        <f t="shared" si="95"/>
        <v>2024</v>
      </c>
      <c r="V870">
        <f t="shared" si="96"/>
        <v>5</v>
      </c>
      <c r="W870" s="11">
        <f t="shared" si="97"/>
        <v>1</v>
      </c>
    </row>
    <row r="871" spans="1:23">
      <c r="A871" t="s">
        <v>884</v>
      </c>
      <c r="B871" s="4">
        <v>45382</v>
      </c>
      <c r="C871" t="s">
        <v>2018</v>
      </c>
      <c r="D871" t="s">
        <v>2026</v>
      </c>
      <c r="E871" t="s">
        <v>2028</v>
      </c>
      <c r="F871" t="s">
        <v>2030</v>
      </c>
      <c r="G871" t="s">
        <v>2037</v>
      </c>
      <c r="H871" t="s">
        <v>2040</v>
      </c>
      <c r="I871">
        <v>1</v>
      </c>
      <c r="J871">
        <v>6</v>
      </c>
      <c r="K871">
        <v>5</v>
      </c>
      <c r="L871" t="s">
        <v>2041</v>
      </c>
      <c r="M871">
        <v>106</v>
      </c>
      <c r="N871">
        <v>5965</v>
      </c>
      <c r="O871">
        <v>20500</v>
      </c>
      <c r="P871" s="13">
        <f t="shared" si="91"/>
        <v>0</v>
      </c>
      <c r="Q871" t="str">
        <f t="shared" si="92"/>
        <v>No</v>
      </c>
      <c r="R871" t="str" cm="1">
        <f t="array" ref="R871">_xlfn.IFS(K871=0,"On Time",K871&lt;=2,"Minor",K871&lt;=5,"Major",K871&gt;5,"Severe")</f>
        <v>Major</v>
      </c>
      <c r="S871">
        <f t="shared" si="93"/>
        <v>4100</v>
      </c>
      <c r="T871">
        <f t="shared" si="94"/>
        <v>1193</v>
      </c>
      <c r="U871">
        <f t="shared" si="95"/>
        <v>2024</v>
      </c>
      <c r="V871">
        <f t="shared" si="96"/>
        <v>3</v>
      </c>
      <c r="W871" s="11">
        <f t="shared" si="97"/>
        <v>1</v>
      </c>
    </row>
    <row r="872" spans="1:23">
      <c r="A872" t="s">
        <v>885</v>
      </c>
      <c r="B872" s="4">
        <v>45420</v>
      </c>
      <c r="C872" t="s">
        <v>2018</v>
      </c>
      <c r="D872" t="s">
        <v>2024</v>
      </c>
      <c r="E872" t="s">
        <v>2029</v>
      </c>
      <c r="F872" t="s">
        <v>2030</v>
      </c>
      <c r="G872" t="s">
        <v>2033</v>
      </c>
      <c r="H872" t="s">
        <v>2039</v>
      </c>
      <c r="I872">
        <v>5</v>
      </c>
      <c r="J872">
        <v>8</v>
      </c>
      <c r="K872">
        <v>3</v>
      </c>
      <c r="L872" t="s">
        <v>2041</v>
      </c>
      <c r="M872">
        <v>275</v>
      </c>
      <c r="N872">
        <v>2880</v>
      </c>
      <c r="O872">
        <v>12519</v>
      </c>
      <c r="P872" s="13">
        <f t="shared" si="91"/>
        <v>0</v>
      </c>
      <c r="Q872" t="str">
        <f t="shared" si="92"/>
        <v>No</v>
      </c>
      <c r="R872" t="str" cm="1">
        <f t="array" ref="R872">_xlfn.IFS(K872=0,"On Time",K872&lt;=2,"Minor",K872&lt;=5,"Major",K872&gt;5,"Severe")</f>
        <v>Major</v>
      </c>
      <c r="S872">
        <f t="shared" si="93"/>
        <v>4173</v>
      </c>
      <c r="T872">
        <f t="shared" si="94"/>
        <v>960</v>
      </c>
      <c r="U872">
        <f t="shared" si="95"/>
        <v>2024</v>
      </c>
      <c r="V872">
        <f t="shared" si="96"/>
        <v>5</v>
      </c>
      <c r="W872" s="11">
        <f t="shared" si="97"/>
        <v>1</v>
      </c>
    </row>
    <row r="873" spans="1:23">
      <c r="A873" t="s">
        <v>886</v>
      </c>
      <c r="B873" s="4">
        <v>45645</v>
      </c>
      <c r="C873" t="s">
        <v>2016</v>
      </c>
      <c r="D873" t="s">
        <v>2025</v>
      </c>
      <c r="E873" t="s">
        <v>2028</v>
      </c>
      <c r="F873" t="s">
        <v>2032</v>
      </c>
      <c r="G873" t="s">
        <v>2036</v>
      </c>
      <c r="H873" t="s">
        <v>2038</v>
      </c>
      <c r="I873">
        <v>3</v>
      </c>
      <c r="J873">
        <v>9</v>
      </c>
      <c r="K873">
        <v>6</v>
      </c>
      <c r="L873" t="s">
        <v>2041</v>
      </c>
      <c r="M873">
        <v>79</v>
      </c>
      <c r="N873">
        <v>12666</v>
      </c>
      <c r="O873">
        <v>18042</v>
      </c>
      <c r="P873" s="13">
        <f t="shared" si="91"/>
        <v>0</v>
      </c>
      <c r="Q873" t="str">
        <f t="shared" si="92"/>
        <v>No</v>
      </c>
      <c r="R873" t="str" cm="1">
        <f t="array" ref="R873">_xlfn.IFS(K873=0,"On Time",K873&lt;=2,"Minor",K873&lt;=5,"Major",K873&gt;5,"Severe")</f>
        <v>Severe</v>
      </c>
      <c r="S873">
        <f t="shared" si="93"/>
        <v>3007</v>
      </c>
      <c r="T873">
        <f t="shared" si="94"/>
        <v>2111</v>
      </c>
      <c r="U873">
        <f t="shared" si="95"/>
        <v>2024</v>
      </c>
      <c r="V873">
        <f t="shared" si="96"/>
        <v>12</v>
      </c>
      <c r="W873" s="11">
        <f t="shared" si="97"/>
        <v>1</v>
      </c>
    </row>
    <row r="874" spans="1:23">
      <c r="A874" t="s">
        <v>887</v>
      </c>
      <c r="B874" s="4">
        <v>45510</v>
      </c>
      <c r="C874" t="s">
        <v>2017</v>
      </c>
      <c r="D874" t="s">
        <v>2023</v>
      </c>
      <c r="E874" t="s">
        <v>2029</v>
      </c>
      <c r="F874" t="s">
        <v>2031</v>
      </c>
      <c r="G874" t="s">
        <v>2037</v>
      </c>
      <c r="H874" t="s">
        <v>2039</v>
      </c>
      <c r="I874">
        <v>1</v>
      </c>
      <c r="J874">
        <v>2</v>
      </c>
      <c r="K874">
        <v>1</v>
      </c>
      <c r="L874" t="s">
        <v>2041</v>
      </c>
      <c r="M874">
        <v>266</v>
      </c>
      <c r="N874">
        <v>1838</v>
      </c>
      <c r="O874">
        <v>4404</v>
      </c>
      <c r="P874" s="13">
        <f t="shared" si="91"/>
        <v>0</v>
      </c>
      <c r="Q874" t="str">
        <f t="shared" si="92"/>
        <v>No</v>
      </c>
      <c r="R874" t="str" cm="1">
        <f t="array" ref="R874">_xlfn.IFS(K874=0,"On Time",K874&lt;=2,"Minor",K874&lt;=5,"Major",K874&gt;5,"Severe")</f>
        <v>Minor</v>
      </c>
      <c r="S874">
        <f t="shared" si="93"/>
        <v>4404</v>
      </c>
      <c r="T874">
        <f t="shared" si="94"/>
        <v>1838</v>
      </c>
      <c r="U874">
        <f t="shared" si="95"/>
        <v>2024</v>
      </c>
      <c r="V874">
        <f t="shared" si="96"/>
        <v>8</v>
      </c>
      <c r="W874" s="11">
        <f t="shared" si="97"/>
        <v>1</v>
      </c>
    </row>
    <row r="875" spans="1:23">
      <c r="A875" t="s">
        <v>888</v>
      </c>
      <c r="B875" s="4">
        <v>45528</v>
      </c>
      <c r="C875" t="s">
        <v>2015</v>
      </c>
      <c r="D875" t="s">
        <v>2020</v>
      </c>
      <c r="E875" t="s">
        <v>2028</v>
      </c>
      <c r="F875" t="s">
        <v>2031</v>
      </c>
      <c r="G875" t="s">
        <v>2037</v>
      </c>
      <c r="H875" t="s">
        <v>2039</v>
      </c>
      <c r="I875">
        <v>5</v>
      </c>
      <c r="J875">
        <v>8</v>
      </c>
      <c r="K875">
        <v>3</v>
      </c>
      <c r="L875" t="s">
        <v>2041</v>
      </c>
      <c r="M875">
        <v>333</v>
      </c>
      <c r="N875">
        <v>5841</v>
      </c>
      <c r="O875">
        <v>4677</v>
      </c>
      <c r="P875" s="13">
        <f t="shared" si="91"/>
        <v>0</v>
      </c>
      <c r="Q875" t="str">
        <f t="shared" si="92"/>
        <v>No</v>
      </c>
      <c r="R875" t="str" cm="1">
        <f t="array" ref="R875">_xlfn.IFS(K875=0,"On Time",K875&lt;=2,"Minor",K875&lt;=5,"Major",K875&gt;5,"Severe")</f>
        <v>Major</v>
      </c>
      <c r="S875">
        <f t="shared" si="93"/>
        <v>1559</v>
      </c>
      <c r="T875">
        <f t="shared" si="94"/>
        <v>1947</v>
      </c>
      <c r="U875">
        <f t="shared" si="95"/>
        <v>2024</v>
      </c>
      <c r="V875">
        <f t="shared" si="96"/>
        <v>8</v>
      </c>
      <c r="W875" s="11">
        <f t="shared" si="97"/>
        <v>1</v>
      </c>
    </row>
    <row r="876" spans="1:23">
      <c r="A876" t="s">
        <v>889</v>
      </c>
      <c r="B876" s="4">
        <v>45625</v>
      </c>
      <c r="C876" t="s">
        <v>2016</v>
      </c>
      <c r="D876" t="s">
        <v>2021</v>
      </c>
      <c r="E876" t="s">
        <v>2029</v>
      </c>
      <c r="F876" t="s">
        <v>2031</v>
      </c>
      <c r="G876" t="s">
        <v>2035</v>
      </c>
      <c r="H876" t="s">
        <v>2038</v>
      </c>
      <c r="I876">
        <v>2</v>
      </c>
      <c r="J876">
        <v>3</v>
      </c>
      <c r="K876">
        <v>1</v>
      </c>
      <c r="L876" t="s">
        <v>2041</v>
      </c>
      <c r="M876">
        <v>149</v>
      </c>
      <c r="N876">
        <v>1249</v>
      </c>
      <c r="O876">
        <v>2967</v>
      </c>
      <c r="P876" s="13">
        <f t="shared" si="91"/>
        <v>0</v>
      </c>
      <c r="Q876" t="str">
        <f t="shared" si="92"/>
        <v>No</v>
      </c>
      <c r="R876" t="str" cm="1">
        <f t="array" ref="R876">_xlfn.IFS(K876=0,"On Time",K876&lt;=2,"Minor",K876&lt;=5,"Major",K876&gt;5,"Severe")</f>
        <v>Minor</v>
      </c>
      <c r="S876">
        <f t="shared" si="93"/>
        <v>2967</v>
      </c>
      <c r="T876">
        <f t="shared" si="94"/>
        <v>1249</v>
      </c>
      <c r="U876">
        <f t="shared" si="95"/>
        <v>2024</v>
      </c>
      <c r="V876">
        <f t="shared" si="96"/>
        <v>11</v>
      </c>
      <c r="W876" s="11">
        <f t="shared" si="97"/>
        <v>1</v>
      </c>
    </row>
    <row r="877" spans="1:23">
      <c r="A877" t="s">
        <v>890</v>
      </c>
      <c r="B877" s="4">
        <v>45334</v>
      </c>
      <c r="C877" t="s">
        <v>2017</v>
      </c>
      <c r="D877" t="s">
        <v>2022</v>
      </c>
      <c r="E877" t="s">
        <v>2029</v>
      </c>
      <c r="F877" t="s">
        <v>2030</v>
      </c>
      <c r="G877" t="s">
        <v>2037</v>
      </c>
      <c r="H877" t="s">
        <v>2040</v>
      </c>
      <c r="I877">
        <v>3</v>
      </c>
      <c r="J877">
        <v>6</v>
      </c>
      <c r="K877">
        <v>3</v>
      </c>
      <c r="L877" t="s">
        <v>2041</v>
      </c>
      <c r="M877">
        <v>394</v>
      </c>
      <c r="N877">
        <v>4503</v>
      </c>
      <c r="O877">
        <v>9621</v>
      </c>
      <c r="P877" s="13">
        <f t="shared" si="91"/>
        <v>0</v>
      </c>
      <c r="Q877" t="str">
        <f t="shared" si="92"/>
        <v>No</v>
      </c>
      <c r="R877" t="str" cm="1">
        <f t="array" ref="R877">_xlfn.IFS(K877=0,"On Time",K877&lt;=2,"Minor",K877&lt;=5,"Major",K877&gt;5,"Severe")</f>
        <v>Major</v>
      </c>
      <c r="S877">
        <f t="shared" si="93"/>
        <v>3207</v>
      </c>
      <c r="T877">
        <f t="shared" si="94"/>
        <v>1501</v>
      </c>
      <c r="U877">
        <f t="shared" si="95"/>
        <v>2024</v>
      </c>
      <c r="V877">
        <f t="shared" si="96"/>
        <v>2</v>
      </c>
      <c r="W877" s="11">
        <f t="shared" si="97"/>
        <v>1</v>
      </c>
    </row>
    <row r="878" spans="1:23">
      <c r="A878" t="s">
        <v>891</v>
      </c>
      <c r="B878" s="4">
        <v>45407</v>
      </c>
      <c r="C878" t="s">
        <v>2015</v>
      </c>
      <c r="D878" t="s">
        <v>2020</v>
      </c>
      <c r="E878" t="s">
        <v>2029</v>
      </c>
      <c r="F878" t="s">
        <v>2032</v>
      </c>
      <c r="G878" t="s">
        <v>2034</v>
      </c>
      <c r="H878" t="s">
        <v>2039</v>
      </c>
      <c r="I878">
        <v>5</v>
      </c>
      <c r="J878">
        <v>10</v>
      </c>
      <c r="K878">
        <v>5</v>
      </c>
      <c r="L878" t="s">
        <v>2041</v>
      </c>
      <c r="M878">
        <v>367</v>
      </c>
      <c r="N878">
        <v>6130</v>
      </c>
      <c r="O878">
        <v>12890</v>
      </c>
      <c r="P878" s="13">
        <f t="shared" si="91"/>
        <v>0</v>
      </c>
      <c r="Q878" t="str">
        <f t="shared" si="92"/>
        <v>No</v>
      </c>
      <c r="R878" t="str" cm="1">
        <f t="array" ref="R878">_xlfn.IFS(K878=0,"On Time",K878&lt;=2,"Minor",K878&lt;=5,"Major",K878&gt;5,"Severe")</f>
        <v>Major</v>
      </c>
      <c r="S878">
        <f t="shared" si="93"/>
        <v>2578</v>
      </c>
      <c r="T878">
        <f t="shared" si="94"/>
        <v>1226</v>
      </c>
      <c r="U878">
        <f t="shared" si="95"/>
        <v>2024</v>
      </c>
      <c r="V878">
        <f t="shared" si="96"/>
        <v>4</v>
      </c>
      <c r="W878" s="11">
        <f t="shared" si="97"/>
        <v>1</v>
      </c>
    </row>
    <row r="879" spans="1:23">
      <c r="A879" t="s">
        <v>892</v>
      </c>
      <c r="B879" s="4">
        <v>45476</v>
      </c>
      <c r="C879" t="s">
        <v>2017</v>
      </c>
      <c r="D879" t="s">
        <v>2023</v>
      </c>
      <c r="E879" t="s">
        <v>2027</v>
      </c>
      <c r="F879" t="s">
        <v>2031</v>
      </c>
      <c r="G879" t="s">
        <v>2034</v>
      </c>
      <c r="H879" t="s">
        <v>2040</v>
      </c>
      <c r="I879">
        <v>3</v>
      </c>
      <c r="J879">
        <v>8</v>
      </c>
      <c r="K879">
        <v>5</v>
      </c>
      <c r="L879" t="s">
        <v>2041</v>
      </c>
      <c r="M879">
        <v>397</v>
      </c>
      <c r="N879">
        <v>11220</v>
      </c>
      <c r="O879">
        <v>18035</v>
      </c>
      <c r="P879" s="13">
        <f t="shared" si="91"/>
        <v>0</v>
      </c>
      <c r="Q879" t="str">
        <f t="shared" si="92"/>
        <v>No</v>
      </c>
      <c r="R879" t="str" cm="1">
        <f t="array" ref="R879">_xlfn.IFS(K879=0,"On Time",K879&lt;=2,"Minor",K879&lt;=5,"Major",K879&gt;5,"Severe")</f>
        <v>Major</v>
      </c>
      <c r="S879">
        <f t="shared" si="93"/>
        <v>3607</v>
      </c>
      <c r="T879">
        <f t="shared" si="94"/>
        <v>2244</v>
      </c>
      <c r="U879">
        <f t="shared" si="95"/>
        <v>2024</v>
      </c>
      <c r="V879">
        <f t="shared" si="96"/>
        <v>7</v>
      </c>
      <c r="W879" s="11">
        <f t="shared" si="97"/>
        <v>1</v>
      </c>
    </row>
    <row r="880" spans="1:23">
      <c r="A880" t="s">
        <v>893</v>
      </c>
      <c r="B880" s="4">
        <v>45596</v>
      </c>
      <c r="C880" t="s">
        <v>2016</v>
      </c>
      <c r="D880" t="s">
        <v>2021</v>
      </c>
      <c r="E880" t="s">
        <v>2027</v>
      </c>
      <c r="F880" t="s">
        <v>2031</v>
      </c>
      <c r="G880" t="s">
        <v>2036</v>
      </c>
      <c r="H880" t="s">
        <v>2039</v>
      </c>
      <c r="I880">
        <v>1</v>
      </c>
      <c r="J880">
        <v>1</v>
      </c>
      <c r="K880">
        <v>0</v>
      </c>
      <c r="L880" t="s">
        <v>2042</v>
      </c>
      <c r="M880">
        <v>423</v>
      </c>
      <c r="N880">
        <v>0</v>
      </c>
      <c r="O880">
        <v>0</v>
      </c>
      <c r="P880" s="13">
        <f t="shared" si="91"/>
        <v>1</v>
      </c>
      <c r="Q880" t="str">
        <f t="shared" si="92"/>
        <v>No</v>
      </c>
      <c r="R880" t="str" cm="1">
        <f t="array" ref="R880">_xlfn.IFS(K880=0,"On Time",K880&lt;=2,"Minor",K880&lt;=5,"Major",K880&gt;5,"Severe")</f>
        <v>On Time</v>
      </c>
      <c r="S880">
        <f t="shared" si="93"/>
        <v>0</v>
      </c>
      <c r="T880">
        <f t="shared" si="94"/>
        <v>0</v>
      </c>
      <c r="U880">
        <f t="shared" si="95"/>
        <v>2024</v>
      </c>
      <c r="V880">
        <f t="shared" si="96"/>
        <v>10</v>
      </c>
      <c r="W880" s="11">
        <f t="shared" si="97"/>
        <v>0</v>
      </c>
    </row>
    <row r="881" spans="1:23">
      <c r="A881" t="s">
        <v>894</v>
      </c>
      <c r="B881" s="4">
        <v>45302</v>
      </c>
      <c r="C881" t="s">
        <v>2015</v>
      </c>
      <c r="D881" t="s">
        <v>2019</v>
      </c>
      <c r="E881" t="s">
        <v>2029</v>
      </c>
      <c r="F881" t="s">
        <v>2031</v>
      </c>
      <c r="G881" t="s">
        <v>2034</v>
      </c>
      <c r="H881" t="s">
        <v>2038</v>
      </c>
      <c r="I881">
        <v>1</v>
      </c>
      <c r="J881">
        <v>1</v>
      </c>
      <c r="K881">
        <v>0</v>
      </c>
      <c r="L881" t="s">
        <v>2042</v>
      </c>
      <c r="M881">
        <v>324</v>
      </c>
      <c r="N881">
        <v>0</v>
      </c>
      <c r="O881">
        <v>0</v>
      </c>
      <c r="P881" s="13">
        <f t="shared" si="91"/>
        <v>1</v>
      </c>
      <c r="Q881" t="str">
        <f t="shared" si="92"/>
        <v>No</v>
      </c>
      <c r="R881" t="str" cm="1">
        <f t="array" ref="R881">_xlfn.IFS(K881=0,"On Time",K881&lt;=2,"Minor",K881&lt;=5,"Major",K881&gt;5,"Severe")</f>
        <v>On Time</v>
      </c>
      <c r="S881">
        <f t="shared" si="93"/>
        <v>0</v>
      </c>
      <c r="T881">
        <f t="shared" si="94"/>
        <v>0</v>
      </c>
      <c r="U881">
        <f t="shared" si="95"/>
        <v>2024</v>
      </c>
      <c r="V881">
        <f t="shared" si="96"/>
        <v>1</v>
      </c>
      <c r="W881" s="11">
        <f t="shared" si="97"/>
        <v>0</v>
      </c>
    </row>
    <row r="882" spans="1:23">
      <c r="A882" t="s">
        <v>895</v>
      </c>
      <c r="B882" s="4">
        <v>45556</v>
      </c>
      <c r="C882" t="s">
        <v>2017</v>
      </c>
      <c r="D882" t="s">
        <v>2022</v>
      </c>
      <c r="E882" t="s">
        <v>2027</v>
      </c>
      <c r="F882" t="s">
        <v>2031</v>
      </c>
      <c r="G882" t="s">
        <v>2033</v>
      </c>
      <c r="H882" t="s">
        <v>2039</v>
      </c>
      <c r="I882">
        <v>2</v>
      </c>
      <c r="J882">
        <v>6</v>
      </c>
      <c r="K882">
        <v>4</v>
      </c>
      <c r="L882" t="s">
        <v>2041</v>
      </c>
      <c r="M882">
        <v>199</v>
      </c>
      <c r="N882">
        <v>8972</v>
      </c>
      <c r="O882">
        <v>6832</v>
      </c>
      <c r="P882" s="13">
        <f t="shared" si="91"/>
        <v>0</v>
      </c>
      <c r="Q882" t="str">
        <f t="shared" si="92"/>
        <v>No</v>
      </c>
      <c r="R882" t="str" cm="1">
        <f t="array" ref="R882">_xlfn.IFS(K882=0,"On Time",K882&lt;=2,"Minor",K882&lt;=5,"Major",K882&gt;5,"Severe")</f>
        <v>Major</v>
      </c>
      <c r="S882">
        <f t="shared" si="93"/>
        <v>1708</v>
      </c>
      <c r="T882">
        <f t="shared" si="94"/>
        <v>2243</v>
      </c>
      <c r="U882">
        <f t="shared" si="95"/>
        <v>2024</v>
      </c>
      <c r="V882">
        <f t="shared" si="96"/>
        <v>9</v>
      </c>
      <c r="W882" s="11">
        <f t="shared" si="97"/>
        <v>1</v>
      </c>
    </row>
    <row r="883" spans="1:23">
      <c r="A883" t="s">
        <v>896</v>
      </c>
      <c r="B883" s="4">
        <v>45443</v>
      </c>
      <c r="C883" t="s">
        <v>2015</v>
      </c>
      <c r="D883" t="s">
        <v>2019</v>
      </c>
      <c r="E883" t="s">
        <v>2028</v>
      </c>
      <c r="F883" t="s">
        <v>2030</v>
      </c>
      <c r="G883" t="s">
        <v>2036</v>
      </c>
      <c r="H883" t="s">
        <v>2039</v>
      </c>
      <c r="I883">
        <v>2</v>
      </c>
      <c r="J883">
        <v>6</v>
      </c>
      <c r="K883">
        <v>4</v>
      </c>
      <c r="L883" t="s">
        <v>2041</v>
      </c>
      <c r="M883">
        <v>259</v>
      </c>
      <c r="N883">
        <v>7860</v>
      </c>
      <c r="O883">
        <v>9420</v>
      </c>
      <c r="P883" s="13">
        <f t="shared" si="91"/>
        <v>0</v>
      </c>
      <c r="Q883" t="str">
        <f t="shared" si="92"/>
        <v>No</v>
      </c>
      <c r="R883" t="str" cm="1">
        <f t="array" ref="R883">_xlfn.IFS(K883=0,"On Time",K883&lt;=2,"Minor",K883&lt;=5,"Major",K883&gt;5,"Severe")</f>
        <v>Major</v>
      </c>
      <c r="S883">
        <f t="shared" si="93"/>
        <v>2355</v>
      </c>
      <c r="T883">
        <f t="shared" si="94"/>
        <v>1965</v>
      </c>
      <c r="U883">
        <f t="shared" si="95"/>
        <v>2024</v>
      </c>
      <c r="V883">
        <f t="shared" si="96"/>
        <v>5</v>
      </c>
      <c r="W883" s="11">
        <f t="shared" si="97"/>
        <v>1</v>
      </c>
    </row>
    <row r="884" spans="1:23">
      <c r="A884" t="s">
        <v>897</v>
      </c>
      <c r="B884" s="4">
        <v>45511</v>
      </c>
      <c r="C884" t="s">
        <v>2017</v>
      </c>
      <c r="D884" t="s">
        <v>2022</v>
      </c>
      <c r="E884" t="s">
        <v>2027</v>
      </c>
      <c r="F884" t="s">
        <v>2031</v>
      </c>
      <c r="G884" t="s">
        <v>2034</v>
      </c>
      <c r="H884" t="s">
        <v>2038</v>
      </c>
      <c r="I884">
        <v>2</v>
      </c>
      <c r="J884">
        <v>4</v>
      </c>
      <c r="K884">
        <v>2</v>
      </c>
      <c r="L884" t="s">
        <v>2041</v>
      </c>
      <c r="M884">
        <v>135</v>
      </c>
      <c r="N884">
        <v>1794</v>
      </c>
      <c r="O884">
        <v>8556</v>
      </c>
      <c r="P884" s="13">
        <f t="shared" si="91"/>
        <v>0</v>
      </c>
      <c r="Q884" t="str">
        <f t="shared" si="92"/>
        <v>No</v>
      </c>
      <c r="R884" t="str" cm="1">
        <f t="array" ref="R884">_xlfn.IFS(K884=0,"On Time",K884&lt;=2,"Minor",K884&lt;=5,"Major",K884&gt;5,"Severe")</f>
        <v>Minor</v>
      </c>
      <c r="S884">
        <f t="shared" si="93"/>
        <v>4278</v>
      </c>
      <c r="T884">
        <f t="shared" si="94"/>
        <v>897</v>
      </c>
      <c r="U884">
        <f t="shared" si="95"/>
        <v>2024</v>
      </c>
      <c r="V884">
        <f t="shared" si="96"/>
        <v>8</v>
      </c>
      <c r="W884" s="11">
        <f t="shared" si="97"/>
        <v>1</v>
      </c>
    </row>
    <row r="885" spans="1:23">
      <c r="A885" t="s">
        <v>898</v>
      </c>
      <c r="B885" s="4">
        <v>45619</v>
      </c>
      <c r="C885" t="s">
        <v>2018</v>
      </c>
      <c r="D885" t="s">
        <v>2024</v>
      </c>
      <c r="E885" t="s">
        <v>2028</v>
      </c>
      <c r="F885" t="s">
        <v>2031</v>
      </c>
      <c r="G885" t="s">
        <v>2033</v>
      </c>
      <c r="H885" t="s">
        <v>2038</v>
      </c>
      <c r="I885">
        <v>2</v>
      </c>
      <c r="J885">
        <v>3</v>
      </c>
      <c r="K885">
        <v>1</v>
      </c>
      <c r="L885" t="s">
        <v>2041</v>
      </c>
      <c r="M885">
        <v>121</v>
      </c>
      <c r="N885">
        <v>1395</v>
      </c>
      <c r="O885">
        <v>1827</v>
      </c>
      <c r="P885" s="13">
        <f t="shared" si="91"/>
        <v>0</v>
      </c>
      <c r="Q885" t="str">
        <f t="shared" si="92"/>
        <v>No</v>
      </c>
      <c r="R885" t="str" cm="1">
        <f t="array" ref="R885">_xlfn.IFS(K885=0,"On Time",K885&lt;=2,"Minor",K885&lt;=5,"Major",K885&gt;5,"Severe")</f>
        <v>Minor</v>
      </c>
      <c r="S885">
        <f t="shared" si="93"/>
        <v>1827</v>
      </c>
      <c r="T885">
        <f t="shared" si="94"/>
        <v>1395</v>
      </c>
      <c r="U885">
        <f t="shared" si="95"/>
        <v>2024</v>
      </c>
      <c r="V885">
        <f t="shared" si="96"/>
        <v>11</v>
      </c>
      <c r="W885" s="11">
        <f t="shared" si="97"/>
        <v>1</v>
      </c>
    </row>
    <row r="886" spans="1:23">
      <c r="A886" t="s">
        <v>899</v>
      </c>
      <c r="B886" s="4">
        <v>45336</v>
      </c>
      <c r="C886" t="s">
        <v>2016</v>
      </c>
      <c r="D886" t="s">
        <v>2021</v>
      </c>
      <c r="E886" t="s">
        <v>2027</v>
      </c>
      <c r="F886" t="s">
        <v>2031</v>
      </c>
      <c r="G886" t="s">
        <v>2033</v>
      </c>
      <c r="H886" t="s">
        <v>2040</v>
      </c>
      <c r="I886">
        <v>2</v>
      </c>
      <c r="J886">
        <v>8</v>
      </c>
      <c r="K886">
        <v>6</v>
      </c>
      <c r="L886" t="s">
        <v>2041</v>
      </c>
      <c r="M886">
        <v>292</v>
      </c>
      <c r="N886">
        <v>10266</v>
      </c>
      <c r="O886">
        <v>10530</v>
      </c>
      <c r="P886" s="13">
        <f t="shared" si="91"/>
        <v>0</v>
      </c>
      <c r="Q886" t="str">
        <f t="shared" si="92"/>
        <v>No</v>
      </c>
      <c r="R886" t="str" cm="1">
        <f t="array" ref="R886">_xlfn.IFS(K886=0,"On Time",K886&lt;=2,"Minor",K886&lt;=5,"Major",K886&gt;5,"Severe")</f>
        <v>Severe</v>
      </c>
      <c r="S886">
        <f t="shared" si="93"/>
        <v>1755</v>
      </c>
      <c r="T886">
        <f t="shared" si="94"/>
        <v>1711</v>
      </c>
      <c r="U886">
        <f t="shared" si="95"/>
        <v>2024</v>
      </c>
      <c r="V886">
        <f t="shared" si="96"/>
        <v>2</v>
      </c>
      <c r="W886" s="11">
        <f t="shared" si="97"/>
        <v>1</v>
      </c>
    </row>
    <row r="887" spans="1:23">
      <c r="A887" t="s">
        <v>900</v>
      </c>
      <c r="B887" s="4">
        <v>45503</v>
      </c>
      <c r="C887" t="s">
        <v>2017</v>
      </c>
      <c r="D887" t="s">
        <v>2022</v>
      </c>
      <c r="E887" t="s">
        <v>2027</v>
      </c>
      <c r="F887" t="s">
        <v>2031</v>
      </c>
      <c r="G887" t="s">
        <v>2037</v>
      </c>
      <c r="H887" t="s">
        <v>2038</v>
      </c>
      <c r="I887">
        <v>2</v>
      </c>
      <c r="J887">
        <v>2</v>
      </c>
      <c r="K887">
        <v>0</v>
      </c>
      <c r="L887" t="s">
        <v>2042</v>
      </c>
      <c r="M887">
        <v>240</v>
      </c>
      <c r="N887">
        <v>0</v>
      </c>
      <c r="O887">
        <v>0</v>
      </c>
      <c r="P887" s="13">
        <f t="shared" si="91"/>
        <v>1</v>
      </c>
      <c r="Q887" t="str">
        <f t="shared" si="92"/>
        <v>No</v>
      </c>
      <c r="R887" t="str" cm="1">
        <f t="array" ref="R887">_xlfn.IFS(K887=0,"On Time",K887&lt;=2,"Minor",K887&lt;=5,"Major",K887&gt;5,"Severe")</f>
        <v>On Time</v>
      </c>
      <c r="S887">
        <f t="shared" si="93"/>
        <v>0</v>
      </c>
      <c r="T887">
        <f t="shared" si="94"/>
        <v>0</v>
      </c>
      <c r="U887">
        <f t="shared" si="95"/>
        <v>2024</v>
      </c>
      <c r="V887">
        <f t="shared" si="96"/>
        <v>7</v>
      </c>
      <c r="W887" s="11">
        <f t="shared" si="97"/>
        <v>0</v>
      </c>
    </row>
    <row r="888" spans="1:23">
      <c r="A888" t="s">
        <v>901</v>
      </c>
      <c r="B888" s="4">
        <v>45336</v>
      </c>
      <c r="C888" t="s">
        <v>2018</v>
      </c>
      <c r="D888" t="s">
        <v>2024</v>
      </c>
      <c r="E888" t="s">
        <v>2029</v>
      </c>
      <c r="F888" t="s">
        <v>2031</v>
      </c>
      <c r="G888" t="s">
        <v>2035</v>
      </c>
      <c r="H888" t="s">
        <v>2039</v>
      </c>
      <c r="I888">
        <v>2</v>
      </c>
      <c r="J888">
        <v>2</v>
      </c>
      <c r="K888">
        <v>0</v>
      </c>
      <c r="L888" t="s">
        <v>2042</v>
      </c>
      <c r="M888">
        <v>310</v>
      </c>
      <c r="N888">
        <v>0</v>
      </c>
      <c r="O888">
        <v>0</v>
      </c>
      <c r="P888" s="13">
        <f t="shared" si="91"/>
        <v>1</v>
      </c>
      <c r="Q888" t="str">
        <f t="shared" si="92"/>
        <v>No</v>
      </c>
      <c r="R888" t="str" cm="1">
        <f t="array" ref="R888">_xlfn.IFS(K888=0,"On Time",K888&lt;=2,"Minor",K888&lt;=5,"Major",K888&gt;5,"Severe")</f>
        <v>On Time</v>
      </c>
      <c r="S888">
        <f t="shared" si="93"/>
        <v>0</v>
      </c>
      <c r="T888">
        <f t="shared" si="94"/>
        <v>0</v>
      </c>
      <c r="U888">
        <f t="shared" si="95"/>
        <v>2024</v>
      </c>
      <c r="V888">
        <f t="shared" si="96"/>
        <v>2</v>
      </c>
      <c r="W888" s="11">
        <f t="shared" si="97"/>
        <v>0</v>
      </c>
    </row>
    <row r="889" spans="1:23">
      <c r="A889" t="s">
        <v>902</v>
      </c>
      <c r="B889" s="4">
        <v>45372</v>
      </c>
      <c r="C889" t="s">
        <v>2015</v>
      </c>
      <c r="D889" t="s">
        <v>2019</v>
      </c>
      <c r="E889" t="s">
        <v>2029</v>
      </c>
      <c r="F889" t="s">
        <v>2032</v>
      </c>
      <c r="G889" t="s">
        <v>2037</v>
      </c>
      <c r="H889" t="s">
        <v>2039</v>
      </c>
      <c r="I889">
        <v>2</v>
      </c>
      <c r="J889">
        <v>7</v>
      </c>
      <c r="K889">
        <v>5</v>
      </c>
      <c r="L889" t="s">
        <v>2041</v>
      </c>
      <c r="M889">
        <v>65</v>
      </c>
      <c r="N889">
        <v>5460</v>
      </c>
      <c r="O889">
        <v>18820</v>
      </c>
      <c r="P889" s="13">
        <f t="shared" si="91"/>
        <v>0</v>
      </c>
      <c r="Q889" t="str">
        <f t="shared" si="92"/>
        <v>No</v>
      </c>
      <c r="R889" t="str" cm="1">
        <f t="array" ref="R889">_xlfn.IFS(K889=0,"On Time",K889&lt;=2,"Minor",K889&lt;=5,"Major",K889&gt;5,"Severe")</f>
        <v>Major</v>
      </c>
      <c r="S889">
        <f t="shared" si="93"/>
        <v>3764</v>
      </c>
      <c r="T889">
        <f t="shared" si="94"/>
        <v>1092</v>
      </c>
      <c r="U889">
        <f t="shared" si="95"/>
        <v>2024</v>
      </c>
      <c r="V889">
        <f t="shared" si="96"/>
        <v>3</v>
      </c>
      <c r="W889" s="11">
        <f t="shared" si="97"/>
        <v>1</v>
      </c>
    </row>
    <row r="890" spans="1:23">
      <c r="A890" t="s">
        <v>903</v>
      </c>
      <c r="B890" s="4">
        <v>45625</v>
      </c>
      <c r="C890" t="s">
        <v>2017</v>
      </c>
      <c r="D890" t="s">
        <v>2023</v>
      </c>
      <c r="E890" t="s">
        <v>2029</v>
      </c>
      <c r="F890" t="s">
        <v>2030</v>
      </c>
      <c r="G890" t="s">
        <v>2036</v>
      </c>
      <c r="H890" t="s">
        <v>2038</v>
      </c>
      <c r="I890">
        <v>1</v>
      </c>
      <c r="J890">
        <v>3</v>
      </c>
      <c r="K890">
        <v>2</v>
      </c>
      <c r="L890" t="s">
        <v>2041</v>
      </c>
      <c r="M890">
        <v>431</v>
      </c>
      <c r="N890">
        <v>1682</v>
      </c>
      <c r="O890">
        <v>3202</v>
      </c>
      <c r="P890" s="13">
        <f t="shared" si="91"/>
        <v>0</v>
      </c>
      <c r="Q890" t="str">
        <f t="shared" si="92"/>
        <v>No</v>
      </c>
      <c r="R890" t="str" cm="1">
        <f t="array" ref="R890">_xlfn.IFS(K890=0,"On Time",K890&lt;=2,"Minor",K890&lt;=5,"Major",K890&gt;5,"Severe")</f>
        <v>Minor</v>
      </c>
      <c r="S890">
        <f t="shared" si="93"/>
        <v>1601</v>
      </c>
      <c r="T890">
        <f t="shared" si="94"/>
        <v>841</v>
      </c>
      <c r="U890">
        <f t="shared" si="95"/>
        <v>2024</v>
      </c>
      <c r="V890">
        <f t="shared" si="96"/>
        <v>11</v>
      </c>
      <c r="W890" s="11">
        <f t="shared" si="97"/>
        <v>1</v>
      </c>
    </row>
    <row r="891" spans="1:23">
      <c r="A891" t="s">
        <v>904</v>
      </c>
      <c r="B891" s="4">
        <v>45555</v>
      </c>
      <c r="C891" t="s">
        <v>2018</v>
      </c>
      <c r="D891" t="s">
        <v>2026</v>
      </c>
      <c r="E891" t="s">
        <v>2027</v>
      </c>
      <c r="F891" t="s">
        <v>2030</v>
      </c>
      <c r="G891" t="s">
        <v>2037</v>
      </c>
      <c r="H891" t="s">
        <v>2039</v>
      </c>
      <c r="I891">
        <v>1</v>
      </c>
      <c r="J891">
        <v>4</v>
      </c>
      <c r="K891">
        <v>3</v>
      </c>
      <c r="L891" t="s">
        <v>2041</v>
      </c>
      <c r="M891">
        <v>190</v>
      </c>
      <c r="N891">
        <v>5838</v>
      </c>
      <c r="O891">
        <v>8190</v>
      </c>
      <c r="P891" s="13">
        <f t="shared" si="91"/>
        <v>0</v>
      </c>
      <c r="Q891" t="str">
        <f t="shared" si="92"/>
        <v>No</v>
      </c>
      <c r="R891" t="str" cm="1">
        <f t="array" ref="R891">_xlfn.IFS(K891=0,"On Time",K891&lt;=2,"Minor",K891&lt;=5,"Major",K891&gt;5,"Severe")</f>
        <v>Major</v>
      </c>
      <c r="S891">
        <f t="shared" si="93"/>
        <v>2730</v>
      </c>
      <c r="T891">
        <f t="shared" si="94"/>
        <v>1946</v>
      </c>
      <c r="U891">
        <f t="shared" si="95"/>
        <v>2024</v>
      </c>
      <c r="V891">
        <f t="shared" si="96"/>
        <v>9</v>
      </c>
      <c r="W891" s="11">
        <f t="shared" si="97"/>
        <v>1</v>
      </c>
    </row>
    <row r="892" spans="1:23">
      <c r="A892" t="s">
        <v>905</v>
      </c>
      <c r="B892" s="4">
        <v>45341</v>
      </c>
      <c r="C892" t="s">
        <v>2018</v>
      </c>
      <c r="D892" t="s">
        <v>2024</v>
      </c>
      <c r="E892" t="s">
        <v>2028</v>
      </c>
      <c r="F892" t="s">
        <v>2031</v>
      </c>
      <c r="G892" t="s">
        <v>2037</v>
      </c>
      <c r="H892" t="s">
        <v>2038</v>
      </c>
      <c r="I892">
        <v>1</v>
      </c>
      <c r="J892">
        <v>4</v>
      </c>
      <c r="K892">
        <v>3</v>
      </c>
      <c r="L892" t="s">
        <v>2041</v>
      </c>
      <c r="M892">
        <v>406</v>
      </c>
      <c r="N892">
        <v>4818</v>
      </c>
      <c r="O892">
        <v>6630</v>
      </c>
      <c r="P892" s="13">
        <f t="shared" si="91"/>
        <v>0</v>
      </c>
      <c r="Q892" t="str">
        <f t="shared" si="92"/>
        <v>No</v>
      </c>
      <c r="R892" t="str" cm="1">
        <f t="array" ref="R892">_xlfn.IFS(K892=0,"On Time",K892&lt;=2,"Minor",K892&lt;=5,"Major",K892&gt;5,"Severe")</f>
        <v>Major</v>
      </c>
      <c r="S892">
        <f t="shared" si="93"/>
        <v>2210</v>
      </c>
      <c r="T892">
        <f t="shared" si="94"/>
        <v>1606</v>
      </c>
      <c r="U892">
        <f t="shared" si="95"/>
        <v>2024</v>
      </c>
      <c r="V892">
        <f t="shared" si="96"/>
        <v>2</v>
      </c>
      <c r="W892" s="11">
        <f t="shared" si="97"/>
        <v>1</v>
      </c>
    </row>
    <row r="893" spans="1:23">
      <c r="A893" t="s">
        <v>906</v>
      </c>
      <c r="B893" s="4">
        <v>45344</v>
      </c>
      <c r="C893" t="s">
        <v>2018</v>
      </c>
      <c r="D893" t="s">
        <v>2026</v>
      </c>
      <c r="E893" t="s">
        <v>2027</v>
      </c>
      <c r="F893" t="s">
        <v>2031</v>
      </c>
      <c r="G893" t="s">
        <v>2033</v>
      </c>
      <c r="H893" t="s">
        <v>2039</v>
      </c>
      <c r="I893">
        <v>2</v>
      </c>
      <c r="J893">
        <v>4</v>
      </c>
      <c r="K893">
        <v>2</v>
      </c>
      <c r="L893" t="s">
        <v>2041</v>
      </c>
      <c r="M893">
        <v>115</v>
      </c>
      <c r="N893">
        <v>4892</v>
      </c>
      <c r="O893">
        <v>3502</v>
      </c>
      <c r="P893" s="13">
        <f t="shared" si="91"/>
        <v>0</v>
      </c>
      <c r="Q893" t="str">
        <f t="shared" si="92"/>
        <v>No</v>
      </c>
      <c r="R893" t="str" cm="1">
        <f t="array" ref="R893">_xlfn.IFS(K893=0,"On Time",K893&lt;=2,"Minor",K893&lt;=5,"Major",K893&gt;5,"Severe")</f>
        <v>Minor</v>
      </c>
      <c r="S893">
        <f t="shared" si="93"/>
        <v>1751</v>
      </c>
      <c r="T893">
        <f t="shared" si="94"/>
        <v>2446</v>
      </c>
      <c r="U893">
        <f t="shared" si="95"/>
        <v>2024</v>
      </c>
      <c r="V893">
        <f t="shared" si="96"/>
        <v>2</v>
      </c>
      <c r="W893" s="11">
        <f t="shared" si="97"/>
        <v>1</v>
      </c>
    </row>
    <row r="894" spans="1:23">
      <c r="A894" t="s">
        <v>907</v>
      </c>
      <c r="B894" s="4">
        <v>45430</v>
      </c>
      <c r="C894" t="s">
        <v>2016</v>
      </c>
      <c r="D894" t="s">
        <v>2025</v>
      </c>
      <c r="E894" t="s">
        <v>2028</v>
      </c>
      <c r="F894" t="s">
        <v>2030</v>
      </c>
      <c r="G894" t="s">
        <v>2033</v>
      </c>
      <c r="H894" t="s">
        <v>2038</v>
      </c>
      <c r="I894">
        <v>1</v>
      </c>
      <c r="J894">
        <v>2</v>
      </c>
      <c r="K894">
        <v>1</v>
      </c>
      <c r="L894" t="s">
        <v>2041</v>
      </c>
      <c r="M894">
        <v>265</v>
      </c>
      <c r="N894">
        <v>2243</v>
      </c>
      <c r="O894">
        <v>3007</v>
      </c>
      <c r="P894" s="13">
        <f t="shared" si="91"/>
        <v>0</v>
      </c>
      <c r="Q894" t="str">
        <f t="shared" si="92"/>
        <v>No</v>
      </c>
      <c r="R894" t="str" cm="1">
        <f t="array" ref="R894">_xlfn.IFS(K894=0,"On Time",K894&lt;=2,"Minor",K894&lt;=5,"Major",K894&gt;5,"Severe")</f>
        <v>Minor</v>
      </c>
      <c r="S894">
        <f t="shared" si="93"/>
        <v>3007</v>
      </c>
      <c r="T894">
        <f t="shared" si="94"/>
        <v>2243</v>
      </c>
      <c r="U894">
        <f t="shared" si="95"/>
        <v>2024</v>
      </c>
      <c r="V894">
        <f t="shared" si="96"/>
        <v>5</v>
      </c>
      <c r="W894" s="11">
        <f t="shared" si="97"/>
        <v>1</v>
      </c>
    </row>
    <row r="895" spans="1:23">
      <c r="A895" t="s">
        <v>908</v>
      </c>
      <c r="B895" s="4">
        <v>45516</v>
      </c>
      <c r="C895" t="s">
        <v>2017</v>
      </c>
      <c r="D895" t="s">
        <v>2022</v>
      </c>
      <c r="E895" t="s">
        <v>2028</v>
      </c>
      <c r="F895" t="s">
        <v>2031</v>
      </c>
      <c r="G895" t="s">
        <v>2037</v>
      </c>
      <c r="H895" t="s">
        <v>2038</v>
      </c>
      <c r="I895">
        <v>2</v>
      </c>
      <c r="J895">
        <v>6</v>
      </c>
      <c r="K895">
        <v>4</v>
      </c>
      <c r="L895" t="s">
        <v>2041</v>
      </c>
      <c r="M895">
        <v>54</v>
      </c>
      <c r="N895">
        <v>9256</v>
      </c>
      <c r="O895">
        <v>7984</v>
      </c>
      <c r="P895" s="13">
        <f t="shared" si="91"/>
        <v>0</v>
      </c>
      <c r="Q895" t="str">
        <f t="shared" si="92"/>
        <v>No</v>
      </c>
      <c r="R895" t="str" cm="1">
        <f t="array" ref="R895">_xlfn.IFS(K895=0,"On Time",K895&lt;=2,"Minor",K895&lt;=5,"Major",K895&gt;5,"Severe")</f>
        <v>Major</v>
      </c>
      <c r="S895">
        <f t="shared" si="93"/>
        <v>1996</v>
      </c>
      <c r="T895">
        <f t="shared" si="94"/>
        <v>2314</v>
      </c>
      <c r="U895">
        <f t="shared" si="95"/>
        <v>2024</v>
      </c>
      <c r="V895">
        <f t="shared" si="96"/>
        <v>8</v>
      </c>
      <c r="W895" s="11">
        <f t="shared" si="97"/>
        <v>1</v>
      </c>
    </row>
    <row r="896" spans="1:23">
      <c r="A896" t="s">
        <v>909</v>
      </c>
      <c r="B896" s="4">
        <v>45561</v>
      </c>
      <c r="C896" t="s">
        <v>2015</v>
      </c>
      <c r="D896" t="s">
        <v>2020</v>
      </c>
      <c r="E896" t="s">
        <v>2028</v>
      </c>
      <c r="F896" t="s">
        <v>2030</v>
      </c>
      <c r="G896" t="s">
        <v>2036</v>
      </c>
      <c r="H896" t="s">
        <v>2039</v>
      </c>
      <c r="I896">
        <v>1</v>
      </c>
      <c r="J896">
        <v>3</v>
      </c>
      <c r="K896">
        <v>2</v>
      </c>
      <c r="L896" t="s">
        <v>2041</v>
      </c>
      <c r="M896">
        <v>234</v>
      </c>
      <c r="N896">
        <v>3176</v>
      </c>
      <c r="O896">
        <v>3172</v>
      </c>
      <c r="P896" s="13">
        <f t="shared" si="91"/>
        <v>0</v>
      </c>
      <c r="Q896" t="str">
        <f t="shared" si="92"/>
        <v>No</v>
      </c>
      <c r="R896" t="str" cm="1">
        <f t="array" ref="R896">_xlfn.IFS(K896=0,"On Time",K896&lt;=2,"Minor",K896&lt;=5,"Major",K896&gt;5,"Severe")</f>
        <v>Minor</v>
      </c>
      <c r="S896">
        <f t="shared" si="93"/>
        <v>1586</v>
      </c>
      <c r="T896">
        <f t="shared" si="94"/>
        <v>1588</v>
      </c>
      <c r="U896">
        <f t="shared" si="95"/>
        <v>2024</v>
      </c>
      <c r="V896">
        <f t="shared" si="96"/>
        <v>9</v>
      </c>
      <c r="W896" s="11">
        <f t="shared" si="97"/>
        <v>1</v>
      </c>
    </row>
    <row r="897" spans="1:23">
      <c r="A897" t="s">
        <v>910</v>
      </c>
      <c r="B897" s="4">
        <v>45329</v>
      </c>
      <c r="C897" t="s">
        <v>2015</v>
      </c>
      <c r="D897" t="s">
        <v>2020</v>
      </c>
      <c r="E897" t="s">
        <v>2029</v>
      </c>
      <c r="F897" t="s">
        <v>2031</v>
      </c>
      <c r="G897" t="s">
        <v>2035</v>
      </c>
      <c r="H897" t="s">
        <v>2039</v>
      </c>
      <c r="I897">
        <v>3</v>
      </c>
      <c r="J897">
        <v>6</v>
      </c>
      <c r="K897">
        <v>3</v>
      </c>
      <c r="L897" t="s">
        <v>2041</v>
      </c>
      <c r="M897">
        <v>477</v>
      </c>
      <c r="N897">
        <v>3891</v>
      </c>
      <c r="O897">
        <v>13755</v>
      </c>
      <c r="P897" s="13">
        <f t="shared" si="91"/>
        <v>0</v>
      </c>
      <c r="Q897" t="str">
        <f t="shared" si="92"/>
        <v>No</v>
      </c>
      <c r="R897" t="str" cm="1">
        <f t="array" ref="R897">_xlfn.IFS(K897=0,"On Time",K897&lt;=2,"Minor",K897&lt;=5,"Major",K897&gt;5,"Severe")</f>
        <v>Major</v>
      </c>
      <c r="S897">
        <f t="shared" si="93"/>
        <v>4585</v>
      </c>
      <c r="T897">
        <f t="shared" si="94"/>
        <v>1297</v>
      </c>
      <c r="U897">
        <f t="shared" si="95"/>
        <v>2024</v>
      </c>
      <c r="V897">
        <f t="shared" si="96"/>
        <v>2</v>
      </c>
      <c r="W897" s="11">
        <f t="shared" si="97"/>
        <v>1</v>
      </c>
    </row>
    <row r="898" spans="1:23">
      <c r="A898" t="s">
        <v>911</v>
      </c>
      <c r="B898" s="4">
        <v>45489</v>
      </c>
      <c r="C898" t="s">
        <v>2018</v>
      </c>
      <c r="D898" t="s">
        <v>2026</v>
      </c>
      <c r="E898" t="s">
        <v>2029</v>
      </c>
      <c r="F898" t="s">
        <v>2031</v>
      </c>
      <c r="G898" t="s">
        <v>2035</v>
      </c>
      <c r="H898" t="s">
        <v>2039</v>
      </c>
      <c r="I898">
        <v>3</v>
      </c>
      <c r="J898">
        <v>3</v>
      </c>
      <c r="K898">
        <v>0</v>
      </c>
      <c r="L898" t="s">
        <v>2042</v>
      </c>
      <c r="M898">
        <v>453</v>
      </c>
      <c r="N898">
        <v>0</v>
      </c>
      <c r="O898">
        <v>0</v>
      </c>
      <c r="P898" s="13">
        <f t="shared" si="91"/>
        <v>1</v>
      </c>
      <c r="Q898" t="str">
        <f t="shared" si="92"/>
        <v>No</v>
      </c>
      <c r="R898" t="str" cm="1">
        <f t="array" ref="R898">_xlfn.IFS(K898=0,"On Time",K898&lt;=2,"Minor",K898&lt;=5,"Major",K898&gt;5,"Severe")</f>
        <v>On Time</v>
      </c>
      <c r="S898">
        <f t="shared" si="93"/>
        <v>0</v>
      </c>
      <c r="T898">
        <f t="shared" si="94"/>
        <v>0</v>
      </c>
      <c r="U898">
        <f t="shared" si="95"/>
        <v>2024</v>
      </c>
      <c r="V898">
        <f t="shared" si="96"/>
        <v>7</v>
      </c>
      <c r="W898" s="11">
        <f t="shared" si="97"/>
        <v>0</v>
      </c>
    </row>
    <row r="899" spans="1:23">
      <c r="A899" t="s">
        <v>912</v>
      </c>
      <c r="B899" s="4">
        <v>45384</v>
      </c>
      <c r="C899" t="s">
        <v>2018</v>
      </c>
      <c r="D899" t="s">
        <v>2026</v>
      </c>
      <c r="E899" t="s">
        <v>2029</v>
      </c>
      <c r="F899" t="s">
        <v>2030</v>
      </c>
      <c r="G899" t="s">
        <v>2037</v>
      </c>
      <c r="H899" t="s">
        <v>2038</v>
      </c>
      <c r="I899">
        <v>1</v>
      </c>
      <c r="J899">
        <v>5</v>
      </c>
      <c r="K899">
        <v>4</v>
      </c>
      <c r="L899" t="s">
        <v>2041</v>
      </c>
      <c r="M899">
        <v>223</v>
      </c>
      <c r="N899">
        <v>3608</v>
      </c>
      <c r="O899">
        <v>16800</v>
      </c>
      <c r="P899" s="13">
        <f t="shared" ref="P899:P962" si="98">IF(L899="Yes",0,1)</f>
        <v>0</v>
      </c>
      <c r="Q899" t="str">
        <f t="shared" ref="Q899:Q962" si="99">IF(K899&gt;J899,"Yes","No")</f>
        <v>No</v>
      </c>
      <c r="R899" t="str" cm="1">
        <f t="array" ref="R899">_xlfn.IFS(K899=0,"On Time",K899&lt;=2,"Minor",K899&lt;=5,"Major",K899&gt;5,"Severe")</f>
        <v>Major</v>
      </c>
      <c r="S899">
        <f t="shared" ref="S899:S962" si="100">IFERROR(O899/K899,0)</f>
        <v>4200</v>
      </c>
      <c r="T899">
        <f t="shared" ref="T899:T962" si="101">IFERROR(N899/K899,0)</f>
        <v>902</v>
      </c>
      <c r="U899">
        <f t="shared" ref="U899:U962" si="102">YEAR(B899)</f>
        <v>2024</v>
      </c>
      <c r="V899">
        <f t="shared" ref="V899:V962" si="103">MONTH(B899)</f>
        <v>4</v>
      </c>
      <c r="W899" s="11">
        <f t="shared" ref="W899:W962" si="104">IF(L899="Yes",1,0)</f>
        <v>1</v>
      </c>
    </row>
    <row r="900" spans="1:23">
      <c r="A900" t="s">
        <v>913</v>
      </c>
      <c r="B900" s="4">
        <v>45611</v>
      </c>
      <c r="C900" t="s">
        <v>2017</v>
      </c>
      <c r="D900" t="s">
        <v>2023</v>
      </c>
      <c r="E900" t="s">
        <v>2028</v>
      </c>
      <c r="F900" t="s">
        <v>2031</v>
      </c>
      <c r="G900" t="s">
        <v>2037</v>
      </c>
      <c r="H900" t="s">
        <v>2038</v>
      </c>
      <c r="I900">
        <v>2</v>
      </c>
      <c r="J900">
        <v>4</v>
      </c>
      <c r="K900">
        <v>2</v>
      </c>
      <c r="L900" t="s">
        <v>2041</v>
      </c>
      <c r="M900">
        <v>194</v>
      </c>
      <c r="N900">
        <v>4402</v>
      </c>
      <c r="O900">
        <v>3808</v>
      </c>
      <c r="P900" s="13">
        <f t="shared" si="98"/>
        <v>0</v>
      </c>
      <c r="Q900" t="str">
        <f t="shared" si="99"/>
        <v>No</v>
      </c>
      <c r="R900" t="str" cm="1">
        <f t="array" ref="R900">_xlfn.IFS(K900=0,"On Time",K900&lt;=2,"Minor",K900&lt;=5,"Major",K900&gt;5,"Severe")</f>
        <v>Minor</v>
      </c>
      <c r="S900">
        <f t="shared" si="100"/>
        <v>1904</v>
      </c>
      <c r="T900">
        <f t="shared" si="101"/>
        <v>2201</v>
      </c>
      <c r="U900">
        <f t="shared" si="102"/>
        <v>2024</v>
      </c>
      <c r="V900">
        <f t="shared" si="103"/>
        <v>11</v>
      </c>
      <c r="W900" s="11">
        <f t="shared" si="104"/>
        <v>1</v>
      </c>
    </row>
    <row r="901" spans="1:23">
      <c r="A901" t="s">
        <v>914</v>
      </c>
      <c r="B901" s="4">
        <v>45401</v>
      </c>
      <c r="C901" t="s">
        <v>2017</v>
      </c>
      <c r="D901" t="s">
        <v>2023</v>
      </c>
      <c r="E901" t="s">
        <v>2028</v>
      </c>
      <c r="F901" t="s">
        <v>2031</v>
      </c>
      <c r="G901" t="s">
        <v>2033</v>
      </c>
      <c r="H901" t="s">
        <v>2038</v>
      </c>
      <c r="I901">
        <v>1</v>
      </c>
      <c r="J901">
        <v>1</v>
      </c>
      <c r="K901">
        <v>0</v>
      </c>
      <c r="L901" t="s">
        <v>2042</v>
      </c>
      <c r="M901">
        <v>103</v>
      </c>
      <c r="N901">
        <v>0</v>
      </c>
      <c r="O901">
        <v>0</v>
      </c>
      <c r="P901" s="13">
        <f t="shared" si="98"/>
        <v>1</v>
      </c>
      <c r="Q901" t="str">
        <f t="shared" si="99"/>
        <v>No</v>
      </c>
      <c r="R901" t="str" cm="1">
        <f t="array" ref="R901">_xlfn.IFS(K901=0,"On Time",K901&lt;=2,"Minor",K901&lt;=5,"Major",K901&gt;5,"Severe")</f>
        <v>On Time</v>
      </c>
      <c r="S901">
        <f t="shared" si="100"/>
        <v>0</v>
      </c>
      <c r="T901">
        <f t="shared" si="101"/>
        <v>0</v>
      </c>
      <c r="U901">
        <f t="shared" si="102"/>
        <v>2024</v>
      </c>
      <c r="V901">
        <f t="shared" si="103"/>
        <v>4</v>
      </c>
      <c r="W901" s="11">
        <f t="shared" si="104"/>
        <v>0</v>
      </c>
    </row>
    <row r="902" spans="1:23">
      <c r="A902" t="s">
        <v>915</v>
      </c>
      <c r="B902" s="4">
        <v>45541</v>
      </c>
      <c r="C902" t="s">
        <v>2015</v>
      </c>
      <c r="D902" t="s">
        <v>2019</v>
      </c>
      <c r="E902" t="s">
        <v>2028</v>
      </c>
      <c r="F902" t="s">
        <v>2030</v>
      </c>
      <c r="G902" t="s">
        <v>2034</v>
      </c>
      <c r="H902" t="s">
        <v>2039</v>
      </c>
      <c r="I902">
        <v>1</v>
      </c>
      <c r="J902">
        <v>2</v>
      </c>
      <c r="K902">
        <v>1</v>
      </c>
      <c r="L902" t="s">
        <v>2041</v>
      </c>
      <c r="M902">
        <v>280</v>
      </c>
      <c r="N902">
        <v>842</v>
      </c>
      <c r="O902">
        <v>4966</v>
      </c>
      <c r="P902" s="13">
        <f t="shared" si="98"/>
        <v>0</v>
      </c>
      <c r="Q902" t="str">
        <f t="shared" si="99"/>
        <v>No</v>
      </c>
      <c r="R902" t="str" cm="1">
        <f t="array" ref="R902">_xlfn.IFS(K902=0,"On Time",K902&lt;=2,"Minor",K902&lt;=5,"Major",K902&gt;5,"Severe")</f>
        <v>Minor</v>
      </c>
      <c r="S902">
        <f t="shared" si="100"/>
        <v>4966</v>
      </c>
      <c r="T902">
        <f t="shared" si="101"/>
        <v>842</v>
      </c>
      <c r="U902">
        <f t="shared" si="102"/>
        <v>2024</v>
      </c>
      <c r="V902">
        <f t="shared" si="103"/>
        <v>9</v>
      </c>
      <c r="W902" s="11">
        <f t="shared" si="104"/>
        <v>1</v>
      </c>
    </row>
    <row r="903" spans="1:23">
      <c r="A903" t="s">
        <v>916</v>
      </c>
      <c r="B903" s="4">
        <v>45458</v>
      </c>
      <c r="C903" t="s">
        <v>2015</v>
      </c>
      <c r="D903" t="s">
        <v>2020</v>
      </c>
      <c r="E903" t="s">
        <v>2027</v>
      </c>
      <c r="F903" t="s">
        <v>2032</v>
      </c>
      <c r="G903" t="s">
        <v>2035</v>
      </c>
      <c r="H903" t="s">
        <v>2040</v>
      </c>
      <c r="I903">
        <v>1</v>
      </c>
      <c r="J903">
        <v>5</v>
      </c>
      <c r="K903">
        <v>4</v>
      </c>
      <c r="L903" t="s">
        <v>2041</v>
      </c>
      <c r="M903">
        <v>361</v>
      </c>
      <c r="N903">
        <v>8688</v>
      </c>
      <c r="O903">
        <v>12560</v>
      </c>
      <c r="P903" s="13">
        <f t="shared" si="98"/>
        <v>0</v>
      </c>
      <c r="Q903" t="str">
        <f t="shared" si="99"/>
        <v>No</v>
      </c>
      <c r="R903" t="str" cm="1">
        <f t="array" ref="R903">_xlfn.IFS(K903=0,"On Time",K903&lt;=2,"Minor",K903&lt;=5,"Major",K903&gt;5,"Severe")</f>
        <v>Major</v>
      </c>
      <c r="S903">
        <f t="shared" si="100"/>
        <v>3140</v>
      </c>
      <c r="T903">
        <f t="shared" si="101"/>
        <v>2172</v>
      </c>
      <c r="U903">
        <f t="shared" si="102"/>
        <v>2024</v>
      </c>
      <c r="V903">
        <f t="shared" si="103"/>
        <v>6</v>
      </c>
      <c r="W903" s="11">
        <f t="shared" si="104"/>
        <v>1</v>
      </c>
    </row>
    <row r="904" spans="1:23">
      <c r="A904" t="s">
        <v>917</v>
      </c>
      <c r="B904" s="4">
        <v>45488</v>
      </c>
      <c r="C904" t="s">
        <v>2017</v>
      </c>
      <c r="D904" t="s">
        <v>2023</v>
      </c>
      <c r="E904" t="s">
        <v>2029</v>
      </c>
      <c r="F904" t="s">
        <v>2032</v>
      </c>
      <c r="G904" t="s">
        <v>2033</v>
      </c>
      <c r="H904" t="s">
        <v>2040</v>
      </c>
      <c r="I904">
        <v>5</v>
      </c>
      <c r="J904">
        <v>11</v>
      </c>
      <c r="K904">
        <v>6</v>
      </c>
      <c r="L904" t="s">
        <v>2041</v>
      </c>
      <c r="M904">
        <v>268</v>
      </c>
      <c r="N904">
        <v>13062</v>
      </c>
      <c r="O904">
        <v>11364</v>
      </c>
      <c r="P904" s="13">
        <f t="shared" si="98"/>
        <v>0</v>
      </c>
      <c r="Q904" t="str">
        <f t="shared" si="99"/>
        <v>No</v>
      </c>
      <c r="R904" t="str" cm="1">
        <f t="array" ref="R904">_xlfn.IFS(K904=0,"On Time",K904&lt;=2,"Minor",K904&lt;=5,"Major",K904&gt;5,"Severe")</f>
        <v>Severe</v>
      </c>
      <c r="S904">
        <f t="shared" si="100"/>
        <v>1894</v>
      </c>
      <c r="T904">
        <f t="shared" si="101"/>
        <v>2177</v>
      </c>
      <c r="U904">
        <f t="shared" si="102"/>
        <v>2024</v>
      </c>
      <c r="V904">
        <f t="shared" si="103"/>
        <v>7</v>
      </c>
      <c r="W904" s="11">
        <f t="shared" si="104"/>
        <v>1</v>
      </c>
    </row>
    <row r="905" spans="1:23">
      <c r="A905" t="s">
        <v>918</v>
      </c>
      <c r="B905" s="4">
        <v>45335</v>
      </c>
      <c r="C905" t="s">
        <v>2018</v>
      </c>
      <c r="D905" t="s">
        <v>2026</v>
      </c>
      <c r="E905" t="s">
        <v>2027</v>
      </c>
      <c r="F905" t="s">
        <v>2030</v>
      </c>
      <c r="G905" t="s">
        <v>2035</v>
      </c>
      <c r="H905" t="s">
        <v>2038</v>
      </c>
      <c r="I905">
        <v>1</v>
      </c>
      <c r="J905">
        <v>2</v>
      </c>
      <c r="K905">
        <v>1</v>
      </c>
      <c r="L905" t="s">
        <v>2041</v>
      </c>
      <c r="M905">
        <v>448</v>
      </c>
      <c r="N905">
        <v>1426</v>
      </c>
      <c r="O905">
        <v>4585</v>
      </c>
      <c r="P905" s="13">
        <f t="shared" si="98"/>
        <v>0</v>
      </c>
      <c r="Q905" t="str">
        <f t="shared" si="99"/>
        <v>No</v>
      </c>
      <c r="R905" t="str" cm="1">
        <f t="array" ref="R905">_xlfn.IFS(K905=0,"On Time",K905&lt;=2,"Minor",K905&lt;=5,"Major",K905&gt;5,"Severe")</f>
        <v>Minor</v>
      </c>
      <c r="S905">
        <f t="shared" si="100"/>
        <v>4585</v>
      </c>
      <c r="T905">
        <f t="shared" si="101"/>
        <v>1426</v>
      </c>
      <c r="U905">
        <f t="shared" si="102"/>
        <v>2024</v>
      </c>
      <c r="V905">
        <f t="shared" si="103"/>
        <v>2</v>
      </c>
      <c r="W905" s="11">
        <f t="shared" si="104"/>
        <v>1</v>
      </c>
    </row>
    <row r="906" spans="1:23">
      <c r="A906" t="s">
        <v>919</v>
      </c>
      <c r="B906" s="4">
        <v>45381</v>
      </c>
      <c r="C906" t="s">
        <v>2018</v>
      </c>
      <c r="D906" t="s">
        <v>2026</v>
      </c>
      <c r="E906" t="s">
        <v>2027</v>
      </c>
      <c r="F906" t="s">
        <v>2031</v>
      </c>
      <c r="G906" t="s">
        <v>2033</v>
      </c>
      <c r="H906" t="s">
        <v>2040</v>
      </c>
      <c r="I906">
        <v>2</v>
      </c>
      <c r="J906">
        <v>7</v>
      </c>
      <c r="K906">
        <v>5</v>
      </c>
      <c r="L906" t="s">
        <v>2041</v>
      </c>
      <c r="M906">
        <v>298</v>
      </c>
      <c r="N906">
        <v>11790</v>
      </c>
      <c r="O906">
        <v>9195</v>
      </c>
      <c r="P906" s="13">
        <f t="shared" si="98"/>
        <v>0</v>
      </c>
      <c r="Q906" t="str">
        <f t="shared" si="99"/>
        <v>No</v>
      </c>
      <c r="R906" t="str" cm="1">
        <f t="array" ref="R906">_xlfn.IFS(K906=0,"On Time",K906&lt;=2,"Minor",K906&lt;=5,"Major",K906&gt;5,"Severe")</f>
        <v>Major</v>
      </c>
      <c r="S906">
        <f t="shared" si="100"/>
        <v>1839</v>
      </c>
      <c r="T906">
        <f t="shared" si="101"/>
        <v>2358</v>
      </c>
      <c r="U906">
        <f t="shared" si="102"/>
        <v>2024</v>
      </c>
      <c r="V906">
        <f t="shared" si="103"/>
        <v>3</v>
      </c>
      <c r="W906" s="11">
        <f t="shared" si="104"/>
        <v>1</v>
      </c>
    </row>
    <row r="907" spans="1:23">
      <c r="A907" t="s">
        <v>920</v>
      </c>
      <c r="B907" s="4">
        <v>45498</v>
      </c>
      <c r="C907" t="s">
        <v>2015</v>
      </c>
      <c r="D907" t="s">
        <v>2020</v>
      </c>
      <c r="E907" t="s">
        <v>2029</v>
      </c>
      <c r="F907" t="s">
        <v>2030</v>
      </c>
      <c r="G907" t="s">
        <v>2033</v>
      </c>
      <c r="H907" t="s">
        <v>2040</v>
      </c>
      <c r="I907">
        <v>3</v>
      </c>
      <c r="J907">
        <v>8</v>
      </c>
      <c r="K907">
        <v>5</v>
      </c>
      <c r="L907" t="s">
        <v>2041</v>
      </c>
      <c r="M907">
        <v>448</v>
      </c>
      <c r="N907">
        <v>11475</v>
      </c>
      <c r="O907">
        <v>16735</v>
      </c>
      <c r="P907" s="13">
        <f t="shared" si="98"/>
        <v>0</v>
      </c>
      <c r="Q907" t="str">
        <f t="shared" si="99"/>
        <v>No</v>
      </c>
      <c r="R907" t="str" cm="1">
        <f t="array" ref="R907">_xlfn.IFS(K907=0,"On Time",K907&lt;=2,"Minor",K907&lt;=5,"Major",K907&gt;5,"Severe")</f>
        <v>Major</v>
      </c>
      <c r="S907">
        <f t="shared" si="100"/>
        <v>3347</v>
      </c>
      <c r="T907">
        <f t="shared" si="101"/>
        <v>2295</v>
      </c>
      <c r="U907">
        <f t="shared" si="102"/>
        <v>2024</v>
      </c>
      <c r="V907">
        <f t="shared" si="103"/>
        <v>7</v>
      </c>
      <c r="W907" s="11">
        <f t="shared" si="104"/>
        <v>1</v>
      </c>
    </row>
    <row r="908" spans="1:23">
      <c r="A908" t="s">
        <v>921</v>
      </c>
      <c r="B908" s="4">
        <v>45371</v>
      </c>
      <c r="C908" t="s">
        <v>2017</v>
      </c>
      <c r="D908" t="s">
        <v>2022</v>
      </c>
      <c r="E908" t="s">
        <v>2029</v>
      </c>
      <c r="F908" t="s">
        <v>2030</v>
      </c>
      <c r="G908" t="s">
        <v>2036</v>
      </c>
      <c r="H908" t="s">
        <v>2039</v>
      </c>
      <c r="I908">
        <v>2</v>
      </c>
      <c r="J908">
        <v>5</v>
      </c>
      <c r="K908">
        <v>3</v>
      </c>
      <c r="L908" t="s">
        <v>2041</v>
      </c>
      <c r="M908">
        <v>269</v>
      </c>
      <c r="N908">
        <v>7341</v>
      </c>
      <c r="O908">
        <v>5967</v>
      </c>
      <c r="P908" s="13">
        <f t="shared" si="98"/>
        <v>0</v>
      </c>
      <c r="Q908" t="str">
        <f t="shared" si="99"/>
        <v>No</v>
      </c>
      <c r="R908" t="str" cm="1">
        <f t="array" ref="R908">_xlfn.IFS(K908=0,"On Time",K908&lt;=2,"Minor",K908&lt;=5,"Major",K908&gt;5,"Severe")</f>
        <v>Major</v>
      </c>
      <c r="S908">
        <f t="shared" si="100"/>
        <v>1989</v>
      </c>
      <c r="T908">
        <f t="shared" si="101"/>
        <v>2447</v>
      </c>
      <c r="U908">
        <f t="shared" si="102"/>
        <v>2024</v>
      </c>
      <c r="V908">
        <f t="shared" si="103"/>
        <v>3</v>
      </c>
      <c r="W908" s="11">
        <f t="shared" si="104"/>
        <v>1</v>
      </c>
    </row>
    <row r="909" spans="1:23">
      <c r="A909" t="s">
        <v>922</v>
      </c>
      <c r="B909" s="4">
        <v>45295</v>
      </c>
      <c r="C909" t="s">
        <v>2017</v>
      </c>
      <c r="D909" t="s">
        <v>2023</v>
      </c>
      <c r="E909" t="s">
        <v>2029</v>
      </c>
      <c r="F909" t="s">
        <v>2032</v>
      </c>
      <c r="G909" t="s">
        <v>2033</v>
      </c>
      <c r="H909" t="s">
        <v>2038</v>
      </c>
      <c r="I909">
        <v>1</v>
      </c>
      <c r="J909">
        <v>6</v>
      </c>
      <c r="K909">
        <v>5</v>
      </c>
      <c r="L909" t="s">
        <v>2041</v>
      </c>
      <c r="M909">
        <v>157</v>
      </c>
      <c r="N909">
        <v>12275</v>
      </c>
      <c r="O909">
        <v>11625</v>
      </c>
      <c r="P909" s="13">
        <f t="shared" si="98"/>
        <v>0</v>
      </c>
      <c r="Q909" t="str">
        <f t="shared" si="99"/>
        <v>No</v>
      </c>
      <c r="R909" t="str" cm="1">
        <f t="array" ref="R909">_xlfn.IFS(K909=0,"On Time",K909&lt;=2,"Minor",K909&lt;=5,"Major",K909&gt;5,"Severe")</f>
        <v>Major</v>
      </c>
      <c r="S909">
        <f t="shared" si="100"/>
        <v>2325</v>
      </c>
      <c r="T909">
        <f t="shared" si="101"/>
        <v>2455</v>
      </c>
      <c r="U909">
        <f t="shared" si="102"/>
        <v>2024</v>
      </c>
      <c r="V909">
        <f t="shared" si="103"/>
        <v>1</v>
      </c>
      <c r="W909" s="11">
        <f t="shared" si="104"/>
        <v>1</v>
      </c>
    </row>
    <row r="910" spans="1:23">
      <c r="A910" t="s">
        <v>923</v>
      </c>
      <c r="B910" s="4">
        <v>45481</v>
      </c>
      <c r="C910" t="s">
        <v>2017</v>
      </c>
      <c r="D910" t="s">
        <v>2023</v>
      </c>
      <c r="E910" t="s">
        <v>2027</v>
      </c>
      <c r="F910" t="s">
        <v>2030</v>
      </c>
      <c r="G910" t="s">
        <v>2033</v>
      </c>
      <c r="H910" t="s">
        <v>2039</v>
      </c>
      <c r="I910">
        <v>2</v>
      </c>
      <c r="J910">
        <v>3</v>
      </c>
      <c r="K910">
        <v>1</v>
      </c>
      <c r="L910" t="s">
        <v>2041</v>
      </c>
      <c r="M910">
        <v>268</v>
      </c>
      <c r="N910">
        <v>1627</v>
      </c>
      <c r="O910">
        <v>1836</v>
      </c>
      <c r="P910" s="13">
        <f t="shared" si="98"/>
        <v>0</v>
      </c>
      <c r="Q910" t="str">
        <f t="shared" si="99"/>
        <v>No</v>
      </c>
      <c r="R910" t="str" cm="1">
        <f t="array" ref="R910">_xlfn.IFS(K910=0,"On Time",K910&lt;=2,"Minor",K910&lt;=5,"Major",K910&gt;5,"Severe")</f>
        <v>Minor</v>
      </c>
      <c r="S910">
        <f t="shared" si="100"/>
        <v>1836</v>
      </c>
      <c r="T910">
        <f t="shared" si="101"/>
        <v>1627</v>
      </c>
      <c r="U910">
        <f t="shared" si="102"/>
        <v>2024</v>
      </c>
      <c r="V910">
        <f t="shared" si="103"/>
        <v>7</v>
      </c>
      <c r="W910" s="11">
        <f t="shared" si="104"/>
        <v>1</v>
      </c>
    </row>
    <row r="911" spans="1:23">
      <c r="A911" t="s">
        <v>924</v>
      </c>
      <c r="B911" s="4">
        <v>45293</v>
      </c>
      <c r="C911" t="s">
        <v>2018</v>
      </c>
      <c r="D911" t="s">
        <v>2026</v>
      </c>
      <c r="E911" t="s">
        <v>2028</v>
      </c>
      <c r="F911" t="s">
        <v>2030</v>
      </c>
      <c r="G911" t="s">
        <v>2035</v>
      </c>
      <c r="H911" t="s">
        <v>2040</v>
      </c>
      <c r="I911">
        <v>3</v>
      </c>
      <c r="J911">
        <v>9</v>
      </c>
      <c r="K911">
        <v>6</v>
      </c>
      <c r="L911" t="s">
        <v>2041</v>
      </c>
      <c r="M911">
        <v>208</v>
      </c>
      <c r="N911">
        <v>9408</v>
      </c>
      <c r="O911">
        <v>21666</v>
      </c>
      <c r="P911" s="13">
        <f t="shared" si="98"/>
        <v>0</v>
      </c>
      <c r="Q911" t="str">
        <f t="shared" si="99"/>
        <v>No</v>
      </c>
      <c r="R911" t="str" cm="1">
        <f t="array" ref="R911">_xlfn.IFS(K911=0,"On Time",K911&lt;=2,"Minor",K911&lt;=5,"Major",K911&gt;5,"Severe")</f>
        <v>Severe</v>
      </c>
      <c r="S911">
        <f t="shared" si="100"/>
        <v>3611</v>
      </c>
      <c r="T911">
        <f t="shared" si="101"/>
        <v>1568</v>
      </c>
      <c r="U911">
        <f t="shared" si="102"/>
        <v>2024</v>
      </c>
      <c r="V911">
        <f t="shared" si="103"/>
        <v>1</v>
      </c>
      <c r="W911" s="11">
        <f t="shared" si="104"/>
        <v>1</v>
      </c>
    </row>
    <row r="912" spans="1:23">
      <c r="A912" t="s">
        <v>925</v>
      </c>
      <c r="B912" s="4">
        <v>45583</v>
      </c>
      <c r="C912" t="s">
        <v>2017</v>
      </c>
      <c r="D912" t="s">
        <v>2022</v>
      </c>
      <c r="E912" t="s">
        <v>2028</v>
      </c>
      <c r="F912" t="s">
        <v>2031</v>
      </c>
      <c r="G912" t="s">
        <v>2035</v>
      </c>
      <c r="H912" t="s">
        <v>2039</v>
      </c>
      <c r="I912">
        <v>1</v>
      </c>
      <c r="J912">
        <v>3</v>
      </c>
      <c r="K912">
        <v>2</v>
      </c>
      <c r="L912" t="s">
        <v>2041</v>
      </c>
      <c r="M912">
        <v>111</v>
      </c>
      <c r="N912">
        <v>1722</v>
      </c>
      <c r="O912">
        <v>4648</v>
      </c>
      <c r="P912" s="13">
        <f t="shared" si="98"/>
        <v>0</v>
      </c>
      <c r="Q912" t="str">
        <f t="shared" si="99"/>
        <v>No</v>
      </c>
      <c r="R912" t="str" cm="1">
        <f t="array" ref="R912">_xlfn.IFS(K912=0,"On Time",K912&lt;=2,"Minor",K912&lt;=5,"Major",K912&gt;5,"Severe")</f>
        <v>Minor</v>
      </c>
      <c r="S912">
        <f t="shared" si="100"/>
        <v>2324</v>
      </c>
      <c r="T912">
        <f t="shared" si="101"/>
        <v>861</v>
      </c>
      <c r="U912">
        <f t="shared" si="102"/>
        <v>2024</v>
      </c>
      <c r="V912">
        <f t="shared" si="103"/>
        <v>10</v>
      </c>
      <c r="W912" s="11">
        <f t="shared" si="104"/>
        <v>1</v>
      </c>
    </row>
    <row r="913" spans="1:23">
      <c r="A913" t="s">
        <v>926</v>
      </c>
      <c r="B913" s="4">
        <v>45481</v>
      </c>
      <c r="C913" t="s">
        <v>2018</v>
      </c>
      <c r="D913" t="s">
        <v>2024</v>
      </c>
      <c r="E913" t="s">
        <v>2029</v>
      </c>
      <c r="F913" t="s">
        <v>2031</v>
      </c>
      <c r="G913" t="s">
        <v>2033</v>
      </c>
      <c r="H913" t="s">
        <v>2038</v>
      </c>
      <c r="I913">
        <v>2</v>
      </c>
      <c r="J913">
        <v>4</v>
      </c>
      <c r="K913">
        <v>2</v>
      </c>
      <c r="L913" t="s">
        <v>2041</v>
      </c>
      <c r="M913">
        <v>362</v>
      </c>
      <c r="N913">
        <v>2162</v>
      </c>
      <c r="O913">
        <v>7242</v>
      </c>
      <c r="P913" s="13">
        <f t="shared" si="98"/>
        <v>0</v>
      </c>
      <c r="Q913" t="str">
        <f t="shared" si="99"/>
        <v>No</v>
      </c>
      <c r="R913" t="str" cm="1">
        <f t="array" ref="R913">_xlfn.IFS(K913=0,"On Time",K913&lt;=2,"Minor",K913&lt;=5,"Major",K913&gt;5,"Severe")</f>
        <v>Minor</v>
      </c>
      <c r="S913">
        <f t="shared" si="100"/>
        <v>3621</v>
      </c>
      <c r="T913">
        <f t="shared" si="101"/>
        <v>1081</v>
      </c>
      <c r="U913">
        <f t="shared" si="102"/>
        <v>2024</v>
      </c>
      <c r="V913">
        <f t="shared" si="103"/>
        <v>7</v>
      </c>
      <c r="W913" s="11">
        <f t="shared" si="104"/>
        <v>1</v>
      </c>
    </row>
    <row r="914" spans="1:23">
      <c r="A914" t="s">
        <v>927</v>
      </c>
      <c r="B914" s="4">
        <v>45573</v>
      </c>
      <c r="C914" t="s">
        <v>2015</v>
      </c>
      <c r="D914" t="s">
        <v>2019</v>
      </c>
      <c r="E914" t="s">
        <v>2029</v>
      </c>
      <c r="F914" t="s">
        <v>2031</v>
      </c>
      <c r="G914" t="s">
        <v>2033</v>
      </c>
      <c r="H914" t="s">
        <v>2040</v>
      </c>
      <c r="I914">
        <v>2</v>
      </c>
      <c r="J914">
        <v>7</v>
      </c>
      <c r="K914">
        <v>5</v>
      </c>
      <c r="L914" t="s">
        <v>2041</v>
      </c>
      <c r="M914">
        <v>334</v>
      </c>
      <c r="N914">
        <v>7640</v>
      </c>
      <c r="O914">
        <v>9170</v>
      </c>
      <c r="P914" s="13">
        <f t="shared" si="98"/>
        <v>0</v>
      </c>
      <c r="Q914" t="str">
        <f t="shared" si="99"/>
        <v>No</v>
      </c>
      <c r="R914" t="str" cm="1">
        <f t="array" ref="R914">_xlfn.IFS(K914=0,"On Time",K914&lt;=2,"Minor",K914&lt;=5,"Major",K914&gt;5,"Severe")</f>
        <v>Major</v>
      </c>
      <c r="S914">
        <f t="shared" si="100"/>
        <v>1834</v>
      </c>
      <c r="T914">
        <f t="shared" si="101"/>
        <v>1528</v>
      </c>
      <c r="U914">
        <f t="shared" si="102"/>
        <v>2024</v>
      </c>
      <c r="V914">
        <f t="shared" si="103"/>
        <v>10</v>
      </c>
      <c r="W914" s="11">
        <f t="shared" si="104"/>
        <v>1</v>
      </c>
    </row>
    <row r="915" spans="1:23">
      <c r="A915" t="s">
        <v>928</v>
      </c>
      <c r="B915" s="4">
        <v>45498</v>
      </c>
      <c r="C915" t="s">
        <v>2016</v>
      </c>
      <c r="D915" t="s">
        <v>2021</v>
      </c>
      <c r="E915" t="s">
        <v>2028</v>
      </c>
      <c r="F915" t="s">
        <v>2030</v>
      </c>
      <c r="G915" t="s">
        <v>2036</v>
      </c>
      <c r="H915" t="s">
        <v>2038</v>
      </c>
      <c r="I915">
        <v>1</v>
      </c>
      <c r="J915">
        <v>3</v>
      </c>
      <c r="K915">
        <v>2</v>
      </c>
      <c r="L915" t="s">
        <v>2041</v>
      </c>
      <c r="M915">
        <v>221</v>
      </c>
      <c r="N915">
        <v>3142</v>
      </c>
      <c r="O915">
        <v>9766</v>
      </c>
      <c r="P915" s="13">
        <f t="shared" si="98"/>
        <v>0</v>
      </c>
      <c r="Q915" t="str">
        <f t="shared" si="99"/>
        <v>No</v>
      </c>
      <c r="R915" t="str" cm="1">
        <f t="array" ref="R915">_xlfn.IFS(K915=0,"On Time",K915&lt;=2,"Minor",K915&lt;=5,"Major",K915&gt;5,"Severe")</f>
        <v>Minor</v>
      </c>
      <c r="S915">
        <f t="shared" si="100"/>
        <v>4883</v>
      </c>
      <c r="T915">
        <f t="shared" si="101"/>
        <v>1571</v>
      </c>
      <c r="U915">
        <f t="shared" si="102"/>
        <v>2024</v>
      </c>
      <c r="V915">
        <f t="shared" si="103"/>
        <v>7</v>
      </c>
      <c r="W915" s="11">
        <f t="shared" si="104"/>
        <v>1</v>
      </c>
    </row>
    <row r="916" spans="1:23">
      <c r="A916" t="s">
        <v>929</v>
      </c>
      <c r="B916" s="4">
        <v>45377</v>
      </c>
      <c r="C916" t="s">
        <v>2017</v>
      </c>
      <c r="D916" t="s">
        <v>2023</v>
      </c>
      <c r="E916" t="s">
        <v>2029</v>
      </c>
      <c r="F916" t="s">
        <v>2032</v>
      </c>
      <c r="G916" t="s">
        <v>2033</v>
      </c>
      <c r="H916" t="s">
        <v>2039</v>
      </c>
      <c r="I916">
        <v>3</v>
      </c>
      <c r="J916">
        <v>6</v>
      </c>
      <c r="K916">
        <v>3</v>
      </c>
      <c r="L916" t="s">
        <v>2041</v>
      </c>
      <c r="M916">
        <v>94</v>
      </c>
      <c r="N916">
        <v>6510</v>
      </c>
      <c r="O916">
        <v>8874</v>
      </c>
      <c r="P916" s="13">
        <f t="shared" si="98"/>
        <v>0</v>
      </c>
      <c r="Q916" t="str">
        <f t="shared" si="99"/>
        <v>No</v>
      </c>
      <c r="R916" t="str" cm="1">
        <f t="array" ref="R916">_xlfn.IFS(K916=0,"On Time",K916&lt;=2,"Minor",K916&lt;=5,"Major",K916&gt;5,"Severe")</f>
        <v>Major</v>
      </c>
      <c r="S916">
        <f t="shared" si="100"/>
        <v>2958</v>
      </c>
      <c r="T916">
        <f t="shared" si="101"/>
        <v>2170</v>
      </c>
      <c r="U916">
        <f t="shared" si="102"/>
        <v>2024</v>
      </c>
      <c r="V916">
        <f t="shared" si="103"/>
        <v>3</v>
      </c>
      <c r="W916" s="11">
        <f t="shared" si="104"/>
        <v>1</v>
      </c>
    </row>
    <row r="917" spans="1:23">
      <c r="A917" t="s">
        <v>930</v>
      </c>
      <c r="B917" s="4">
        <v>45464</v>
      </c>
      <c r="C917" t="s">
        <v>2017</v>
      </c>
      <c r="D917" t="s">
        <v>2022</v>
      </c>
      <c r="E917" t="s">
        <v>2028</v>
      </c>
      <c r="F917" t="s">
        <v>2031</v>
      </c>
      <c r="G917" t="s">
        <v>2034</v>
      </c>
      <c r="H917" t="s">
        <v>2040</v>
      </c>
      <c r="I917">
        <v>5</v>
      </c>
      <c r="J917">
        <v>9</v>
      </c>
      <c r="K917">
        <v>4</v>
      </c>
      <c r="L917" t="s">
        <v>2041</v>
      </c>
      <c r="M917">
        <v>110</v>
      </c>
      <c r="N917">
        <v>5520</v>
      </c>
      <c r="O917">
        <v>7044</v>
      </c>
      <c r="P917" s="13">
        <f t="shared" si="98"/>
        <v>0</v>
      </c>
      <c r="Q917" t="str">
        <f t="shared" si="99"/>
        <v>No</v>
      </c>
      <c r="R917" t="str" cm="1">
        <f t="array" ref="R917">_xlfn.IFS(K917=0,"On Time",K917&lt;=2,"Minor",K917&lt;=5,"Major",K917&gt;5,"Severe")</f>
        <v>Major</v>
      </c>
      <c r="S917">
        <f t="shared" si="100"/>
        <v>1761</v>
      </c>
      <c r="T917">
        <f t="shared" si="101"/>
        <v>1380</v>
      </c>
      <c r="U917">
        <f t="shared" si="102"/>
        <v>2024</v>
      </c>
      <c r="V917">
        <f t="shared" si="103"/>
        <v>6</v>
      </c>
      <c r="W917" s="11">
        <f t="shared" si="104"/>
        <v>1</v>
      </c>
    </row>
    <row r="918" spans="1:23">
      <c r="A918" t="s">
        <v>931</v>
      </c>
      <c r="B918" s="4">
        <v>45328</v>
      </c>
      <c r="C918" t="s">
        <v>2015</v>
      </c>
      <c r="D918" t="s">
        <v>2019</v>
      </c>
      <c r="E918" t="s">
        <v>2028</v>
      </c>
      <c r="F918" t="s">
        <v>2031</v>
      </c>
      <c r="G918" t="s">
        <v>2035</v>
      </c>
      <c r="H918" t="s">
        <v>2039</v>
      </c>
      <c r="I918">
        <v>2</v>
      </c>
      <c r="J918">
        <v>2</v>
      </c>
      <c r="K918">
        <v>0</v>
      </c>
      <c r="L918" t="s">
        <v>2042</v>
      </c>
      <c r="M918">
        <v>417</v>
      </c>
      <c r="N918">
        <v>0</v>
      </c>
      <c r="O918">
        <v>0</v>
      </c>
      <c r="P918" s="13">
        <f t="shared" si="98"/>
        <v>1</v>
      </c>
      <c r="Q918" t="str">
        <f t="shared" si="99"/>
        <v>No</v>
      </c>
      <c r="R918" t="str" cm="1">
        <f t="array" ref="R918">_xlfn.IFS(K918=0,"On Time",K918&lt;=2,"Minor",K918&lt;=5,"Major",K918&gt;5,"Severe")</f>
        <v>On Time</v>
      </c>
      <c r="S918">
        <f t="shared" si="100"/>
        <v>0</v>
      </c>
      <c r="T918">
        <f t="shared" si="101"/>
        <v>0</v>
      </c>
      <c r="U918">
        <f t="shared" si="102"/>
        <v>2024</v>
      </c>
      <c r="V918">
        <f t="shared" si="103"/>
        <v>2</v>
      </c>
      <c r="W918" s="11">
        <f t="shared" si="104"/>
        <v>0</v>
      </c>
    </row>
    <row r="919" spans="1:23">
      <c r="A919" t="s">
        <v>932</v>
      </c>
      <c r="B919" s="4">
        <v>45294</v>
      </c>
      <c r="C919" t="s">
        <v>2015</v>
      </c>
      <c r="D919" t="s">
        <v>2019</v>
      </c>
      <c r="E919" t="s">
        <v>2028</v>
      </c>
      <c r="F919" t="s">
        <v>2030</v>
      </c>
      <c r="G919" t="s">
        <v>2034</v>
      </c>
      <c r="H919" t="s">
        <v>2039</v>
      </c>
      <c r="I919">
        <v>1</v>
      </c>
      <c r="J919">
        <v>5</v>
      </c>
      <c r="K919">
        <v>4</v>
      </c>
      <c r="L919" t="s">
        <v>2041</v>
      </c>
      <c r="M919">
        <v>259</v>
      </c>
      <c r="N919">
        <v>9056</v>
      </c>
      <c r="O919">
        <v>19088</v>
      </c>
      <c r="P919" s="13">
        <f t="shared" si="98"/>
        <v>0</v>
      </c>
      <c r="Q919" t="str">
        <f t="shared" si="99"/>
        <v>No</v>
      </c>
      <c r="R919" t="str" cm="1">
        <f t="array" ref="R919">_xlfn.IFS(K919=0,"On Time",K919&lt;=2,"Minor",K919&lt;=5,"Major",K919&gt;5,"Severe")</f>
        <v>Major</v>
      </c>
      <c r="S919">
        <f t="shared" si="100"/>
        <v>4772</v>
      </c>
      <c r="T919">
        <f t="shared" si="101"/>
        <v>2264</v>
      </c>
      <c r="U919">
        <f t="shared" si="102"/>
        <v>2024</v>
      </c>
      <c r="V919">
        <f t="shared" si="103"/>
        <v>1</v>
      </c>
      <c r="W919" s="11">
        <f t="shared" si="104"/>
        <v>1</v>
      </c>
    </row>
    <row r="920" spans="1:23">
      <c r="A920" t="s">
        <v>933</v>
      </c>
      <c r="B920" s="4">
        <v>45580</v>
      </c>
      <c r="C920" t="s">
        <v>2016</v>
      </c>
      <c r="D920" t="s">
        <v>2021</v>
      </c>
      <c r="E920" t="s">
        <v>2027</v>
      </c>
      <c r="F920" t="s">
        <v>2031</v>
      </c>
      <c r="G920" t="s">
        <v>2037</v>
      </c>
      <c r="H920" t="s">
        <v>2038</v>
      </c>
      <c r="I920">
        <v>2</v>
      </c>
      <c r="J920">
        <v>4</v>
      </c>
      <c r="K920">
        <v>2</v>
      </c>
      <c r="L920" t="s">
        <v>2041</v>
      </c>
      <c r="M920">
        <v>177</v>
      </c>
      <c r="N920">
        <v>3838</v>
      </c>
      <c r="O920">
        <v>3808</v>
      </c>
      <c r="P920" s="13">
        <f t="shared" si="98"/>
        <v>0</v>
      </c>
      <c r="Q920" t="str">
        <f t="shared" si="99"/>
        <v>No</v>
      </c>
      <c r="R920" t="str" cm="1">
        <f t="array" ref="R920">_xlfn.IFS(K920=0,"On Time",K920&lt;=2,"Minor",K920&lt;=5,"Major",K920&gt;5,"Severe")</f>
        <v>Minor</v>
      </c>
      <c r="S920">
        <f t="shared" si="100"/>
        <v>1904</v>
      </c>
      <c r="T920">
        <f t="shared" si="101"/>
        <v>1919</v>
      </c>
      <c r="U920">
        <f t="shared" si="102"/>
        <v>2024</v>
      </c>
      <c r="V920">
        <f t="shared" si="103"/>
        <v>10</v>
      </c>
      <c r="W920" s="11">
        <f t="shared" si="104"/>
        <v>1</v>
      </c>
    </row>
    <row r="921" spans="1:23">
      <c r="A921" t="s">
        <v>934</v>
      </c>
      <c r="B921" s="4">
        <v>45557</v>
      </c>
      <c r="C921" t="s">
        <v>2018</v>
      </c>
      <c r="D921" t="s">
        <v>2024</v>
      </c>
      <c r="E921" t="s">
        <v>2028</v>
      </c>
      <c r="F921" t="s">
        <v>2031</v>
      </c>
      <c r="G921" t="s">
        <v>2035</v>
      </c>
      <c r="H921" t="s">
        <v>2038</v>
      </c>
      <c r="I921">
        <v>3</v>
      </c>
      <c r="J921">
        <v>4</v>
      </c>
      <c r="K921">
        <v>1</v>
      </c>
      <c r="L921" t="s">
        <v>2041</v>
      </c>
      <c r="M921">
        <v>291</v>
      </c>
      <c r="N921">
        <v>1869</v>
      </c>
      <c r="O921">
        <v>3531</v>
      </c>
      <c r="P921" s="13">
        <f t="shared" si="98"/>
        <v>0</v>
      </c>
      <c r="Q921" t="str">
        <f t="shared" si="99"/>
        <v>No</v>
      </c>
      <c r="R921" t="str" cm="1">
        <f t="array" ref="R921">_xlfn.IFS(K921=0,"On Time",K921&lt;=2,"Minor",K921&lt;=5,"Major",K921&gt;5,"Severe")</f>
        <v>Minor</v>
      </c>
      <c r="S921">
        <f t="shared" si="100"/>
        <v>3531</v>
      </c>
      <c r="T921">
        <f t="shared" si="101"/>
        <v>1869</v>
      </c>
      <c r="U921">
        <f t="shared" si="102"/>
        <v>2024</v>
      </c>
      <c r="V921">
        <f t="shared" si="103"/>
        <v>9</v>
      </c>
      <c r="W921" s="11">
        <f t="shared" si="104"/>
        <v>1</v>
      </c>
    </row>
    <row r="922" spans="1:23">
      <c r="A922" t="s">
        <v>935</v>
      </c>
      <c r="B922" s="4">
        <v>45444</v>
      </c>
      <c r="C922" t="s">
        <v>2016</v>
      </c>
      <c r="D922" t="s">
        <v>2025</v>
      </c>
      <c r="E922" t="s">
        <v>2028</v>
      </c>
      <c r="F922" t="s">
        <v>2031</v>
      </c>
      <c r="G922" t="s">
        <v>2034</v>
      </c>
      <c r="H922" t="s">
        <v>2038</v>
      </c>
      <c r="I922">
        <v>2</v>
      </c>
      <c r="J922">
        <v>4</v>
      </c>
      <c r="K922">
        <v>2</v>
      </c>
      <c r="L922" t="s">
        <v>2041</v>
      </c>
      <c r="M922">
        <v>306</v>
      </c>
      <c r="N922">
        <v>2826</v>
      </c>
      <c r="O922">
        <v>4144</v>
      </c>
      <c r="P922" s="13">
        <f t="shared" si="98"/>
        <v>0</v>
      </c>
      <c r="Q922" t="str">
        <f t="shared" si="99"/>
        <v>No</v>
      </c>
      <c r="R922" t="str" cm="1">
        <f t="array" ref="R922">_xlfn.IFS(K922=0,"On Time",K922&lt;=2,"Minor",K922&lt;=5,"Major",K922&gt;5,"Severe")</f>
        <v>Minor</v>
      </c>
      <c r="S922">
        <f t="shared" si="100"/>
        <v>2072</v>
      </c>
      <c r="T922">
        <f t="shared" si="101"/>
        <v>1413</v>
      </c>
      <c r="U922">
        <f t="shared" si="102"/>
        <v>2024</v>
      </c>
      <c r="V922">
        <f t="shared" si="103"/>
        <v>6</v>
      </c>
      <c r="W922" s="11">
        <f t="shared" si="104"/>
        <v>1</v>
      </c>
    </row>
    <row r="923" spans="1:23">
      <c r="A923" t="s">
        <v>936</v>
      </c>
      <c r="B923" s="4">
        <v>45642</v>
      </c>
      <c r="C923" t="s">
        <v>2015</v>
      </c>
      <c r="D923" t="s">
        <v>2019</v>
      </c>
      <c r="E923" t="s">
        <v>2029</v>
      </c>
      <c r="F923" t="s">
        <v>2030</v>
      </c>
      <c r="G923" t="s">
        <v>2033</v>
      </c>
      <c r="H923" t="s">
        <v>2038</v>
      </c>
      <c r="I923">
        <v>2</v>
      </c>
      <c r="J923">
        <v>7</v>
      </c>
      <c r="K923">
        <v>5</v>
      </c>
      <c r="L923" t="s">
        <v>2041</v>
      </c>
      <c r="M923">
        <v>67</v>
      </c>
      <c r="N923">
        <v>7750</v>
      </c>
      <c r="O923">
        <v>11895</v>
      </c>
      <c r="P923" s="13">
        <f t="shared" si="98"/>
        <v>0</v>
      </c>
      <c r="Q923" t="str">
        <f t="shared" si="99"/>
        <v>No</v>
      </c>
      <c r="R923" t="str" cm="1">
        <f t="array" ref="R923">_xlfn.IFS(K923=0,"On Time",K923&lt;=2,"Minor",K923&lt;=5,"Major",K923&gt;5,"Severe")</f>
        <v>Major</v>
      </c>
      <c r="S923">
        <f t="shared" si="100"/>
        <v>2379</v>
      </c>
      <c r="T923">
        <f t="shared" si="101"/>
        <v>1550</v>
      </c>
      <c r="U923">
        <f t="shared" si="102"/>
        <v>2024</v>
      </c>
      <c r="V923">
        <f t="shared" si="103"/>
        <v>12</v>
      </c>
      <c r="W923" s="11">
        <f t="shared" si="104"/>
        <v>1</v>
      </c>
    </row>
    <row r="924" spans="1:23">
      <c r="A924" t="s">
        <v>937</v>
      </c>
      <c r="B924" s="4">
        <v>45398</v>
      </c>
      <c r="C924" t="s">
        <v>2017</v>
      </c>
      <c r="D924" t="s">
        <v>2022</v>
      </c>
      <c r="E924" t="s">
        <v>2029</v>
      </c>
      <c r="F924" t="s">
        <v>2031</v>
      </c>
      <c r="G924" t="s">
        <v>2034</v>
      </c>
      <c r="H924" t="s">
        <v>2040</v>
      </c>
      <c r="I924">
        <v>2</v>
      </c>
      <c r="J924">
        <v>6</v>
      </c>
      <c r="K924">
        <v>4</v>
      </c>
      <c r="L924" t="s">
        <v>2041</v>
      </c>
      <c r="M924">
        <v>280</v>
      </c>
      <c r="N924">
        <v>9012</v>
      </c>
      <c r="O924">
        <v>9184</v>
      </c>
      <c r="P924" s="13">
        <f t="shared" si="98"/>
        <v>0</v>
      </c>
      <c r="Q924" t="str">
        <f t="shared" si="99"/>
        <v>No</v>
      </c>
      <c r="R924" t="str" cm="1">
        <f t="array" ref="R924">_xlfn.IFS(K924=0,"On Time",K924&lt;=2,"Minor",K924&lt;=5,"Major",K924&gt;5,"Severe")</f>
        <v>Major</v>
      </c>
      <c r="S924">
        <f t="shared" si="100"/>
        <v>2296</v>
      </c>
      <c r="T924">
        <f t="shared" si="101"/>
        <v>2253</v>
      </c>
      <c r="U924">
        <f t="shared" si="102"/>
        <v>2024</v>
      </c>
      <c r="V924">
        <f t="shared" si="103"/>
        <v>4</v>
      </c>
      <c r="W924" s="11">
        <f t="shared" si="104"/>
        <v>1</v>
      </c>
    </row>
    <row r="925" spans="1:23">
      <c r="A925" t="s">
        <v>938</v>
      </c>
      <c r="B925" s="4">
        <v>45555</v>
      </c>
      <c r="C925" t="s">
        <v>2016</v>
      </c>
      <c r="D925" t="s">
        <v>2025</v>
      </c>
      <c r="E925" t="s">
        <v>2027</v>
      </c>
      <c r="F925" t="s">
        <v>2032</v>
      </c>
      <c r="G925" t="s">
        <v>2037</v>
      </c>
      <c r="H925" t="s">
        <v>2039</v>
      </c>
      <c r="I925">
        <v>1</v>
      </c>
      <c r="J925">
        <v>8</v>
      </c>
      <c r="K925">
        <v>7</v>
      </c>
      <c r="L925" t="s">
        <v>2041</v>
      </c>
      <c r="M925">
        <v>438</v>
      </c>
      <c r="N925">
        <v>15379</v>
      </c>
      <c r="O925">
        <v>28910</v>
      </c>
      <c r="P925" s="13">
        <f t="shared" si="98"/>
        <v>0</v>
      </c>
      <c r="Q925" t="str">
        <f t="shared" si="99"/>
        <v>No</v>
      </c>
      <c r="R925" t="str" cm="1">
        <f t="array" ref="R925">_xlfn.IFS(K925=0,"On Time",K925&lt;=2,"Minor",K925&lt;=5,"Major",K925&gt;5,"Severe")</f>
        <v>Severe</v>
      </c>
      <c r="S925">
        <f t="shared" si="100"/>
        <v>4130</v>
      </c>
      <c r="T925">
        <f t="shared" si="101"/>
        <v>2197</v>
      </c>
      <c r="U925">
        <f t="shared" si="102"/>
        <v>2024</v>
      </c>
      <c r="V925">
        <f t="shared" si="103"/>
        <v>9</v>
      </c>
      <c r="W925" s="11">
        <f t="shared" si="104"/>
        <v>1</v>
      </c>
    </row>
    <row r="926" spans="1:23">
      <c r="A926" t="s">
        <v>939</v>
      </c>
      <c r="B926" s="4">
        <v>45505</v>
      </c>
      <c r="C926" t="s">
        <v>2017</v>
      </c>
      <c r="D926" t="s">
        <v>2022</v>
      </c>
      <c r="E926" t="s">
        <v>2028</v>
      </c>
      <c r="F926" t="s">
        <v>2030</v>
      </c>
      <c r="G926" t="s">
        <v>2034</v>
      </c>
      <c r="H926" t="s">
        <v>2040</v>
      </c>
      <c r="I926">
        <v>1</v>
      </c>
      <c r="J926">
        <v>7</v>
      </c>
      <c r="K926">
        <v>6</v>
      </c>
      <c r="L926" t="s">
        <v>2041</v>
      </c>
      <c r="M926">
        <v>499</v>
      </c>
      <c r="N926">
        <v>11904</v>
      </c>
      <c r="O926">
        <v>14688</v>
      </c>
      <c r="P926" s="13">
        <f t="shared" si="98"/>
        <v>0</v>
      </c>
      <c r="Q926" t="str">
        <f t="shared" si="99"/>
        <v>No</v>
      </c>
      <c r="R926" t="str" cm="1">
        <f t="array" ref="R926">_xlfn.IFS(K926=0,"On Time",K926&lt;=2,"Minor",K926&lt;=5,"Major",K926&gt;5,"Severe")</f>
        <v>Severe</v>
      </c>
      <c r="S926">
        <f t="shared" si="100"/>
        <v>2448</v>
      </c>
      <c r="T926">
        <f t="shared" si="101"/>
        <v>1984</v>
      </c>
      <c r="U926">
        <f t="shared" si="102"/>
        <v>2024</v>
      </c>
      <c r="V926">
        <f t="shared" si="103"/>
        <v>8</v>
      </c>
      <c r="W926" s="11">
        <f t="shared" si="104"/>
        <v>1</v>
      </c>
    </row>
    <row r="927" spans="1:23">
      <c r="A927" t="s">
        <v>940</v>
      </c>
      <c r="B927" s="4">
        <v>45378</v>
      </c>
      <c r="C927" t="s">
        <v>2016</v>
      </c>
      <c r="D927" t="s">
        <v>2021</v>
      </c>
      <c r="E927" t="s">
        <v>2028</v>
      </c>
      <c r="F927" t="s">
        <v>2031</v>
      </c>
      <c r="G927" t="s">
        <v>2033</v>
      </c>
      <c r="H927" t="s">
        <v>2038</v>
      </c>
      <c r="I927">
        <v>3</v>
      </c>
      <c r="J927">
        <v>6</v>
      </c>
      <c r="K927">
        <v>3</v>
      </c>
      <c r="L927" t="s">
        <v>2041</v>
      </c>
      <c r="M927">
        <v>413</v>
      </c>
      <c r="N927">
        <v>5691</v>
      </c>
      <c r="O927">
        <v>5784</v>
      </c>
      <c r="P927" s="13">
        <f t="shared" si="98"/>
        <v>0</v>
      </c>
      <c r="Q927" t="str">
        <f t="shared" si="99"/>
        <v>No</v>
      </c>
      <c r="R927" t="str" cm="1">
        <f t="array" ref="R927">_xlfn.IFS(K927=0,"On Time",K927&lt;=2,"Minor",K927&lt;=5,"Major",K927&gt;5,"Severe")</f>
        <v>Major</v>
      </c>
      <c r="S927">
        <f t="shared" si="100"/>
        <v>1928</v>
      </c>
      <c r="T927">
        <f t="shared" si="101"/>
        <v>1897</v>
      </c>
      <c r="U927">
        <f t="shared" si="102"/>
        <v>2024</v>
      </c>
      <c r="V927">
        <f t="shared" si="103"/>
        <v>3</v>
      </c>
      <c r="W927" s="11">
        <f t="shared" si="104"/>
        <v>1</v>
      </c>
    </row>
    <row r="928" spans="1:23">
      <c r="A928" t="s">
        <v>941</v>
      </c>
      <c r="B928" s="4">
        <v>45340</v>
      </c>
      <c r="C928" t="s">
        <v>2015</v>
      </c>
      <c r="D928" t="s">
        <v>2020</v>
      </c>
      <c r="E928" t="s">
        <v>2029</v>
      </c>
      <c r="F928" t="s">
        <v>2031</v>
      </c>
      <c r="G928" t="s">
        <v>2037</v>
      </c>
      <c r="H928" t="s">
        <v>2038</v>
      </c>
      <c r="I928">
        <v>1</v>
      </c>
      <c r="J928">
        <v>4</v>
      </c>
      <c r="K928">
        <v>3</v>
      </c>
      <c r="L928" t="s">
        <v>2041</v>
      </c>
      <c r="M928">
        <v>414</v>
      </c>
      <c r="N928">
        <v>6330</v>
      </c>
      <c r="O928">
        <v>4821</v>
      </c>
      <c r="P928" s="13">
        <f t="shared" si="98"/>
        <v>0</v>
      </c>
      <c r="Q928" t="str">
        <f t="shared" si="99"/>
        <v>No</v>
      </c>
      <c r="R928" t="str" cm="1">
        <f t="array" ref="R928">_xlfn.IFS(K928=0,"On Time",K928&lt;=2,"Minor",K928&lt;=5,"Major",K928&gt;5,"Severe")</f>
        <v>Major</v>
      </c>
      <c r="S928">
        <f t="shared" si="100"/>
        <v>1607</v>
      </c>
      <c r="T928">
        <f t="shared" si="101"/>
        <v>2110</v>
      </c>
      <c r="U928">
        <f t="shared" si="102"/>
        <v>2024</v>
      </c>
      <c r="V928">
        <f t="shared" si="103"/>
        <v>2</v>
      </c>
      <c r="W928" s="11">
        <f t="shared" si="104"/>
        <v>1</v>
      </c>
    </row>
    <row r="929" spans="1:23">
      <c r="A929" t="s">
        <v>942</v>
      </c>
      <c r="B929" s="4">
        <v>45299</v>
      </c>
      <c r="C929" t="s">
        <v>2015</v>
      </c>
      <c r="D929" t="s">
        <v>2019</v>
      </c>
      <c r="E929" t="s">
        <v>2029</v>
      </c>
      <c r="F929" t="s">
        <v>2030</v>
      </c>
      <c r="G929" t="s">
        <v>2036</v>
      </c>
      <c r="H929" t="s">
        <v>2038</v>
      </c>
      <c r="I929">
        <v>2</v>
      </c>
      <c r="J929">
        <v>7</v>
      </c>
      <c r="K929">
        <v>5</v>
      </c>
      <c r="L929" t="s">
        <v>2041</v>
      </c>
      <c r="M929">
        <v>97</v>
      </c>
      <c r="N929">
        <v>5005</v>
      </c>
      <c r="O929">
        <v>11510</v>
      </c>
      <c r="P929" s="13">
        <f t="shared" si="98"/>
        <v>0</v>
      </c>
      <c r="Q929" t="str">
        <f t="shared" si="99"/>
        <v>No</v>
      </c>
      <c r="R929" t="str" cm="1">
        <f t="array" ref="R929">_xlfn.IFS(K929=0,"On Time",K929&lt;=2,"Minor",K929&lt;=5,"Major",K929&gt;5,"Severe")</f>
        <v>Major</v>
      </c>
      <c r="S929">
        <f t="shared" si="100"/>
        <v>2302</v>
      </c>
      <c r="T929">
        <f t="shared" si="101"/>
        <v>1001</v>
      </c>
      <c r="U929">
        <f t="shared" si="102"/>
        <v>2024</v>
      </c>
      <c r="V929">
        <f t="shared" si="103"/>
        <v>1</v>
      </c>
      <c r="W929" s="11">
        <f t="shared" si="104"/>
        <v>1</v>
      </c>
    </row>
    <row r="930" spans="1:23">
      <c r="A930" t="s">
        <v>943</v>
      </c>
      <c r="B930" s="4">
        <v>45451</v>
      </c>
      <c r="C930" t="s">
        <v>2016</v>
      </c>
      <c r="D930" t="s">
        <v>2025</v>
      </c>
      <c r="E930" t="s">
        <v>2029</v>
      </c>
      <c r="F930" t="s">
        <v>2032</v>
      </c>
      <c r="G930" t="s">
        <v>2035</v>
      </c>
      <c r="H930" t="s">
        <v>2039</v>
      </c>
      <c r="I930">
        <v>3</v>
      </c>
      <c r="J930">
        <v>10</v>
      </c>
      <c r="K930">
        <v>7</v>
      </c>
      <c r="L930" t="s">
        <v>2041</v>
      </c>
      <c r="M930">
        <v>93</v>
      </c>
      <c r="N930">
        <v>7434</v>
      </c>
      <c r="O930">
        <v>26488</v>
      </c>
      <c r="P930" s="13">
        <f t="shared" si="98"/>
        <v>0</v>
      </c>
      <c r="Q930" t="str">
        <f t="shared" si="99"/>
        <v>No</v>
      </c>
      <c r="R930" t="str" cm="1">
        <f t="array" ref="R930">_xlfn.IFS(K930=0,"On Time",K930&lt;=2,"Minor",K930&lt;=5,"Major",K930&gt;5,"Severe")</f>
        <v>Severe</v>
      </c>
      <c r="S930">
        <f t="shared" si="100"/>
        <v>3784</v>
      </c>
      <c r="T930">
        <f t="shared" si="101"/>
        <v>1062</v>
      </c>
      <c r="U930">
        <f t="shared" si="102"/>
        <v>2024</v>
      </c>
      <c r="V930">
        <f t="shared" si="103"/>
        <v>6</v>
      </c>
      <c r="W930" s="11">
        <f t="shared" si="104"/>
        <v>1</v>
      </c>
    </row>
    <row r="931" spans="1:23">
      <c r="A931" t="s">
        <v>944</v>
      </c>
      <c r="B931" s="4">
        <v>45292</v>
      </c>
      <c r="C931" t="s">
        <v>2015</v>
      </c>
      <c r="D931" t="s">
        <v>2020</v>
      </c>
      <c r="E931" t="s">
        <v>2027</v>
      </c>
      <c r="F931" t="s">
        <v>2030</v>
      </c>
      <c r="G931" t="s">
        <v>2036</v>
      </c>
      <c r="H931" t="s">
        <v>2040</v>
      </c>
      <c r="I931">
        <v>1</v>
      </c>
      <c r="J931">
        <v>6</v>
      </c>
      <c r="K931">
        <v>5</v>
      </c>
      <c r="L931" t="s">
        <v>2041</v>
      </c>
      <c r="M931">
        <v>299</v>
      </c>
      <c r="N931">
        <v>11990</v>
      </c>
      <c r="O931">
        <v>9715</v>
      </c>
      <c r="P931" s="13">
        <f t="shared" si="98"/>
        <v>0</v>
      </c>
      <c r="Q931" t="str">
        <f t="shared" si="99"/>
        <v>No</v>
      </c>
      <c r="R931" t="str" cm="1">
        <f t="array" ref="R931">_xlfn.IFS(K931=0,"On Time",K931&lt;=2,"Minor",K931&lt;=5,"Major",K931&gt;5,"Severe")</f>
        <v>Major</v>
      </c>
      <c r="S931">
        <f t="shared" si="100"/>
        <v>1943</v>
      </c>
      <c r="T931">
        <f t="shared" si="101"/>
        <v>2398</v>
      </c>
      <c r="U931">
        <f t="shared" si="102"/>
        <v>2024</v>
      </c>
      <c r="V931">
        <f t="shared" si="103"/>
        <v>1</v>
      </c>
      <c r="W931" s="11">
        <f t="shared" si="104"/>
        <v>1</v>
      </c>
    </row>
    <row r="932" spans="1:23">
      <c r="A932" t="s">
        <v>945</v>
      </c>
      <c r="B932" s="4">
        <v>45573</v>
      </c>
      <c r="C932" t="s">
        <v>2018</v>
      </c>
      <c r="D932" t="s">
        <v>2026</v>
      </c>
      <c r="E932" t="s">
        <v>2029</v>
      </c>
      <c r="F932" t="s">
        <v>2032</v>
      </c>
      <c r="G932" t="s">
        <v>2035</v>
      </c>
      <c r="H932" t="s">
        <v>2038</v>
      </c>
      <c r="I932">
        <v>1</v>
      </c>
      <c r="J932">
        <v>7</v>
      </c>
      <c r="K932">
        <v>6</v>
      </c>
      <c r="L932" t="s">
        <v>2041</v>
      </c>
      <c r="M932">
        <v>97</v>
      </c>
      <c r="N932">
        <v>12828</v>
      </c>
      <c r="O932">
        <v>22662</v>
      </c>
      <c r="P932" s="13">
        <f t="shared" si="98"/>
        <v>0</v>
      </c>
      <c r="Q932" t="str">
        <f t="shared" si="99"/>
        <v>No</v>
      </c>
      <c r="R932" t="str" cm="1">
        <f t="array" ref="R932">_xlfn.IFS(K932=0,"On Time",K932&lt;=2,"Minor",K932&lt;=5,"Major",K932&gt;5,"Severe")</f>
        <v>Severe</v>
      </c>
      <c r="S932">
        <f t="shared" si="100"/>
        <v>3777</v>
      </c>
      <c r="T932">
        <f t="shared" si="101"/>
        <v>2138</v>
      </c>
      <c r="U932">
        <f t="shared" si="102"/>
        <v>2024</v>
      </c>
      <c r="V932">
        <f t="shared" si="103"/>
        <v>10</v>
      </c>
      <c r="W932" s="11">
        <f t="shared" si="104"/>
        <v>1</v>
      </c>
    </row>
    <row r="933" spans="1:23">
      <c r="A933" t="s">
        <v>946</v>
      </c>
      <c r="B933" s="4">
        <v>45339</v>
      </c>
      <c r="C933" t="s">
        <v>2018</v>
      </c>
      <c r="D933" t="s">
        <v>2024</v>
      </c>
      <c r="E933" t="s">
        <v>2029</v>
      </c>
      <c r="F933" t="s">
        <v>2032</v>
      </c>
      <c r="G933" t="s">
        <v>2037</v>
      </c>
      <c r="H933" t="s">
        <v>2040</v>
      </c>
      <c r="I933">
        <v>2</v>
      </c>
      <c r="J933">
        <v>12</v>
      </c>
      <c r="K933">
        <v>10</v>
      </c>
      <c r="L933" t="s">
        <v>2041</v>
      </c>
      <c r="M933">
        <v>136</v>
      </c>
      <c r="N933">
        <v>12070</v>
      </c>
      <c r="O933">
        <v>27610</v>
      </c>
      <c r="P933" s="13">
        <f t="shared" si="98"/>
        <v>0</v>
      </c>
      <c r="Q933" t="str">
        <f t="shared" si="99"/>
        <v>No</v>
      </c>
      <c r="R933" t="str" cm="1">
        <f t="array" ref="R933">_xlfn.IFS(K933=0,"On Time",K933&lt;=2,"Minor",K933&lt;=5,"Major",K933&gt;5,"Severe")</f>
        <v>Severe</v>
      </c>
      <c r="S933">
        <f t="shared" si="100"/>
        <v>2761</v>
      </c>
      <c r="T933">
        <f t="shared" si="101"/>
        <v>1207</v>
      </c>
      <c r="U933">
        <f t="shared" si="102"/>
        <v>2024</v>
      </c>
      <c r="V933">
        <f t="shared" si="103"/>
        <v>2</v>
      </c>
      <c r="W933" s="11">
        <f t="shared" si="104"/>
        <v>1</v>
      </c>
    </row>
    <row r="934" spans="1:23">
      <c r="A934" t="s">
        <v>947</v>
      </c>
      <c r="B934" s="4">
        <v>45477</v>
      </c>
      <c r="C934" t="s">
        <v>2015</v>
      </c>
      <c r="D934" t="s">
        <v>2020</v>
      </c>
      <c r="E934" t="s">
        <v>2029</v>
      </c>
      <c r="F934" t="s">
        <v>2030</v>
      </c>
      <c r="G934" t="s">
        <v>2034</v>
      </c>
      <c r="H934" t="s">
        <v>2040</v>
      </c>
      <c r="I934">
        <v>2</v>
      </c>
      <c r="J934">
        <v>7</v>
      </c>
      <c r="K934">
        <v>5</v>
      </c>
      <c r="L934" t="s">
        <v>2041</v>
      </c>
      <c r="M934">
        <v>130</v>
      </c>
      <c r="N934">
        <v>5730</v>
      </c>
      <c r="O934">
        <v>22105</v>
      </c>
      <c r="P934" s="13">
        <f t="shared" si="98"/>
        <v>0</v>
      </c>
      <c r="Q934" t="str">
        <f t="shared" si="99"/>
        <v>No</v>
      </c>
      <c r="R934" t="str" cm="1">
        <f t="array" ref="R934">_xlfn.IFS(K934=0,"On Time",K934&lt;=2,"Minor",K934&lt;=5,"Major",K934&gt;5,"Severe")</f>
        <v>Major</v>
      </c>
      <c r="S934">
        <f t="shared" si="100"/>
        <v>4421</v>
      </c>
      <c r="T934">
        <f t="shared" si="101"/>
        <v>1146</v>
      </c>
      <c r="U934">
        <f t="shared" si="102"/>
        <v>2024</v>
      </c>
      <c r="V934">
        <f t="shared" si="103"/>
        <v>7</v>
      </c>
      <c r="W934" s="11">
        <f t="shared" si="104"/>
        <v>1</v>
      </c>
    </row>
    <row r="935" spans="1:23">
      <c r="A935" t="s">
        <v>948</v>
      </c>
      <c r="B935" s="4">
        <v>45458</v>
      </c>
      <c r="C935" t="s">
        <v>2016</v>
      </c>
      <c r="D935" t="s">
        <v>2021</v>
      </c>
      <c r="E935" t="s">
        <v>2029</v>
      </c>
      <c r="F935" t="s">
        <v>2030</v>
      </c>
      <c r="G935" t="s">
        <v>2037</v>
      </c>
      <c r="H935" t="s">
        <v>2039</v>
      </c>
      <c r="I935">
        <v>2</v>
      </c>
      <c r="J935">
        <v>2</v>
      </c>
      <c r="K935">
        <v>0</v>
      </c>
      <c r="L935" t="s">
        <v>2042</v>
      </c>
      <c r="M935">
        <v>393</v>
      </c>
      <c r="N935">
        <v>0</v>
      </c>
      <c r="O935">
        <v>0</v>
      </c>
      <c r="P935" s="13">
        <f t="shared" si="98"/>
        <v>1</v>
      </c>
      <c r="Q935" t="str">
        <f t="shared" si="99"/>
        <v>No</v>
      </c>
      <c r="R935" t="str" cm="1">
        <f t="array" ref="R935">_xlfn.IFS(K935=0,"On Time",K935&lt;=2,"Minor",K935&lt;=5,"Major",K935&gt;5,"Severe")</f>
        <v>On Time</v>
      </c>
      <c r="S935">
        <f t="shared" si="100"/>
        <v>0</v>
      </c>
      <c r="T935">
        <f t="shared" si="101"/>
        <v>0</v>
      </c>
      <c r="U935">
        <f t="shared" si="102"/>
        <v>2024</v>
      </c>
      <c r="V935">
        <f t="shared" si="103"/>
        <v>6</v>
      </c>
      <c r="W935" s="11">
        <f t="shared" si="104"/>
        <v>0</v>
      </c>
    </row>
    <row r="936" spans="1:23">
      <c r="A936" t="s">
        <v>949</v>
      </c>
      <c r="B936" s="4">
        <v>45558</v>
      </c>
      <c r="C936" t="s">
        <v>2017</v>
      </c>
      <c r="D936" t="s">
        <v>2023</v>
      </c>
      <c r="E936" t="s">
        <v>2029</v>
      </c>
      <c r="F936" t="s">
        <v>2030</v>
      </c>
      <c r="G936" t="s">
        <v>2033</v>
      </c>
      <c r="H936" t="s">
        <v>2038</v>
      </c>
      <c r="I936">
        <v>3</v>
      </c>
      <c r="J936">
        <v>5</v>
      </c>
      <c r="K936">
        <v>2</v>
      </c>
      <c r="L936" t="s">
        <v>2041</v>
      </c>
      <c r="M936">
        <v>326</v>
      </c>
      <c r="N936">
        <v>4988</v>
      </c>
      <c r="O936">
        <v>6464</v>
      </c>
      <c r="P936" s="13">
        <f t="shared" si="98"/>
        <v>0</v>
      </c>
      <c r="Q936" t="str">
        <f t="shared" si="99"/>
        <v>No</v>
      </c>
      <c r="R936" t="str" cm="1">
        <f t="array" ref="R936">_xlfn.IFS(K936=0,"On Time",K936&lt;=2,"Minor",K936&lt;=5,"Major",K936&gt;5,"Severe")</f>
        <v>Minor</v>
      </c>
      <c r="S936">
        <f t="shared" si="100"/>
        <v>3232</v>
      </c>
      <c r="T936">
        <f t="shared" si="101"/>
        <v>2494</v>
      </c>
      <c r="U936">
        <f t="shared" si="102"/>
        <v>2024</v>
      </c>
      <c r="V936">
        <f t="shared" si="103"/>
        <v>9</v>
      </c>
      <c r="W936" s="11">
        <f t="shared" si="104"/>
        <v>1</v>
      </c>
    </row>
    <row r="937" spans="1:23">
      <c r="A937" t="s">
        <v>950</v>
      </c>
      <c r="B937" s="4">
        <v>45414</v>
      </c>
      <c r="C937" t="s">
        <v>2018</v>
      </c>
      <c r="D937" t="s">
        <v>2024</v>
      </c>
      <c r="E937" t="s">
        <v>2028</v>
      </c>
      <c r="F937" t="s">
        <v>2031</v>
      </c>
      <c r="G937" t="s">
        <v>2033</v>
      </c>
      <c r="H937" t="s">
        <v>2039</v>
      </c>
      <c r="I937">
        <v>2</v>
      </c>
      <c r="J937">
        <v>2</v>
      </c>
      <c r="K937">
        <v>0</v>
      </c>
      <c r="L937" t="s">
        <v>2042</v>
      </c>
      <c r="M937">
        <v>264</v>
      </c>
      <c r="N937">
        <v>0</v>
      </c>
      <c r="O937">
        <v>0</v>
      </c>
      <c r="P937" s="13">
        <f t="shared" si="98"/>
        <v>1</v>
      </c>
      <c r="Q937" t="str">
        <f t="shared" si="99"/>
        <v>No</v>
      </c>
      <c r="R937" t="str" cm="1">
        <f t="array" ref="R937">_xlfn.IFS(K937=0,"On Time",K937&lt;=2,"Minor",K937&lt;=5,"Major",K937&gt;5,"Severe")</f>
        <v>On Time</v>
      </c>
      <c r="S937">
        <f t="shared" si="100"/>
        <v>0</v>
      </c>
      <c r="T937">
        <f t="shared" si="101"/>
        <v>0</v>
      </c>
      <c r="U937">
        <f t="shared" si="102"/>
        <v>2024</v>
      </c>
      <c r="V937">
        <f t="shared" si="103"/>
        <v>5</v>
      </c>
      <c r="W937" s="11">
        <f t="shared" si="104"/>
        <v>0</v>
      </c>
    </row>
    <row r="938" spans="1:23">
      <c r="A938" t="s">
        <v>951</v>
      </c>
      <c r="B938" s="4">
        <v>45307</v>
      </c>
      <c r="C938" t="s">
        <v>2017</v>
      </c>
      <c r="D938" t="s">
        <v>2022</v>
      </c>
      <c r="E938" t="s">
        <v>2029</v>
      </c>
      <c r="F938" t="s">
        <v>2031</v>
      </c>
      <c r="G938" t="s">
        <v>2037</v>
      </c>
      <c r="H938" t="s">
        <v>2038</v>
      </c>
      <c r="I938">
        <v>5</v>
      </c>
      <c r="J938">
        <v>5</v>
      </c>
      <c r="K938">
        <v>0</v>
      </c>
      <c r="L938" t="s">
        <v>2042</v>
      </c>
      <c r="M938">
        <v>353</v>
      </c>
      <c r="N938">
        <v>0</v>
      </c>
      <c r="O938">
        <v>0</v>
      </c>
      <c r="P938" s="13">
        <f t="shared" si="98"/>
        <v>1</v>
      </c>
      <c r="Q938" t="str">
        <f t="shared" si="99"/>
        <v>No</v>
      </c>
      <c r="R938" t="str" cm="1">
        <f t="array" ref="R938">_xlfn.IFS(K938=0,"On Time",K938&lt;=2,"Minor",K938&lt;=5,"Major",K938&gt;5,"Severe")</f>
        <v>On Time</v>
      </c>
      <c r="S938">
        <f t="shared" si="100"/>
        <v>0</v>
      </c>
      <c r="T938">
        <f t="shared" si="101"/>
        <v>0</v>
      </c>
      <c r="U938">
        <f t="shared" si="102"/>
        <v>2024</v>
      </c>
      <c r="V938">
        <f t="shared" si="103"/>
        <v>1</v>
      </c>
      <c r="W938" s="11">
        <f t="shared" si="104"/>
        <v>0</v>
      </c>
    </row>
    <row r="939" spans="1:23">
      <c r="A939" t="s">
        <v>952</v>
      </c>
      <c r="B939" s="4">
        <v>45443</v>
      </c>
      <c r="C939" t="s">
        <v>2015</v>
      </c>
      <c r="D939" t="s">
        <v>2020</v>
      </c>
      <c r="E939" t="s">
        <v>2027</v>
      </c>
      <c r="F939" t="s">
        <v>2030</v>
      </c>
      <c r="G939" t="s">
        <v>2034</v>
      </c>
      <c r="H939" t="s">
        <v>2040</v>
      </c>
      <c r="I939">
        <v>3</v>
      </c>
      <c r="J939">
        <v>6</v>
      </c>
      <c r="K939">
        <v>3</v>
      </c>
      <c r="L939" t="s">
        <v>2041</v>
      </c>
      <c r="M939">
        <v>215</v>
      </c>
      <c r="N939">
        <v>5691</v>
      </c>
      <c r="O939">
        <v>11211</v>
      </c>
      <c r="P939" s="13">
        <f t="shared" si="98"/>
        <v>0</v>
      </c>
      <c r="Q939" t="str">
        <f t="shared" si="99"/>
        <v>No</v>
      </c>
      <c r="R939" t="str" cm="1">
        <f t="array" ref="R939">_xlfn.IFS(K939=0,"On Time",K939&lt;=2,"Minor",K939&lt;=5,"Major",K939&gt;5,"Severe")</f>
        <v>Major</v>
      </c>
      <c r="S939">
        <f t="shared" si="100"/>
        <v>3737</v>
      </c>
      <c r="T939">
        <f t="shared" si="101"/>
        <v>1897</v>
      </c>
      <c r="U939">
        <f t="shared" si="102"/>
        <v>2024</v>
      </c>
      <c r="V939">
        <f t="shared" si="103"/>
        <v>5</v>
      </c>
      <c r="W939" s="11">
        <f t="shared" si="104"/>
        <v>1</v>
      </c>
    </row>
    <row r="940" spans="1:23">
      <c r="A940" t="s">
        <v>953</v>
      </c>
      <c r="B940" s="4">
        <v>45378</v>
      </c>
      <c r="C940" t="s">
        <v>2015</v>
      </c>
      <c r="D940" t="s">
        <v>2019</v>
      </c>
      <c r="E940" t="s">
        <v>2027</v>
      </c>
      <c r="F940" t="s">
        <v>2032</v>
      </c>
      <c r="G940" t="s">
        <v>2035</v>
      </c>
      <c r="H940" t="s">
        <v>2039</v>
      </c>
      <c r="I940">
        <v>1</v>
      </c>
      <c r="J940">
        <v>6</v>
      </c>
      <c r="K940">
        <v>5</v>
      </c>
      <c r="L940" t="s">
        <v>2041</v>
      </c>
      <c r="M940">
        <v>304</v>
      </c>
      <c r="N940">
        <v>6025</v>
      </c>
      <c r="O940">
        <v>11215</v>
      </c>
      <c r="P940" s="13">
        <f t="shared" si="98"/>
        <v>0</v>
      </c>
      <c r="Q940" t="str">
        <f t="shared" si="99"/>
        <v>No</v>
      </c>
      <c r="R940" t="str" cm="1">
        <f t="array" ref="R940">_xlfn.IFS(K940=0,"On Time",K940&lt;=2,"Minor",K940&lt;=5,"Major",K940&gt;5,"Severe")</f>
        <v>Major</v>
      </c>
      <c r="S940">
        <f t="shared" si="100"/>
        <v>2243</v>
      </c>
      <c r="T940">
        <f t="shared" si="101"/>
        <v>1205</v>
      </c>
      <c r="U940">
        <f t="shared" si="102"/>
        <v>2024</v>
      </c>
      <c r="V940">
        <f t="shared" si="103"/>
        <v>3</v>
      </c>
      <c r="W940" s="11">
        <f t="shared" si="104"/>
        <v>1</v>
      </c>
    </row>
    <row r="941" spans="1:23">
      <c r="A941" t="s">
        <v>954</v>
      </c>
      <c r="B941" s="4">
        <v>45457</v>
      </c>
      <c r="C941" t="s">
        <v>2018</v>
      </c>
      <c r="D941" t="s">
        <v>2026</v>
      </c>
      <c r="E941" t="s">
        <v>2029</v>
      </c>
      <c r="F941" t="s">
        <v>2032</v>
      </c>
      <c r="G941" t="s">
        <v>2036</v>
      </c>
      <c r="H941" t="s">
        <v>2038</v>
      </c>
      <c r="I941">
        <v>5</v>
      </c>
      <c r="J941">
        <v>7</v>
      </c>
      <c r="K941">
        <v>2</v>
      </c>
      <c r="L941" t="s">
        <v>2041</v>
      </c>
      <c r="M941">
        <v>349</v>
      </c>
      <c r="N941">
        <v>4208</v>
      </c>
      <c r="O941">
        <v>9974</v>
      </c>
      <c r="P941" s="13">
        <f t="shared" si="98"/>
        <v>0</v>
      </c>
      <c r="Q941" t="str">
        <f t="shared" si="99"/>
        <v>No</v>
      </c>
      <c r="R941" t="str" cm="1">
        <f t="array" ref="R941">_xlfn.IFS(K941=0,"On Time",K941&lt;=2,"Minor",K941&lt;=5,"Major",K941&gt;5,"Severe")</f>
        <v>Minor</v>
      </c>
      <c r="S941">
        <f t="shared" si="100"/>
        <v>4987</v>
      </c>
      <c r="T941">
        <f t="shared" si="101"/>
        <v>2104</v>
      </c>
      <c r="U941">
        <f t="shared" si="102"/>
        <v>2024</v>
      </c>
      <c r="V941">
        <f t="shared" si="103"/>
        <v>6</v>
      </c>
      <c r="W941" s="11">
        <f t="shared" si="104"/>
        <v>1</v>
      </c>
    </row>
    <row r="942" spans="1:23">
      <c r="A942" t="s">
        <v>955</v>
      </c>
      <c r="B942" s="4">
        <v>45626</v>
      </c>
      <c r="C942" t="s">
        <v>2016</v>
      </c>
      <c r="D942" t="s">
        <v>2021</v>
      </c>
      <c r="E942" t="s">
        <v>2029</v>
      </c>
      <c r="F942" t="s">
        <v>2030</v>
      </c>
      <c r="G942" t="s">
        <v>2036</v>
      </c>
      <c r="H942" t="s">
        <v>2038</v>
      </c>
      <c r="I942">
        <v>5</v>
      </c>
      <c r="J942">
        <v>9</v>
      </c>
      <c r="K942">
        <v>4</v>
      </c>
      <c r="L942" t="s">
        <v>2041</v>
      </c>
      <c r="M942">
        <v>327</v>
      </c>
      <c r="N942">
        <v>9776</v>
      </c>
      <c r="O942">
        <v>15388</v>
      </c>
      <c r="P942" s="13">
        <f t="shared" si="98"/>
        <v>0</v>
      </c>
      <c r="Q942" t="str">
        <f t="shared" si="99"/>
        <v>No</v>
      </c>
      <c r="R942" t="str" cm="1">
        <f t="array" ref="R942">_xlfn.IFS(K942=0,"On Time",K942&lt;=2,"Minor",K942&lt;=5,"Major",K942&gt;5,"Severe")</f>
        <v>Major</v>
      </c>
      <c r="S942">
        <f t="shared" si="100"/>
        <v>3847</v>
      </c>
      <c r="T942">
        <f t="shared" si="101"/>
        <v>2444</v>
      </c>
      <c r="U942">
        <f t="shared" si="102"/>
        <v>2024</v>
      </c>
      <c r="V942">
        <f t="shared" si="103"/>
        <v>11</v>
      </c>
      <c r="W942" s="11">
        <f t="shared" si="104"/>
        <v>1</v>
      </c>
    </row>
    <row r="943" spans="1:23">
      <c r="A943" t="s">
        <v>956</v>
      </c>
      <c r="B943" s="4">
        <v>45460</v>
      </c>
      <c r="C943" t="s">
        <v>2018</v>
      </c>
      <c r="D943" t="s">
        <v>2026</v>
      </c>
      <c r="E943" t="s">
        <v>2028</v>
      </c>
      <c r="F943" t="s">
        <v>2031</v>
      </c>
      <c r="G943" t="s">
        <v>2033</v>
      </c>
      <c r="H943" t="s">
        <v>2038</v>
      </c>
      <c r="I943">
        <v>2</v>
      </c>
      <c r="J943">
        <v>3</v>
      </c>
      <c r="K943">
        <v>1</v>
      </c>
      <c r="L943" t="s">
        <v>2041</v>
      </c>
      <c r="M943">
        <v>269</v>
      </c>
      <c r="N943">
        <v>1546</v>
      </c>
      <c r="O943">
        <v>2098</v>
      </c>
      <c r="P943" s="13">
        <f t="shared" si="98"/>
        <v>0</v>
      </c>
      <c r="Q943" t="str">
        <f t="shared" si="99"/>
        <v>No</v>
      </c>
      <c r="R943" t="str" cm="1">
        <f t="array" ref="R943">_xlfn.IFS(K943=0,"On Time",K943&lt;=2,"Minor",K943&lt;=5,"Major",K943&gt;5,"Severe")</f>
        <v>Minor</v>
      </c>
      <c r="S943">
        <f t="shared" si="100"/>
        <v>2098</v>
      </c>
      <c r="T943">
        <f t="shared" si="101"/>
        <v>1546</v>
      </c>
      <c r="U943">
        <f t="shared" si="102"/>
        <v>2024</v>
      </c>
      <c r="V943">
        <f t="shared" si="103"/>
        <v>6</v>
      </c>
      <c r="W943" s="11">
        <f t="shared" si="104"/>
        <v>1</v>
      </c>
    </row>
    <row r="944" spans="1:23">
      <c r="A944" t="s">
        <v>957</v>
      </c>
      <c r="B944" s="4">
        <v>45619</v>
      </c>
      <c r="C944" t="s">
        <v>2015</v>
      </c>
      <c r="D944" t="s">
        <v>2019</v>
      </c>
      <c r="E944" t="s">
        <v>2029</v>
      </c>
      <c r="F944" t="s">
        <v>2030</v>
      </c>
      <c r="G944" t="s">
        <v>2035</v>
      </c>
      <c r="H944" t="s">
        <v>2038</v>
      </c>
      <c r="I944">
        <v>5</v>
      </c>
      <c r="J944">
        <v>5</v>
      </c>
      <c r="K944">
        <v>0</v>
      </c>
      <c r="L944" t="s">
        <v>2042</v>
      </c>
      <c r="M944">
        <v>430</v>
      </c>
      <c r="N944">
        <v>0</v>
      </c>
      <c r="O944">
        <v>0</v>
      </c>
      <c r="P944" s="13">
        <f t="shared" si="98"/>
        <v>1</v>
      </c>
      <c r="Q944" t="str">
        <f t="shared" si="99"/>
        <v>No</v>
      </c>
      <c r="R944" t="str" cm="1">
        <f t="array" ref="R944">_xlfn.IFS(K944=0,"On Time",K944&lt;=2,"Minor",K944&lt;=5,"Major",K944&gt;5,"Severe")</f>
        <v>On Time</v>
      </c>
      <c r="S944">
        <f t="shared" si="100"/>
        <v>0</v>
      </c>
      <c r="T944">
        <f t="shared" si="101"/>
        <v>0</v>
      </c>
      <c r="U944">
        <f t="shared" si="102"/>
        <v>2024</v>
      </c>
      <c r="V944">
        <f t="shared" si="103"/>
        <v>11</v>
      </c>
      <c r="W944" s="11">
        <f t="shared" si="104"/>
        <v>0</v>
      </c>
    </row>
    <row r="945" spans="1:23">
      <c r="A945" t="s">
        <v>958</v>
      </c>
      <c r="B945" s="4">
        <v>45337</v>
      </c>
      <c r="C945" t="s">
        <v>2018</v>
      </c>
      <c r="D945" t="s">
        <v>2026</v>
      </c>
      <c r="E945" t="s">
        <v>2029</v>
      </c>
      <c r="F945" t="s">
        <v>2031</v>
      </c>
      <c r="G945" t="s">
        <v>2033</v>
      </c>
      <c r="H945" t="s">
        <v>2038</v>
      </c>
      <c r="I945">
        <v>3</v>
      </c>
      <c r="J945">
        <v>6</v>
      </c>
      <c r="K945">
        <v>3</v>
      </c>
      <c r="L945" t="s">
        <v>2041</v>
      </c>
      <c r="M945">
        <v>479</v>
      </c>
      <c r="N945">
        <v>3309</v>
      </c>
      <c r="O945">
        <v>9678</v>
      </c>
      <c r="P945" s="13">
        <f t="shared" si="98"/>
        <v>0</v>
      </c>
      <c r="Q945" t="str">
        <f t="shared" si="99"/>
        <v>No</v>
      </c>
      <c r="R945" t="str" cm="1">
        <f t="array" ref="R945">_xlfn.IFS(K945=0,"On Time",K945&lt;=2,"Minor",K945&lt;=5,"Major",K945&gt;5,"Severe")</f>
        <v>Major</v>
      </c>
      <c r="S945">
        <f t="shared" si="100"/>
        <v>3226</v>
      </c>
      <c r="T945">
        <f t="shared" si="101"/>
        <v>1103</v>
      </c>
      <c r="U945">
        <f t="shared" si="102"/>
        <v>2024</v>
      </c>
      <c r="V945">
        <f t="shared" si="103"/>
        <v>2</v>
      </c>
      <c r="W945" s="11">
        <f t="shared" si="104"/>
        <v>1</v>
      </c>
    </row>
    <row r="946" spans="1:23">
      <c r="A946" t="s">
        <v>959</v>
      </c>
      <c r="B946" s="4">
        <v>45610</v>
      </c>
      <c r="C946" t="s">
        <v>2015</v>
      </c>
      <c r="D946" t="s">
        <v>2020</v>
      </c>
      <c r="E946" t="s">
        <v>2028</v>
      </c>
      <c r="F946" t="s">
        <v>2031</v>
      </c>
      <c r="G946" t="s">
        <v>2037</v>
      </c>
      <c r="H946" t="s">
        <v>2039</v>
      </c>
      <c r="I946">
        <v>3</v>
      </c>
      <c r="J946">
        <v>7</v>
      </c>
      <c r="K946">
        <v>4</v>
      </c>
      <c r="L946" t="s">
        <v>2041</v>
      </c>
      <c r="M946">
        <v>209</v>
      </c>
      <c r="N946">
        <v>6924</v>
      </c>
      <c r="O946">
        <v>17660</v>
      </c>
      <c r="P946" s="13">
        <f t="shared" si="98"/>
        <v>0</v>
      </c>
      <c r="Q946" t="str">
        <f t="shared" si="99"/>
        <v>No</v>
      </c>
      <c r="R946" t="str" cm="1">
        <f t="array" ref="R946">_xlfn.IFS(K946=0,"On Time",K946&lt;=2,"Minor",K946&lt;=5,"Major",K946&gt;5,"Severe")</f>
        <v>Major</v>
      </c>
      <c r="S946">
        <f t="shared" si="100"/>
        <v>4415</v>
      </c>
      <c r="T946">
        <f t="shared" si="101"/>
        <v>1731</v>
      </c>
      <c r="U946">
        <f t="shared" si="102"/>
        <v>2024</v>
      </c>
      <c r="V946">
        <f t="shared" si="103"/>
        <v>11</v>
      </c>
      <c r="W946" s="11">
        <f t="shared" si="104"/>
        <v>1</v>
      </c>
    </row>
    <row r="947" spans="1:23">
      <c r="A947" t="s">
        <v>960</v>
      </c>
      <c r="B947" s="4">
        <v>45448</v>
      </c>
      <c r="C947" t="s">
        <v>2016</v>
      </c>
      <c r="D947" t="s">
        <v>2021</v>
      </c>
      <c r="E947" t="s">
        <v>2027</v>
      </c>
      <c r="F947" t="s">
        <v>2031</v>
      </c>
      <c r="G947" t="s">
        <v>2033</v>
      </c>
      <c r="H947" t="s">
        <v>2038</v>
      </c>
      <c r="I947">
        <v>3</v>
      </c>
      <c r="J947">
        <v>3</v>
      </c>
      <c r="K947">
        <v>0</v>
      </c>
      <c r="L947" t="s">
        <v>2042</v>
      </c>
      <c r="M947">
        <v>409</v>
      </c>
      <c r="N947">
        <v>0</v>
      </c>
      <c r="O947">
        <v>0</v>
      </c>
      <c r="P947" s="13">
        <f t="shared" si="98"/>
        <v>1</v>
      </c>
      <c r="Q947" t="str">
        <f t="shared" si="99"/>
        <v>No</v>
      </c>
      <c r="R947" t="str" cm="1">
        <f t="array" ref="R947">_xlfn.IFS(K947=0,"On Time",K947&lt;=2,"Minor",K947&lt;=5,"Major",K947&gt;5,"Severe")</f>
        <v>On Time</v>
      </c>
      <c r="S947">
        <f t="shared" si="100"/>
        <v>0</v>
      </c>
      <c r="T947">
        <f t="shared" si="101"/>
        <v>0</v>
      </c>
      <c r="U947">
        <f t="shared" si="102"/>
        <v>2024</v>
      </c>
      <c r="V947">
        <f t="shared" si="103"/>
        <v>6</v>
      </c>
      <c r="W947" s="11">
        <f t="shared" si="104"/>
        <v>0</v>
      </c>
    </row>
    <row r="948" spans="1:23">
      <c r="A948" t="s">
        <v>961</v>
      </c>
      <c r="B948" s="4">
        <v>45634</v>
      </c>
      <c r="C948" t="s">
        <v>2017</v>
      </c>
      <c r="D948" t="s">
        <v>2022</v>
      </c>
      <c r="E948" t="s">
        <v>2029</v>
      </c>
      <c r="F948" t="s">
        <v>2032</v>
      </c>
      <c r="G948" t="s">
        <v>2036</v>
      </c>
      <c r="H948" t="s">
        <v>2038</v>
      </c>
      <c r="I948">
        <v>5</v>
      </c>
      <c r="J948">
        <v>11</v>
      </c>
      <c r="K948">
        <v>6</v>
      </c>
      <c r="L948" t="s">
        <v>2041</v>
      </c>
      <c r="M948">
        <v>363</v>
      </c>
      <c r="N948">
        <v>10680</v>
      </c>
      <c r="O948">
        <v>15972</v>
      </c>
      <c r="P948" s="13">
        <f t="shared" si="98"/>
        <v>0</v>
      </c>
      <c r="Q948" t="str">
        <f t="shared" si="99"/>
        <v>No</v>
      </c>
      <c r="R948" t="str" cm="1">
        <f t="array" ref="R948">_xlfn.IFS(K948=0,"On Time",K948&lt;=2,"Minor",K948&lt;=5,"Major",K948&gt;5,"Severe")</f>
        <v>Severe</v>
      </c>
      <c r="S948">
        <f t="shared" si="100"/>
        <v>2662</v>
      </c>
      <c r="T948">
        <f t="shared" si="101"/>
        <v>1780</v>
      </c>
      <c r="U948">
        <f t="shared" si="102"/>
        <v>2024</v>
      </c>
      <c r="V948">
        <f t="shared" si="103"/>
        <v>12</v>
      </c>
      <c r="W948" s="11">
        <f t="shared" si="104"/>
        <v>1</v>
      </c>
    </row>
    <row r="949" spans="1:23">
      <c r="A949" t="s">
        <v>962</v>
      </c>
      <c r="B949" s="4">
        <v>45409</v>
      </c>
      <c r="C949" t="s">
        <v>2016</v>
      </c>
      <c r="D949" t="s">
        <v>2025</v>
      </c>
      <c r="E949" t="s">
        <v>2028</v>
      </c>
      <c r="F949" t="s">
        <v>2032</v>
      </c>
      <c r="G949" t="s">
        <v>2034</v>
      </c>
      <c r="H949" t="s">
        <v>2038</v>
      </c>
      <c r="I949">
        <v>3</v>
      </c>
      <c r="J949">
        <v>9</v>
      </c>
      <c r="K949">
        <v>6</v>
      </c>
      <c r="L949" t="s">
        <v>2041</v>
      </c>
      <c r="M949">
        <v>416</v>
      </c>
      <c r="N949">
        <v>9798</v>
      </c>
      <c r="O949">
        <v>16524</v>
      </c>
      <c r="P949" s="13">
        <f t="shared" si="98"/>
        <v>0</v>
      </c>
      <c r="Q949" t="str">
        <f t="shared" si="99"/>
        <v>No</v>
      </c>
      <c r="R949" t="str" cm="1">
        <f t="array" ref="R949">_xlfn.IFS(K949=0,"On Time",K949&lt;=2,"Minor",K949&lt;=5,"Major",K949&gt;5,"Severe")</f>
        <v>Severe</v>
      </c>
      <c r="S949">
        <f t="shared" si="100"/>
        <v>2754</v>
      </c>
      <c r="T949">
        <f t="shared" si="101"/>
        <v>1633</v>
      </c>
      <c r="U949">
        <f t="shared" si="102"/>
        <v>2024</v>
      </c>
      <c r="V949">
        <f t="shared" si="103"/>
        <v>4</v>
      </c>
      <c r="W949" s="11">
        <f t="shared" si="104"/>
        <v>1</v>
      </c>
    </row>
    <row r="950" spans="1:23">
      <c r="A950" t="s">
        <v>963</v>
      </c>
      <c r="B950" s="4">
        <v>45363</v>
      </c>
      <c r="C950" t="s">
        <v>2015</v>
      </c>
      <c r="D950" t="s">
        <v>2020</v>
      </c>
      <c r="E950" t="s">
        <v>2027</v>
      </c>
      <c r="F950" t="s">
        <v>2030</v>
      </c>
      <c r="G950" t="s">
        <v>2036</v>
      </c>
      <c r="H950" t="s">
        <v>2039</v>
      </c>
      <c r="I950">
        <v>5</v>
      </c>
      <c r="J950">
        <v>7</v>
      </c>
      <c r="K950">
        <v>2</v>
      </c>
      <c r="L950" t="s">
        <v>2041</v>
      </c>
      <c r="M950">
        <v>87</v>
      </c>
      <c r="N950">
        <v>4262</v>
      </c>
      <c r="O950">
        <v>9716</v>
      </c>
      <c r="P950" s="13">
        <f t="shared" si="98"/>
        <v>0</v>
      </c>
      <c r="Q950" t="str">
        <f t="shared" si="99"/>
        <v>No</v>
      </c>
      <c r="R950" t="str" cm="1">
        <f t="array" ref="R950">_xlfn.IFS(K950=0,"On Time",K950&lt;=2,"Minor",K950&lt;=5,"Major",K950&gt;5,"Severe")</f>
        <v>Minor</v>
      </c>
      <c r="S950">
        <f t="shared" si="100"/>
        <v>4858</v>
      </c>
      <c r="T950">
        <f t="shared" si="101"/>
        <v>2131</v>
      </c>
      <c r="U950">
        <f t="shared" si="102"/>
        <v>2024</v>
      </c>
      <c r="V950">
        <f t="shared" si="103"/>
        <v>3</v>
      </c>
      <c r="W950" s="11">
        <f t="shared" si="104"/>
        <v>1</v>
      </c>
    </row>
    <row r="951" spans="1:23">
      <c r="A951" t="s">
        <v>964</v>
      </c>
      <c r="B951" s="4">
        <v>45488</v>
      </c>
      <c r="C951" t="s">
        <v>2017</v>
      </c>
      <c r="D951" t="s">
        <v>2023</v>
      </c>
      <c r="E951" t="s">
        <v>2027</v>
      </c>
      <c r="F951" t="s">
        <v>2032</v>
      </c>
      <c r="G951" t="s">
        <v>2035</v>
      </c>
      <c r="H951" t="s">
        <v>2038</v>
      </c>
      <c r="I951">
        <v>1</v>
      </c>
      <c r="J951">
        <v>7</v>
      </c>
      <c r="K951">
        <v>6</v>
      </c>
      <c r="L951" t="s">
        <v>2041</v>
      </c>
      <c r="M951">
        <v>329</v>
      </c>
      <c r="N951">
        <v>14970</v>
      </c>
      <c r="O951">
        <v>29940</v>
      </c>
      <c r="P951" s="13">
        <f t="shared" si="98"/>
        <v>0</v>
      </c>
      <c r="Q951" t="str">
        <f t="shared" si="99"/>
        <v>No</v>
      </c>
      <c r="R951" t="str" cm="1">
        <f t="array" ref="R951">_xlfn.IFS(K951=0,"On Time",K951&lt;=2,"Minor",K951&lt;=5,"Major",K951&gt;5,"Severe")</f>
        <v>Severe</v>
      </c>
      <c r="S951">
        <f t="shared" si="100"/>
        <v>4990</v>
      </c>
      <c r="T951">
        <f t="shared" si="101"/>
        <v>2495</v>
      </c>
      <c r="U951">
        <f t="shared" si="102"/>
        <v>2024</v>
      </c>
      <c r="V951">
        <f t="shared" si="103"/>
        <v>7</v>
      </c>
      <c r="W951" s="11">
        <f t="shared" si="104"/>
        <v>1</v>
      </c>
    </row>
    <row r="952" spans="1:23">
      <c r="A952" t="s">
        <v>965</v>
      </c>
      <c r="B952" s="4">
        <v>45610</v>
      </c>
      <c r="C952" t="s">
        <v>2016</v>
      </c>
      <c r="D952" t="s">
        <v>2021</v>
      </c>
      <c r="E952" t="s">
        <v>2029</v>
      </c>
      <c r="F952" t="s">
        <v>2030</v>
      </c>
      <c r="G952" t="s">
        <v>2037</v>
      </c>
      <c r="H952" t="s">
        <v>2039</v>
      </c>
      <c r="I952">
        <v>3</v>
      </c>
      <c r="J952">
        <v>7</v>
      </c>
      <c r="K952">
        <v>4</v>
      </c>
      <c r="L952" t="s">
        <v>2041</v>
      </c>
      <c r="M952">
        <v>213</v>
      </c>
      <c r="N952">
        <v>7964</v>
      </c>
      <c r="O952">
        <v>12372</v>
      </c>
      <c r="P952" s="13">
        <f t="shared" si="98"/>
        <v>0</v>
      </c>
      <c r="Q952" t="str">
        <f t="shared" si="99"/>
        <v>No</v>
      </c>
      <c r="R952" t="str" cm="1">
        <f t="array" ref="R952">_xlfn.IFS(K952=0,"On Time",K952&lt;=2,"Minor",K952&lt;=5,"Major",K952&gt;5,"Severe")</f>
        <v>Major</v>
      </c>
      <c r="S952">
        <f t="shared" si="100"/>
        <v>3093</v>
      </c>
      <c r="T952">
        <f t="shared" si="101"/>
        <v>1991</v>
      </c>
      <c r="U952">
        <f t="shared" si="102"/>
        <v>2024</v>
      </c>
      <c r="V952">
        <f t="shared" si="103"/>
        <v>11</v>
      </c>
      <c r="W952" s="11">
        <f t="shared" si="104"/>
        <v>1</v>
      </c>
    </row>
    <row r="953" spans="1:23">
      <c r="A953" t="s">
        <v>966</v>
      </c>
      <c r="B953" s="4">
        <v>45496</v>
      </c>
      <c r="C953" t="s">
        <v>2015</v>
      </c>
      <c r="D953" t="s">
        <v>2020</v>
      </c>
      <c r="E953" t="s">
        <v>2029</v>
      </c>
      <c r="F953" t="s">
        <v>2030</v>
      </c>
      <c r="G953" t="s">
        <v>2036</v>
      </c>
      <c r="H953" t="s">
        <v>2039</v>
      </c>
      <c r="I953">
        <v>3</v>
      </c>
      <c r="J953">
        <v>4</v>
      </c>
      <c r="K953">
        <v>1</v>
      </c>
      <c r="L953" t="s">
        <v>2041</v>
      </c>
      <c r="M953">
        <v>386</v>
      </c>
      <c r="N953">
        <v>2041</v>
      </c>
      <c r="O953">
        <v>2012</v>
      </c>
      <c r="P953" s="13">
        <f t="shared" si="98"/>
        <v>0</v>
      </c>
      <c r="Q953" t="str">
        <f t="shared" si="99"/>
        <v>No</v>
      </c>
      <c r="R953" t="str" cm="1">
        <f t="array" ref="R953">_xlfn.IFS(K953=0,"On Time",K953&lt;=2,"Minor",K953&lt;=5,"Major",K953&gt;5,"Severe")</f>
        <v>Minor</v>
      </c>
      <c r="S953">
        <f t="shared" si="100"/>
        <v>2012</v>
      </c>
      <c r="T953">
        <f t="shared" si="101"/>
        <v>2041</v>
      </c>
      <c r="U953">
        <f t="shared" si="102"/>
        <v>2024</v>
      </c>
      <c r="V953">
        <f t="shared" si="103"/>
        <v>7</v>
      </c>
      <c r="W953" s="11">
        <f t="shared" si="104"/>
        <v>1</v>
      </c>
    </row>
    <row r="954" spans="1:23">
      <c r="A954" t="s">
        <v>967</v>
      </c>
      <c r="B954" s="4">
        <v>45533</v>
      </c>
      <c r="C954" t="s">
        <v>2018</v>
      </c>
      <c r="D954" t="s">
        <v>2024</v>
      </c>
      <c r="E954" t="s">
        <v>2029</v>
      </c>
      <c r="F954" t="s">
        <v>2030</v>
      </c>
      <c r="G954" t="s">
        <v>2036</v>
      </c>
      <c r="H954" t="s">
        <v>2038</v>
      </c>
      <c r="I954">
        <v>2</v>
      </c>
      <c r="J954">
        <v>6</v>
      </c>
      <c r="K954">
        <v>4</v>
      </c>
      <c r="L954" t="s">
        <v>2041</v>
      </c>
      <c r="M954">
        <v>220</v>
      </c>
      <c r="N954">
        <v>9160</v>
      </c>
      <c r="O954">
        <v>16500</v>
      </c>
      <c r="P954" s="13">
        <f t="shared" si="98"/>
        <v>0</v>
      </c>
      <c r="Q954" t="str">
        <f t="shared" si="99"/>
        <v>No</v>
      </c>
      <c r="R954" t="str" cm="1">
        <f t="array" ref="R954">_xlfn.IFS(K954=0,"On Time",K954&lt;=2,"Minor",K954&lt;=5,"Major",K954&gt;5,"Severe")</f>
        <v>Major</v>
      </c>
      <c r="S954">
        <f t="shared" si="100"/>
        <v>4125</v>
      </c>
      <c r="T954">
        <f t="shared" si="101"/>
        <v>2290</v>
      </c>
      <c r="U954">
        <f t="shared" si="102"/>
        <v>2024</v>
      </c>
      <c r="V954">
        <f t="shared" si="103"/>
        <v>8</v>
      </c>
      <c r="W954" s="11">
        <f t="shared" si="104"/>
        <v>1</v>
      </c>
    </row>
    <row r="955" spans="1:23">
      <c r="A955" t="s">
        <v>968</v>
      </c>
      <c r="B955" s="4">
        <v>45386</v>
      </c>
      <c r="C955" t="s">
        <v>2018</v>
      </c>
      <c r="D955" t="s">
        <v>2026</v>
      </c>
      <c r="E955" t="s">
        <v>2029</v>
      </c>
      <c r="F955" t="s">
        <v>2032</v>
      </c>
      <c r="G955" t="s">
        <v>2035</v>
      </c>
      <c r="H955" t="s">
        <v>2040</v>
      </c>
      <c r="I955">
        <v>2</v>
      </c>
      <c r="J955">
        <v>6</v>
      </c>
      <c r="K955">
        <v>4</v>
      </c>
      <c r="L955" t="s">
        <v>2041</v>
      </c>
      <c r="M955">
        <v>251</v>
      </c>
      <c r="N955">
        <v>8920</v>
      </c>
      <c r="O955">
        <v>14436</v>
      </c>
      <c r="P955" s="13">
        <f t="shared" si="98"/>
        <v>0</v>
      </c>
      <c r="Q955" t="str">
        <f t="shared" si="99"/>
        <v>No</v>
      </c>
      <c r="R955" t="str" cm="1">
        <f t="array" ref="R955">_xlfn.IFS(K955=0,"On Time",K955&lt;=2,"Minor",K955&lt;=5,"Major",K955&gt;5,"Severe")</f>
        <v>Major</v>
      </c>
      <c r="S955">
        <f t="shared" si="100"/>
        <v>3609</v>
      </c>
      <c r="T955">
        <f t="shared" si="101"/>
        <v>2230</v>
      </c>
      <c r="U955">
        <f t="shared" si="102"/>
        <v>2024</v>
      </c>
      <c r="V955">
        <f t="shared" si="103"/>
        <v>4</v>
      </c>
      <c r="W955" s="11">
        <f t="shared" si="104"/>
        <v>1</v>
      </c>
    </row>
    <row r="956" spans="1:23">
      <c r="A956" t="s">
        <v>969</v>
      </c>
      <c r="B956" s="4">
        <v>45477</v>
      </c>
      <c r="C956" t="s">
        <v>2017</v>
      </c>
      <c r="D956" t="s">
        <v>2023</v>
      </c>
      <c r="E956" t="s">
        <v>2027</v>
      </c>
      <c r="F956" t="s">
        <v>2031</v>
      </c>
      <c r="G956" t="s">
        <v>2035</v>
      </c>
      <c r="H956" t="s">
        <v>2038</v>
      </c>
      <c r="I956">
        <v>2</v>
      </c>
      <c r="J956">
        <v>5</v>
      </c>
      <c r="K956">
        <v>3</v>
      </c>
      <c r="L956" t="s">
        <v>2041</v>
      </c>
      <c r="M956">
        <v>233</v>
      </c>
      <c r="N956">
        <v>3333</v>
      </c>
      <c r="O956">
        <v>8361</v>
      </c>
      <c r="P956" s="13">
        <f t="shared" si="98"/>
        <v>0</v>
      </c>
      <c r="Q956" t="str">
        <f t="shared" si="99"/>
        <v>No</v>
      </c>
      <c r="R956" t="str" cm="1">
        <f t="array" ref="R956">_xlfn.IFS(K956=0,"On Time",K956&lt;=2,"Minor",K956&lt;=5,"Major",K956&gt;5,"Severe")</f>
        <v>Major</v>
      </c>
      <c r="S956">
        <f t="shared" si="100"/>
        <v>2787</v>
      </c>
      <c r="T956">
        <f t="shared" si="101"/>
        <v>1111</v>
      </c>
      <c r="U956">
        <f t="shared" si="102"/>
        <v>2024</v>
      </c>
      <c r="V956">
        <f t="shared" si="103"/>
        <v>7</v>
      </c>
      <c r="W956" s="11">
        <f t="shared" si="104"/>
        <v>1</v>
      </c>
    </row>
    <row r="957" spans="1:23">
      <c r="A957" t="s">
        <v>970</v>
      </c>
      <c r="B957" s="4">
        <v>45304</v>
      </c>
      <c r="C957" t="s">
        <v>2017</v>
      </c>
      <c r="D957" t="s">
        <v>2023</v>
      </c>
      <c r="E957" t="s">
        <v>2028</v>
      </c>
      <c r="F957" t="s">
        <v>2030</v>
      </c>
      <c r="G957" t="s">
        <v>2034</v>
      </c>
      <c r="H957" t="s">
        <v>2040</v>
      </c>
      <c r="I957">
        <v>3</v>
      </c>
      <c r="J957">
        <v>11</v>
      </c>
      <c r="K957">
        <v>8</v>
      </c>
      <c r="L957" t="s">
        <v>2041</v>
      </c>
      <c r="M957">
        <v>321</v>
      </c>
      <c r="N957">
        <v>14776</v>
      </c>
      <c r="O957">
        <v>32288</v>
      </c>
      <c r="P957" s="13">
        <f t="shared" si="98"/>
        <v>0</v>
      </c>
      <c r="Q957" t="str">
        <f t="shared" si="99"/>
        <v>No</v>
      </c>
      <c r="R957" t="str" cm="1">
        <f t="array" ref="R957">_xlfn.IFS(K957=0,"On Time",K957&lt;=2,"Minor",K957&lt;=5,"Major",K957&gt;5,"Severe")</f>
        <v>Severe</v>
      </c>
      <c r="S957">
        <f t="shared" si="100"/>
        <v>4036</v>
      </c>
      <c r="T957">
        <f t="shared" si="101"/>
        <v>1847</v>
      </c>
      <c r="U957">
        <f t="shared" si="102"/>
        <v>2024</v>
      </c>
      <c r="V957">
        <f t="shared" si="103"/>
        <v>1</v>
      </c>
      <c r="W957" s="11">
        <f t="shared" si="104"/>
        <v>1</v>
      </c>
    </row>
    <row r="958" spans="1:23">
      <c r="A958" t="s">
        <v>971</v>
      </c>
      <c r="B958" s="4">
        <v>45548</v>
      </c>
      <c r="C958" t="s">
        <v>2018</v>
      </c>
      <c r="D958" t="s">
        <v>2024</v>
      </c>
      <c r="E958" t="s">
        <v>2029</v>
      </c>
      <c r="F958" t="s">
        <v>2030</v>
      </c>
      <c r="G958" t="s">
        <v>2036</v>
      </c>
      <c r="H958" t="s">
        <v>2038</v>
      </c>
      <c r="I958">
        <v>2</v>
      </c>
      <c r="J958">
        <v>4</v>
      </c>
      <c r="K958">
        <v>2</v>
      </c>
      <c r="L958" t="s">
        <v>2041</v>
      </c>
      <c r="M958">
        <v>99</v>
      </c>
      <c r="N958">
        <v>3180</v>
      </c>
      <c r="O958">
        <v>5592</v>
      </c>
      <c r="P958" s="13">
        <f t="shared" si="98"/>
        <v>0</v>
      </c>
      <c r="Q958" t="str">
        <f t="shared" si="99"/>
        <v>No</v>
      </c>
      <c r="R958" t="str" cm="1">
        <f t="array" ref="R958">_xlfn.IFS(K958=0,"On Time",K958&lt;=2,"Minor",K958&lt;=5,"Major",K958&gt;5,"Severe")</f>
        <v>Minor</v>
      </c>
      <c r="S958">
        <f t="shared" si="100"/>
        <v>2796</v>
      </c>
      <c r="T958">
        <f t="shared" si="101"/>
        <v>1590</v>
      </c>
      <c r="U958">
        <f t="shared" si="102"/>
        <v>2024</v>
      </c>
      <c r="V958">
        <f t="shared" si="103"/>
        <v>9</v>
      </c>
      <c r="W958" s="11">
        <f t="shared" si="104"/>
        <v>1</v>
      </c>
    </row>
    <row r="959" spans="1:23">
      <c r="A959" t="s">
        <v>972</v>
      </c>
      <c r="B959" s="4">
        <v>45565</v>
      </c>
      <c r="C959" t="s">
        <v>2017</v>
      </c>
      <c r="D959" t="s">
        <v>2022</v>
      </c>
      <c r="E959" t="s">
        <v>2027</v>
      </c>
      <c r="F959" t="s">
        <v>2030</v>
      </c>
      <c r="G959" t="s">
        <v>2035</v>
      </c>
      <c r="H959" t="s">
        <v>2040</v>
      </c>
      <c r="I959">
        <v>1</v>
      </c>
      <c r="J959">
        <v>6</v>
      </c>
      <c r="K959">
        <v>5</v>
      </c>
      <c r="L959" t="s">
        <v>2041</v>
      </c>
      <c r="M959">
        <v>79</v>
      </c>
      <c r="N959">
        <v>8845</v>
      </c>
      <c r="O959">
        <v>22825</v>
      </c>
      <c r="P959" s="13">
        <f t="shared" si="98"/>
        <v>0</v>
      </c>
      <c r="Q959" t="str">
        <f t="shared" si="99"/>
        <v>No</v>
      </c>
      <c r="R959" t="str" cm="1">
        <f t="array" ref="R959">_xlfn.IFS(K959=0,"On Time",K959&lt;=2,"Minor",K959&lt;=5,"Major",K959&gt;5,"Severe")</f>
        <v>Major</v>
      </c>
      <c r="S959">
        <f t="shared" si="100"/>
        <v>4565</v>
      </c>
      <c r="T959">
        <f t="shared" si="101"/>
        <v>1769</v>
      </c>
      <c r="U959">
        <f t="shared" si="102"/>
        <v>2024</v>
      </c>
      <c r="V959">
        <f t="shared" si="103"/>
        <v>9</v>
      </c>
      <c r="W959" s="11">
        <f t="shared" si="104"/>
        <v>1</v>
      </c>
    </row>
    <row r="960" spans="1:23">
      <c r="A960" t="s">
        <v>973</v>
      </c>
      <c r="B960" s="4">
        <v>45626</v>
      </c>
      <c r="C960" t="s">
        <v>2015</v>
      </c>
      <c r="D960" t="s">
        <v>2019</v>
      </c>
      <c r="E960" t="s">
        <v>2027</v>
      </c>
      <c r="F960" t="s">
        <v>2030</v>
      </c>
      <c r="G960" t="s">
        <v>2033</v>
      </c>
      <c r="H960" t="s">
        <v>2038</v>
      </c>
      <c r="I960">
        <v>1</v>
      </c>
      <c r="J960">
        <v>2</v>
      </c>
      <c r="K960">
        <v>1</v>
      </c>
      <c r="L960" t="s">
        <v>2041</v>
      </c>
      <c r="M960">
        <v>154</v>
      </c>
      <c r="N960">
        <v>2007</v>
      </c>
      <c r="O960">
        <v>4990</v>
      </c>
      <c r="P960" s="13">
        <f t="shared" si="98"/>
        <v>0</v>
      </c>
      <c r="Q960" t="str">
        <f t="shared" si="99"/>
        <v>No</v>
      </c>
      <c r="R960" t="str" cm="1">
        <f t="array" ref="R960">_xlfn.IFS(K960=0,"On Time",K960&lt;=2,"Minor",K960&lt;=5,"Major",K960&gt;5,"Severe")</f>
        <v>Minor</v>
      </c>
      <c r="S960">
        <f t="shared" si="100"/>
        <v>4990</v>
      </c>
      <c r="T960">
        <f t="shared" si="101"/>
        <v>2007</v>
      </c>
      <c r="U960">
        <f t="shared" si="102"/>
        <v>2024</v>
      </c>
      <c r="V960">
        <f t="shared" si="103"/>
        <v>11</v>
      </c>
      <c r="W960" s="11">
        <f t="shared" si="104"/>
        <v>1</v>
      </c>
    </row>
    <row r="961" spans="1:23">
      <c r="A961" t="s">
        <v>974</v>
      </c>
      <c r="B961" s="4">
        <v>45596</v>
      </c>
      <c r="C961" t="s">
        <v>2015</v>
      </c>
      <c r="D961" t="s">
        <v>2019</v>
      </c>
      <c r="E961" t="s">
        <v>2027</v>
      </c>
      <c r="F961" t="s">
        <v>2030</v>
      </c>
      <c r="G961" t="s">
        <v>2033</v>
      </c>
      <c r="H961" t="s">
        <v>2039</v>
      </c>
      <c r="I961">
        <v>2</v>
      </c>
      <c r="J961">
        <v>7</v>
      </c>
      <c r="K961">
        <v>5</v>
      </c>
      <c r="L961" t="s">
        <v>2041</v>
      </c>
      <c r="M961">
        <v>161</v>
      </c>
      <c r="N961">
        <v>8615</v>
      </c>
      <c r="O961">
        <v>12240</v>
      </c>
      <c r="P961" s="13">
        <f t="shared" si="98"/>
        <v>0</v>
      </c>
      <c r="Q961" t="str">
        <f t="shared" si="99"/>
        <v>No</v>
      </c>
      <c r="R961" t="str" cm="1">
        <f t="array" ref="R961">_xlfn.IFS(K961=0,"On Time",K961&lt;=2,"Minor",K961&lt;=5,"Major",K961&gt;5,"Severe")</f>
        <v>Major</v>
      </c>
      <c r="S961">
        <f t="shared" si="100"/>
        <v>2448</v>
      </c>
      <c r="T961">
        <f t="shared" si="101"/>
        <v>1723</v>
      </c>
      <c r="U961">
        <f t="shared" si="102"/>
        <v>2024</v>
      </c>
      <c r="V961">
        <f t="shared" si="103"/>
        <v>10</v>
      </c>
      <c r="W961" s="11">
        <f t="shared" si="104"/>
        <v>1</v>
      </c>
    </row>
    <row r="962" spans="1:23">
      <c r="A962" t="s">
        <v>975</v>
      </c>
      <c r="B962" s="4">
        <v>45292</v>
      </c>
      <c r="C962" t="s">
        <v>2015</v>
      </c>
      <c r="D962" t="s">
        <v>2019</v>
      </c>
      <c r="E962" t="s">
        <v>2028</v>
      </c>
      <c r="F962" t="s">
        <v>2031</v>
      </c>
      <c r="G962" t="s">
        <v>2037</v>
      </c>
      <c r="H962" t="s">
        <v>2039</v>
      </c>
      <c r="I962">
        <v>5</v>
      </c>
      <c r="J962">
        <v>10</v>
      </c>
      <c r="K962">
        <v>5</v>
      </c>
      <c r="L962" t="s">
        <v>2041</v>
      </c>
      <c r="M962">
        <v>322</v>
      </c>
      <c r="N962">
        <v>10655</v>
      </c>
      <c r="O962">
        <v>8495</v>
      </c>
      <c r="P962" s="13">
        <f t="shared" si="98"/>
        <v>0</v>
      </c>
      <c r="Q962" t="str">
        <f t="shared" si="99"/>
        <v>No</v>
      </c>
      <c r="R962" t="str" cm="1">
        <f t="array" ref="R962">_xlfn.IFS(K962=0,"On Time",K962&lt;=2,"Minor",K962&lt;=5,"Major",K962&gt;5,"Severe")</f>
        <v>Major</v>
      </c>
      <c r="S962">
        <f t="shared" si="100"/>
        <v>1699</v>
      </c>
      <c r="T962">
        <f t="shared" si="101"/>
        <v>2131</v>
      </c>
      <c r="U962">
        <f t="shared" si="102"/>
        <v>2024</v>
      </c>
      <c r="V962">
        <f t="shared" si="103"/>
        <v>1</v>
      </c>
      <c r="W962" s="11">
        <f t="shared" si="104"/>
        <v>1</v>
      </c>
    </row>
    <row r="963" spans="1:23">
      <c r="A963" t="s">
        <v>976</v>
      </c>
      <c r="B963" s="4">
        <v>45485</v>
      </c>
      <c r="C963" t="s">
        <v>2015</v>
      </c>
      <c r="D963" t="s">
        <v>2019</v>
      </c>
      <c r="E963" t="s">
        <v>2027</v>
      </c>
      <c r="F963" t="s">
        <v>2032</v>
      </c>
      <c r="G963" t="s">
        <v>2033</v>
      </c>
      <c r="H963" t="s">
        <v>2039</v>
      </c>
      <c r="I963">
        <v>2</v>
      </c>
      <c r="J963">
        <v>8</v>
      </c>
      <c r="K963">
        <v>6</v>
      </c>
      <c r="L963" t="s">
        <v>2041</v>
      </c>
      <c r="M963">
        <v>62</v>
      </c>
      <c r="N963">
        <v>8766</v>
      </c>
      <c r="O963">
        <v>26676</v>
      </c>
      <c r="P963" s="13">
        <f t="shared" ref="P963:P1026" si="105">IF(L963="Yes",0,1)</f>
        <v>0</v>
      </c>
      <c r="Q963" t="str">
        <f t="shared" ref="Q963:Q1026" si="106">IF(K963&gt;J963,"Yes","No")</f>
        <v>No</v>
      </c>
      <c r="R963" t="str" cm="1">
        <f t="array" ref="R963">_xlfn.IFS(K963=0,"On Time",K963&lt;=2,"Minor",K963&lt;=5,"Major",K963&gt;5,"Severe")</f>
        <v>Severe</v>
      </c>
      <c r="S963">
        <f t="shared" ref="S963:S1026" si="107">IFERROR(O963/K963,0)</f>
        <v>4446</v>
      </c>
      <c r="T963">
        <f t="shared" ref="T963:T1026" si="108">IFERROR(N963/K963,0)</f>
        <v>1461</v>
      </c>
      <c r="U963">
        <f t="shared" ref="U963:U1026" si="109">YEAR(B963)</f>
        <v>2024</v>
      </c>
      <c r="V963">
        <f t="shared" ref="V963:V1026" si="110">MONTH(B963)</f>
        <v>7</v>
      </c>
      <c r="W963" s="11">
        <f t="shared" ref="W963:W1026" si="111">IF(L963="Yes",1,0)</f>
        <v>1</v>
      </c>
    </row>
    <row r="964" spans="1:23">
      <c r="A964" t="s">
        <v>977</v>
      </c>
      <c r="B964" s="4">
        <v>45362</v>
      </c>
      <c r="C964" t="s">
        <v>2016</v>
      </c>
      <c r="D964" t="s">
        <v>2025</v>
      </c>
      <c r="E964" t="s">
        <v>2027</v>
      </c>
      <c r="F964" t="s">
        <v>2031</v>
      </c>
      <c r="G964" t="s">
        <v>2037</v>
      </c>
      <c r="H964" t="s">
        <v>2038</v>
      </c>
      <c r="I964">
        <v>2</v>
      </c>
      <c r="J964">
        <v>5</v>
      </c>
      <c r="K964">
        <v>3</v>
      </c>
      <c r="L964" t="s">
        <v>2041</v>
      </c>
      <c r="M964">
        <v>471</v>
      </c>
      <c r="N964">
        <v>3156</v>
      </c>
      <c r="O964">
        <v>12786</v>
      </c>
      <c r="P964" s="13">
        <f t="shared" si="105"/>
        <v>0</v>
      </c>
      <c r="Q964" t="str">
        <f t="shared" si="106"/>
        <v>No</v>
      </c>
      <c r="R964" t="str" cm="1">
        <f t="array" ref="R964">_xlfn.IFS(K964=0,"On Time",K964&lt;=2,"Minor",K964&lt;=5,"Major",K964&gt;5,"Severe")</f>
        <v>Major</v>
      </c>
      <c r="S964">
        <f t="shared" si="107"/>
        <v>4262</v>
      </c>
      <c r="T964">
        <f t="shared" si="108"/>
        <v>1052</v>
      </c>
      <c r="U964">
        <f t="shared" si="109"/>
        <v>2024</v>
      </c>
      <c r="V964">
        <f t="shared" si="110"/>
        <v>3</v>
      </c>
      <c r="W964" s="11">
        <f t="shared" si="111"/>
        <v>1</v>
      </c>
    </row>
    <row r="965" spans="1:23">
      <c r="A965" t="s">
        <v>978</v>
      </c>
      <c r="B965" s="4">
        <v>45408</v>
      </c>
      <c r="C965" t="s">
        <v>2016</v>
      </c>
      <c r="D965" t="s">
        <v>2025</v>
      </c>
      <c r="E965" t="s">
        <v>2029</v>
      </c>
      <c r="F965" t="s">
        <v>2031</v>
      </c>
      <c r="G965" t="s">
        <v>2035</v>
      </c>
      <c r="H965" t="s">
        <v>2040</v>
      </c>
      <c r="I965">
        <v>1</v>
      </c>
      <c r="J965">
        <v>9</v>
      </c>
      <c r="K965">
        <v>8</v>
      </c>
      <c r="L965" t="s">
        <v>2041</v>
      </c>
      <c r="M965">
        <v>355</v>
      </c>
      <c r="N965">
        <v>16584</v>
      </c>
      <c r="O965">
        <v>29688</v>
      </c>
      <c r="P965" s="13">
        <f t="shared" si="105"/>
        <v>0</v>
      </c>
      <c r="Q965" t="str">
        <f t="shared" si="106"/>
        <v>No</v>
      </c>
      <c r="R965" t="str" cm="1">
        <f t="array" ref="R965">_xlfn.IFS(K965=0,"On Time",K965&lt;=2,"Minor",K965&lt;=5,"Major",K965&gt;5,"Severe")</f>
        <v>Severe</v>
      </c>
      <c r="S965">
        <f t="shared" si="107"/>
        <v>3711</v>
      </c>
      <c r="T965">
        <f t="shared" si="108"/>
        <v>2073</v>
      </c>
      <c r="U965">
        <f t="shared" si="109"/>
        <v>2024</v>
      </c>
      <c r="V965">
        <f t="shared" si="110"/>
        <v>4</v>
      </c>
      <c r="W965" s="11">
        <f t="shared" si="111"/>
        <v>1</v>
      </c>
    </row>
    <row r="966" spans="1:23">
      <c r="A966" t="s">
        <v>979</v>
      </c>
      <c r="B966" s="4">
        <v>45294</v>
      </c>
      <c r="C966" t="s">
        <v>2017</v>
      </c>
      <c r="D966" t="s">
        <v>2023</v>
      </c>
      <c r="E966" t="s">
        <v>2028</v>
      </c>
      <c r="F966" t="s">
        <v>2030</v>
      </c>
      <c r="G966" t="s">
        <v>2037</v>
      </c>
      <c r="H966" t="s">
        <v>2038</v>
      </c>
      <c r="I966">
        <v>5</v>
      </c>
      <c r="J966">
        <v>9</v>
      </c>
      <c r="K966">
        <v>4</v>
      </c>
      <c r="L966" t="s">
        <v>2041</v>
      </c>
      <c r="M966">
        <v>267</v>
      </c>
      <c r="N966">
        <v>5064</v>
      </c>
      <c r="O966">
        <v>18576</v>
      </c>
      <c r="P966" s="13">
        <f t="shared" si="105"/>
        <v>0</v>
      </c>
      <c r="Q966" t="str">
        <f t="shared" si="106"/>
        <v>No</v>
      </c>
      <c r="R966" t="str" cm="1">
        <f t="array" ref="R966">_xlfn.IFS(K966=0,"On Time",K966&lt;=2,"Minor",K966&lt;=5,"Major",K966&gt;5,"Severe")</f>
        <v>Major</v>
      </c>
      <c r="S966">
        <f t="shared" si="107"/>
        <v>4644</v>
      </c>
      <c r="T966">
        <f t="shared" si="108"/>
        <v>1266</v>
      </c>
      <c r="U966">
        <f t="shared" si="109"/>
        <v>2024</v>
      </c>
      <c r="V966">
        <f t="shared" si="110"/>
        <v>1</v>
      </c>
      <c r="W966" s="11">
        <f t="shared" si="111"/>
        <v>1</v>
      </c>
    </row>
    <row r="967" spans="1:23">
      <c r="A967" t="s">
        <v>980</v>
      </c>
      <c r="B967" s="4">
        <v>45582</v>
      </c>
      <c r="C967" t="s">
        <v>2016</v>
      </c>
      <c r="D967" t="s">
        <v>2021</v>
      </c>
      <c r="E967" t="s">
        <v>2027</v>
      </c>
      <c r="F967" t="s">
        <v>2030</v>
      </c>
      <c r="G967" t="s">
        <v>2035</v>
      </c>
      <c r="H967" t="s">
        <v>2040</v>
      </c>
      <c r="I967">
        <v>1</v>
      </c>
      <c r="J967">
        <v>9</v>
      </c>
      <c r="K967">
        <v>8</v>
      </c>
      <c r="L967" t="s">
        <v>2041</v>
      </c>
      <c r="M967">
        <v>418</v>
      </c>
      <c r="N967">
        <v>9296</v>
      </c>
      <c r="O967">
        <v>33376</v>
      </c>
      <c r="P967" s="13">
        <f t="shared" si="105"/>
        <v>0</v>
      </c>
      <c r="Q967" t="str">
        <f t="shared" si="106"/>
        <v>No</v>
      </c>
      <c r="R967" t="str" cm="1">
        <f t="array" ref="R967">_xlfn.IFS(K967=0,"On Time",K967&lt;=2,"Minor",K967&lt;=5,"Major",K967&gt;5,"Severe")</f>
        <v>Severe</v>
      </c>
      <c r="S967">
        <f t="shared" si="107"/>
        <v>4172</v>
      </c>
      <c r="T967">
        <f t="shared" si="108"/>
        <v>1162</v>
      </c>
      <c r="U967">
        <f t="shared" si="109"/>
        <v>2024</v>
      </c>
      <c r="V967">
        <f t="shared" si="110"/>
        <v>10</v>
      </c>
      <c r="W967" s="11">
        <f t="shared" si="111"/>
        <v>1</v>
      </c>
    </row>
    <row r="968" spans="1:23">
      <c r="A968" t="s">
        <v>981</v>
      </c>
      <c r="B968" s="4">
        <v>45634</v>
      </c>
      <c r="C968" t="s">
        <v>2018</v>
      </c>
      <c r="D968" t="s">
        <v>2026</v>
      </c>
      <c r="E968" t="s">
        <v>2029</v>
      </c>
      <c r="F968" t="s">
        <v>2030</v>
      </c>
      <c r="G968" t="s">
        <v>2036</v>
      </c>
      <c r="H968" t="s">
        <v>2038</v>
      </c>
      <c r="I968">
        <v>2</v>
      </c>
      <c r="J968">
        <v>5</v>
      </c>
      <c r="K968">
        <v>3</v>
      </c>
      <c r="L968" t="s">
        <v>2041</v>
      </c>
      <c r="M968">
        <v>438</v>
      </c>
      <c r="N968">
        <v>6315</v>
      </c>
      <c r="O968">
        <v>11700</v>
      </c>
      <c r="P968" s="13">
        <f t="shared" si="105"/>
        <v>0</v>
      </c>
      <c r="Q968" t="str">
        <f t="shared" si="106"/>
        <v>No</v>
      </c>
      <c r="R968" t="str" cm="1">
        <f t="array" ref="R968">_xlfn.IFS(K968=0,"On Time",K968&lt;=2,"Minor",K968&lt;=5,"Major",K968&gt;5,"Severe")</f>
        <v>Major</v>
      </c>
      <c r="S968">
        <f t="shared" si="107"/>
        <v>3900</v>
      </c>
      <c r="T968">
        <f t="shared" si="108"/>
        <v>2105</v>
      </c>
      <c r="U968">
        <f t="shared" si="109"/>
        <v>2024</v>
      </c>
      <c r="V968">
        <f t="shared" si="110"/>
        <v>12</v>
      </c>
      <c r="W968" s="11">
        <f t="shared" si="111"/>
        <v>1</v>
      </c>
    </row>
    <row r="969" spans="1:23">
      <c r="A969" t="s">
        <v>982</v>
      </c>
      <c r="B969" s="4">
        <v>45433</v>
      </c>
      <c r="C969" t="s">
        <v>2015</v>
      </c>
      <c r="D969" t="s">
        <v>2019</v>
      </c>
      <c r="E969" t="s">
        <v>2029</v>
      </c>
      <c r="F969" t="s">
        <v>2030</v>
      </c>
      <c r="G969" t="s">
        <v>2035</v>
      </c>
      <c r="H969" t="s">
        <v>2040</v>
      </c>
      <c r="I969">
        <v>2</v>
      </c>
      <c r="J969">
        <v>6</v>
      </c>
      <c r="K969">
        <v>4</v>
      </c>
      <c r="L969" t="s">
        <v>2041</v>
      </c>
      <c r="M969">
        <v>202</v>
      </c>
      <c r="N969">
        <v>6208</v>
      </c>
      <c r="O969">
        <v>7216</v>
      </c>
      <c r="P969" s="13">
        <f t="shared" si="105"/>
        <v>0</v>
      </c>
      <c r="Q969" t="str">
        <f t="shared" si="106"/>
        <v>No</v>
      </c>
      <c r="R969" t="str" cm="1">
        <f t="array" ref="R969">_xlfn.IFS(K969=0,"On Time",K969&lt;=2,"Minor",K969&lt;=5,"Major",K969&gt;5,"Severe")</f>
        <v>Major</v>
      </c>
      <c r="S969">
        <f t="shared" si="107"/>
        <v>1804</v>
      </c>
      <c r="T969">
        <f t="shared" si="108"/>
        <v>1552</v>
      </c>
      <c r="U969">
        <f t="shared" si="109"/>
        <v>2024</v>
      </c>
      <c r="V969">
        <f t="shared" si="110"/>
        <v>5</v>
      </c>
      <c r="W969" s="11">
        <f t="shared" si="111"/>
        <v>1</v>
      </c>
    </row>
    <row r="970" spans="1:23">
      <c r="A970" t="s">
        <v>983</v>
      </c>
      <c r="B970" s="4">
        <v>45515</v>
      </c>
      <c r="C970" t="s">
        <v>2017</v>
      </c>
      <c r="D970" t="s">
        <v>2023</v>
      </c>
      <c r="E970" t="s">
        <v>2027</v>
      </c>
      <c r="F970" t="s">
        <v>2031</v>
      </c>
      <c r="G970" t="s">
        <v>2035</v>
      </c>
      <c r="H970" t="s">
        <v>2038</v>
      </c>
      <c r="I970">
        <v>2</v>
      </c>
      <c r="J970">
        <v>7</v>
      </c>
      <c r="K970">
        <v>5</v>
      </c>
      <c r="L970" t="s">
        <v>2041</v>
      </c>
      <c r="M970">
        <v>433</v>
      </c>
      <c r="N970">
        <v>7375</v>
      </c>
      <c r="O970">
        <v>20930</v>
      </c>
      <c r="P970" s="13">
        <f t="shared" si="105"/>
        <v>0</v>
      </c>
      <c r="Q970" t="str">
        <f t="shared" si="106"/>
        <v>No</v>
      </c>
      <c r="R970" t="str" cm="1">
        <f t="array" ref="R970">_xlfn.IFS(K970=0,"On Time",K970&lt;=2,"Minor",K970&lt;=5,"Major",K970&gt;5,"Severe")</f>
        <v>Major</v>
      </c>
      <c r="S970">
        <f t="shared" si="107"/>
        <v>4186</v>
      </c>
      <c r="T970">
        <f t="shared" si="108"/>
        <v>1475</v>
      </c>
      <c r="U970">
        <f t="shared" si="109"/>
        <v>2024</v>
      </c>
      <c r="V970">
        <f t="shared" si="110"/>
        <v>8</v>
      </c>
      <c r="W970" s="11">
        <f t="shared" si="111"/>
        <v>1</v>
      </c>
    </row>
    <row r="971" spans="1:23">
      <c r="A971" t="s">
        <v>984</v>
      </c>
      <c r="B971" s="4">
        <v>45600</v>
      </c>
      <c r="C971" t="s">
        <v>2015</v>
      </c>
      <c r="D971" t="s">
        <v>2020</v>
      </c>
      <c r="E971" t="s">
        <v>2029</v>
      </c>
      <c r="F971" t="s">
        <v>2031</v>
      </c>
      <c r="G971" t="s">
        <v>2037</v>
      </c>
      <c r="H971" t="s">
        <v>2039</v>
      </c>
      <c r="I971">
        <v>1</v>
      </c>
      <c r="J971">
        <v>5</v>
      </c>
      <c r="K971">
        <v>4</v>
      </c>
      <c r="L971" t="s">
        <v>2041</v>
      </c>
      <c r="M971">
        <v>209</v>
      </c>
      <c r="N971">
        <v>3540</v>
      </c>
      <c r="O971">
        <v>18428</v>
      </c>
      <c r="P971" s="13">
        <f t="shared" si="105"/>
        <v>0</v>
      </c>
      <c r="Q971" t="str">
        <f t="shared" si="106"/>
        <v>No</v>
      </c>
      <c r="R971" t="str" cm="1">
        <f t="array" ref="R971">_xlfn.IFS(K971=0,"On Time",K971&lt;=2,"Minor",K971&lt;=5,"Major",K971&gt;5,"Severe")</f>
        <v>Major</v>
      </c>
      <c r="S971">
        <f t="shared" si="107"/>
        <v>4607</v>
      </c>
      <c r="T971">
        <f t="shared" si="108"/>
        <v>885</v>
      </c>
      <c r="U971">
        <f t="shared" si="109"/>
        <v>2024</v>
      </c>
      <c r="V971">
        <f t="shared" si="110"/>
        <v>11</v>
      </c>
      <c r="W971" s="11">
        <f t="shared" si="111"/>
        <v>1</v>
      </c>
    </row>
    <row r="972" spans="1:23">
      <c r="A972" t="s">
        <v>985</v>
      </c>
      <c r="B972" s="4">
        <v>45498</v>
      </c>
      <c r="C972" t="s">
        <v>2016</v>
      </c>
      <c r="D972" t="s">
        <v>2021</v>
      </c>
      <c r="E972" t="s">
        <v>2029</v>
      </c>
      <c r="F972" t="s">
        <v>2031</v>
      </c>
      <c r="G972" t="s">
        <v>2033</v>
      </c>
      <c r="H972" t="s">
        <v>2039</v>
      </c>
      <c r="I972">
        <v>2</v>
      </c>
      <c r="J972">
        <v>5</v>
      </c>
      <c r="K972">
        <v>3</v>
      </c>
      <c r="L972" t="s">
        <v>2041</v>
      </c>
      <c r="M972">
        <v>313</v>
      </c>
      <c r="N972">
        <v>6300</v>
      </c>
      <c r="O972">
        <v>7434</v>
      </c>
      <c r="P972" s="13">
        <f t="shared" si="105"/>
        <v>0</v>
      </c>
      <c r="Q972" t="str">
        <f t="shared" si="106"/>
        <v>No</v>
      </c>
      <c r="R972" t="str" cm="1">
        <f t="array" ref="R972">_xlfn.IFS(K972=0,"On Time",K972&lt;=2,"Minor",K972&lt;=5,"Major",K972&gt;5,"Severe")</f>
        <v>Major</v>
      </c>
      <c r="S972">
        <f t="shared" si="107"/>
        <v>2478</v>
      </c>
      <c r="T972">
        <f t="shared" si="108"/>
        <v>2100</v>
      </c>
      <c r="U972">
        <f t="shared" si="109"/>
        <v>2024</v>
      </c>
      <c r="V972">
        <f t="shared" si="110"/>
        <v>7</v>
      </c>
      <c r="W972" s="11">
        <f t="shared" si="111"/>
        <v>1</v>
      </c>
    </row>
    <row r="973" spans="1:23">
      <c r="A973" t="s">
        <v>986</v>
      </c>
      <c r="B973" s="4">
        <v>45498</v>
      </c>
      <c r="C973" t="s">
        <v>2016</v>
      </c>
      <c r="D973" t="s">
        <v>2025</v>
      </c>
      <c r="E973" t="s">
        <v>2029</v>
      </c>
      <c r="F973" t="s">
        <v>2031</v>
      </c>
      <c r="G973" t="s">
        <v>2037</v>
      </c>
      <c r="H973" t="s">
        <v>2040</v>
      </c>
      <c r="I973">
        <v>5</v>
      </c>
      <c r="J973">
        <v>10</v>
      </c>
      <c r="K973">
        <v>5</v>
      </c>
      <c r="L973" t="s">
        <v>2041</v>
      </c>
      <c r="M973">
        <v>198</v>
      </c>
      <c r="N973">
        <v>10255</v>
      </c>
      <c r="O973">
        <v>23660</v>
      </c>
      <c r="P973" s="13">
        <f t="shared" si="105"/>
        <v>0</v>
      </c>
      <c r="Q973" t="str">
        <f t="shared" si="106"/>
        <v>No</v>
      </c>
      <c r="R973" t="str" cm="1">
        <f t="array" ref="R973">_xlfn.IFS(K973=0,"On Time",K973&lt;=2,"Minor",K973&lt;=5,"Major",K973&gt;5,"Severe")</f>
        <v>Major</v>
      </c>
      <c r="S973">
        <f t="shared" si="107"/>
        <v>4732</v>
      </c>
      <c r="T973">
        <f t="shared" si="108"/>
        <v>2051</v>
      </c>
      <c r="U973">
        <f t="shared" si="109"/>
        <v>2024</v>
      </c>
      <c r="V973">
        <f t="shared" si="110"/>
        <v>7</v>
      </c>
      <c r="W973" s="11">
        <f t="shared" si="111"/>
        <v>1</v>
      </c>
    </row>
    <row r="974" spans="1:23">
      <c r="A974" t="s">
        <v>987</v>
      </c>
      <c r="B974" s="4">
        <v>45536</v>
      </c>
      <c r="C974" t="s">
        <v>2017</v>
      </c>
      <c r="D974" t="s">
        <v>2023</v>
      </c>
      <c r="E974" t="s">
        <v>2028</v>
      </c>
      <c r="F974" t="s">
        <v>2031</v>
      </c>
      <c r="G974" t="s">
        <v>2037</v>
      </c>
      <c r="H974" t="s">
        <v>2039</v>
      </c>
      <c r="I974">
        <v>2</v>
      </c>
      <c r="J974">
        <v>6</v>
      </c>
      <c r="K974">
        <v>4</v>
      </c>
      <c r="L974" t="s">
        <v>2041</v>
      </c>
      <c r="M974">
        <v>405</v>
      </c>
      <c r="N974">
        <v>9884</v>
      </c>
      <c r="O974">
        <v>11088</v>
      </c>
      <c r="P974" s="13">
        <f t="shared" si="105"/>
        <v>0</v>
      </c>
      <c r="Q974" t="str">
        <f t="shared" si="106"/>
        <v>No</v>
      </c>
      <c r="R974" t="str" cm="1">
        <f t="array" ref="R974">_xlfn.IFS(K974=0,"On Time",K974&lt;=2,"Minor",K974&lt;=5,"Major",K974&gt;5,"Severe")</f>
        <v>Major</v>
      </c>
      <c r="S974">
        <f t="shared" si="107"/>
        <v>2772</v>
      </c>
      <c r="T974">
        <f t="shared" si="108"/>
        <v>2471</v>
      </c>
      <c r="U974">
        <f t="shared" si="109"/>
        <v>2024</v>
      </c>
      <c r="V974">
        <f t="shared" si="110"/>
        <v>9</v>
      </c>
      <c r="W974" s="11">
        <f t="shared" si="111"/>
        <v>1</v>
      </c>
    </row>
    <row r="975" spans="1:23">
      <c r="A975" t="s">
        <v>988</v>
      </c>
      <c r="B975" s="4">
        <v>45578</v>
      </c>
      <c r="C975" t="s">
        <v>2015</v>
      </c>
      <c r="D975" t="s">
        <v>2019</v>
      </c>
      <c r="E975" t="s">
        <v>2027</v>
      </c>
      <c r="F975" t="s">
        <v>2031</v>
      </c>
      <c r="G975" t="s">
        <v>2037</v>
      </c>
      <c r="H975" t="s">
        <v>2038</v>
      </c>
      <c r="I975">
        <v>1</v>
      </c>
      <c r="J975">
        <v>2</v>
      </c>
      <c r="K975">
        <v>1</v>
      </c>
      <c r="L975" t="s">
        <v>2041</v>
      </c>
      <c r="M975">
        <v>123</v>
      </c>
      <c r="N975">
        <v>1179</v>
      </c>
      <c r="O975">
        <v>4324</v>
      </c>
      <c r="P975" s="13">
        <f t="shared" si="105"/>
        <v>0</v>
      </c>
      <c r="Q975" t="str">
        <f t="shared" si="106"/>
        <v>No</v>
      </c>
      <c r="R975" t="str" cm="1">
        <f t="array" ref="R975">_xlfn.IFS(K975=0,"On Time",K975&lt;=2,"Minor",K975&lt;=5,"Major",K975&gt;5,"Severe")</f>
        <v>Minor</v>
      </c>
      <c r="S975">
        <f t="shared" si="107"/>
        <v>4324</v>
      </c>
      <c r="T975">
        <f t="shared" si="108"/>
        <v>1179</v>
      </c>
      <c r="U975">
        <f t="shared" si="109"/>
        <v>2024</v>
      </c>
      <c r="V975">
        <f t="shared" si="110"/>
        <v>10</v>
      </c>
      <c r="W975" s="11">
        <f t="shared" si="111"/>
        <v>1</v>
      </c>
    </row>
    <row r="976" spans="1:23">
      <c r="A976" t="s">
        <v>989</v>
      </c>
      <c r="B976" s="4">
        <v>45364</v>
      </c>
      <c r="C976" t="s">
        <v>2018</v>
      </c>
      <c r="D976" t="s">
        <v>2026</v>
      </c>
      <c r="E976" t="s">
        <v>2027</v>
      </c>
      <c r="F976" t="s">
        <v>2031</v>
      </c>
      <c r="G976" t="s">
        <v>2034</v>
      </c>
      <c r="H976" t="s">
        <v>2038</v>
      </c>
      <c r="I976">
        <v>3</v>
      </c>
      <c r="J976">
        <v>5</v>
      </c>
      <c r="K976">
        <v>2</v>
      </c>
      <c r="L976" t="s">
        <v>2041</v>
      </c>
      <c r="M976">
        <v>284</v>
      </c>
      <c r="N976">
        <v>3084</v>
      </c>
      <c r="O976">
        <v>8714</v>
      </c>
      <c r="P976" s="13">
        <f t="shared" si="105"/>
        <v>0</v>
      </c>
      <c r="Q976" t="str">
        <f t="shared" si="106"/>
        <v>No</v>
      </c>
      <c r="R976" t="str" cm="1">
        <f t="array" ref="R976">_xlfn.IFS(K976=0,"On Time",K976&lt;=2,"Minor",K976&lt;=5,"Major",K976&gt;5,"Severe")</f>
        <v>Minor</v>
      </c>
      <c r="S976">
        <f t="shared" si="107"/>
        <v>4357</v>
      </c>
      <c r="T976">
        <f t="shared" si="108"/>
        <v>1542</v>
      </c>
      <c r="U976">
        <f t="shared" si="109"/>
        <v>2024</v>
      </c>
      <c r="V976">
        <f t="shared" si="110"/>
        <v>3</v>
      </c>
      <c r="W976" s="11">
        <f t="shared" si="111"/>
        <v>1</v>
      </c>
    </row>
    <row r="977" spans="1:23">
      <c r="A977" t="s">
        <v>990</v>
      </c>
      <c r="B977" s="4">
        <v>45464</v>
      </c>
      <c r="C977" t="s">
        <v>2016</v>
      </c>
      <c r="D977" t="s">
        <v>2025</v>
      </c>
      <c r="E977" t="s">
        <v>2027</v>
      </c>
      <c r="F977" t="s">
        <v>2031</v>
      </c>
      <c r="G977" t="s">
        <v>2033</v>
      </c>
      <c r="H977" t="s">
        <v>2040</v>
      </c>
      <c r="I977">
        <v>2</v>
      </c>
      <c r="J977">
        <v>7</v>
      </c>
      <c r="K977">
        <v>5</v>
      </c>
      <c r="L977" t="s">
        <v>2041</v>
      </c>
      <c r="M977">
        <v>148</v>
      </c>
      <c r="N977">
        <v>10075</v>
      </c>
      <c r="O977">
        <v>14550</v>
      </c>
      <c r="P977" s="13">
        <f t="shared" si="105"/>
        <v>0</v>
      </c>
      <c r="Q977" t="str">
        <f t="shared" si="106"/>
        <v>No</v>
      </c>
      <c r="R977" t="str" cm="1">
        <f t="array" ref="R977">_xlfn.IFS(K977=0,"On Time",K977&lt;=2,"Minor",K977&lt;=5,"Major",K977&gt;5,"Severe")</f>
        <v>Major</v>
      </c>
      <c r="S977">
        <f t="shared" si="107"/>
        <v>2910</v>
      </c>
      <c r="T977">
        <f t="shared" si="108"/>
        <v>2015</v>
      </c>
      <c r="U977">
        <f t="shared" si="109"/>
        <v>2024</v>
      </c>
      <c r="V977">
        <f t="shared" si="110"/>
        <v>6</v>
      </c>
      <c r="W977" s="11">
        <f t="shared" si="111"/>
        <v>1</v>
      </c>
    </row>
    <row r="978" spans="1:23">
      <c r="A978" t="s">
        <v>991</v>
      </c>
      <c r="B978" s="4">
        <v>45539</v>
      </c>
      <c r="C978" t="s">
        <v>2017</v>
      </c>
      <c r="D978" t="s">
        <v>2022</v>
      </c>
      <c r="E978" t="s">
        <v>2029</v>
      </c>
      <c r="F978" t="s">
        <v>2030</v>
      </c>
      <c r="G978" t="s">
        <v>2033</v>
      </c>
      <c r="H978" t="s">
        <v>2039</v>
      </c>
      <c r="I978">
        <v>1</v>
      </c>
      <c r="J978">
        <v>3</v>
      </c>
      <c r="K978">
        <v>2</v>
      </c>
      <c r="L978" t="s">
        <v>2041</v>
      </c>
      <c r="M978">
        <v>216</v>
      </c>
      <c r="N978">
        <v>3912</v>
      </c>
      <c r="O978">
        <v>6038</v>
      </c>
      <c r="P978" s="13">
        <f t="shared" si="105"/>
        <v>0</v>
      </c>
      <c r="Q978" t="str">
        <f t="shared" si="106"/>
        <v>No</v>
      </c>
      <c r="R978" t="str" cm="1">
        <f t="array" ref="R978">_xlfn.IFS(K978=0,"On Time",K978&lt;=2,"Minor",K978&lt;=5,"Major",K978&gt;5,"Severe")</f>
        <v>Minor</v>
      </c>
      <c r="S978">
        <f t="shared" si="107"/>
        <v>3019</v>
      </c>
      <c r="T978">
        <f t="shared" si="108"/>
        <v>1956</v>
      </c>
      <c r="U978">
        <f t="shared" si="109"/>
        <v>2024</v>
      </c>
      <c r="V978">
        <f t="shared" si="110"/>
        <v>9</v>
      </c>
      <c r="W978" s="11">
        <f t="shared" si="111"/>
        <v>1</v>
      </c>
    </row>
    <row r="979" spans="1:23">
      <c r="A979" t="s">
        <v>992</v>
      </c>
      <c r="B979" s="4">
        <v>45490</v>
      </c>
      <c r="C979" t="s">
        <v>2017</v>
      </c>
      <c r="D979" t="s">
        <v>2023</v>
      </c>
      <c r="E979" t="s">
        <v>2028</v>
      </c>
      <c r="F979" t="s">
        <v>2031</v>
      </c>
      <c r="G979" t="s">
        <v>2034</v>
      </c>
      <c r="H979" t="s">
        <v>2039</v>
      </c>
      <c r="I979">
        <v>2</v>
      </c>
      <c r="J979">
        <v>3</v>
      </c>
      <c r="K979">
        <v>1</v>
      </c>
      <c r="L979" t="s">
        <v>2041</v>
      </c>
      <c r="M979">
        <v>161</v>
      </c>
      <c r="N979">
        <v>1093</v>
      </c>
      <c r="O979">
        <v>4160</v>
      </c>
      <c r="P979" s="13">
        <f t="shared" si="105"/>
        <v>0</v>
      </c>
      <c r="Q979" t="str">
        <f t="shared" si="106"/>
        <v>No</v>
      </c>
      <c r="R979" t="str" cm="1">
        <f t="array" ref="R979">_xlfn.IFS(K979=0,"On Time",K979&lt;=2,"Minor",K979&lt;=5,"Major",K979&gt;5,"Severe")</f>
        <v>Minor</v>
      </c>
      <c r="S979">
        <f t="shared" si="107"/>
        <v>4160</v>
      </c>
      <c r="T979">
        <f t="shared" si="108"/>
        <v>1093</v>
      </c>
      <c r="U979">
        <f t="shared" si="109"/>
        <v>2024</v>
      </c>
      <c r="V979">
        <f t="shared" si="110"/>
        <v>7</v>
      </c>
      <c r="W979" s="11">
        <f t="shared" si="111"/>
        <v>1</v>
      </c>
    </row>
    <row r="980" spans="1:23">
      <c r="A980" t="s">
        <v>993</v>
      </c>
      <c r="B980" s="4">
        <v>45596</v>
      </c>
      <c r="C980" t="s">
        <v>2016</v>
      </c>
      <c r="D980" t="s">
        <v>2021</v>
      </c>
      <c r="E980" t="s">
        <v>2027</v>
      </c>
      <c r="F980" t="s">
        <v>2030</v>
      </c>
      <c r="G980" t="s">
        <v>2036</v>
      </c>
      <c r="H980" t="s">
        <v>2039</v>
      </c>
      <c r="I980">
        <v>2</v>
      </c>
      <c r="J980">
        <v>2</v>
      </c>
      <c r="K980">
        <v>0</v>
      </c>
      <c r="L980" t="s">
        <v>2042</v>
      </c>
      <c r="M980">
        <v>164</v>
      </c>
      <c r="N980">
        <v>0</v>
      </c>
      <c r="O980">
        <v>0</v>
      </c>
      <c r="P980" s="13">
        <f t="shared" si="105"/>
        <v>1</v>
      </c>
      <c r="Q980" t="str">
        <f t="shared" si="106"/>
        <v>No</v>
      </c>
      <c r="R980" t="str" cm="1">
        <f t="array" ref="R980">_xlfn.IFS(K980=0,"On Time",K980&lt;=2,"Minor",K980&lt;=5,"Major",K980&gt;5,"Severe")</f>
        <v>On Time</v>
      </c>
      <c r="S980">
        <f t="shared" si="107"/>
        <v>0</v>
      </c>
      <c r="T980">
        <f t="shared" si="108"/>
        <v>0</v>
      </c>
      <c r="U980">
        <f t="shared" si="109"/>
        <v>2024</v>
      </c>
      <c r="V980">
        <f t="shared" si="110"/>
        <v>10</v>
      </c>
      <c r="W980" s="11">
        <f t="shared" si="111"/>
        <v>0</v>
      </c>
    </row>
    <row r="981" spans="1:23">
      <c r="A981" t="s">
        <v>994</v>
      </c>
      <c r="B981" s="4">
        <v>45332</v>
      </c>
      <c r="C981" t="s">
        <v>2018</v>
      </c>
      <c r="D981" t="s">
        <v>2026</v>
      </c>
      <c r="E981" t="s">
        <v>2029</v>
      </c>
      <c r="F981" t="s">
        <v>2031</v>
      </c>
      <c r="G981" t="s">
        <v>2034</v>
      </c>
      <c r="H981" t="s">
        <v>2038</v>
      </c>
      <c r="I981">
        <v>3</v>
      </c>
      <c r="J981">
        <v>4</v>
      </c>
      <c r="K981">
        <v>1</v>
      </c>
      <c r="L981" t="s">
        <v>2041</v>
      </c>
      <c r="M981">
        <v>180</v>
      </c>
      <c r="N981">
        <v>1852</v>
      </c>
      <c r="O981">
        <v>4537</v>
      </c>
      <c r="P981" s="13">
        <f t="shared" si="105"/>
        <v>0</v>
      </c>
      <c r="Q981" t="str">
        <f t="shared" si="106"/>
        <v>No</v>
      </c>
      <c r="R981" t="str" cm="1">
        <f t="array" ref="R981">_xlfn.IFS(K981=0,"On Time",K981&lt;=2,"Minor",K981&lt;=5,"Major",K981&gt;5,"Severe")</f>
        <v>Minor</v>
      </c>
      <c r="S981">
        <f t="shared" si="107"/>
        <v>4537</v>
      </c>
      <c r="T981">
        <f t="shared" si="108"/>
        <v>1852</v>
      </c>
      <c r="U981">
        <f t="shared" si="109"/>
        <v>2024</v>
      </c>
      <c r="V981">
        <f t="shared" si="110"/>
        <v>2</v>
      </c>
      <c r="W981" s="11">
        <f t="shared" si="111"/>
        <v>1</v>
      </c>
    </row>
    <row r="982" spans="1:23">
      <c r="A982" t="s">
        <v>995</v>
      </c>
      <c r="B982" s="4">
        <v>45447</v>
      </c>
      <c r="C982" t="s">
        <v>2015</v>
      </c>
      <c r="D982" t="s">
        <v>2019</v>
      </c>
      <c r="E982" t="s">
        <v>2029</v>
      </c>
      <c r="F982" t="s">
        <v>2032</v>
      </c>
      <c r="G982" t="s">
        <v>2036</v>
      </c>
      <c r="H982" t="s">
        <v>2040</v>
      </c>
      <c r="I982">
        <v>2</v>
      </c>
      <c r="J982">
        <v>6</v>
      </c>
      <c r="K982">
        <v>4</v>
      </c>
      <c r="L982" t="s">
        <v>2041</v>
      </c>
      <c r="M982">
        <v>288</v>
      </c>
      <c r="N982">
        <v>4324</v>
      </c>
      <c r="O982">
        <v>14652</v>
      </c>
      <c r="P982" s="13">
        <f t="shared" si="105"/>
        <v>0</v>
      </c>
      <c r="Q982" t="str">
        <f t="shared" si="106"/>
        <v>No</v>
      </c>
      <c r="R982" t="str" cm="1">
        <f t="array" ref="R982">_xlfn.IFS(K982=0,"On Time",K982&lt;=2,"Minor",K982&lt;=5,"Major",K982&gt;5,"Severe")</f>
        <v>Major</v>
      </c>
      <c r="S982">
        <f t="shared" si="107"/>
        <v>3663</v>
      </c>
      <c r="T982">
        <f t="shared" si="108"/>
        <v>1081</v>
      </c>
      <c r="U982">
        <f t="shared" si="109"/>
        <v>2024</v>
      </c>
      <c r="V982">
        <f t="shared" si="110"/>
        <v>6</v>
      </c>
      <c r="W982" s="11">
        <f t="shared" si="111"/>
        <v>1</v>
      </c>
    </row>
    <row r="983" spans="1:23">
      <c r="A983" t="s">
        <v>996</v>
      </c>
      <c r="B983" s="4">
        <v>45574</v>
      </c>
      <c r="C983" t="s">
        <v>2018</v>
      </c>
      <c r="D983" t="s">
        <v>2024</v>
      </c>
      <c r="E983" t="s">
        <v>2027</v>
      </c>
      <c r="F983" t="s">
        <v>2032</v>
      </c>
      <c r="G983" t="s">
        <v>2034</v>
      </c>
      <c r="H983" t="s">
        <v>2039</v>
      </c>
      <c r="I983">
        <v>1</v>
      </c>
      <c r="J983">
        <v>4</v>
      </c>
      <c r="K983">
        <v>3</v>
      </c>
      <c r="L983" t="s">
        <v>2041</v>
      </c>
      <c r="M983">
        <v>338</v>
      </c>
      <c r="N983">
        <v>7239</v>
      </c>
      <c r="O983">
        <v>4875</v>
      </c>
      <c r="P983" s="13">
        <f t="shared" si="105"/>
        <v>0</v>
      </c>
      <c r="Q983" t="str">
        <f t="shared" si="106"/>
        <v>No</v>
      </c>
      <c r="R983" t="str" cm="1">
        <f t="array" ref="R983">_xlfn.IFS(K983=0,"On Time",K983&lt;=2,"Minor",K983&lt;=5,"Major",K983&gt;5,"Severe")</f>
        <v>Major</v>
      </c>
      <c r="S983">
        <f t="shared" si="107"/>
        <v>1625</v>
      </c>
      <c r="T983">
        <f t="shared" si="108"/>
        <v>2413</v>
      </c>
      <c r="U983">
        <f t="shared" si="109"/>
        <v>2024</v>
      </c>
      <c r="V983">
        <f t="shared" si="110"/>
        <v>10</v>
      </c>
      <c r="W983" s="11">
        <f t="shared" si="111"/>
        <v>1</v>
      </c>
    </row>
    <row r="984" spans="1:23">
      <c r="A984" t="s">
        <v>997</v>
      </c>
      <c r="B984" s="4">
        <v>45455</v>
      </c>
      <c r="C984" t="s">
        <v>2017</v>
      </c>
      <c r="D984" t="s">
        <v>2023</v>
      </c>
      <c r="E984" t="s">
        <v>2027</v>
      </c>
      <c r="F984" t="s">
        <v>2030</v>
      </c>
      <c r="G984" t="s">
        <v>2034</v>
      </c>
      <c r="H984" t="s">
        <v>2039</v>
      </c>
      <c r="I984">
        <v>1</v>
      </c>
      <c r="J984">
        <v>1</v>
      </c>
      <c r="K984">
        <v>0</v>
      </c>
      <c r="L984" t="s">
        <v>2042</v>
      </c>
      <c r="M984">
        <v>281</v>
      </c>
      <c r="N984">
        <v>0</v>
      </c>
      <c r="O984">
        <v>0</v>
      </c>
      <c r="P984" s="13">
        <f t="shared" si="105"/>
        <v>1</v>
      </c>
      <c r="Q984" t="str">
        <f t="shared" si="106"/>
        <v>No</v>
      </c>
      <c r="R984" t="str" cm="1">
        <f t="array" ref="R984">_xlfn.IFS(K984=0,"On Time",K984&lt;=2,"Minor",K984&lt;=5,"Major",K984&gt;5,"Severe")</f>
        <v>On Time</v>
      </c>
      <c r="S984">
        <f t="shared" si="107"/>
        <v>0</v>
      </c>
      <c r="T984">
        <f t="shared" si="108"/>
        <v>0</v>
      </c>
      <c r="U984">
        <f t="shared" si="109"/>
        <v>2024</v>
      </c>
      <c r="V984">
        <f t="shared" si="110"/>
        <v>6</v>
      </c>
      <c r="W984" s="11">
        <f t="shared" si="111"/>
        <v>0</v>
      </c>
    </row>
    <row r="985" spans="1:23">
      <c r="A985" t="s">
        <v>998</v>
      </c>
      <c r="B985" s="4">
        <v>45370</v>
      </c>
      <c r="C985" t="s">
        <v>2016</v>
      </c>
      <c r="D985" t="s">
        <v>2025</v>
      </c>
      <c r="E985" t="s">
        <v>2028</v>
      </c>
      <c r="F985" t="s">
        <v>2030</v>
      </c>
      <c r="G985" t="s">
        <v>2037</v>
      </c>
      <c r="H985" t="s">
        <v>2038</v>
      </c>
      <c r="I985">
        <v>2</v>
      </c>
      <c r="J985">
        <v>2</v>
      </c>
      <c r="K985">
        <v>0</v>
      </c>
      <c r="L985" t="s">
        <v>2042</v>
      </c>
      <c r="M985">
        <v>130</v>
      </c>
      <c r="N985">
        <v>0</v>
      </c>
      <c r="O985">
        <v>0</v>
      </c>
      <c r="P985" s="13">
        <f t="shared" si="105"/>
        <v>1</v>
      </c>
      <c r="Q985" t="str">
        <f t="shared" si="106"/>
        <v>No</v>
      </c>
      <c r="R985" t="str" cm="1">
        <f t="array" ref="R985">_xlfn.IFS(K985=0,"On Time",K985&lt;=2,"Minor",K985&lt;=5,"Major",K985&gt;5,"Severe")</f>
        <v>On Time</v>
      </c>
      <c r="S985">
        <f t="shared" si="107"/>
        <v>0</v>
      </c>
      <c r="T985">
        <f t="shared" si="108"/>
        <v>0</v>
      </c>
      <c r="U985">
        <f t="shared" si="109"/>
        <v>2024</v>
      </c>
      <c r="V985">
        <f t="shared" si="110"/>
        <v>3</v>
      </c>
      <c r="W985" s="11">
        <f t="shared" si="111"/>
        <v>0</v>
      </c>
    </row>
    <row r="986" spans="1:23">
      <c r="A986" t="s">
        <v>999</v>
      </c>
      <c r="B986" s="4">
        <v>45521</v>
      </c>
      <c r="C986" t="s">
        <v>2017</v>
      </c>
      <c r="D986" t="s">
        <v>2022</v>
      </c>
      <c r="E986" t="s">
        <v>2029</v>
      </c>
      <c r="F986" t="s">
        <v>2031</v>
      </c>
      <c r="G986" t="s">
        <v>2037</v>
      </c>
      <c r="H986" t="s">
        <v>2038</v>
      </c>
      <c r="I986">
        <v>3</v>
      </c>
      <c r="J986">
        <v>3</v>
      </c>
      <c r="K986">
        <v>0</v>
      </c>
      <c r="L986" t="s">
        <v>2042</v>
      </c>
      <c r="M986">
        <v>350</v>
      </c>
      <c r="N986">
        <v>0</v>
      </c>
      <c r="O986">
        <v>0</v>
      </c>
      <c r="P986" s="13">
        <f t="shared" si="105"/>
        <v>1</v>
      </c>
      <c r="Q986" t="str">
        <f t="shared" si="106"/>
        <v>No</v>
      </c>
      <c r="R986" t="str" cm="1">
        <f t="array" ref="R986">_xlfn.IFS(K986=0,"On Time",K986&lt;=2,"Minor",K986&lt;=5,"Major",K986&gt;5,"Severe")</f>
        <v>On Time</v>
      </c>
      <c r="S986">
        <f t="shared" si="107"/>
        <v>0</v>
      </c>
      <c r="T986">
        <f t="shared" si="108"/>
        <v>0</v>
      </c>
      <c r="U986">
        <f t="shared" si="109"/>
        <v>2024</v>
      </c>
      <c r="V986">
        <f t="shared" si="110"/>
        <v>8</v>
      </c>
      <c r="W986" s="11">
        <f t="shared" si="111"/>
        <v>0</v>
      </c>
    </row>
    <row r="987" spans="1:23">
      <c r="A987" t="s">
        <v>1000</v>
      </c>
      <c r="B987" s="4">
        <v>45511</v>
      </c>
      <c r="C987" t="s">
        <v>2017</v>
      </c>
      <c r="D987" t="s">
        <v>2022</v>
      </c>
      <c r="E987" t="s">
        <v>2027</v>
      </c>
      <c r="F987" t="s">
        <v>2031</v>
      </c>
      <c r="G987" t="s">
        <v>2036</v>
      </c>
      <c r="H987" t="s">
        <v>2040</v>
      </c>
      <c r="I987">
        <v>1</v>
      </c>
      <c r="J987">
        <v>6</v>
      </c>
      <c r="K987">
        <v>5</v>
      </c>
      <c r="L987" t="s">
        <v>2041</v>
      </c>
      <c r="M987">
        <v>145</v>
      </c>
      <c r="N987">
        <v>12345</v>
      </c>
      <c r="O987">
        <v>7945</v>
      </c>
      <c r="P987" s="13">
        <f t="shared" si="105"/>
        <v>0</v>
      </c>
      <c r="Q987" t="str">
        <f t="shared" si="106"/>
        <v>No</v>
      </c>
      <c r="R987" t="str" cm="1">
        <f t="array" ref="R987">_xlfn.IFS(K987=0,"On Time",K987&lt;=2,"Minor",K987&lt;=5,"Major",K987&gt;5,"Severe")</f>
        <v>Major</v>
      </c>
      <c r="S987">
        <f t="shared" si="107"/>
        <v>1589</v>
      </c>
      <c r="T987">
        <f t="shared" si="108"/>
        <v>2469</v>
      </c>
      <c r="U987">
        <f t="shared" si="109"/>
        <v>2024</v>
      </c>
      <c r="V987">
        <f t="shared" si="110"/>
        <v>8</v>
      </c>
      <c r="W987" s="11">
        <f t="shared" si="111"/>
        <v>1</v>
      </c>
    </row>
    <row r="988" spans="1:23">
      <c r="A988" t="s">
        <v>1001</v>
      </c>
      <c r="B988" s="4">
        <v>45325</v>
      </c>
      <c r="C988" t="s">
        <v>2018</v>
      </c>
      <c r="D988" t="s">
        <v>2024</v>
      </c>
      <c r="E988" t="s">
        <v>2028</v>
      </c>
      <c r="F988" t="s">
        <v>2030</v>
      </c>
      <c r="G988" t="s">
        <v>2036</v>
      </c>
      <c r="H988" t="s">
        <v>2038</v>
      </c>
      <c r="I988">
        <v>5</v>
      </c>
      <c r="J988">
        <v>8</v>
      </c>
      <c r="K988">
        <v>3</v>
      </c>
      <c r="L988" t="s">
        <v>2041</v>
      </c>
      <c r="M988">
        <v>184</v>
      </c>
      <c r="N988">
        <v>7257</v>
      </c>
      <c r="O988">
        <v>13914</v>
      </c>
      <c r="P988" s="13">
        <f t="shared" si="105"/>
        <v>0</v>
      </c>
      <c r="Q988" t="str">
        <f t="shared" si="106"/>
        <v>No</v>
      </c>
      <c r="R988" t="str" cm="1">
        <f t="array" ref="R988">_xlfn.IFS(K988=0,"On Time",K988&lt;=2,"Minor",K988&lt;=5,"Major",K988&gt;5,"Severe")</f>
        <v>Major</v>
      </c>
      <c r="S988">
        <f t="shared" si="107"/>
        <v>4638</v>
      </c>
      <c r="T988">
        <f t="shared" si="108"/>
        <v>2419</v>
      </c>
      <c r="U988">
        <f t="shared" si="109"/>
        <v>2024</v>
      </c>
      <c r="V988">
        <f t="shared" si="110"/>
        <v>2</v>
      </c>
      <c r="W988" s="11">
        <f t="shared" si="111"/>
        <v>1</v>
      </c>
    </row>
    <row r="989" spans="1:23">
      <c r="A989" t="s">
        <v>1002</v>
      </c>
      <c r="B989" s="4">
        <v>45448</v>
      </c>
      <c r="C989" t="s">
        <v>2018</v>
      </c>
      <c r="D989" t="s">
        <v>2024</v>
      </c>
      <c r="E989" t="s">
        <v>2028</v>
      </c>
      <c r="F989" t="s">
        <v>2030</v>
      </c>
      <c r="G989" t="s">
        <v>2035</v>
      </c>
      <c r="H989" t="s">
        <v>2038</v>
      </c>
      <c r="I989">
        <v>3</v>
      </c>
      <c r="J989">
        <v>3</v>
      </c>
      <c r="K989">
        <v>0</v>
      </c>
      <c r="L989" t="s">
        <v>2042</v>
      </c>
      <c r="M989">
        <v>68</v>
      </c>
      <c r="N989">
        <v>0</v>
      </c>
      <c r="O989">
        <v>0</v>
      </c>
      <c r="P989" s="13">
        <f t="shared" si="105"/>
        <v>1</v>
      </c>
      <c r="Q989" t="str">
        <f t="shared" si="106"/>
        <v>No</v>
      </c>
      <c r="R989" t="str" cm="1">
        <f t="array" ref="R989">_xlfn.IFS(K989=0,"On Time",K989&lt;=2,"Minor",K989&lt;=5,"Major",K989&gt;5,"Severe")</f>
        <v>On Time</v>
      </c>
      <c r="S989">
        <f t="shared" si="107"/>
        <v>0</v>
      </c>
      <c r="T989">
        <f t="shared" si="108"/>
        <v>0</v>
      </c>
      <c r="U989">
        <f t="shared" si="109"/>
        <v>2024</v>
      </c>
      <c r="V989">
        <f t="shared" si="110"/>
        <v>6</v>
      </c>
      <c r="W989" s="11">
        <f t="shared" si="111"/>
        <v>0</v>
      </c>
    </row>
    <row r="990" spans="1:23">
      <c r="A990" t="s">
        <v>1003</v>
      </c>
      <c r="B990" s="4">
        <v>45406</v>
      </c>
      <c r="C990" t="s">
        <v>2016</v>
      </c>
      <c r="D990" t="s">
        <v>2021</v>
      </c>
      <c r="E990" t="s">
        <v>2028</v>
      </c>
      <c r="F990" t="s">
        <v>2030</v>
      </c>
      <c r="G990" t="s">
        <v>2033</v>
      </c>
      <c r="H990" t="s">
        <v>2038</v>
      </c>
      <c r="I990">
        <v>1</v>
      </c>
      <c r="J990">
        <v>3</v>
      </c>
      <c r="K990">
        <v>2</v>
      </c>
      <c r="L990" t="s">
        <v>2041</v>
      </c>
      <c r="M990">
        <v>296</v>
      </c>
      <c r="N990">
        <v>4550</v>
      </c>
      <c r="O990">
        <v>7174</v>
      </c>
      <c r="P990" s="13">
        <f t="shared" si="105"/>
        <v>0</v>
      </c>
      <c r="Q990" t="str">
        <f t="shared" si="106"/>
        <v>No</v>
      </c>
      <c r="R990" t="str" cm="1">
        <f t="array" ref="R990">_xlfn.IFS(K990=0,"On Time",K990&lt;=2,"Minor",K990&lt;=5,"Major",K990&gt;5,"Severe")</f>
        <v>Minor</v>
      </c>
      <c r="S990">
        <f t="shared" si="107"/>
        <v>3587</v>
      </c>
      <c r="T990">
        <f t="shared" si="108"/>
        <v>2275</v>
      </c>
      <c r="U990">
        <f t="shared" si="109"/>
        <v>2024</v>
      </c>
      <c r="V990">
        <f t="shared" si="110"/>
        <v>4</v>
      </c>
      <c r="W990" s="11">
        <f t="shared" si="111"/>
        <v>1</v>
      </c>
    </row>
    <row r="991" spans="1:23">
      <c r="A991" t="s">
        <v>1004</v>
      </c>
      <c r="B991" s="4">
        <v>45412</v>
      </c>
      <c r="C991" t="s">
        <v>2017</v>
      </c>
      <c r="D991" t="s">
        <v>2022</v>
      </c>
      <c r="E991" t="s">
        <v>2027</v>
      </c>
      <c r="F991" t="s">
        <v>2032</v>
      </c>
      <c r="G991" t="s">
        <v>2036</v>
      </c>
      <c r="H991" t="s">
        <v>2039</v>
      </c>
      <c r="I991">
        <v>2</v>
      </c>
      <c r="J991">
        <v>6</v>
      </c>
      <c r="K991">
        <v>4</v>
      </c>
      <c r="L991" t="s">
        <v>2041</v>
      </c>
      <c r="M991">
        <v>151</v>
      </c>
      <c r="N991">
        <v>5864</v>
      </c>
      <c r="O991">
        <v>11416</v>
      </c>
      <c r="P991" s="13">
        <f t="shared" si="105"/>
        <v>0</v>
      </c>
      <c r="Q991" t="str">
        <f t="shared" si="106"/>
        <v>No</v>
      </c>
      <c r="R991" t="str" cm="1">
        <f t="array" ref="R991">_xlfn.IFS(K991=0,"On Time",K991&lt;=2,"Minor",K991&lt;=5,"Major",K991&gt;5,"Severe")</f>
        <v>Major</v>
      </c>
      <c r="S991">
        <f t="shared" si="107"/>
        <v>2854</v>
      </c>
      <c r="T991">
        <f t="shared" si="108"/>
        <v>1466</v>
      </c>
      <c r="U991">
        <f t="shared" si="109"/>
        <v>2024</v>
      </c>
      <c r="V991">
        <f t="shared" si="110"/>
        <v>4</v>
      </c>
      <c r="W991" s="11">
        <f t="shared" si="111"/>
        <v>1</v>
      </c>
    </row>
    <row r="992" spans="1:23">
      <c r="A992" t="s">
        <v>1005</v>
      </c>
      <c r="B992" s="4">
        <v>45569</v>
      </c>
      <c r="C992" t="s">
        <v>2018</v>
      </c>
      <c r="D992" t="s">
        <v>2026</v>
      </c>
      <c r="E992" t="s">
        <v>2029</v>
      </c>
      <c r="F992" t="s">
        <v>2030</v>
      </c>
      <c r="G992" t="s">
        <v>2033</v>
      </c>
      <c r="H992" t="s">
        <v>2038</v>
      </c>
      <c r="I992">
        <v>2</v>
      </c>
      <c r="J992">
        <v>6</v>
      </c>
      <c r="K992">
        <v>4</v>
      </c>
      <c r="L992" t="s">
        <v>2041</v>
      </c>
      <c r="M992">
        <v>386</v>
      </c>
      <c r="N992">
        <v>9764</v>
      </c>
      <c r="O992">
        <v>9052</v>
      </c>
      <c r="P992" s="13">
        <f t="shared" si="105"/>
        <v>0</v>
      </c>
      <c r="Q992" t="str">
        <f t="shared" si="106"/>
        <v>No</v>
      </c>
      <c r="R992" t="str" cm="1">
        <f t="array" ref="R992">_xlfn.IFS(K992=0,"On Time",K992&lt;=2,"Minor",K992&lt;=5,"Major",K992&gt;5,"Severe")</f>
        <v>Major</v>
      </c>
      <c r="S992">
        <f t="shared" si="107"/>
        <v>2263</v>
      </c>
      <c r="T992">
        <f t="shared" si="108"/>
        <v>2441</v>
      </c>
      <c r="U992">
        <f t="shared" si="109"/>
        <v>2024</v>
      </c>
      <c r="V992">
        <f t="shared" si="110"/>
        <v>10</v>
      </c>
      <c r="W992" s="11">
        <f t="shared" si="111"/>
        <v>1</v>
      </c>
    </row>
    <row r="993" spans="1:23">
      <c r="A993" t="s">
        <v>1006</v>
      </c>
      <c r="B993" s="4">
        <v>45480</v>
      </c>
      <c r="C993" t="s">
        <v>2017</v>
      </c>
      <c r="D993" t="s">
        <v>2023</v>
      </c>
      <c r="E993" t="s">
        <v>2028</v>
      </c>
      <c r="F993" t="s">
        <v>2031</v>
      </c>
      <c r="G993" t="s">
        <v>2037</v>
      </c>
      <c r="H993" t="s">
        <v>2039</v>
      </c>
      <c r="I993">
        <v>2</v>
      </c>
      <c r="J993">
        <v>2</v>
      </c>
      <c r="K993">
        <v>0</v>
      </c>
      <c r="L993" t="s">
        <v>2042</v>
      </c>
      <c r="M993">
        <v>238</v>
      </c>
      <c r="N993">
        <v>0</v>
      </c>
      <c r="O993">
        <v>0</v>
      </c>
      <c r="P993" s="13">
        <f t="shared" si="105"/>
        <v>1</v>
      </c>
      <c r="Q993" t="str">
        <f t="shared" si="106"/>
        <v>No</v>
      </c>
      <c r="R993" t="str" cm="1">
        <f t="array" ref="R993">_xlfn.IFS(K993=0,"On Time",K993&lt;=2,"Minor",K993&lt;=5,"Major",K993&gt;5,"Severe")</f>
        <v>On Time</v>
      </c>
      <c r="S993">
        <f t="shared" si="107"/>
        <v>0</v>
      </c>
      <c r="T993">
        <f t="shared" si="108"/>
        <v>0</v>
      </c>
      <c r="U993">
        <f t="shared" si="109"/>
        <v>2024</v>
      </c>
      <c r="V993">
        <f t="shared" si="110"/>
        <v>7</v>
      </c>
      <c r="W993" s="11">
        <f t="shared" si="111"/>
        <v>0</v>
      </c>
    </row>
    <row r="994" spans="1:23">
      <c r="A994" t="s">
        <v>1007</v>
      </c>
      <c r="B994" s="4">
        <v>45327</v>
      </c>
      <c r="C994" t="s">
        <v>2016</v>
      </c>
      <c r="D994" t="s">
        <v>2025</v>
      </c>
      <c r="E994" t="s">
        <v>2027</v>
      </c>
      <c r="F994" t="s">
        <v>2031</v>
      </c>
      <c r="G994" t="s">
        <v>2035</v>
      </c>
      <c r="H994" t="s">
        <v>2038</v>
      </c>
      <c r="I994">
        <v>2</v>
      </c>
      <c r="J994">
        <v>7</v>
      </c>
      <c r="K994">
        <v>5</v>
      </c>
      <c r="L994" t="s">
        <v>2041</v>
      </c>
      <c r="M994">
        <v>162</v>
      </c>
      <c r="N994">
        <v>8730</v>
      </c>
      <c r="O994">
        <v>23715</v>
      </c>
      <c r="P994" s="13">
        <f t="shared" si="105"/>
        <v>0</v>
      </c>
      <c r="Q994" t="str">
        <f t="shared" si="106"/>
        <v>No</v>
      </c>
      <c r="R994" t="str" cm="1">
        <f t="array" ref="R994">_xlfn.IFS(K994=0,"On Time",K994&lt;=2,"Minor",K994&lt;=5,"Major",K994&gt;5,"Severe")</f>
        <v>Major</v>
      </c>
      <c r="S994">
        <f t="shared" si="107"/>
        <v>4743</v>
      </c>
      <c r="T994">
        <f t="shared" si="108"/>
        <v>1746</v>
      </c>
      <c r="U994">
        <f t="shared" si="109"/>
        <v>2024</v>
      </c>
      <c r="V994">
        <f t="shared" si="110"/>
        <v>2</v>
      </c>
      <c r="W994" s="11">
        <f t="shared" si="111"/>
        <v>1</v>
      </c>
    </row>
    <row r="995" spans="1:23">
      <c r="A995" t="s">
        <v>1008</v>
      </c>
      <c r="B995" s="4">
        <v>45429</v>
      </c>
      <c r="C995" t="s">
        <v>2015</v>
      </c>
      <c r="D995" t="s">
        <v>2020</v>
      </c>
      <c r="E995" t="s">
        <v>2027</v>
      </c>
      <c r="F995" t="s">
        <v>2030</v>
      </c>
      <c r="G995" t="s">
        <v>2037</v>
      </c>
      <c r="H995" t="s">
        <v>2038</v>
      </c>
      <c r="I995">
        <v>5</v>
      </c>
      <c r="J995">
        <v>9</v>
      </c>
      <c r="K995">
        <v>4</v>
      </c>
      <c r="L995" t="s">
        <v>2041</v>
      </c>
      <c r="M995">
        <v>442</v>
      </c>
      <c r="N995">
        <v>5696</v>
      </c>
      <c r="O995">
        <v>13724</v>
      </c>
      <c r="P995" s="13">
        <f t="shared" si="105"/>
        <v>0</v>
      </c>
      <c r="Q995" t="str">
        <f t="shared" si="106"/>
        <v>No</v>
      </c>
      <c r="R995" t="str" cm="1">
        <f t="array" ref="R995">_xlfn.IFS(K995=0,"On Time",K995&lt;=2,"Minor",K995&lt;=5,"Major",K995&gt;5,"Severe")</f>
        <v>Major</v>
      </c>
      <c r="S995">
        <f t="shared" si="107"/>
        <v>3431</v>
      </c>
      <c r="T995">
        <f t="shared" si="108"/>
        <v>1424</v>
      </c>
      <c r="U995">
        <f t="shared" si="109"/>
        <v>2024</v>
      </c>
      <c r="V995">
        <f t="shared" si="110"/>
        <v>5</v>
      </c>
      <c r="W995" s="11">
        <f t="shared" si="111"/>
        <v>1</v>
      </c>
    </row>
    <row r="996" spans="1:23">
      <c r="A996" t="s">
        <v>1009</v>
      </c>
      <c r="B996" s="4">
        <v>45576</v>
      </c>
      <c r="C996" t="s">
        <v>2016</v>
      </c>
      <c r="D996" t="s">
        <v>2025</v>
      </c>
      <c r="E996" t="s">
        <v>2028</v>
      </c>
      <c r="F996" t="s">
        <v>2032</v>
      </c>
      <c r="G996" t="s">
        <v>2037</v>
      </c>
      <c r="H996" t="s">
        <v>2038</v>
      </c>
      <c r="I996">
        <v>2</v>
      </c>
      <c r="J996">
        <v>9</v>
      </c>
      <c r="K996">
        <v>7</v>
      </c>
      <c r="L996" t="s">
        <v>2041</v>
      </c>
      <c r="M996">
        <v>390</v>
      </c>
      <c r="N996">
        <v>13881</v>
      </c>
      <c r="O996">
        <v>14665</v>
      </c>
      <c r="P996" s="13">
        <f t="shared" si="105"/>
        <v>0</v>
      </c>
      <c r="Q996" t="str">
        <f t="shared" si="106"/>
        <v>No</v>
      </c>
      <c r="R996" t="str" cm="1">
        <f t="array" ref="R996">_xlfn.IFS(K996=0,"On Time",K996&lt;=2,"Minor",K996&lt;=5,"Major",K996&gt;5,"Severe")</f>
        <v>Severe</v>
      </c>
      <c r="S996">
        <f t="shared" si="107"/>
        <v>2095</v>
      </c>
      <c r="T996">
        <f t="shared" si="108"/>
        <v>1983</v>
      </c>
      <c r="U996">
        <f t="shared" si="109"/>
        <v>2024</v>
      </c>
      <c r="V996">
        <f t="shared" si="110"/>
        <v>10</v>
      </c>
      <c r="W996" s="11">
        <f t="shared" si="111"/>
        <v>1</v>
      </c>
    </row>
    <row r="997" spans="1:23">
      <c r="A997" t="s">
        <v>1010</v>
      </c>
      <c r="B997" s="4">
        <v>45525</v>
      </c>
      <c r="C997" t="s">
        <v>2015</v>
      </c>
      <c r="D997" t="s">
        <v>2019</v>
      </c>
      <c r="E997" t="s">
        <v>2027</v>
      </c>
      <c r="F997" t="s">
        <v>2032</v>
      </c>
      <c r="G997" t="s">
        <v>2034</v>
      </c>
      <c r="H997" t="s">
        <v>2039</v>
      </c>
      <c r="I997">
        <v>2</v>
      </c>
      <c r="J997">
        <v>3</v>
      </c>
      <c r="K997">
        <v>1</v>
      </c>
      <c r="L997" t="s">
        <v>2041</v>
      </c>
      <c r="M997">
        <v>104</v>
      </c>
      <c r="N997">
        <v>1750</v>
      </c>
      <c r="O997">
        <v>2998</v>
      </c>
      <c r="P997" s="13">
        <f t="shared" si="105"/>
        <v>0</v>
      </c>
      <c r="Q997" t="str">
        <f t="shared" si="106"/>
        <v>No</v>
      </c>
      <c r="R997" t="str" cm="1">
        <f t="array" ref="R997">_xlfn.IFS(K997=0,"On Time",K997&lt;=2,"Minor",K997&lt;=5,"Major",K997&gt;5,"Severe")</f>
        <v>Minor</v>
      </c>
      <c r="S997">
        <f t="shared" si="107"/>
        <v>2998</v>
      </c>
      <c r="T997">
        <f t="shared" si="108"/>
        <v>1750</v>
      </c>
      <c r="U997">
        <f t="shared" si="109"/>
        <v>2024</v>
      </c>
      <c r="V997">
        <f t="shared" si="110"/>
        <v>8</v>
      </c>
      <c r="W997" s="11">
        <f t="shared" si="111"/>
        <v>1</v>
      </c>
    </row>
    <row r="998" spans="1:23">
      <c r="A998" t="s">
        <v>1011</v>
      </c>
      <c r="B998" s="4">
        <v>45487</v>
      </c>
      <c r="C998" t="s">
        <v>2016</v>
      </c>
      <c r="D998" t="s">
        <v>2021</v>
      </c>
      <c r="E998" t="s">
        <v>2028</v>
      </c>
      <c r="F998" t="s">
        <v>2031</v>
      </c>
      <c r="G998" t="s">
        <v>2034</v>
      </c>
      <c r="H998" t="s">
        <v>2039</v>
      </c>
      <c r="I998">
        <v>3</v>
      </c>
      <c r="J998">
        <v>6</v>
      </c>
      <c r="K998">
        <v>3</v>
      </c>
      <c r="L998" t="s">
        <v>2041</v>
      </c>
      <c r="M998">
        <v>253</v>
      </c>
      <c r="N998">
        <v>7431</v>
      </c>
      <c r="O998">
        <v>7695</v>
      </c>
      <c r="P998" s="13">
        <f t="shared" si="105"/>
        <v>0</v>
      </c>
      <c r="Q998" t="str">
        <f t="shared" si="106"/>
        <v>No</v>
      </c>
      <c r="R998" t="str" cm="1">
        <f t="array" ref="R998">_xlfn.IFS(K998=0,"On Time",K998&lt;=2,"Minor",K998&lt;=5,"Major",K998&gt;5,"Severe")</f>
        <v>Major</v>
      </c>
      <c r="S998">
        <f t="shared" si="107"/>
        <v>2565</v>
      </c>
      <c r="T998">
        <f t="shared" si="108"/>
        <v>2477</v>
      </c>
      <c r="U998">
        <f t="shared" si="109"/>
        <v>2024</v>
      </c>
      <c r="V998">
        <f t="shared" si="110"/>
        <v>7</v>
      </c>
      <c r="W998" s="11">
        <f t="shared" si="111"/>
        <v>1</v>
      </c>
    </row>
    <row r="999" spans="1:23">
      <c r="A999" t="s">
        <v>1012</v>
      </c>
      <c r="B999" s="4">
        <v>45503</v>
      </c>
      <c r="C999" t="s">
        <v>2015</v>
      </c>
      <c r="D999" t="s">
        <v>2020</v>
      </c>
      <c r="E999" t="s">
        <v>2027</v>
      </c>
      <c r="F999" t="s">
        <v>2030</v>
      </c>
      <c r="G999" t="s">
        <v>2035</v>
      </c>
      <c r="H999" t="s">
        <v>2040</v>
      </c>
      <c r="I999">
        <v>3</v>
      </c>
      <c r="J999">
        <v>11</v>
      </c>
      <c r="K999">
        <v>8</v>
      </c>
      <c r="L999" t="s">
        <v>2041</v>
      </c>
      <c r="M999">
        <v>464</v>
      </c>
      <c r="N999">
        <v>17216</v>
      </c>
      <c r="O999">
        <v>21400</v>
      </c>
      <c r="P999" s="13">
        <f t="shared" si="105"/>
        <v>0</v>
      </c>
      <c r="Q999" t="str">
        <f t="shared" si="106"/>
        <v>No</v>
      </c>
      <c r="R999" t="str" cm="1">
        <f t="array" ref="R999">_xlfn.IFS(K999=0,"On Time",K999&lt;=2,"Minor",K999&lt;=5,"Major",K999&gt;5,"Severe")</f>
        <v>Severe</v>
      </c>
      <c r="S999">
        <f t="shared" si="107"/>
        <v>2675</v>
      </c>
      <c r="T999">
        <f t="shared" si="108"/>
        <v>2152</v>
      </c>
      <c r="U999">
        <f t="shared" si="109"/>
        <v>2024</v>
      </c>
      <c r="V999">
        <f t="shared" si="110"/>
        <v>7</v>
      </c>
      <c r="W999" s="11">
        <f t="shared" si="111"/>
        <v>1</v>
      </c>
    </row>
    <row r="1000" spans="1:23">
      <c r="A1000" t="s">
        <v>1013</v>
      </c>
      <c r="B1000" s="4">
        <v>45587</v>
      </c>
      <c r="C1000" t="s">
        <v>2015</v>
      </c>
      <c r="D1000" t="s">
        <v>2019</v>
      </c>
      <c r="E1000" t="s">
        <v>2029</v>
      </c>
      <c r="F1000" t="s">
        <v>2031</v>
      </c>
      <c r="G1000" t="s">
        <v>2036</v>
      </c>
      <c r="H1000" t="s">
        <v>2038</v>
      </c>
      <c r="I1000">
        <v>1</v>
      </c>
      <c r="J1000">
        <v>2</v>
      </c>
      <c r="K1000">
        <v>1</v>
      </c>
      <c r="L1000" t="s">
        <v>2041</v>
      </c>
      <c r="M1000">
        <v>251</v>
      </c>
      <c r="N1000">
        <v>1780</v>
      </c>
      <c r="O1000">
        <v>2560</v>
      </c>
      <c r="P1000" s="13">
        <f t="shared" si="105"/>
        <v>0</v>
      </c>
      <c r="Q1000" t="str">
        <f t="shared" si="106"/>
        <v>No</v>
      </c>
      <c r="R1000" t="str" cm="1">
        <f t="array" ref="R1000">_xlfn.IFS(K1000=0,"On Time",K1000&lt;=2,"Minor",K1000&lt;=5,"Major",K1000&gt;5,"Severe")</f>
        <v>Minor</v>
      </c>
      <c r="S1000">
        <f t="shared" si="107"/>
        <v>2560</v>
      </c>
      <c r="T1000">
        <f t="shared" si="108"/>
        <v>1780</v>
      </c>
      <c r="U1000">
        <f t="shared" si="109"/>
        <v>2024</v>
      </c>
      <c r="V1000">
        <f t="shared" si="110"/>
        <v>10</v>
      </c>
      <c r="W1000" s="11">
        <f t="shared" si="111"/>
        <v>1</v>
      </c>
    </row>
    <row r="1001" spans="1:23">
      <c r="A1001" t="s">
        <v>1014</v>
      </c>
      <c r="B1001" s="4">
        <v>45557</v>
      </c>
      <c r="C1001" t="s">
        <v>2018</v>
      </c>
      <c r="D1001" t="s">
        <v>2024</v>
      </c>
      <c r="E1001" t="s">
        <v>2029</v>
      </c>
      <c r="F1001" t="s">
        <v>2031</v>
      </c>
      <c r="G1001" t="s">
        <v>2033</v>
      </c>
      <c r="H1001" t="s">
        <v>2039</v>
      </c>
      <c r="I1001">
        <v>3</v>
      </c>
      <c r="J1001">
        <v>6</v>
      </c>
      <c r="K1001">
        <v>3</v>
      </c>
      <c r="L1001" t="s">
        <v>2041</v>
      </c>
      <c r="M1001">
        <v>104</v>
      </c>
      <c r="N1001">
        <v>5070</v>
      </c>
      <c r="O1001">
        <v>10338</v>
      </c>
      <c r="P1001" s="13">
        <f t="shared" si="105"/>
        <v>0</v>
      </c>
      <c r="Q1001" t="str">
        <f t="shared" si="106"/>
        <v>No</v>
      </c>
      <c r="R1001" t="str" cm="1">
        <f t="array" ref="R1001">_xlfn.IFS(K1001=0,"On Time",K1001&lt;=2,"Minor",K1001&lt;=5,"Major",K1001&gt;5,"Severe")</f>
        <v>Major</v>
      </c>
      <c r="S1001">
        <f t="shared" si="107"/>
        <v>3446</v>
      </c>
      <c r="T1001">
        <f t="shared" si="108"/>
        <v>1690</v>
      </c>
      <c r="U1001">
        <f t="shared" si="109"/>
        <v>2024</v>
      </c>
      <c r="V1001">
        <f t="shared" si="110"/>
        <v>9</v>
      </c>
      <c r="W1001" s="11">
        <f t="shared" si="111"/>
        <v>1</v>
      </c>
    </row>
    <row r="1002" spans="1:23">
      <c r="A1002" t="s">
        <v>1015</v>
      </c>
      <c r="B1002" s="4">
        <v>45566</v>
      </c>
      <c r="C1002" t="s">
        <v>2018</v>
      </c>
      <c r="D1002" t="s">
        <v>2026</v>
      </c>
      <c r="E1002" t="s">
        <v>2027</v>
      </c>
      <c r="F1002" t="s">
        <v>2031</v>
      </c>
      <c r="G1002" t="s">
        <v>2035</v>
      </c>
      <c r="H1002" t="s">
        <v>2039</v>
      </c>
      <c r="I1002">
        <v>2</v>
      </c>
      <c r="J1002">
        <v>7</v>
      </c>
      <c r="K1002">
        <v>5</v>
      </c>
      <c r="L1002" t="s">
        <v>2041</v>
      </c>
      <c r="M1002">
        <v>75</v>
      </c>
      <c r="N1002">
        <v>11920</v>
      </c>
      <c r="O1002">
        <v>9675</v>
      </c>
      <c r="P1002" s="13">
        <f t="shared" si="105"/>
        <v>0</v>
      </c>
      <c r="Q1002" t="str">
        <f t="shared" si="106"/>
        <v>No</v>
      </c>
      <c r="R1002" t="str" cm="1">
        <f t="array" ref="R1002">_xlfn.IFS(K1002=0,"On Time",K1002&lt;=2,"Minor",K1002&lt;=5,"Major",K1002&gt;5,"Severe")</f>
        <v>Major</v>
      </c>
      <c r="S1002">
        <f t="shared" si="107"/>
        <v>1935</v>
      </c>
      <c r="T1002">
        <f t="shared" si="108"/>
        <v>2384</v>
      </c>
      <c r="U1002">
        <f t="shared" si="109"/>
        <v>2024</v>
      </c>
      <c r="V1002">
        <f t="shared" si="110"/>
        <v>10</v>
      </c>
      <c r="W1002" s="11">
        <f t="shared" si="111"/>
        <v>1</v>
      </c>
    </row>
    <row r="1003" spans="1:23">
      <c r="A1003" t="s">
        <v>1016</v>
      </c>
      <c r="B1003" s="4">
        <v>45547</v>
      </c>
      <c r="C1003" t="s">
        <v>2016</v>
      </c>
      <c r="D1003" t="s">
        <v>2021</v>
      </c>
      <c r="E1003" t="s">
        <v>2028</v>
      </c>
      <c r="F1003" t="s">
        <v>2030</v>
      </c>
      <c r="G1003" t="s">
        <v>2037</v>
      </c>
      <c r="H1003" t="s">
        <v>2039</v>
      </c>
      <c r="I1003">
        <v>3</v>
      </c>
      <c r="J1003">
        <v>4</v>
      </c>
      <c r="K1003">
        <v>1</v>
      </c>
      <c r="L1003" t="s">
        <v>2041</v>
      </c>
      <c r="M1003">
        <v>181</v>
      </c>
      <c r="N1003">
        <v>2222</v>
      </c>
      <c r="O1003">
        <v>2241</v>
      </c>
      <c r="P1003" s="13">
        <f t="shared" si="105"/>
        <v>0</v>
      </c>
      <c r="Q1003" t="str">
        <f t="shared" si="106"/>
        <v>No</v>
      </c>
      <c r="R1003" t="str" cm="1">
        <f t="array" ref="R1003">_xlfn.IFS(K1003=0,"On Time",K1003&lt;=2,"Minor",K1003&lt;=5,"Major",K1003&gt;5,"Severe")</f>
        <v>Minor</v>
      </c>
      <c r="S1003">
        <f t="shared" si="107"/>
        <v>2241</v>
      </c>
      <c r="T1003">
        <f t="shared" si="108"/>
        <v>2222</v>
      </c>
      <c r="U1003">
        <f t="shared" si="109"/>
        <v>2024</v>
      </c>
      <c r="V1003">
        <f t="shared" si="110"/>
        <v>9</v>
      </c>
      <c r="W1003" s="11">
        <f t="shared" si="111"/>
        <v>1</v>
      </c>
    </row>
    <row r="1004" spans="1:23">
      <c r="A1004" t="s">
        <v>1017</v>
      </c>
      <c r="B1004" s="4">
        <v>45523</v>
      </c>
      <c r="C1004" t="s">
        <v>2018</v>
      </c>
      <c r="D1004" t="s">
        <v>2026</v>
      </c>
      <c r="E1004" t="s">
        <v>2029</v>
      </c>
      <c r="F1004" t="s">
        <v>2032</v>
      </c>
      <c r="G1004" t="s">
        <v>2035</v>
      </c>
      <c r="H1004" t="s">
        <v>2039</v>
      </c>
      <c r="I1004">
        <v>1</v>
      </c>
      <c r="J1004">
        <v>5</v>
      </c>
      <c r="K1004">
        <v>4</v>
      </c>
      <c r="L1004" t="s">
        <v>2041</v>
      </c>
      <c r="M1004">
        <v>436</v>
      </c>
      <c r="N1004">
        <v>6792</v>
      </c>
      <c r="O1004">
        <v>9400</v>
      </c>
      <c r="P1004" s="13">
        <f t="shared" si="105"/>
        <v>0</v>
      </c>
      <c r="Q1004" t="str">
        <f t="shared" si="106"/>
        <v>No</v>
      </c>
      <c r="R1004" t="str" cm="1">
        <f t="array" ref="R1004">_xlfn.IFS(K1004=0,"On Time",K1004&lt;=2,"Minor",K1004&lt;=5,"Major",K1004&gt;5,"Severe")</f>
        <v>Major</v>
      </c>
      <c r="S1004">
        <f t="shared" si="107"/>
        <v>2350</v>
      </c>
      <c r="T1004">
        <f t="shared" si="108"/>
        <v>1698</v>
      </c>
      <c r="U1004">
        <f t="shared" si="109"/>
        <v>2024</v>
      </c>
      <c r="V1004">
        <f t="shared" si="110"/>
        <v>8</v>
      </c>
      <c r="W1004" s="11">
        <f t="shared" si="111"/>
        <v>1</v>
      </c>
    </row>
    <row r="1005" spans="1:23">
      <c r="A1005" t="s">
        <v>1018</v>
      </c>
      <c r="B1005" s="4">
        <v>45486</v>
      </c>
      <c r="C1005" t="s">
        <v>2017</v>
      </c>
      <c r="D1005" t="s">
        <v>2022</v>
      </c>
      <c r="E1005" t="s">
        <v>2029</v>
      </c>
      <c r="F1005" t="s">
        <v>2030</v>
      </c>
      <c r="G1005" t="s">
        <v>2035</v>
      </c>
      <c r="H1005" t="s">
        <v>2040</v>
      </c>
      <c r="I1005">
        <v>2</v>
      </c>
      <c r="J1005">
        <v>10</v>
      </c>
      <c r="K1005">
        <v>8</v>
      </c>
      <c r="L1005" t="s">
        <v>2041</v>
      </c>
      <c r="M1005">
        <v>275</v>
      </c>
      <c r="N1005">
        <v>17392</v>
      </c>
      <c r="O1005">
        <v>27776</v>
      </c>
      <c r="P1005" s="13">
        <f t="shared" si="105"/>
        <v>0</v>
      </c>
      <c r="Q1005" t="str">
        <f t="shared" si="106"/>
        <v>No</v>
      </c>
      <c r="R1005" t="str" cm="1">
        <f t="array" ref="R1005">_xlfn.IFS(K1005=0,"On Time",K1005&lt;=2,"Minor",K1005&lt;=5,"Major",K1005&gt;5,"Severe")</f>
        <v>Severe</v>
      </c>
      <c r="S1005">
        <f t="shared" si="107"/>
        <v>3472</v>
      </c>
      <c r="T1005">
        <f t="shared" si="108"/>
        <v>2174</v>
      </c>
      <c r="U1005">
        <f t="shared" si="109"/>
        <v>2024</v>
      </c>
      <c r="V1005">
        <f t="shared" si="110"/>
        <v>7</v>
      </c>
      <c r="W1005" s="11">
        <f t="shared" si="111"/>
        <v>1</v>
      </c>
    </row>
    <row r="1006" spans="1:23">
      <c r="A1006" t="s">
        <v>1019</v>
      </c>
      <c r="B1006" s="4">
        <v>45355</v>
      </c>
      <c r="C1006" t="s">
        <v>2018</v>
      </c>
      <c r="D1006" t="s">
        <v>2026</v>
      </c>
      <c r="E1006" t="s">
        <v>2029</v>
      </c>
      <c r="F1006" t="s">
        <v>2030</v>
      </c>
      <c r="G1006" t="s">
        <v>2034</v>
      </c>
      <c r="H1006" t="s">
        <v>2040</v>
      </c>
      <c r="I1006">
        <v>3</v>
      </c>
      <c r="J1006">
        <v>8</v>
      </c>
      <c r="K1006">
        <v>5</v>
      </c>
      <c r="L1006" t="s">
        <v>2041</v>
      </c>
      <c r="M1006">
        <v>154</v>
      </c>
      <c r="N1006">
        <v>8485</v>
      </c>
      <c r="O1006">
        <v>17925</v>
      </c>
      <c r="P1006" s="13">
        <f t="shared" si="105"/>
        <v>0</v>
      </c>
      <c r="Q1006" t="str">
        <f t="shared" si="106"/>
        <v>No</v>
      </c>
      <c r="R1006" t="str" cm="1">
        <f t="array" ref="R1006">_xlfn.IFS(K1006=0,"On Time",K1006&lt;=2,"Minor",K1006&lt;=5,"Major",K1006&gt;5,"Severe")</f>
        <v>Major</v>
      </c>
      <c r="S1006">
        <f t="shared" si="107"/>
        <v>3585</v>
      </c>
      <c r="T1006">
        <f t="shared" si="108"/>
        <v>1697</v>
      </c>
      <c r="U1006">
        <f t="shared" si="109"/>
        <v>2024</v>
      </c>
      <c r="V1006">
        <f t="shared" si="110"/>
        <v>3</v>
      </c>
      <c r="W1006" s="11">
        <f t="shared" si="111"/>
        <v>1</v>
      </c>
    </row>
    <row r="1007" spans="1:23">
      <c r="A1007" t="s">
        <v>1020</v>
      </c>
      <c r="B1007" s="4">
        <v>45560</v>
      </c>
      <c r="C1007" t="s">
        <v>2018</v>
      </c>
      <c r="D1007" t="s">
        <v>2024</v>
      </c>
      <c r="E1007" t="s">
        <v>2029</v>
      </c>
      <c r="F1007" t="s">
        <v>2030</v>
      </c>
      <c r="G1007" t="s">
        <v>2034</v>
      </c>
      <c r="H1007" t="s">
        <v>2038</v>
      </c>
      <c r="I1007">
        <v>3</v>
      </c>
      <c r="J1007">
        <v>5</v>
      </c>
      <c r="K1007">
        <v>2</v>
      </c>
      <c r="L1007" t="s">
        <v>2041</v>
      </c>
      <c r="M1007">
        <v>389</v>
      </c>
      <c r="N1007">
        <v>4930</v>
      </c>
      <c r="O1007">
        <v>4652</v>
      </c>
      <c r="P1007" s="13">
        <f t="shared" si="105"/>
        <v>0</v>
      </c>
      <c r="Q1007" t="str">
        <f t="shared" si="106"/>
        <v>No</v>
      </c>
      <c r="R1007" t="str" cm="1">
        <f t="array" ref="R1007">_xlfn.IFS(K1007=0,"On Time",K1007&lt;=2,"Minor",K1007&lt;=5,"Major",K1007&gt;5,"Severe")</f>
        <v>Minor</v>
      </c>
      <c r="S1007">
        <f t="shared" si="107"/>
        <v>2326</v>
      </c>
      <c r="T1007">
        <f t="shared" si="108"/>
        <v>2465</v>
      </c>
      <c r="U1007">
        <f t="shared" si="109"/>
        <v>2024</v>
      </c>
      <c r="V1007">
        <f t="shared" si="110"/>
        <v>9</v>
      </c>
      <c r="W1007" s="11">
        <f t="shared" si="111"/>
        <v>1</v>
      </c>
    </row>
    <row r="1008" spans="1:23">
      <c r="A1008" t="s">
        <v>1021</v>
      </c>
      <c r="B1008" s="4">
        <v>45521</v>
      </c>
      <c r="C1008" t="s">
        <v>2015</v>
      </c>
      <c r="D1008" t="s">
        <v>2019</v>
      </c>
      <c r="E1008" t="s">
        <v>2027</v>
      </c>
      <c r="F1008" t="s">
        <v>2030</v>
      </c>
      <c r="G1008" t="s">
        <v>2037</v>
      </c>
      <c r="H1008" t="s">
        <v>2039</v>
      </c>
      <c r="I1008">
        <v>1</v>
      </c>
      <c r="J1008">
        <v>3</v>
      </c>
      <c r="K1008">
        <v>2</v>
      </c>
      <c r="L1008" t="s">
        <v>2041</v>
      </c>
      <c r="M1008">
        <v>391</v>
      </c>
      <c r="N1008">
        <v>3378</v>
      </c>
      <c r="O1008">
        <v>4072</v>
      </c>
      <c r="P1008" s="13">
        <f t="shared" si="105"/>
        <v>0</v>
      </c>
      <c r="Q1008" t="str">
        <f t="shared" si="106"/>
        <v>No</v>
      </c>
      <c r="R1008" t="str" cm="1">
        <f t="array" ref="R1008">_xlfn.IFS(K1008=0,"On Time",K1008&lt;=2,"Minor",K1008&lt;=5,"Major",K1008&gt;5,"Severe")</f>
        <v>Minor</v>
      </c>
      <c r="S1008">
        <f t="shared" si="107"/>
        <v>2036</v>
      </c>
      <c r="T1008">
        <f t="shared" si="108"/>
        <v>1689</v>
      </c>
      <c r="U1008">
        <f t="shared" si="109"/>
        <v>2024</v>
      </c>
      <c r="V1008">
        <f t="shared" si="110"/>
        <v>8</v>
      </c>
      <c r="W1008" s="11">
        <f t="shared" si="111"/>
        <v>1</v>
      </c>
    </row>
    <row r="1009" spans="1:23">
      <c r="A1009" t="s">
        <v>1022</v>
      </c>
      <c r="B1009" s="4">
        <v>45487</v>
      </c>
      <c r="C1009" t="s">
        <v>2017</v>
      </c>
      <c r="D1009" t="s">
        <v>2023</v>
      </c>
      <c r="E1009" t="s">
        <v>2027</v>
      </c>
      <c r="F1009" t="s">
        <v>2032</v>
      </c>
      <c r="G1009" t="s">
        <v>2033</v>
      </c>
      <c r="H1009" t="s">
        <v>2040</v>
      </c>
      <c r="I1009">
        <v>1</v>
      </c>
      <c r="J1009">
        <v>9</v>
      </c>
      <c r="K1009">
        <v>8</v>
      </c>
      <c r="L1009" t="s">
        <v>2041</v>
      </c>
      <c r="M1009">
        <v>206</v>
      </c>
      <c r="N1009">
        <v>8192</v>
      </c>
      <c r="O1009">
        <v>36872</v>
      </c>
      <c r="P1009" s="13">
        <f t="shared" si="105"/>
        <v>0</v>
      </c>
      <c r="Q1009" t="str">
        <f t="shared" si="106"/>
        <v>No</v>
      </c>
      <c r="R1009" t="str" cm="1">
        <f t="array" ref="R1009">_xlfn.IFS(K1009=0,"On Time",K1009&lt;=2,"Minor",K1009&lt;=5,"Major",K1009&gt;5,"Severe")</f>
        <v>Severe</v>
      </c>
      <c r="S1009">
        <f t="shared" si="107"/>
        <v>4609</v>
      </c>
      <c r="T1009">
        <f t="shared" si="108"/>
        <v>1024</v>
      </c>
      <c r="U1009">
        <f t="shared" si="109"/>
        <v>2024</v>
      </c>
      <c r="V1009">
        <f t="shared" si="110"/>
        <v>7</v>
      </c>
      <c r="W1009" s="11">
        <f t="shared" si="111"/>
        <v>1</v>
      </c>
    </row>
    <row r="1010" spans="1:23">
      <c r="A1010" t="s">
        <v>1023</v>
      </c>
      <c r="B1010" s="4">
        <v>45530</v>
      </c>
      <c r="C1010" t="s">
        <v>2016</v>
      </c>
      <c r="D1010" t="s">
        <v>2025</v>
      </c>
      <c r="E1010" t="s">
        <v>2029</v>
      </c>
      <c r="F1010" t="s">
        <v>2031</v>
      </c>
      <c r="G1010" t="s">
        <v>2037</v>
      </c>
      <c r="H1010" t="s">
        <v>2038</v>
      </c>
      <c r="I1010">
        <v>1</v>
      </c>
      <c r="J1010">
        <v>6</v>
      </c>
      <c r="K1010">
        <v>5</v>
      </c>
      <c r="L1010" t="s">
        <v>2041</v>
      </c>
      <c r="M1010">
        <v>389</v>
      </c>
      <c r="N1010">
        <v>9550</v>
      </c>
      <c r="O1010">
        <v>14745</v>
      </c>
      <c r="P1010" s="13">
        <f t="shared" si="105"/>
        <v>0</v>
      </c>
      <c r="Q1010" t="str">
        <f t="shared" si="106"/>
        <v>No</v>
      </c>
      <c r="R1010" t="str" cm="1">
        <f t="array" ref="R1010">_xlfn.IFS(K1010=0,"On Time",K1010&lt;=2,"Minor",K1010&lt;=5,"Major",K1010&gt;5,"Severe")</f>
        <v>Major</v>
      </c>
      <c r="S1010">
        <f t="shared" si="107"/>
        <v>2949</v>
      </c>
      <c r="T1010">
        <f t="shared" si="108"/>
        <v>1910</v>
      </c>
      <c r="U1010">
        <f t="shared" si="109"/>
        <v>2024</v>
      </c>
      <c r="V1010">
        <f t="shared" si="110"/>
        <v>8</v>
      </c>
      <c r="W1010" s="11">
        <f t="shared" si="111"/>
        <v>1</v>
      </c>
    </row>
    <row r="1011" spans="1:23">
      <c r="A1011" t="s">
        <v>1024</v>
      </c>
      <c r="B1011" s="4">
        <v>45420</v>
      </c>
      <c r="C1011" t="s">
        <v>2017</v>
      </c>
      <c r="D1011" t="s">
        <v>2023</v>
      </c>
      <c r="E1011" t="s">
        <v>2029</v>
      </c>
      <c r="F1011" t="s">
        <v>2031</v>
      </c>
      <c r="G1011" t="s">
        <v>2035</v>
      </c>
      <c r="H1011" t="s">
        <v>2039</v>
      </c>
      <c r="I1011">
        <v>1</v>
      </c>
      <c r="J1011">
        <v>6</v>
      </c>
      <c r="K1011">
        <v>5</v>
      </c>
      <c r="L1011" t="s">
        <v>2041</v>
      </c>
      <c r="M1011">
        <v>254</v>
      </c>
      <c r="N1011">
        <v>5340</v>
      </c>
      <c r="O1011">
        <v>11490</v>
      </c>
      <c r="P1011" s="13">
        <f t="shared" si="105"/>
        <v>0</v>
      </c>
      <c r="Q1011" t="str">
        <f t="shared" si="106"/>
        <v>No</v>
      </c>
      <c r="R1011" t="str" cm="1">
        <f t="array" ref="R1011">_xlfn.IFS(K1011=0,"On Time",K1011&lt;=2,"Minor",K1011&lt;=5,"Major",K1011&gt;5,"Severe")</f>
        <v>Major</v>
      </c>
      <c r="S1011">
        <f t="shared" si="107"/>
        <v>2298</v>
      </c>
      <c r="T1011">
        <f t="shared" si="108"/>
        <v>1068</v>
      </c>
      <c r="U1011">
        <f t="shared" si="109"/>
        <v>2024</v>
      </c>
      <c r="V1011">
        <f t="shared" si="110"/>
        <v>5</v>
      </c>
      <c r="W1011" s="11">
        <f t="shared" si="111"/>
        <v>1</v>
      </c>
    </row>
    <row r="1012" spans="1:23">
      <c r="A1012" t="s">
        <v>1025</v>
      </c>
      <c r="B1012" s="4">
        <v>45544</v>
      </c>
      <c r="C1012" t="s">
        <v>2015</v>
      </c>
      <c r="D1012" t="s">
        <v>2019</v>
      </c>
      <c r="E1012" t="s">
        <v>2029</v>
      </c>
      <c r="F1012" t="s">
        <v>2031</v>
      </c>
      <c r="G1012" t="s">
        <v>2035</v>
      </c>
      <c r="H1012" t="s">
        <v>2038</v>
      </c>
      <c r="I1012">
        <v>2</v>
      </c>
      <c r="J1012">
        <v>7</v>
      </c>
      <c r="K1012">
        <v>5</v>
      </c>
      <c r="L1012" t="s">
        <v>2041</v>
      </c>
      <c r="M1012">
        <v>386</v>
      </c>
      <c r="N1012">
        <v>10105</v>
      </c>
      <c r="O1012">
        <v>13255</v>
      </c>
      <c r="P1012" s="13">
        <f t="shared" si="105"/>
        <v>0</v>
      </c>
      <c r="Q1012" t="str">
        <f t="shared" si="106"/>
        <v>No</v>
      </c>
      <c r="R1012" t="str" cm="1">
        <f t="array" ref="R1012">_xlfn.IFS(K1012=0,"On Time",K1012&lt;=2,"Minor",K1012&lt;=5,"Major",K1012&gt;5,"Severe")</f>
        <v>Major</v>
      </c>
      <c r="S1012">
        <f t="shared" si="107"/>
        <v>2651</v>
      </c>
      <c r="T1012">
        <f t="shared" si="108"/>
        <v>2021</v>
      </c>
      <c r="U1012">
        <f t="shared" si="109"/>
        <v>2024</v>
      </c>
      <c r="V1012">
        <f t="shared" si="110"/>
        <v>9</v>
      </c>
      <c r="W1012" s="11">
        <f t="shared" si="111"/>
        <v>1</v>
      </c>
    </row>
    <row r="1013" spans="1:23">
      <c r="A1013" t="s">
        <v>1026</v>
      </c>
      <c r="B1013" s="4">
        <v>45585</v>
      </c>
      <c r="C1013" t="s">
        <v>2018</v>
      </c>
      <c r="D1013" t="s">
        <v>2024</v>
      </c>
      <c r="E1013" t="s">
        <v>2029</v>
      </c>
      <c r="F1013" t="s">
        <v>2030</v>
      </c>
      <c r="G1013" t="s">
        <v>2035</v>
      </c>
      <c r="H1013" t="s">
        <v>2040</v>
      </c>
      <c r="I1013">
        <v>1</v>
      </c>
      <c r="J1013">
        <v>3</v>
      </c>
      <c r="K1013">
        <v>2</v>
      </c>
      <c r="L1013" t="s">
        <v>2041</v>
      </c>
      <c r="M1013">
        <v>313</v>
      </c>
      <c r="N1013">
        <v>4860</v>
      </c>
      <c r="O1013">
        <v>9534</v>
      </c>
      <c r="P1013" s="13">
        <f t="shared" si="105"/>
        <v>0</v>
      </c>
      <c r="Q1013" t="str">
        <f t="shared" si="106"/>
        <v>No</v>
      </c>
      <c r="R1013" t="str" cm="1">
        <f t="array" ref="R1013">_xlfn.IFS(K1013=0,"On Time",K1013&lt;=2,"Minor",K1013&lt;=5,"Major",K1013&gt;5,"Severe")</f>
        <v>Minor</v>
      </c>
      <c r="S1013">
        <f t="shared" si="107"/>
        <v>4767</v>
      </c>
      <c r="T1013">
        <f t="shared" si="108"/>
        <v>2430</v>
      </c>
      <c r="U1013">
        <f t="shared" si="109"/>
        <v>2024</v>
      </c>
      <c r="V1013">
        <f t="shared" si="110"/>
        <v>10</v>
      </c>
      <c r="W1013" s="11">
        <f t="shared" si="111"/>
        <v>1</v>
      </c>
    </row>
    <row r="1014" spans="1:23">
      <c r="A1014" t="s">
        <v>1027</v>
      </c>
      <c r="B1014" s="4">
        <v>45300</v>
      </c>
      <c r="C1014" t="s">
        <v>2017</v>
      </c>
      <c r="D1014" t="s">
        <v>2022</v>
      </c>
      <c r="E1014" t="s">
        <v>2028</v>
      </c>
      <c r="F1014" t="s">
        <v>2032</v>
      </c>
      <c r="G1014" t="s">
        <v>2034</v>
      </c>
      <c r="H1014" t="s">
        <v>2039</v>
      </c>
      <c r="I1014">
        <v>1</v>
      </c>
      <c r="J1014">
        <v>6</v>
      </c>
      <c r="K1014">
        <v>5</v>
      </c>
      <c r="L1014" t="s">
        <v>2041</v>
      </c>
      <c r="M1014">
        <v>337</v>
      </c>
      <c r="N1014">
        <v>4790</v>
      </c>
      <c r="O1014">
        <v>9125</v>
      </c>
      <c r="P1014" s="13">
        <f t="shared" si="105"/>
        <v>0</v>
      </c>
      <c r="Q1014" t="str">
        <f t="shared" si="106"/>
        <v>No</v>
      </c>
      <c r="R1014" t="str" cm="1">
        <f t="array" ref="R1014">_xlfn.IFS(K1014=0,"On Time",K1014&lt;=2,"Minor",K1014&lt;=5,"Major",K1014&gt;5,"Severe")</f>
        <v>Major</v>
      </c>
      <c r="S1014">
        <f t="shared" si="107"/>
        <v>1825</v>
      </c>
      <c r="T1014">
        <f t="shared" si="108"/>
        <v>958</v>
      </c>
      <c r="U1014">
        <f t="shared" si="109"/>
        <v>2024</v>
      </c>
      <c r="V1014">
        <f t="shared" si="110"/>
        <v>1</v>
      </c>
      <c r="W1014" s="11">
        <f t="shared" si="111"/>
        <v>1</v>
      </c>
    </row>
    <row r="1015" spans="1:23">
      <c r="A1015" t="s">
        <v>1028</v>
      </c>
      <c r="B1015" s="4">
        <v>45353</v>
      </c>
      <c r="C1015" t="s">
        <v>2015</v>
      </c>
      <c r="D1015" t="s">
        <v>2020</v>
      </c>
      <c r="E1015" t="s">
        <v>2028</v>
      </c>
      <c r="F1015" t="s">
        <v>2031</v>
      </c>
      <c r="G1015" t="s">
        <v>2035</v>
      </c>
      <c r="H1015" t="s">
        <v>2038</v>
      </c>
      <c r="I1015">
        <v>5</v>
      </c>
      <c r="J1015">
        <v>8</v>
      </c>
      <c r="K1015">
        <v>3</v>
      </c>
      <c r="L1015" t="s">
        <v>2041</v>
      </c>
      <c r="M1015">
        <v>295</v>
      </c>
      <c r="N1015">
        <v>7329</v>
      </c>
      <c r="O1015">
        <v>6180</v>
      </c>
      <c r="P1015" s="13">
        <f t="shared" si="105"/>
        <v>0</v>
      </c>
      <c r="Q1015" t="str">
        <f t="shared" si="106"/>
        <v>No</v>
      </c>
      <c r="R1015" t="str" cm="1">
        <f t="array" ref="R1015">_xlfn.IFS(K1015=0,"On Time",K1015&lt;=2,"Minor",K1015&lt;=5,"Major",K1015&gt;5,"Severe")</f>
        <v>Major</v>
      </c>
      <c r="S1015">
        <f t="shared" si="107"/>
        <v>2060</v>
      </c>
      <c r="T1015">
        <f t="shared" si="108"/>
        <v>2443</v>
      </c>
      <c r="U1015">
        <f t="shared" si="109"/>
        <v>2024</v>
      </c>
      <c r="V1015">
        <f t="shared" si="110"/>
        <v>3</v>
      </c>
      <c r="W1015" s="11">
        <f t="shared" si="111"/>
        <v>1</v>
      </c>
    </row>
    <row r="1016" spans="1:23">
      <c r="A1016" t="s">
        <v>1029</v>
      </c>
      <c r="B1016" s="4">
        <v>45462</v>
      </c>
      <c r="C1016" t="s">
        <v>2015</v>
      </c>
      <c r="D1016" t="s">
        <v>2019</v>
      </c>
      <c r="E1016" t="s">
        <v>2029</v>
      </c>
      <c r="F1016" t="s">
        <v>2031</v>
      </c>
      <c r="G1016" t="s">
        <v>2036</v>
      </c>
      <c r="H1016" t="s">
        <v>2039</v>
      </c>
      <c r="I1016">
        <v>2</v>
      </c>
      <c r="J1016">
        <v>4</v>
      </c>
      <c r="K1016">
        <v>2</v>
      </c>
      <c r="L1016" t="s">
        <v>2041</v>
      </c>
      <c r="M1016">
        <v>493</v>
      </c>
      <c r="N1016">
        <v>4848</v>
      </c>
      <c r="O1016">
        <v>6738</v>
      </c>
      <c r="P1016" s="13">
        <f t="shared" si="105"/>
        <v>0</v>
      </c>
      <c r="Q1016" t="str">
        <f t="shared" si="106"/>
        <v>No</v>
      </c>
      <c r="R1016" t="str" cm="1">
        <f t="array" ref="R1016">_xlfn.IFS(K1016=0,"On Time",K1016&lt;=2,"Minor",K1016&lt;=5,"Major",K1016&gt;5,"Severe")</f>
        <v>Minor</v>
      </c>
      <c r="S1016">
        <f t="shared" si="107"/>
        <v>3369</v>
      </c>
      <c r="T1016">
        <f t="shared" si="108"/>
        <v>2424</v>
      </c>
      <c r="U1016">
        <f t="shared" si="109"/>
        <v>2024</v>
      </c>
      <c r="V1016">
        <f t="shared" si="110"/>
        <v>6</v>
      </c>
      <c r="W1016" s="11">
        <f t="shared" si="111"/>
        <v>1</v>
      </c>
    </row>
    <row r="1017" spans="1:23">
      <c r="A1017" t="s">
        <v>1030</v>
      </c>
      <c r="B1017" s="4">
        <v>45528</v>
      </c>
      <c r="C1017" t="s">
        <v>2016</v>
      </c>
      <c r="D1017" t="s">
        <v>2021</v>
      </c>
      <c r="E1017" t="s">
        <v>2028</v>
      </c>
      <c r="F1017" t="s">
        <v>2031</v>
      </c>
      <c r="G1017" t="s">
        <v>2037</v>
      </c>
      <c r="H1017" t="s">
        <v>2038</v>
      </c>
      <c r="I1017">
        <v>2</v>
      </c>
      <c r="J1017">
        <v>4</v>
      </c>
      <c r="K1017">
        <v>2</v>
      </c>
      <c r="L1017" t="s">
        <v>2041</v>
      </c>
      <c r="M1017">
        <v>224</v>
      </c>
      <c r="N1017">
        <v>2492</v>
      </c>
      <c r="O1017">
        <v>8566</v>
      </c>
      <c r="P1017" s="13">
        <f t="shared" si="105"/>
        <v>0</v>
      </c>
      <c r="Q1017" t="str">
        <f t="shared" si="106"/>
        <v>No</v>
      </c>
      <c r="R1017" t="str" cm="1">
        <f t="array" ref="R1017">_xlfn.IFS(K1017=0,"On Time",K1017&lt;=2,"Minor",K1017&lt;=5,"Major",K1017&gt;5,"Severe")</f>
        <v>Minor</v>
      </c>
      <c r="S1017">
        <f t="shared" si="107"/>
        <v>4283</v>
      </c>
      <c r="T1017">
        <f t="shared" si="108"/>
        <v>1246</v>
      </c>
      <c r="U1017">
        <f t="shared" si="109"/>
        <v>2024</v>
      </c>
      <c r="V1017">
        <f t="shared" si="110"/>
        <v>8</v>
      </c>
      <c r="W1017" s="11">
        <f t="shared" si="111"/>
        <v>1</v>
      </c>
    </row>
    <row r="1018" spans="1:23">
      <c r="A1018" t="s">
        <v>1031</v>
      </c>
      <c r="B1018" s="4">
        <v>45605</v>
      </c>
      <c r="C1018" t="s">
        <v>2016</v>
      </c>
      <c r="D1018" t="s">
        <v>2021</v>
      </c>
      <c r="E1018" t="s">
        <v>2027</v>
      </c>
      <c r="F1018" t="s">
        <v>2031</v>
      </c>
      <c r="G1018" t="s">
        <v>2033</v>
      </c>
      <c r="H1018" t="s">
        <v>2038</v>
      </c>
      <c r="I1018">
        <v>3</v>
      </c>
      <c r="J1018">
        <v>7</v>
      </c>
      <c r="K1018">
        <v>4</v>
      </c>
      <c r="L1018" t="s">
        <v>2041</v>
      </c>
      <c r="M1018">
        <v>256</v>
      </c>
      <c r="N1018">
        <v>9864</v>
      </c>
      <c r="O1018">
        <v>10308</v>
      </c>
      <c r="P1018" s="13">
        <f t="shared" si="105"/>
        <v>0</v>
      </c>
      <c r="Q1018" t="str">
        <f t="shared" si="106"/>
        <v>No</v>
      </c>
      <c r="R1018" t="str" cm="1">
        <f t="array" ref="R1018">_xlfn.IFS(K1018=0,"On Time",K1018&lt;=2,"Minor",K1018&lt;=5,"Major",K1018&gt;5,"Severe")</f>
        <v>Major</v>
      </c>
      <c r="S1018">
        <f t="shared" si="107"/>
        <v>2577</v>
      </c>
      <c r="T1018">
        <f t="shared" si="108"/>
        <v>2466</v>
      </c>
      <c r="U1018">
        <f t="shared" si="109"/>
        <v>2024</v>
      </c>
      <c r="V1018">
        <f t="shared" si="110"/>
        <v>11</v>
      </c>
      <c r="W1018" s="11">
        <f t="shared" si="111"/>
        <v>1</v>
      </c>
    </row>
    <row r="1019" spans="1:23">
      <c r="A1019" t="s">
        <v>1032</v>
      </c>
      <c r="B1019" s="4">
        <v>45645</v>
      </c>
      <c r="C1019" t="s">
        <v>2015</v>
      </c>
      <c r="D1019" t="s">
        <v>2019</v>
      </c>
      <c r="E1019" t="s">
        <v>2028</v>
      </c>
      <c r="F1019" t="s">
        <v>2030</v>
      </c>
      <c r="G1019" t="s">
        <v>2037</v>
      </c>
      <c r="H1019" t="s">
        <v>2038</v>
      </c>
      <c r="I1019">
        <v>1</v>
      </c>
      <c r="J1019">
        <v>2</v>
      </c>
      <c r="K1019">
        <v>1</v>
      </c>
      <c r="L1019" t="s">
        <v>2041</v>
      </c>
      <c r="M1019">
        <v>450</v>
      </c>
      <c r="N1019">
        <v>1036</v>
      </c>
      <c r="O1019">
        <v>3856</v>
      </c>
      <c r="P1019" s="13">
        <f t="shared" si="105"/>
        <v>0</v>
      </c>
      <c r="Q1019" t="str">
        <f t="shared" si="106"/>
        <v>No</v>
      </c>
      <c r="R1019" t="str" cm="1">
        <f t="array" ref="R1019">_xlfn.IFS(K1019=0,"On Time",K1019&lt;=2,"Minor",K1019&lt;=5,"Major",K1019&gt;5,"Severe")</f>
        <v>Minor</v>
      </c>
      <c r="S1019">
        <f t="shared" si="107"/>
        <v>3856</v>
      </c>
      <c r="T1019">
        <f t="shared" si="108"/>
        <v>1036</v>
      </c>
      <c r="U1019">
        <f t="shared" si="109"/>
        <v>2024</v>
      </c>
      <c r="V1019">
        <f t="shared" si="110"/>
        <v>12</v>
      </c>
      <c r="W1019" s="11">
        <f t="shared" si="111"/>
        <v>1</v>
      </c>
    </row>
    <row r="1020" spans="1:23">
      <c r="A1020" t="s">
        <v>1033</v>
      </c>
      <c r="B1020" s="4">
        <v>45421</v>
      </c>
      <c r="C1020" t="s">
        <v>2016</v>
      </c>
      <c r="D1020" t="s">
        <v>2021</v>
      </c>
      <c r="E1020" t="s">
        <v>2029</v>
      </c>
      <c r="F1020" t="s">
        <v>2030</v>
      </c>
      <c r="G1020" t="s">
        <v>2035</v>
      </c>
      <c r="H1020" t="s">
        <v>2039</v>
      </c>
      <c r="I1020">
        <v>2</v>
      </c>
      <c r="J1020">
        <v>6</v>
      </c>
      <c r="K1020">
        <v>4</v>
      </c>
      <c r="L1020" t="s">
        <v>2041</v>
      </c>
      <c r="M1020">
        <v>59</v>
      </c>
      <c r="N1020">
        <v>9900</v>
      </c>
      <c r="O1020">
        <v>6348</v>
      </c>
      <c r="P1020" s="13">
        <f t="shared" si="105"/>
        <v>0</v>
      </c>
      <c r="Q1020" t="str">
        <f t="shared" si="106"/>
        <v>No</v>
      </c>
      <c r="R1020" t="str" cm="1">
        <f t="array" ref="R1020">_xlfn.IFS(K1020=0,"On Time",K1020&lt;=2,"Minor",K1020&lt;=5,"Major",K1020&gt;5,"Severe")</f>
        <v>Major</v>
      </c>
      <c r="S1020">
        <f t="shared" si="107"/>
        <v>1587</v>
      </c>
      <c r="T1020">
        <f t="shared" si="108"/>
        <v>2475</v>
      </c>
      <c r="U1020">
        <f t="shared" si="109"/>
        <v>2024</v>
      </c>
      <c r="V1020">
        <f t="shared" si="110"/>
        <v>5</v>
      </c>
      <c r="W1020" s="11">
        <f t="shared" si="111"/>
        <v>1</v>
      </c>
    </row>
    <row r="1021" spans="1:23">
      <c r="A1021" t="s">
        <v>1034</v>
      </c>
      <c r="B1021" s="4">
        <v>45651</v>
      </c>
      <c r="C1021" t="s">
        <v>2015</v>
      </c>
      <c r="D1021" t="s">
        <v>2019</v>
      </c>
      <c r="E1021" t="s">
        <v>2028</v>
      </c>
      <c r="F1021" t="s">
        <v>2030</v>
      </c>
      <c r="G1021" t="s">
        <v>2034</v>
      </c>
      <c r="H1021" t="s">
        <v>2039</v>
      </c>
      <c r="I1021">
        <v>1</v>
      </c>
      <c r="J1021">
        <v>5</v>
      </c>
      <c r="K1021">
        <v>4</v>
      </c>
      <c r="L1021" t="s">
        <v>2041</v>
      </c>
      <c r="M1021">
        <v>285</v>
      </c>
      <c r="N1021">
        <v>9336</v>
      </c>
      <c r="O1021">
        <v>9024</v>
      </c>
      <c r="P1021" s="13">
        <f t="shared" si="105"/>
        <v>0</v>
      </c>
      <c r="Q1021" t="str">
        <f t="shared" si="106"/>
        <v>No</v>
      </c>
      <c r="R1021" t="str" cm="1">
        <f t="array" ref="R1021">_xlfn.IFS(K1021=0,"On Time",K1021&lt;=2,"Minor",K1021&lt;=5,"Major",K1021&gt;5,"Severe")</f>
        <v>Major</v>
      </c>
      <c r="S1021">
        <f t="shared" si="107"/>
        <v>2256</v>
      </c>
      <c r="T1021">
        <f t="shared" si="108"/>
        <v>2334</v>
      </c>
      <c r="U1021">
        <f t="shared" si="109"/>
        <v>2024</v>
      </c>
      <c r="V1021">
        <f t="shared" si="110"/>
        <v>12</v>
      </c>
      <c r="W1021" s="11">
        <f t="shared" si="111"/>
        <v>1</v>
      </c>
    </row>
    <row r="1022" spans="1:23">
      <c r="A1022" t="s">
        <v>1035</v>
      </c>
      <c r="B1022" s="4">
        <v>45312</v>
      </c>
      <c r="C1022" t="s">
        <v>2015</v>
      </c>
      <c r="D1022" t="s">
        <v>2020</v>
      </c>
      <c r="E1022" t="s">
        <v>2028</v>
      </c>
      <c r="F1022" t="s">
        <v>2030</v>
      </c>
      <c r="G1022" t="s">
        <v>2036</v>
      </c>
      <c r="H1022" t="s">
        <v>2038</v>
      </c>
      <c r="I1022">
        <v>1</v>
      </c>
      <c r="J1022">
        <v>6</v>
      </c>
      <c r="K1022">
        <v>5</v>
      </c>
      <c r="L1022" t="s">
        <v>2041</v>
      </c>
      <c r="M1022">
        <v>355</v>
      </c>
      <c r="N1022">
        <v>4720</v>
      </c>
      <c r="O1022">
        <v>18885</v>
      </c>
      <c r="P1022" s="13">
        <f t="shared" si="105"/>
        <v>0</v>
      </c>
      <c r="Q1022" t="str">
        <f t="shared" si="106"/>
        <v>No</v>
      </c>
      <c r="R1022" t="str" cm="1">
        <f t="array" ref="R1022">_xlfn.IFS(K1022=0,"On Time",K1022&lt;=2,"Minor",K1022&lt;=5,"Major",K1022&gt;5,"Severe")</f>
        <v>Major</v>
      </c>
      <c r="S1022">
        <f t="shared" si="107"/>
        <v>3777</v>
      </c>
      <c r="T1022">
        <f t="shared" si="108"/>
        <v>944</v>
      </c>
      <c r="U1022">
        <f t="shared" si="109"/>
        <v>2024</v>
      </c>
      <c r="V1022">
        <f t="shared" si="110"/>
        <v>1</v>
      </c>
      <c r="W1022" s="11">
        <f t="shared" si="111"/>
        <v>1</v>
      </c>
    </row>
    <row r="1023" spans="1:23">
      <c r="A1023" t="s">
        <v>1036</v>
      </c>
      <c r="B1023" s="4">
        <v>45455</v>
      </c>
      <c r="C1023" t="s">
        <v>2017</v>
      </c>
      <c r="D1023" t="s">
        <v>2022</v>
      </c>
      <c r="E1023" t="s">
        <v>2029</v>
      </c>
      <c r="F1023" t="s">
        <v>2031</v>
      </c>
      <c r="G1023" t="s">
        <v>2034</v>
      </c>
      <c r="H1023" t="s">
        <v>2039</v>
      </c>
      <c r="I1023">
        <v>3</v>
      </c>
      <c r="J1023">
        <v>5</v>
      </c>
      <c r="K1023">
        <v>2</v>
      </c>
      <c r="L1023" t="s">
        <v>2041</v>
      </c>
      <c r="M1023">
        <v>122</v>
      </c>
      <c r="N1023">
        <v>4414</v>
      </c>
      <c r="O1023">
        <v>3964</v>
      </c>
      <c r="P1023" s="13">
        <f t="shared" si="105"/>
        <v>0</v>
      </c>
      <c r="Q1023" t="str">
        <f t="shared" si="106"/>
        <v>No</v>
      </c>
      <c r="R1023" t="str" cm="1">
        <f t="array" ref="R1023">_xlfn.IFS(K1023=0,"On Time",K1023&lt;=2,"Minor",K1023&lt;=5,"Major",K1023&gt;5,"Severe")</f>
        <v>Minor</v>
      </c>
      <c r="S1023">
        <f t="shared" si="107"/>
        <v>1982</v>
      </c>
      <c r="T1023">
        <f t="shared" si="108"/>
        <v>2207</v>
      </c>
      <c r="U1023">
        <f t="shared" si="109"/>
        <v>2024</v>
      </c>
      <c r="V1023">
        <f t="shared" si="110"/>
        <v>6</v>
      </c>
      <c r="W1023" s="11">
        <f t="shared" si="111"/>
        <v>1</v>
      </c>
    </row>
    <row r="1024" spans="1:23">
      <c r="A1024" t="s">
        <v>1037</v>
      </c>
      <c r="B1024" s="4">
        <v>45623</v>
      </c>
      <c r="C1024" t="s">
        <v>2017</v>
      </c>
      <c r="D1024" t="s">
        <v>2023</v>
      </c>
      <c r="E1024" t="s">
        <v>2029</v>
      </c>
      <c r="F1024" t="s">
        <v>2031</v>
      </c>
      <c r="G1024" t="s">
        <v>2033</v>
      </c>
      <c r="H1024" t="s">
        <v>2039</v>
      </c>
      <c r="I1024">
        <v>3</v>
      </c>
      <c r="J1024">
        <v>4</v>
      </c>
      <c r="K1024">
        <v>1</v>
      </c>
      <c r="L1024" t="s">
        <v>2041</v>
      </c>
      <c r="M1024">
        <v>188</v>
      </c>
      <c r="N1024">
        <v>1276</v>
      </c>
      <c r="O1024">
        <v>3716</v>
      </c>
      <c r="P1024" s="13">
        <f t="shared" si="105"/>
        <v>0</v>
      </c>
      <c r="Q1024" t="str">
        <f t="shared" si="106"/>
        <v>No</v>
      </c>
      <c r="R1024" t="str" cm="1">
        <f t="array" ref="R1024">_xlfn.IFS(K1024=0,"On Time",K1024&lt;=2,"Minor",K1024&lt;=5,"Major",K1024&gt;5,"Severe")</f>
        <v>Minor</v>
      </c>
      <c r="S1024">
        <f t="shared" si="107"/>
        <v>3716</v>
      </c>
      <c r="T1024">
        <f t="shared" si="108"/>
        <v>1276</v>
      </c>
      <c r="U1024">
        <f t="shared" si="109"/>
        <v>2024</v>
      </c>
      <c r="V1024">
        <f t="shared" si="110"/>
        <v>11</v>
      </c>
      <c r="W1024" s="11">
        <f t="shared" si="111"/>
        <v>1</v>
      </c>
    </row>
    <row r="1025" spans="1:23">
      <c r="A1025" t="s">
        <v>1038</v>
      </c>
      <c r="B1025" s="4">
        <v>45594</v>
      </c>
      <c r="C1025" t="s">
        <v>2018</v>
      </c>
      <c r="D1025" t="s">
        <v>2024</v>
      </c>
      <c r="E1025" t="s">
        <v>2028</v>
      </c>
      <c r="F1025" t="s">
        <v>2031</v>
      </c>
      <c r="G1025" t="s">
        <v>2037</v>
      </c>
      <c r="H1025" t="s">
        <v>2039</v>
      </c>
      <c r="I1025">
        <v>2</v>
      </c>
      <c r="J1025">
        <v>3</v>
      </c>
      <c r="K1025">
        <v>1</v>
      </c>
      <c r="L1025" t="s">
        <v>2041</v>
      </c>
      <c r="M1025">
        <v>330</v>
      </c>
      <c r="N1025">
        <v>1883</v>
      </c>
      <c r="O1025">
        <v>1548</v>
      </c>
      <c r="P1025" s="13">
        <f t="shared" si="105"/>
        <v>0</v>
      </c>
      <c r="Q1025" t="str">
        <f t="shared" si="106"/>
        <v>No</v>
      </c>
      <c r="R1025" t="str" cm="1">
        <f t="array" ref="R1025">_xlfn.IFS(K1025=0,"On Time",K1025&lt;=2,"Minor",K1025&lt;=5,"Major",K1025&gt;5,"Severe")</f>
        <v>Minor</v>
      </c>
      <c r="S1025">
        <f t="shared" si="107"/>
        <v>1548</v>
      </c>
      <c r="T1025">
        <f t="shared" si="108"/>
        <v>1883</v>
      </c>
      <c r="U1025">
        <f t="shared" si="109"/>
        <v>2024</v>
      </c>
      <c r="V1025">
        <f t="shared" si="110"/>
        <v>10</v>
      </c>
      <c r="W1025" s="11">
        <f t="shared" si="111"/>
        <v>1</v>
      </c>
    </row>
    <row r="1026" spans="1:23">
      <c r="A1026" t="s">
        <v>1039</v>
      </c>
      <c r="B1026" s="4">
        <v>45559</v>
      </c>
      <c r="C1026" t="s">
        <v>2017</v>
      </c>
      <c r="D1026" t="s">
        <v>2022</v>
      </c>
      <c r="E1026" t="s">
        <v>2029</v>
      </c>
      <c r="F1026" t="s">
        <v>2030</v>
      </c>
      <c r="G1026" t="s">
        <v>2037</v>
      </c>
      <c r="H1026" t="s">
        <v>2038</v>
      </c>
      <c r="I1026">
        <v>2</v>
      </c>
      <c r="J1026">
        <v>4</v>
      </c>
      <c r="K1026">
        <v>2</v>
      </c>
      <c r="L1026" t="s">
        <v>2041</v>
      </c>
      <c r="M1026">
        <v>331</v>
      </c>
      <c r="N1026">
        <v>2912</v>
      </c>
      <c r="O1026">
        <v>8780</v>
      </c>
      <c r="P1026" s="13">
        <f t="shared" si="105"/>
        <v>0</v>
      </c>
      <c r="Q1026" t="str">
        <f t="shared" si="106"/>
        <v>No</v>
      </c>
      <c r="R1026" t="str" cm="1">
        <f t="array" ref="R1026">_xlfn.IFS(K1026=0,"On Time",K1026&lt;=2,"Minor",K1026&lt;=5,"Major",K1026&gt;5,"Severe")</f>
        <v>Minor</v>
      </c>
      <c r="S1026">
        <f t="shared" si="107"/>
        <v>4390</v>
      </c>
      <c r="T1026">
        <f t="shared" si="108"/>
        <v>1456</v>
      </c>
      <c r="U1026">
        <f t="shared" si="109"/>
        <v>2024</v>
      </c>
      <c r="V1026">
        <f t="shared" si="110"/>
        <v>9</v>
      </c>
      <c r="W1026" s="11">
        <f t="shared" si="111"/>
        <v>1</v>
      </c>
    </row>
    <row r="1027" spans="1:23">
      <c r="A1027" t="s">
        <v>1040</v>
      </c>
      <c r="B1027" s="4">
        <v>45304</v>
      </c>
      <c r="C1027" t="s">
        <v>2018</v>
      </c>
      <c r="D1027" t="s">
        <v>2026</v>
      </c>
      <c r="E1027" t="s">
        <v>2027</v>
      </c>
      <c r="F1027" t="s">
        <v>2031</v>
      </c>
      <c r="G1027" t="s">
        <v>2034</v>
      </c>
      <c r="H1027" t="s">
        <v>2038</v>
      </c>
      <c r="I1027">
        <v>2</v>
      </c>
      <c r="J1027">
        <v>4</v>
      </c>
      <c r="K1027">
        <v>2</v>
      </c>
      <c r="L1027" t="s">
        <v>2041</v>
      </c>
      <c r="M1027">
        <v>332</v>
      </c>
      <c r="N1027">
        <v>4660</v>
      </c>
      <c r="O1027">
        <v>9502</v>
      </c>
      <c r="P1027" s="13">
        <f t="shared" ref="P1027:P1090" si="112">IF(L1027="Yes",0,1)</f>
        <v>0</v>
      </c>
      <c r="Q1027" t="str">
        <f t="shared" ref="Q1027:Q1090" si="113">IF(K1027&gt;J1027,"Yes","No")</f>
        <v>No</v>
      </c>
      <c r="R1027" t="str" cm="1">
        <f t="array" ref="R1027">_xlfn.IFS(K1027=0,"On Time",K1027&lt;=2,"Minor",K1027&lt;=5,"Major",K1027&gt;5,"Severe")</f>
        <v>Minor</v>
      </c>
      <c r="S1027">
        <f t="shared" ref="S1027:S1090" si="114">IFERROR(O1027/K1027,0)</f>
        <v>4751</v>
      </c>
      <c r="T1027">
        <f t="shared" ref="T1027:T1090" si="115">IFERROR(N1027/K1027,0)</f>
        <v>2330</v>
      </c>
      <c r="U1027">
        <f t="shared" ref="U1027:U1090" si="116">YEAR(B1027)</f>
        <v>2024</v>
      </c>
      <c r="V1027">
        <f t="shared" ref="V1027:V1090" si="117">MONTH(B1027)</f>
        <v>1</v>
      </c>
      <c r="W1027" s="11">
        <f t="shared" ref="W1027:W1090" si="118">IF(L1027="Yes",1,0)</f>
        <v>1</v>
      </c>
    </row>
    <row r="1028" spans="1:23">
      <c r="A1028" t="s">
        <v>1041</v>
      </c>
      <c r="B1028" s="4">
        <v>45538</v>
      </c>
      <c r="C1028" t="s">
        <v>2015</v>
      </c>
      <c r="D1028" t="s">
        <v>2019</v>
      </c>
      <c r="E1028" t="s">
        <v>2029</v>
      </c>
      <c r="F1028" t="s">
        <v>2031</v>
      </c>
      <c r="G1028" t="s">
        <v>2035</v>
      </c>
      <c r="H1028" t="s">
        <v>2039</v>
      </c>
      <c r="I1028">
        <v>1</v>
      </c>
      <c r="J1028">
        <v>6</v>
      </c>
      <c r="K1028">
        <v>5</v>
      </c>
      <c r="L1028" t="s">
        <v>2041</v>
      </c>
      <c r="M1028">
        <v>479</v>
      </c>
      <c r="N1028">
        <v>12435</v>
      </c>
      <c r="O1028">
        <v>21420</v>
      </c>
      <c r="P1028" s="13">
        <f t="shared" si="112"/>
        <v>0</v>
      </c>
      <c r="Q1028" t="str">
        <f t="shared" si="113"/>
        <v>No</v>
      </c>
      <c r="R1028" t="str" cm="1">
        <f t="array" ref="R1028">_xlfn.IFS(K1028=0,"On Time",K1028&lt;=2,"Minor",K1028&lt;=5,"Major",K1028&gt;5,"Severe")</f>
        <v>Major</v>
      </c>
      <c r="S1028">
        <f t="shared" si="114"/>
        <v>4284</v>
      </c>
      <c r="T1028">
        <f t="shared" si="115"/>
        <v>2487</v>
      </c>
      <c r="U1028">
        <f t="shared" si="116"/>
        <v>2024</v>
      </c>
      <c r="V1028">
        <f t="shared" si="117"/>
        <v>9</v>
      </c>
      <c r="W1028" s="11">
        <f t="shared" si="118"/>
        <v>1</v>
      </c>
    </row>
    <row r="1029" spans="1:23">
      <c r="A1029" t="s">
        <v>1042</v>
      </c>
      <c r="B1029" s="4">
        <v>45392</v>
      </c>
      <c r="C1029" t="s">
        <v>2018</v>
      </c>
      <c r="D1029" t="s">
        <v>2024</v>
      </c>
      <c r="E1029" t="s">
        <v>2028</v>
      </c>
      <c r="F1029" t="s">
        <v>2030</v>
      </c>
      <c r="G1029" t="s">
        <v>2035</v>
      </c>
      <c r="H1029" t="s">
        <v>2038</v>
      </c>
      <c r="I1029">
        <v>2</v>
      </c>
      <c r="J1029">
        <v>4</v>
      </c>
      <c r="K1029">
        <v>2</v>
      </c>
      <c r="L1029" t="s">
        <v>2041</v>
      </c>
      <c r="M1029">
        <v>488</v>
      </c>
      <c r="N1029">
        <v>4408</v>
      </c>
      <c r="O1029">
        <v>5028</v>
      </c>
      <c r="P1029" s="13">
        <f t="shared" si="112"/>
        <v>0</v>
      </c>
      <c r="Q1029" t="str">
        <f t="shared" si="113"/>
        <v>No</v>
      </c>
      <c r="R1029" t="str" cm="1">
        <f t="array" ref="R1029">_xlfn.IFS(K1029=0,"On Time",K1029&lt;=2,"Minor",K1029&lt;=5,"Major",K1029&gt;5,"Severe")</f>
        <v>Minor</v>
      </c>
      <c r="S1029">
        <f t="shared" si="114"/>
        <v>2514</v>
      </c>
      <c r="T1029">
        <f t="shared" si="115"/>
        <v>2204</v>
      </c>
      <c r="U1029">
        <f t="shared" si="116"/>
        <v>2024</v>
      </c>
      <c r="V1029">
        <f t="shared" si="117"/>
        <v>4</v>
      </c>
      <c r="W1029" s="11">
        <f t="shared" si="118"/>
        <v>1</v>
      </c>
    </row>
    <row r="1030" spans="1:23">
      <c r="A1030" t="s">
        <v>1043</v>
      </c>
      <c r="B1030" s="4">
        <v>45327</v>
      </c>
      <c r="C1030" t="s">
        <v>2016</v>
      </c>
      <c r="D1030" t="s">
        <v>2021</v>
      </c>
      <c r="E1030" t="s">
        <v>2029</v>
      </c>
      <c r="F1030" t="s">
        <v>2030</v>
      </c>
      <c r="G1030" t="s">
        <v>2037</v>
      </c>
      <c r="H1030" t="s">
        <v>2038</v>
      </c>
      <c r="I1030">
        <v>5</v>
      </c>
      <c r="J1030">
        <v>8</v>
      </c>
      <c r="K1030">
        <v>3</v>
      </c>
      <c r="L1030" t="s">
        <v>2041</v>
      </c>
      <c r="M1030">
        <v>249</v>
      </c>
      <c r="N1030">
        <v>6474</v>
      </c>
      <c r="O1030">
        <v>11160</v>
      </c>
      <c r="P1030" s="13">
        <f t="shared" si="112"/>
        <v>0</v>
      </c>
      <c r="Q1030" t="str">
        <f t="shared" si="113"/>
        <v>No</v>
      </c>
      <c r="R1030" t="str" cm="1">
        <f t="array" ref="R1030">_xlfn.IFS(K1030=0,"On Time",K1030&lt;=2,"Minor",K1030&lt;=5,"Major",K1030&gt;5,"Severe")</f>
        <v>Major</v>
      </c>
      <c r="S1030">
        <f t="shared" si="114"/>
        <v>3720</v>
      </c>
      <c r="T1030">
        <f t="shared" si="115"/>
        <v>2158</v>
      </c>
      <c r="U1030">
        <f t="shared" si="116"/>
        <v>2024</v>
      </c>
      <c r="V1030">
        <f t="shared" si="117"/>
        <v>2</v>
      </c>
      <c r="W1030" s="11">
        <f t="shared" si="118"/>
        <v>1</v>
      </c>
    </row>
    <row r="1031" spans="1:23">
      <c r="A1031" t="s">
        <v>1044</v>
      </c>
      <c r="B1031" s="4">
        <v>45340</v>
      </c>
      <c r="C1031" t="s">
        <v>2016</v>
      </c>
      <c r="D1031" t="s">
        <v>2021</v>
      </c>
      <c r="E1031" t="s">
        <v>2028</v>
      </c>
      <c r="F1031" t="s">
        <v>2032</v>
      </c>
      <c r="G1031" t="s">
        <v>2036</v>
      </c>
      <c r="H1031" t="s">
        <v>2039</v>
      </c>
      <c r="I1031">
        <v>2</v>
      </c>
      <c r="J1031">
        <v>6</v>
      </c>
      <c r="K1031">
        <v>4</v>
      </c>
      <c r="L1031" t="s">
        <v>2041</v>
      </c>
      <c r="M1031">
        <v>308</v>
      </c>
      <c r="N1031">
        <v>6212</v>
      </c>
      <c r="O1031">
        <v>8112</v>
      </c>
      <c r="P1031" s="13">
        <f t="shared" si="112"/>
        <v>0</v>
      </c>
      <c r="Q1031" t="str">
        <f t="shared" si="113"/>
        <v>No</v>
      </c>
      <c r="R1031" t="str" cm="1">
        <f t="array" ref="R1031">_xlfn.IFS(K1031=0,"On Time",K1031&lt;=2,"Minor",K1031&lt;=5,"Major",K1031&gt;5,"Severe")</f>
        <v>Major</v>
      </c>
      <c r="S1031">
        <f t="shared" si="114"/>
        <v>2028</v>
      </c>
      <c r="T1031">
        <f t="shared" si="115"/>
        <v>1553</v>
      </c>
      <c r="U1031">
        <f t="shared" si="116"/>
        <v>2024</v>
      </c>
      <c r="V1031">
        <f t="shared" si="117"/>
        <v>2</v>
      </c>
      <c r="W1031" s="11">
        <f t="shared" si="118"/>
        <v>1</v>
      </c>
    </row>
    <row r="1032" spans="1:23">
      <c r="A1032" t="s">
        <v>1045</v>
      </c>
      <c r="B1032" s="4">
        <v>45536</v>
      </c>
      <c r="C1032" t="s">
        <v>2015</v>
      </c>
      <c r="D1032" t="s">
        <v>2020</v>
      </c>
      <c r="E1032" t="s">
        <v>2027</v>
      </c>
      <c r="F1032" t="s">
        <v>2031</v>
      </c>
      <c r="G1032" t="s">
        <v>2036</v>
      </c>
      <c r="H1032" t="s">
        <v>2038</v>
      </c>
      <c r="I1032">
        <v>1</v>
      </c>
      <c r="J1032">
        <v>1</v>
      </c>
      <c r="K1032">
        <v>0</v>
      </c>
      <c r="L1032" t="s">
        <v>2042</v>
      </c>
      <c r="M1032">
        <v>381</v>
      </c>
      <c r="N1032">
        <v>0</v>
      </c>
      <c r="O1032">
        <v>0</v>
      </c>
      <c r="P1032" s="13">
        <f t="shared" si="112"/>
        <v>1</v>
      </c>
      <c r="Q1032" t="str">
        <f t="shared" si="113"/>
        <v>No</v>
      </c>
      <c r="R1032" t="str" cm="1">
        <f t="array" ref="R1032">_xlfn.IFS(K1032=0,"On Time",K1032&lt;=2,"Minor",K1032&lt;=5,"Major",K1032&gt;5,"Severe")</f>
        <v>On Time</v>
      </c>
      <c r="S1032">
        <f t="shared" si="114"/>
        <v>0</v>
      </c>
      <c r="T1032">
        <f t="shared" si="115"/>
        <v>0</v>
      </c>
      <c r="U1032">
        <f t="shared" si="116"/>
        <v>2024</v>
      </c>
      <c r="V1032">
        <f t="shared" si="117"/>
        <v>9</v>
      </c>
      <c r="W1032" s="11">
        <f t="shared" si="118"/>
        <v>0</v>
      </c>
    </row>
    <row r="1033" spans="1:23">
      <c r="A1033" t="s">
        <v>1046</v>
      </c>
      <c r="B1033" s="4">
        <v>45637</v>
      </c>
      <c r="C1033" t="s">
        <v>2015</v>
      </c>
      <c r="D1033" t="s">
        <v>2020</v>
      </c>
      <c r="E1033" t="s">
        <v>2027</v>
      </c>
      <c r="F1033" t="s">
        <v>2031</v>
      </c>
      <c r="G1033" t="s">
        <v>2033</v>
      </c>
      <c r="H1033" t="s">
        <v>2040</v>
      </c>
      <c r="I1033">
        <v>2</v>
      </c>
      <c r="J1033">
        <v>5</v>
      </c>
      <c r="K1033">
        <v>3</v>
      </c>
      <c r="L1033" t="s">
        <v>2041</v>
      </c>
      <c r="M1033">
        <v>176</v>
      </c>
      <c r="N1033">
        <v>6279</v>
      </c>
      <c r="O1033">
        <v>7407</v>
      </c>
      <c r="P1033" s="13">
        <f t="shared" si="112"/>
        <v>0</v>
      </c>
      <c r="Q1033" t="str">
        <f t="shared" si="113"/>
        <v>No</v>
      </c>
      <c r="R1033" t="str" cm="1">
        <f t="array" ref="R1033">_xlfn.IFS(K1033=0,"On Time",K1033&lt;=2,"Minor",K1033&lt;=5,"Major",K1033&gt;5,"Severe")</f>
        <v>Major</v>
      </c>
      <c r="S1033">
        <f t="shared" si="114"/>
        <v>2469</v>
      </c>
      <c r="T1033">
        <f t="shared" si="115"/>
        <v>2093</v>
      </c>
      <c r="U1033">
        <f t="shared" si="116"/>
        <v>2024</v>
      </c>
      <c r="V1033">
        <f t="shared" si="117"/>
        <v>12</v>
      </c>
      <c r="W1033" s="11">
        <f t="shared" si="118"/>
        <v>1</v>
      </c>
    </row>
    <row r="1034" spans="1:23">
      <c r="A1034" t="s">
        <v>1047</v>
      </c>
      <c r="B1034" s="4">
        <v>45584</v>
      </c>
      <c r="C1034" t="s">
        <v>2017</v>
      </c>
      <c r="D1034" t="s">
        <v>2022</v>
      </c>
      <c r="E1034" t="s">
        <v>2029</v>
      </c>
      <c r="F1034" t="s">
        <v>2030</v>
      </c>
      <c r="G1034" t="s">
        <v>2037</v>
      </c>
      <c r="H1034" t="s">
        <v>2039</v>
      </c>
      <c r="I1034">
        <v>3</v>
      </c>
      <c r="J1034">
        <v>8</v>
      </c>
      <c r="K1034">
        <v>5</v>
      </c>
      <c r="L1034" t="s">
        <v>2041</v>
      </c>
      <c r="M1034">
        <v>394</v>
      </c>
      <c r="N1034">
        <v>11115</v>
      </c>
      <c r="O1034">
        <v>14695</v>
      </c>
      <c r="P1034" s="13">
        <f t="shared" si="112"/>
        <v>0</v>
      </c>
      <c r="Q1034" t="str">
        <f t="shared" si="113"/>
        <v>No</v>
      </c>
      <c r="R1034" t="str" cm="1">
        <f t="array" ref="R1034">_xlfn.IFS(K1034=0,"On Time",K1034&lt;=2,"Minor",K1034&lt;=5,"Major",K1034&gt;5,"Severe")</f>
        <v>Major</v>
      </c>
      <c r="S1034">
        <f t="shared" si="114"/>
        <v>2939</v>
      </c>
      <c r="T1034">
        <f t="shared" si="115"/>
        <v>2223</v>
      </c>
      <c r="U1034">
        <f t="shared" si="116"/>
        <v>2024</v>
      </c>
      <c r="V1034">
        <f t="shared" si="117"/>
        <v>10</v>
      </c>
      <c r="W1034" s="11">
        <f t="shared" si="118"/>
        <v>1</v>
      </c>
    </row>
    <row r="1035" spans="1:23">
      <c r="A1035" t="s">
        <v>1048</v>
      </c>
      <c r="B1035" s="4">
        <v>45425</v>
      </c>
      <c r="C1035" t="s">
        <v>2015</v>
      </c>
      <c r="D1035" t="s">
        <v>2019</v>
      </c>
      <c r="E1035" t="s">
        <v>2028</v>
      </c>
      <c r="F1035" t="s">
        <v>2030</v>
      </c>
      <c r="G1035" t="s">
        <v>2037</v>
      </c>
      <c r="H1035" t="s">
        <v>2039</v>
      </c>
      <c r="I1035">
        <v>2</v>
      </c>
      <c r="J1035">
        <v>2</v>
      </c>
      <c r="K1035">
        <v>0</v>
      </c>
      <c r="L1035" t="s">
        <v>2042</v>
      </c>
      <c r="M1035">
        <v>348</v>
      </c>
      <c r="N1035">
        <v>0</v>
      </c>
      <c r="O1035">
        <v>0</v>
      </c>
      <c r="P1035" s="13">
        <f t="shared" si="112"/>
        <v>1</v>
      </c>
      <c r="Q1035" t="str">
        <f t="shared" si="113"/>
        <v>No</v>
      </c>
      <c r="R1035" t="str" cm="1">
        <f t="array" ref="R1035">_xlfn.IFS(K1035=0,"On Time",K1035&lt;=2,"Minor",K1035&lt;=5,"Major",K1035&gt;5,"Severe")</f>
        <v>On Time</v>
      </c>
      <c r="S1035">
        <f t="shared" si="114"/>
        <v>0</v>
      </c>
      <c r="T1035">
        <f t="shared" si="115"/>
        <v>0</v>
      </c>
      <c r="U1035">
        <f t="shared" si="116"/>
        <v>2024</v>
      </c>
      <c r="V1035">
        <f t="shared" si="117"/>
        <v>5</v>
      </c>
      <c r="W1035" s="11">
        <f t="shared" si="118"/>
        <v>0</v>
      </c>
    </row>
    <row r="1036" spans="1:23">
      <c r="A1036" t="s">
        <v>1049</v>
      </c>
      <c r="B1036" s="4">
        <v>45655</v>
      </c>
      <c r="C1036" t="s">
        <v>2015</v>
      </c>
      <c r="D1036" t="s">
        <v>2019</v>
      </c>
      <c r="E1036" t="s">
        <v>2029</v>
      </c>
      <c r="F1036" t="s">
        <v>2031</v>
      </c>
      <c r="G1036" t="s">
        <v>2037</v>
      </c>
      <c r="H1036" t="s">
        <v>2039</v>
      </c>
      <c r="I1036">
        <v>1</v>
      </c>
      <c r="J1036">
        <v>5</v>
      </c>
      <c r="K1036">
        <v>4</v>
      </c>
      <c r="L1036" t="s">
        <v>2041</v>
      </c>
      <c r="M1036">
        <v>443</v>
      </c>
      <c r="N1036">
        <v>4352</v>
      </c>
      <c r="O1036">
        <v>6060</v>
      </c>
      <c r="P1036" s="13">
        <f t="shared" si="112"/>
        <v>0</v>
      </c>
      <c r="Q1036" t="str">
        <f t="shared" si="113"/>
        <v>No</v>
      </c>
      <c r="R1036" t="str" cm="1">
        <f t="array" ref="R1036">_xlfn.IFS(K1036=0,"On Time",K1036&lt;=2,"Minor",K1036&lt;=5,"Major",K1036&gt;5,"Severe")</f>
        <v>Major</v>
      </c>
      <c r="S1036">
        <f t="shared" si="114"/>
        <v>1515</v>
      </c>
      <c r="T1036">
        <f t="shared" si="115"/>
        <v>1088</v>
      </c>
      <c r="U1036">
        <f t="shared" si="116"/>
        <v>2024</v>
      </c>
      <c r="V1036">
        <f t="shared" si="117"/>
        <v>12</v>
      </c>
      <c r="W1036" s="11">
        <f t="shared" si="118"/>
        <v>1</v>
      </c>
    </row>
    <row r="1037" spans="1:23">
      <c r="A1037" t="s">
        <v>1050</v>
      </c>
      <c r="B1037" s="4">
        <v>45309</v>
      </c>
      <c r="C1037" t="s">
        <v>2015</v>
      </c>
      <c r="D1037" t="s">
        <v>2019</v>
      </c>
      <c r="E1037" t="s">
        <v>2029</v>
      </c>
      <c r="F1037" t="s">
        <v>2032</v>
      </c>
      <c r="G1037" t="s">
        <v>2035</v>
      </c>
      <c r="H1037" t="s">
        <v>2038</v>
      </c>
      <c r="I1037">
        <v>3</v>
      </c>
      <c r="J1037">
        <v>10</v>
      </c>
      <c r="K1037">
        <v>7</v>
      </c>
      <c r="L1037" t="s">
        <v>2041</v>
      </c>
      <c r="M1037">
        <v>259</v>
      </c>
      <c r="N1037">
        <v>13986</v>
      </c>
      <c r="O1037">
        <v>24248</v>
      </c>
      <c r="P1037" s="13">
        <f t="shared" si="112"/>
        <v>0</v>
      </c>
      <c r="Q1037" t="str">
        <f t="shared" si="113"/>
        <v>No</v>
      </c>
      <c r="R1037" t="str" cm="1">
        <f t="array" ref="R1037">_xlfn.IFS(K1037=0,"On Time",K1037&lt;=2,"Minor",K1037&lt;=5,"Major",K1037&gt;5,"Severe")</f>
        <v>Severe</v>
      </c>
      <c r="S1037">
        <f t="shared" si="114"/>
        <v>3464</v>
      </c>
      <c r="T1037">
        <f t="shared" si="115"/>
        <v>1998</v>
      </c>
      <c r="U1037">
        <f t="shared" si="116"/>
        <v>2024</v>
      </c>
      <c r="V1037">
        <f t="shared" si="117"/>
        <v>1</v>
      </c>
      <c r="W1037" s="11">
        <f t="shared" si="118"/>
        <v>1</v>
      </c>
    </row>
    <row r="1038" spans="1:23">
      <c r="A1038" t="s">
        <v>1051</v>
      </c>
      <c r="B1038" s="4">
        <v>45316</v>
      </c>
      <c r="C1038" t="s">
        <v>2017</v>
      </c>
      <c r="D1038" t="s">
        <v>2022</v>
      </c>
      <c r="E1038" t="s">
        <v>2027</v>
      </c>
      <c r="F1038" t="s">
        <v>2031</v>
      </c>
      <c r="G1038" t="s">
        <v>2035</v>
      </c>
      <c r="H1038" t="s">
        <v>2038</v>
      </c>
      <c r="I1038">
        <v>3</v>
      </c>
      <c r="J1038">
        <v>5</v>
      </c>
      <c r="K1038">
        <v>2</v>
      </c>
      <c r="L1038" t="s">
        <v>2041</v>
      </c>
      <c r="M1038">
        <v>169</v>
      </c>
      <c r="N1038">
        <v>2176</v>
      </c>
      <c r="O1038">
        <v>7342</v>
      </c>
      <c r="P1038" s="13">
        <f t="shared" si="112"/>
        <v>0</v>
      </c>
      <c r="Q1038" t="str">
        <f t="shared" si="113"/>
        <v>No</v>
      </c>
      <c r="R1038" t="str" cm="1">
        <f t="array" ref="R1038">_xlfn.IFS(K1038=0,"On Time",K1038&lt;=2,"Minor",K1038&lt;=5,"Major",K1038&gt;5,"Severe")</f>
        <v>Minor</v>
      </c>
      <c r="S1038">
        <f t="shared" si="114"/>
        <v>3671</v>
      </c>
      <c r="T1038">
        <f t="shared" si="115"/>
        <v>1088</v>
      </c>
      <c r="U1038">
        <f t="shared" si="116"/>
        <v>2024</v>
      </c>
      <c r="V1038">
        <f t="shared" si="117"/>
        <v>1</v>
      </c>
      <c r="W1038" s="11">
        <f t="shared" si="118"/>
        <v>1</v>
      </c>
    </row>
    <row r="1039" spans="1:23">
      <c r="A1039" t="s">
        <v>1052</v>
      </c>
      <c r="B1039" s="4">
        <v>45652</v>
      </c>
      <c r="C1039" t="s">
        <v>2016</v>
      </c>
      <c r="D1039" t="s">
        <v>2021</v>
      </c>
      <c r="E1039" t="s">
        <v>2027</v>
      </c>
      <c r="F1039" t="s">
        <v>2031</v>
      </c>
      <c r="G1039" t="s">
        <v>2036</v>
      </c>
      <c r="H1039" t="s">
        <v>2038</v>
      </c>
      <c r="I1039">
        <v>2</v>
      </c>
      <c r="J1039">
        <v>7</v>
      </c>
      <c r="K1039">
        <v>5</v>
      </c>
      <c r="L1039" t="s">
        <v>2041</v>
      </c>
      <c r="M1039">
        <v>235</v>
      </c>
      <c r="N1039">
        <v>4595</v>
      </c>
      <c r="O1039">
        <v>24605</v>
      </c>
      <c r="P1039" s="13">
        <f t="shared" si="112"/>
        <v>0</v>
      </c>
      <c r="Q1039" t="str">
        <f t="shared" si="113"/>
        <v>No</v>
      </c>
      <c r="R1039" t="str" cm="1">
        <f t="array" ref="R1039">_xlfn.IFS(K1039=0,"On Time",K1039&lt;=2,"Minor",K1039&lt;=5,"Major",K1039&gt;5,"Severe")</f>
        <v>Major</v>
      </c>
      <c r="S1039">
        <f t="shared" si="114"/>
        <v>4921</v>
      </c>
      <c r="T1039">
        <f t="shared" si="115"/>
        <v>919</v>
      </c>
      <c r="U1039">
        <f t="shared" si="116"/>
        <v>2024</v>
      </c>
      <c r="V1039">
        <f t="shared" si="117"/>
        <v>12</v>
      </c>
      <c r="W1039" s="11">
        <f t="shared" si="118"/>
        <v>1</v>
      </c>
    </row>
    <row r="1040" spans="1:23">
      <c r="A1040" t="s">
        <v>1053</v>
      </c>
      <c r="B1040" s="4">
        <v>45431</v>
      </c>
      <c r="C1040" t="s">
        <v>2018</v>
      </c>
      <c r="D1040" t="s">
        <v>2024</v>
      </c>
      <c r="E1040" t="s">
        <v>2027</v>
      </c>
      <c r="F1040" t="s">
        <v>2031</v>
      </c>
      <c r="G1040" t="s">
        <v>2035</v>
      </c>
      <c r="H1040" t="s">
        <v>2040</v>
      </c>
      <c r="I1040">
        <v>3</v>
      </c>
      <c r="J1040">
        <v>10</v>
      </c>
      <c r="K1040">
        <v>7</v>
      </c>
      <c r="L1040" t="s">
        <v>2041</v>
      </c>
      <c r="M1040">
        <v>326</v>
      </c>
      <c r="N1040">
        <v>12908</v>
      </c>
      <c r="O1040">
        <v>33551</v>
      </c>
      <c r="P1040" s="13">
        <f t="shared" si="112"/>
        <v>0</v>
      </c>
      <c r="Q1040" t="str">
        <f t="shared" si="113"/>
        <v>No</v>
      </c>
      <c r="R1040" t="str" cm="1">
        <f t="array" ref="R1040">_xlfn.IFS(K1040=0,"On Time",K1040&lt;=2,"Minor",K1040&lt;=5,"Major",K1040&gt;5,"Severe")</f>
        <v>Severe</v>
      </c>
      <c r="S1040">
        <f t="shared" si="114"/>
        <v>4793</v>
      </c>
      <c r="T1040">
        <f t="shared" si="115"/>
        <v>1844</v>
      </c>
      <c r="U1040">
        <f t="shared" si="116"/>
        <v>2024</v>
      </c>
      <c r="V1040">
        <f t="shared" si="117"/>
        <v>5</v>
      </c>
      <c r="W1040" s="11">
        <f t="shared" si="118"/>
        <v>1</v>
      </c>
    </row>
    <row r="1041" spans="1:23">
      <c r="A1041" t="s">
        <v>1054</v>
      </c>
      <c r="B1041" s="4">
        <v>45530</v>
      </c>
      <c r="C1041" t="s">
        <v>2018</v>
      </c>
      <c r="D1041" t="s">
        <v>2024</v>
      </c>
      <c r="E1041" t="s">
        <v>2028</v>
      </c>
      <c r="F1041" t="s">
        <v>2030</v>
      </c>
      <c r="G1041" t="s">
        <v>2035</v>
      </c>
      <c r="H1041" t="s">
        <v>2038</v>
      </c>
      <c r="I1041">
        <v>1</v>
      </c>
      <c r="J1041">
        <v>6</v>
      </c>
      <c r="K1041">
        <v>5</v>
      </c>
      <c r="L1041" t="s">
        <v>2041</v>
      </c>
      <c r="M1041">
        <v>318</v>
      </c>
      <c r="N1041">
        <v>9300</v>
      </c>
      <c r="O1041">
        <v>8815</v>
      </c>
      <c r="P1041" s="13">
        <f t="shared" si="112"/>
        <v>0</v>
      </c>
      <c r="Q1041" t="str">
        <f t="shared" si="113"/>
        <v>No</v>
      </c>
      <c r="R1041" t="str" cm="1">
        <f t="array" ref="R1041">_xlfn.IFS(K1041=0,"On Time",K1041&lt;=2,"Minor",K1041&lt;=5,"Major",K1041&gt;5,"Severe")</f>
        <v>Major</v>
      </c>
      <c r="S1041">
        <f t="shared" si="114"/>
        <v>1763</v>
      </c>
      <c r="T1041">
        <f t="shared" si="115"/>
        <v>1860</v>
      </c>
      <c r="U1041">
        <f t="shared" si="116"/>
        <v>2024</v>
      </c>
      <c r="V1041">
        <f t="shared" si="117"/>
        <v>8</v>
      </c>
      <c r="W1041" s="11">
        <f t="shared" si="118"/>
        <v>1</v>
      </c>
    </row>
    <row r="1042" spans="1:23">
      <c r="A1042" t="s">
        <v>1055</v>
      </c>
      <c r="B1042" s="4">
        <v>45528</v>
      </c>
      <c r="C1042" t="s">
        <v>2016</v>
      </c>
      <c r="D1042" t="s">
        <v>2025</v>
      </c>
      <c r="E1042" t="s">
        <v>2029</v>
      </c>
      <c r="F1042" t="s">
        <v>2031</v>
      </c>
      <c r="G1042" t="s">
        <v>2033</v>
      </c>
      <c r="H1042" t="s">
        <v>2039</v>
      </c>
      <c r="I1042">
        <v>3</v>
      </c>
      <c r="J1042">
        <v>5</v>
      </c>
      <c r="K1042">
        <v>2</v>
      </c>
      <c r="L1042" t="s">
        <v>2041</v>
      </c>
      <c r="M1042">
        <v>293</v>
      </c>
      <c r="N1042">
        <v>4028</v>
      </c>
      <c r="O1042">
        <v>3082</v>
      </c>
      <c r="P1042" s="13">
        <f t="shared" si="112"/>
        <v>0</v>
      </c>
      <c r="Q1042" t="str">
        <f t="shared" si="113"/>
        <v>No</v>
      </c>
      <c r="R1042" t="str" cm="1">
        <f t="array" ref="R1042">_xlfn.IFS(K1042=0,"On Time",K1042&lt;=2,"Minor",K1042&lt;=5,"Major",K1042&gt;5,"Severe")</f>
        <v>Minor</v>
      </c>
      <c r="S1042">
        <f t="shared" si="114"/>
        <v>1541</v>
      </c>
      <c r="T1042">
        <f t="shared" si="115"/>
        <v>2014</v>
      </c>
      <c r="U1042">
        <f t="shared" si="116"/>
        <v>2024</v>
      </c>
      <c r="V1042">
        <f t="shared" si="117"/>
        <v>8</v>
      </c>
      <c r="W1042" s="11">
        <f t="shared" si="118"/>
        <v>1</v>
      </c>
    </row>
    <row r="1043" spans="1:23">
      <c r="A1043" t="s">
        <v>1056</v>
      </c>
      <c r="B1043" s="4">
        <v>45502</v>
      </c>
      <c r="C1043" t="s">
        <v>2018</v>
      </c>
      <c r="D1043" t="s">
        <v>2026</v>
      </c>
      <c r="E1043" t="s">
        <v>2027</v>
      </c>
      <c r="F1043" t="s">
        <v>2031</v>
      </c>
      <c r="G1043" t="s">
        <v>2037</v>
      </c>
      <c r="H1043" t="s">
        <v>2039</v>
      </c>
      <c r="I1043">
        <v>2</v>
      </c>
      <c r="J1043">
        <v>2</v>
      </c>
      <c r="K1043">
        <v>0</v>
      </c>
      <c r="L1043" t="s">
        <v>2042</v>
      </c>
      <c r="M1043">
        <v>404</v>
      </c>
      <c r="N1043">
        <v>0</v>
      </c>
      <c r="O1043">
        <v>0</v>
      </c>
      <c r="P1043" s="13">
        <f t="shared" si="112"/>
        <v>1</v>
      </c>
      <c r="Q1043" t="str">
        <f t="shared" si="113"/>
        <v>No</v>
      </c>
      <c r="R1043" t="str" cm="1">
        <f t="array" ref="R1043">_xlfn.IFS(K1043=0,"On Time",K1043&lt;=2,"Minor",K1043&lt;=5,"Major",K1043&gt;5,"Severe")</f>
        <v>On Time</v>
      </c>
      <c r="S1043">
        <f t="shared" si="114"/>
        <v>0</v>
      </c>
      <c r="T1043">
        <f t="shared" si="115"/>
        <v>0</v>
      </c>
      <c r="U1043">
        <f t="shared" si="116"/>
        <v>2024</v>
      </c>
      <c r="V1043">
        <f t="shared" si="117"/>
        <v>7</v>
      </c>
      <c r="W1043" s="11">
        <f t="shared" si="118"/>
        <v>0</v>
      </c>
    </row>
    <row r="1044" spans="1:23">
      <c r="A1044" t="s">
        <v>1057</v>
      </c>
      <c r="B1044" s="4">
        <v>45519</v>
      </c>
      <c r="C1044" t="s">
        <v>2015</v>
      </c>
      <c r="D1044" t="s">
        <v>2019</v>
      </c>
      <c r="E1044" t="s">
        <v>2029</v>
      </c>
      <c r="F1044" t="s">
        <v>2031</v>
      </c>
      <c r="G1044" t="s">
        <v>2033</v>
      </c>
      <c r="H1044" t="s">
        <v>2038</v>
      </c>
      <c r="I1044">
        <v>1</v>
      </c>
      <c r="J1044">
        <v>5</v>
      </c>
      <c r="K1044">
        <v>4</v>
      </c>
      <c r="L1044" t="s">
        <v>2041</v>
      </c>
      <c r="M1044">
        <v>64</v>
      </c>
      <c r="N1044">
        <v>5768</v>
      </c>
      <c r="O1044">
        <v>18944</v>
      </c>
      <c r="P1044" s="13">
        <f t="shared" si="112"/>
        <v>0</v>
      </c>
      <c r="Q1044" t="str">
        <f t="shared" si="113"/>
        <v>No</v>
      </c>
      <c r="R1044" t="str" cm="1">
        <f t="array" ref="R1044">_xlfn.IFS(K1044=0,"On Time",K1044&lt;=2,"Minor",K1044&lt;=5,"Major",K1044&gt;5,"Severe")</f>
        <v>Major</v>
      </c>
      <c r="S1044">
        <f t="shared" si="114"/>
        <v>4736</v>
      </c>
      <c r="T1044">
        <f t="shared" si="115"/>
        <v>1442</v>
      </c>
      <c r="U1044">
        <f t="shared" si="116"/>
        <v>2024</v>
      </c>
      <c r="V1044">
        <f t="shared" si="117"/>
        <v>8</v>
      </c>
      <c r="W1044" s="11">
        <f t="shared" si="118"/>
        <v>1</v>
      </c>
    </row>
    <row r="1045" spans="1:23">
      <c r="A1045" t="s">
        <v>1058</v>
      </c>
      <c r="B1045" s="4">
        <v>45430</v>
      </c>
      <c r="C1045" t="s">
        <v>2018</v>
      </c>
      <c r="D1045" t="s">
        <v>2024</v>
      </c>
      <c r="E1045" t="s">
        <v>2027</v>
      </c>
      <c r="F1045" t="s">
        <v>2030</v>
      </c>
      <c r="G1045" t="s">
        <v>2033</v>
      </c>
      <c r="H1045" t="s">
        <v>2039</v>
      </c>
      <c r="I1045">
        <v>2</v>
      </c>
      <c r="J1045">
        <v>5</v>
      </c>
      <c r="K1045">
        <v>3</v>
      </c>
      <c r="L1045" t="s">
        <v>2041</v>
      </c>
      <c r="M1045">
        <v>121</v>
      </c>
      <c r="N1045">
        <v>6000</v>
      </c>
      <c r="O1045">
        <v>10662</v>
      </c>
      <c r="P1045" s="13">
        <f t="shared" si="112"/>
        <v>0</v>
      </c>
      <c r="Q1045" t="str">
        <f t="shared" si="113"/>
        <v>No</v>
      </c>
      <c r="R1045" t="str" cm="1">
        <f t="array" ref="R1045">_xlfn.IFS(K1045=0,"On Time",K1045&lt;=2,"Minor",K1045&lt;=5,"Major",K1045&gt;5,"Severe")</f>
        <v>Major</v>
      </c>
      <c r="S1045">
        <f t="shared" si="114"/>
        <v>3554</v>
      </c>
      <c r="T1045">
        <f t="shared" si="115"/>
        <v>2000</v>
      </c>
      <c r="U1045">
        <f t="shared" si="116"/>
        <v>2024</v>
      </c>
      <c r="V1045">
        <f t="shared" si="117"/>
        <v>5</v>
      </c>
      <c r="W1045" s="11">
        <f t="shared" si="118"/>
        <v>1</v>
      </c>
    </row>
    <row r="1046" spans="1:23">
      <c r="A1046" t="s">
        <v>1059</v>
      </c>
      <c r="B1046" s="4">
        <v>45394</v>
      </c>
      <c r="C1046" t="s">
        <v>2016</v>
      </c>
      <c r="D1046" t="s">
        <v>2025</v>
      </c>
      <c r="E1046" t="s">
        <v>2028</v>
      </c>
      <c r="F1046" t="s">
        <v>2032</v>
      </c>
      <c r="G1046" t="s">
        <v>2034</v>
      </c>
      <c r="H1046" t="s">
        <v>2038</v>
      </c>
      <c r="I1046">
        <v>2</v>
      </c>
      <c r="J1046">
        <v>4</v>
      </c>
      <c r="K1046">
        <v>2</v>
      </c>
      <c r="L1046" t="s">
        <v>2041</v>
      </c>
      <c r="M1046">
        <v>471</v>
      </c>
      <c r="N1046">
        <v>1840</v>
      </c>
      <c r="O1046">
        <v>9054</v>
      </c>
      <c r="P1046" s="13">
        <f t="shared" si="112"/>
        <v>0</v>
      </c>
      <c r="Q1046" t="str">
        <f t="shared" si="113"/>
        <v>No</v>
      </c>
      <c r="R1046" t="str" cm="1">
        <f t="array" ref="R1046">_xlfn.IFS(K1046=0,"On Time",K1046&lt;=2,"Minor",K1046&lt;=5,"Major",K1046&gt;5,"Severe")</f>
        <v>Minor</v>
      </c>
      <c r="S1046">
        <f t="shared" si="114"/>
        <v>4527</v>
      </c>
      <c r="T1046">
        <f t="shared" si="115"/>
        <v>920</v>
      </c>
      <c r="U1046">
        <f t="shared" si="116"/>
        <v>2024</v>
      </c>
      <c r="V1046">
        <f t="shared" si="117"/>
        <v>4</v>
      </c>
      <c r="W1046" s="11">
        <f t="shared" si="118"/>
        <v>1</v>
      </c>
    </row>
    <row r="1047" spans="1:23">
      <c r="A1047" t="s">
        <v>1060</v>
      </c>
      <c r="B1047" s="4">
        <v>45616</v>
      </c>
      <c r="C1047" t="s">
        <v>2015</v>
      </c>
      <c r="D1047" t="s">
        <v>2019</v>
      </c>
      <c r="E1047" t="s">
        <v>2027</v>
      </c>
      <c r="F1047" t="s">
        <v>2031</v>
      </c>
      <c r="G1047" t="s">
        <v>2037</v>
      </c>
      <c r="H1047" t="s">
        <v>2038</v>
      </c>
      <c r="I1047">
        <v>1</v>
      </c>
      <c r="J1047">
        <v>3</v>
      </c>
      <c r="K1047">
        <v>2</v>
      </c>
      <c r="L1047" t="s">
        <v>2041</v>
      </c>
      <c r="M1047">
        <v>294</v>
      </c>
      <c r="N1047">
        <v>4096</v>
      </c>
      <c r="O1047">
        <v>9344</v>
      </c>
      <c r="P1047" s="13">
        <f t="shared" si="112"/>
        <v>0</v>
      </c>
      <c r="Q1047" t="str">
        <f t="shared" si="113"/>
        <v>No</v>
      </c>
      <c r="R1047" t="str" cm="1">
        <f t="array" ref="R1047">_xlfn.IFS(K1047=0,"On Time",K1047&lt;=2,"Minor",K1047&lt;=5,"Major",K1047&gt;5,"Severe")</f>
        <v>Minor</v>
      </c>
      <c r="S1047">
        <f t="shared" si="114"/>
        <v>4672</v>
      </c>
      <c r="T1047">
        <f t="shared" si="115"/>
        <v>2048</v>
      </c>
      <c r="U1047">
        <f t="shared" si="116"/>
        <v>2024</v>
      </c>
      <c r="V1047">
        <f t="shared" si="117"/>
        <v>11</v>
      </c>
      <c r="W1047" s="11">
        <f t="shared" si="118"/>
        <v>1</v>
      </c>
    </row>
    <row r="1048" spans="1:23">
      <c r="A1048" t="s">
        <v>1061</v>
      </c>
      <c r="B1048" s="4">
        <v>45373</v>
      </c>
      <c r="C1048" t="s">
        <v>2017</v>
      </c>
      <c r="D1048" t="s">
        <v>2022</v>
      </c>
      <c r="E1048" t="s">
        <v>2028</v>
      </c>
      <c r="F1048" t="s">
        <v>2032</v>
      </c>
      <c r="G1048" t="s">
        <v>2037</v>
      </c>
      <c r="H1048" t="s">
        <v>2040</v>
      </c>
      <c r="I1048">
        <v>2</v>
      </c>
      <c r="J1048">
        <v>9</v>
      </c>
      <c r="K1048">
        <v>7</v>
      </c>
      <c r="L1048" t="s">
        <v>2041</v>
      </c>
      <c r="M1048">
        <v>387</v>
      </c>
      <c r="N1048">
        <v>8484</v>
      </c>
      <c r="O1048">
        <v>16086</v>
      </c>
      <c r="P1048" s="13">
        <f t="shared" si="112"/>
        <v>0</v>
      </c>
      <c r="Q1048" t="str">
        <f t="shared" si="113"/>
        <v>No</v>
      </c>
      <c r="R1048" t="str" cm="1">
        <f t="array" ref="R1048">_xlfn.IFS(K1048=0,"On Time",K1048&lt;=2,"Minor",K1048&lt;=5,"Major",K1048&gt;5,"Severe")</f>
        <v>Severe</v>
      </c>
      <c r="S1048">
        <f t="shared" si="114"/>
        <v>2298</v>
      </c>
      <c r="T1048">
        <f t="shared" si="115"/>
        <v>1212</v>
      </c>
      <c r="U1048">
        <f t="shared" si="116"/>
        <v>2024</v>
      </c>
      <c r="V1048">
        <f t="shared" si="117"/>
        <v>3</v>
      </c>
      <c r="W1048" s="11">
        <f t="shared" si="118"/>
        <v>1</v>
      </c>
    </row>
    <row r="1049" spans="1:23">
      <c r="A1049" t="s">
        <v>1062</v>
      </c>
      <c r="B1049" s="4">
        <v>45615</v>
      </c>
      <c r="C1049" t="s">
        <v>2017</v>
      </c>
      <c r="D1049" t="s">
        <v>2022</v>
      </c>
      <c r="E1049" t="s">
        <v>2029</v>
      </c>
      <c r="F1049" t="s">
        <v>2031</v>
      </c>
      <c r="G1049" t="s">
        <v>2035</v>
      </c>
      <c r="H1049" t="s">
        <v>2038</v>
      </c>
      <c r="I1049">
        <v>5</v>
      </c>
      <c r="J1049">
        <v>9</v>
      </c>
      <c r="K1049">
        <v>4</v>
      </c>
      <c r="L1049" t="s">
        <v>2041</v>
      </c>
      <c r="M1049">
        <v>369</v>
      </c>
      <c r="N1049">
        <v>9532</v>
      </c>
      <c r="O1049">
        <v>12616</v>
      </c>
      <c r="P1049" s="13">
        <f t="shared" si="112"/>
        <v>0</v>
      </c>
      <c r="Q1049" t="str">
        <f t="shared" si="113"/>
        <v>No</v>
      </c>
      <c r="R1049" t="str" cm="1">
        <f t="array" ref="R1049">_xlfn.IFS(K1049=0,"On Time",K1049&lt;=2,"Minor",K1049&lt;=5,"Major",K1049&gt;5,"Severe")</f>
        <v>Major</v>
      </c>
      <c r="S1049">
        <f t="shared" si="114"/>
        <v>3154</v>
      </c>
      <c r="T1049">
        <f t="shared" si="115"/>
        <v>2383</v>
      </c>
      <c r="U1049">
        <f t="shared" si="116"/>
        <v>2024</v>
      </c>
      <c r="V1049">
        <f t="shared" si="117"/>
        <v>11</v>
      </c>
      <c r="W1049" s="11">
        <f t="shared" si="118"/>
        <v>1</v>
      </c>
    </row>
    <row r="1050" spans="1:23">
      <c r="A1050" t="s">
        <v>1063</v>
      </c>
      <c r="B1050" s="4">
        <v>45471</v>
      </c>
      <c r="C1050" t="s">
        <v>2015</v>
      </c>
      <c r="D1050" t="s">
        <v>2020</v>
      </c>
      <c r="E1050" t="s">
        <v>2028</v>
      </c>
      <c r="F1050" t="s">
        <v>2031</v>
      </c>
      <c r="G1050" t="s">
        <v>2033</v>
      </c>
      <c r="H1050" t="s">
        <v>2038</v>
      </c>
      <c r="I1050">
        <v>5</v>
      </c>
      <c r="J1050">
        <v>6</v>
      </c>
      <c r="K1050">
        <v>1</v>
      </c>
      <c r="L1050" t="s">
        <v>2041</v>
      </c>
      <c r="M1050">
        <v>369</v>
      </c>
      <c r="N1050">
        <v>2115</v>
      </c>
      <c r="O1050">
        <v>3568</v>
      </c>
      <c r="P1050" s="13">
        <f t="shared" si="112"/>
        <v>0</v>
      </c>
      <c r="Q1050" t="str">
        <f t="shared" si="113"/>
        <v>No</v>
      </c>
      <c r="R1050" t="str" cm="1">
        <f t="array" ref="R1050">_xlfn.IFS(K1050=0,"On Time",K1050&lt;=2,"Minor",K1050&lt;=5,"Major",K1050&gt;5,"Severe")</f>
        <v>Minor</v>
      </c>
      <c r="S1050">
        <f t="shared" si="114"/>
        <v>3568</v>
      </c>
      <c r="T1050">
        <f t="shared" si="115"/>
        <v>2115</v>
      </c>
      <c r="U1050">
        <f t="shared" si="116"/>
        <v>2024</v>
      </c>
      <c r="V1050">
        <f t="shared" si="117"/>
        <v>6</v>
      </c>
      <c r="W1050" s="11">
        <f t="shared" si="118"/>
        <v>1</v>
      </c>
    </row>
    <row r="1051" spans="1:23">
      <c r="A1051" t="s">
        <v>1064</v>
      </c>
      <c r="B1051" s="4">
        <v>45390</v>
      </c>
      <c r="C1051" t="s">
        <v>2017</v>
      </c>
      <c r="D1051" t="s">
        <v>2023</v>
      </c>
      <c r="E1051" t="s">
        <v>2029</v>
      </c>
      <c r="F1051" t="s">
        <v>2031</v>
      </c>
      <c r="G1051" t="s">
        <v>2033</v>
      </c>
      <c r="H1051" t="s">
        <v>2039</v>
      </c>
      <c r="I1051">
        <v>2</v>
      </c>
      <c r="J1051">
        <v>3</v>
      </c>
      <c r="K1051">
        <v>1</v>
      </c>
      <c r="L1051" t="s">
        <v>2041</v>
      </c>
      <c r="M1051">
        <v>344</v>
      </c>
      <c r="N1051">
        <v>1204</v>
      </c>
      <c r="O1051">
        <v>2036</v>
      </c>
      <c r="P1051" s="13">
        <f t="shared" si="112"/>
        <v>0</v>
      </c>
      <c r="Q1051" t="str">
        <f t="shared" si="113"/>
        <v>No</v>
      </c>
      <c r="R1051" t="str" cm="1">
        <f t="array" ref="R1051">_xlfn.IFS(K1051=0,"On Time",K1051&lt;=2,"Minor",K1051&lt;=5,"Major",K1051&gt;5,"Severe")</f>
        <v>Minor</v>
      </c>
      <c r="S1051">
        <f t="shared" si="114"/>
        <v>2036</v>
      </c>
      <c r="T1051">
        <f t="shared" si="115"/>
        <v>1204</v>
      </c>
      <c r="U1051">
        <f t="shared" si="116"/>
        <v>2024</v>
      </c>
      <c r="V1051">
        <f t="shared" si="117"/>
        <v>4</v>
      </c>
      <c r="W1051" s="11">
        <f t="shared" si="118"/>
        <v>1</v>
      </c>
    </row>
    <row r="1052" spans="1:23">
      <c r="A1052" t="s">
        <v>1065</v>
      </c>
      <c r="B1052" s="4">
        <v>45351</v>
      </c>
      <c r="C1052" t="s">
        <v>2016</v>
      </c>
      <c r="D1052" t="s">
        <v>2025</v>
      </c>
      <c r="E1052" t="s">
        <v>2029</v>
      </c>
      <c r="F1052" t="s">
        <v>2030</v>
      </c>
      <c r="G1052" t="s">
        <v>2033</v>
      </c>
      <c r="H1052" t="s">
        <v>2038</v>
      </c>
      <c r="I1052">
        <v>3</v>
      </c>
      <c r="J1052">
        <v>3</v>
      </c>
      <c r="K1052">
        <v>0</v>
      </c>
      <c r="L1052" t="s">
        <v>2042</v>
      </c>
      <c r="M1052">
        <v>93</v>
      </c>
      <c r="N1052">
        <v>0</v>
      </c>
      <c r="O1052">
        <v>0</v>
      </c>
      <c r="P1052" s="13">
        <f t="shared" si="112"/>
        <v>1</v>
      </c>
      <c r="Q1052" t="str">
        <f t="shared" si="113"/>
        <v>No</v>
      </c>
      <c r="R1052" t="str" cm="1">
        <f t="array" ref="R1052">_xlfn.IFS(K1052=0,"On Time",K1052&lt;=2,"Minor",K1052&lt;=5,"Major",K1052&gt;5,"Severe")</f>
        <v>On Time</v>
      </c>
      <c r="S1052">
        <f t="shared" si="114"/>
        <v>0</v>
      </c>
      <c r="T1052">
        <f t="shared" si="115"/>
        <v>0</v>
      </c>
      <c r="U1052">
        <f t="shared" si="116"/>
        <v>2024</v>
      </c>
      <c r="V1052">
        <f t="shared" si="117"/>
        <v>2</v>
      </c>
      <c r="W1052" s="11">
        <f t="shared" si="118"/>
        <v>0</v>
      </c>
    </row>
    <row r="1053" spans="1:23">
      <c r="A1053" t="s">
        <v>1066</v>
      </c>
      <c r="B1053" s="4">
        <v>45298</v>
      </c>
      <c r="C1053" t="s">
        <v>2018</v>
      </c>
      <c r="D1053" t="s">
        <v>2024</v>
      </c>
      <c r="E1053" t="s">
        <v>2028</v>
      </c>
      <c r="F1053" t="s">
        <v>2032</v>
      </c>
      <c r="G1053" t="s">
        <v>2036</v>
      </c>
      <c r="H1053" t="s">
        <v>2038</v>
      </c>
      <c r="I1053">
        <v>3</v>
      </c>
      <c r="J1053">
        <v>9</v>
      </c>
      <c r="K1053">
        <v>6</v>
      </c>
      <c r="L1053" t="s">
        <v>2041</v>
      </c>
      <c r="M1053">
        <v>318</v>
      </c>
      <c r="N1053">
        <v>12060</v>
      </c>
      <c r="O1053">
        <v>15378</v>
      </c>
      <c r="P1053" s="13">
        <f t="shared" si="112"/>
        <v>0</v>
      </c>
      <c r="Q1053" t="str">
        <f t="shared" si="113"/>
        <v>No</v>
      </c>
      <c r="R1053" t="str" cm="1">
        <f t="array" ref="R1053">_xlfn.IFS(K1053=0,"On Time",K1053&lt;=2,"Minor",K1053&lt;=5,"Major",K1053&gt;5,"Severe")</f>
        <v>Severe</v>
      </c>
      <c r="S1053">
        <f t="shared" si="114"/>
        <v>2563</v>
      </c>
      <c r="T1053">
        <f t="shared" si="115"/>
        <v>2010</v>
      </c>
      <c r="U1053">
        <f t="shared" si="116"/>
        <v>2024</v>
      </c>
      <c r="V1053">
        <f t="shared" si="117"/>
        <v>1</v>
      </c>
      <c r="W1053" s="11">
        <f t="shared" si="118"/>
        <v>1</v>
      </c>
    </row>
    <row r="1054" spans="1:23">
      <c r="A1054" t="s">
        <v>1067</v>
      </c>
      <c r="B1054" s="4">
        <v>45294</v>
      </c>
      <c r="C1054" t="s">
        <v>2015</v>
      </c>
      <c r="D1054" t="s">
        <v>2019</v>
      </c>
      <c r="E1054" t="s">
        <v>2028</v>
      </c>
      <c r="F1054" t="s">
        <v>2032</v>
      </c>
      <c r="G1054" t="s">
        <v>2033</v>
      </c>
      <c r="H1054" t="s">
        <v>2038</v>
      </c>
      <c r="I1054">
        <v>5</v>
      </c>
      <c r="J1054">
        <v>7</v>
      </c>
      <c r="K1054">
        <v>2</v>
      </c>
      <c r="L1054" t="s">
        <v>2041</v>
      </c>
      <c r="M1054">
        <v>343</v>
      </c>
      <c r="N1054">
        <v>3842</v>
      </c>
      <c r="O1054">
        <v>5880</v>
      </c>
      <c r="P1054" s="13">
        <f t="shared" si="112"/>
        <v>0</v>
      </c>
      <c r="Q1054" t="str">
        <f t="shared" si="113"/>
        <v>No</v>
      </c>
      <c r="R1054" t="str" cm="1">
        <f t="array" ref="R1054">_xlfn.IFS(K1054=0,"On Time",K1054&lt;=2,"Minor",K1054&lt;=5,"Major",K1054&gt;5,"Severe")</f>
        <v>Minor</v>
      </c>
      <c r="S1054">
        <f t="shared" si="114"/>
        <v>2940</v>
      </c>
      <c r="T1054">
        <f t="shared" si="115"/>
        <v>1921</v>
      </c>
      <c r="U1054">
        <f t="shared" si="116"/>
        <v>2024</v>
      </c>
      <c r="V1054">
        <f t="shared" si="117"/>
        <v>1</v>
      </c>
      <c r="W1054" s="11">
        <f t="shared" si="118"/>
        <v>1</v>
      </c>
    </row>
    <row r="1055" spans="1:23">
      <c r="A1055" t="s">
        <v>1068</v>
      </c>
      <c r="B1055" s="4">
        <v>45380</v>
      </c>
      <c r="C1055" t="s">
        <v>2017</v>
      </c>
      <c r="D1055" t="s">
        <v>2023</v>
      </c>
      <c r="E1055" t="s">
        <v>2029</v>
      </c>
      <c r="F1055" t="s">
        <v>2031</v>
      </c>
      <c r="G1055" t="s">
        <v>2033</v>
      </c>
      <c r="H1055" t="s">
        <v>2039</v>
      </c>
      <c r="I1055">
        <v>3</v>
      </c>
      <c r="J1055">
        <v>4</v>
      </c>
      <c r="K1055">
        <v>1</v>
      </c>
      <c r="L1055" t="s">
        <v>2041</v>
      </c>
      <c r="M1055">
        <v>90</v>
      </c>
      <c r="N1055">
        <v>2491</v>
      </c>
      <c r="O1055">
        <v>4986</v>
      </c>
      <c r="P1055" s="13">
        <f t="shared" si="112"/>
        <v>0</v>
      </c>
      <c r="Q1055" t="str">
        <f t="shared" si="113"/>
        <v>No</v>
      </c>
      <c r="R1055" t="str" cm="1">
        <f t="array" ref="R1055">_xlfn.IFS(K1055=0,"On Time",K1055&lt;=2,"Minor",K1055&lt;=5,"Major",K1055&gt;5,"Severe")</f>
        <v>Minor</v>
      </c>
      <c r="S1055">
        <f t="shared" si="114"/>
        <v>4986</v>
      </c>
      <c r="T1055">
        <f t="shared" si="115"/>
        <v>2491</v>
      </c>
      <c r="U1055">
        <f t="shared" si="116"/>
        <v>2024</v>
      </c>
      <c r="V1055">
        <f t="shared" si="117"/>
        <v>3</v>
      </c>
      <c r="W1055" s="11">
        <f t="shared" si="118"/>
        <v>1</v>
      </c>
    </row>
    <row r="1056" spans="1:23">
      <c r="A1056" t="s">
        <v>1069</v>
      </c>
      <c r="B1056" s="4">
        <v>45631</v>
      </c>
      <c r="C1056" t="s">
        <v>2015</v>
      </c>
      <c r="D1056" t="s">
        <v>2019</v>
      </c>
      <c r="E1056" t="s">
        <v>2029</v>
      </c>
      <c r="F1056" t="s">
        <v>2030</v>
      </c>
      <c r="G1056" t="s">
        <v>2033</v>
      </c>
      <c r="H1056" t="s">
        <v>2038</v>
      </c>
      <c r="I1056">
        <v>3</v>
      </c>
      <c r="J1056">
        <v>8</v>
      </c>
      <c r="K1056">
        <v>5</v>
      </c>
      <c r="L1056" t="s">
        <v>2041</v>
      </c>
      <c r="M1056">
        <v>193</v>
      </c>
      <c r="N1056">
        <v>12220</v>
      </c>
      <c r="O1056">
        <v>12470</v>
      </c>
      <c r="P1056" s="13">
        <f t="shared" si="112"/>
        <v>0</v>
      </c>
      <c r="Q1056" t="str">
        <f t="shared" si="113"/>
        <v>No</v>
      </c>
      <c r="R1056" t="str" cm="1">
        <f t="array" ref="R1056">_xlfn.IFS(K1056=0,"On Time",K1056&lt;=2,"Minor",K1056&lt;=5,"Major",K1056&gt;5,"Severe")</f>
        <v>Major</v>
      </c>
      <c r="S1056">
        <f t="shared" si="114"/>
        <v>2494</v>
      </c>
      <c r="T1056">
        <f t="shared" si="115"/>
        <v>2444</v>
      </c>
      <c r="U1056">
        <f t="shared" si="116"/>
        <v>2024</v>
      </c>
      <c r="V1056">
        <f t="shared" si="117"/>
        <v>12</v>
      </c>
      <c r="W1056" s="11">
        <f t="shared" si="118"/>
        <v>1</v>
      </c>
    </row>
    <row r="1057" spans="1:23">
      <c r="A1057" t="s">
        <v>1070</v>
      </c>
      <c r="B1057" s="4">
        <v>45639</v>
      </c>
      <c r="C1057" t="s">
        <v>2015</v>
      </c>
      <c r="D1057" t="s">
        <v>2020</v>
      </c>
      <c r="E1057" t="s">
        <v>2029</v>
      </c>
      <c r="F1057" t="s">
        <v>2032</v>
      </c>
      <c r="G1057" t="s">
        <v>2033</v>
      </c>
      <c r="H1057" t="s">
        <v>2040</v>
      </c>
      <c r="I1057">
        <v>3</v>
      </c>
      <c r="J1057">
        <v>7</v>
      </c>
      <c r="K1057">
        <v>4</v>
      </c>
      <c r="L1057" t="s">
        <v>2041</v>
      </c>
      <c r="M1057">
        <v>389</v>
      </c>
      <c r="N1057">
        <v>9708</v>
      </c>
      <c r="O1057">
        <v>10844</v>
      </c>
      <c r="P1057" s="13">
        <f t="shared" si="112"/>
        <v>0</v>
      </c>
      <c r="Q1057" t="str">
        <f t="shared" si="113"/>
        <v>No</v>
      </c>
      <c r="R1057" t="str" cm="1">
        <f t="array" ref="R1057">_xlfn.IFS(K1057=0,"On Time",K1057&lt;=2,"Minor",K1057&lt;=5,"Major",K1057&gt;5,"Severe")</f>
        <v>Major</v>
      </c>
      <c r="S1057">
        <f t="shared" si="114"/>
        <v>2711</v>
      </c>
      <c r="T1057">
        <f t="shared" si="115"/>
        <v>2427</v>
      </c>
      <c r="U1057">
        <f t="shared" si="116"/>
        <v>2024</v>
      </c>
      <c r="V1057">
        <f t="shared" si="117"/>
        <v>12</v>
      </c>
      <c r="W1057" s="11">
        <f t="shared" si="118"/>
        <v>1</v>
      </c>
    </row>
    <row r="1058" spans="1:23">
      <c r="A1058" t="s">
        <v>1071</v>
      </c>
      <c r="B1058" s="4">
        <v>45640</v>
      </c>
      <c r="C1058" t="s">
        <v>2018</v>
      </c>
      <c r="D1058" t="s">
        <v>2026</v>
      </c>
      <c r="E1058" t="s">
        <v>2029</v>
      </c>
      <c r="F1058" t="s">
        <v>2032</v>
      </c>
      <c r="G1058" t="s">
        <v>2035</v>
      </c>
      <c r="H1058" t="s">
        <v>2038</v>
      </c>
      <c r="I1058">
        <v>1</v>
      </c>
      <c r="J1058">
        <v>5</v>
      </c>
      <c r="K1058">
        <v>4</v>
      </c>
      <c r="L1058" t="s">
        <v>2041</v>
      </c>
      <c r="M1058">
        <v>51</v>
      </c>
      <c r="N1058">
        <v>9788</v>
      </c>
      <c r="O1058">
        <v>10396</v>
      </c>
      <c r="P1058" s="13">
        <f t="shared" si="112"/>
        <v>0</v>
      </c>
      <c r="Q1058" t="str">
        <f t="shared" si="113"/>
        <v>No</v>
      </c>
      <c r="R1058" t="str" cm="1">
        <f t="array" ref="R1058">_xlfn.IFS(K1058=0,"On Time",K1058&lt;=2,"Minor",K1058&lt;=5,"Major",K1058&gt;5,"Severe")</f>
        <v>Major</v>
      </c>
      <c r="S1058">
        <f t="shared" si="114"/>
        <v>2599</v>
      </c>
      <c r="T1058">
        <f t="shared" si="115"/>
        <v>2447</v>
      </c>
      <c r="U1058">
        <f t="shared" si="116"/>
        <v>2024</v>
      </c>
      <c r="V1058">
        <f t="shared" si="117"/>
        <v>12</v>
      </c>
      <c r="W1058" s="11">
        <f t="shared" si="118"/>
        <v>1</v>
      </c>
    </row>
    <row r="1059" spans="1:23">
      <c r="A1059" t="s">
        <v>1072</v>
      </c>
      <c r="B1059" s="4">
        <v>45377</v>
      </c>
      <c r="C1059" t="s">
        <v>2018</v>
      </c>
      <c r="D1059" t="s">
        <v>2024</v>
      </c>
      <c r="E1059" t="s">
        <v>2028</v>
      </c>
      <c r="F1059" t="s">
        <v>2030</v>
      </c>
      <c r="G1059" t="s">
        <v>2037</v>
      </c>
      <c r="H1059" t="s">
        <v>2038</v>
      </c>
      <c r="I1059">
        <v>3</v>
      </c>
      <c r="J1059">
        <v>4</v>
      </c>
      <c r="K1059">
        <v>1</v>
      </c>
      <c r="L1059" t="s">
        <v>2041</v>
      </c>
      <c r="M1059">
        <v>361</v>
      </c>
      <c r="N1059">
        <v>908</v>
      </c>
      <c r="O1059">
        <v>4387</v>
      </c>
      <c r="P1059" s="13">
        <f t="shared" si="112"/>
        <v>0</v>
      </c>
      <c r="Q1059" t="str">
        <f t="shared" si="113"/>
        <v>No</v>
      </c>
      <c r="R1059" t="str" cm="1">
        <f t="array" ref="R1059">_xlfn.IFS(K1059=0,"On Time",K1059&lt;=2,"Minor",K1059&lt;=5,"Major",K1059&gt;5,"Severe")</f>
        <v>Minor</v>
      </c>
      <c r="S1059">
        <f t="shared" si="114"/>
        <v>4387</v>
      </c>
      <c r="T1059">
        <f t="shared" si="115"/>
        <v>908</v>
      </c>
      <c r="U1059">
        <f t="shared" si="116"/>
        <v>2024</v>
      </c>
      <c r="V1059">
        <f t="shared" si="117"/>
        <v>3</v>
      </c>
      <c r="W1059" s="11">
        <f t="shared" si="118"/>
        <v>1</v>
      </c>
    </row>
    <row r="1060" spans="1:23">
      <c r="A1060" t="s">
        <v>1073</v>
      </c>
      <c r="B1060" s="4">
        <v>45631</v>
      </c>
      <c r="C1060" t="s">
        <v>2015</v>
      </c>
      <c r="D1060" t="s">
        <v>2020</v>
      </c>
      <c r="E1060" t="s">
        <v>2029</v>
      </c>
      <c r="F1060" t="s">
        <v>2031</v>
      </c>
      <c r="G1060" t="s">
        <v>2034</v>
      </c>
      <c r="H1060" t="s">
        <v>2040</v>
      </c>
      <c r="I1060">
        <v>3</v>
      </c>
      <c r="J1060">
        <v>8</v>
      </c>
      <c r="K1060">
        <v>5</v>
      </c>
      <c r="L1060" t="s">
        <v>2041</v>
      </c>
      <c r="M1060">
        <v>111</v>
      </c>
      <c r="N1060">
        <v>9285</v>
      </c>
      <c r="O1060">
        <v>10525</v>
      </c>
      <c r="P1060" s="13">
        <f t="shared" si="112"/>
        <v>0</v>
      </c>
      <c r="Q1060" t="str">
        <f t="shared" si="113"/>
        <v>No</v>
      </c>
      <c r="R1060" t="str" cm="1">
        <f t="array" ref="R1060">_xlfn.IFS(K1060=0,"On Time",K1060&lt;=2,"Minor",K1060&lt;=5,"Major",K1060&gt;5,"Severe")</f>
        <v>Major</v>
      </c>
      <c r="S1060">
        <f t="shared" si="114"/>
        <v>2105</v>
      </c>
      <c r="T1060">
        <f t="shared" si="115"/>
        <v>1857</v>
      </c>
      <c r="U1060">
        <f t="shared" si="116"/>
        <v>2024</v>
      </c>
      <c r="V1060">
        <f t="shared" si="117"/>
        <v>12</v>
      </c>
      <c r="W1060" s="11">
        <f t="shared" si="118"/>
        <v>1</v>
      </c>
    </row>
    <row r="1061" spans="1:23">
      <c r="A1061" t="s">
        <v>1074</v>
      </c>
      <c r="B1061" s="4">
        <v>45559</v>
      </c>
      <c r="C1061" t="s">
        <v>2016</v>
      </c>
      <c r="D1061" t="s">
        <v>2025</v>
      </c>
      <c r="E1061" t="s">
        <v>2029</v>
      </c>
      <c r="F1061" t="s">
        <v>2031</v>
      </c>
      <c r="G1061" t="s">
        <v>2037</v>
      </c>
      <c r="H1061" t="s">
        <v>2039</v>
      </c>
      <c r="I1061">
        <v>3</v>
      </c>
      <c r="J1061">
        <v>8</v>
      </c>
      <c r="K1061">
        <v>5</v>
      </c>
      <c r="L1061" t="s">
        <v>2041</v>
      </c>
      <c r="M1061">
        <v>407</v>
      </c>
      <c r="N1061">
        <v>4760</v>
      </c>
      <c r="O1061">
        <v>20835</v>
      </c>
      <c r="P1061" s="13">
        <f t="shared" si="112"/>
        <v>0</v>
      </c>
      <c r="Q1061" t="str">
        <f t="shared" si="113"/>
        <v>No</v>
      </c>
      <c r="R1061" t="str" cm="1">
        <f t="array" ref="R1061">_xlfn.IFS(K1061=0,"On Time",K1061&lt;=2,"Minor",K1061&lt;=5,"Major",K1061&gt;5,"Severe")</f>
        <v>Major</v>
      </c>
      <c r="S1061">
        <f t="shared" si="114"/>
        <v>4167</v>
      </c>
      <c r="T1061">
        <f t="shared" si="115"/>
        <v>952</v>
      </c>
      <c r="U1061">
        <f t="shared" si="116"/>
        <v>2024</v>
      </c>
      <c r="V1061">
        <f t="shared" si="117"/>
        <v>9</v>
      </c>
      <c r="W1061" s="11">
        <f t="shared" si="118"/>
        <v>1</v>
      </c>
    </row>
    <row r="1062" spans="1:23">
      <c r="A1062" t="s">
        <v>1075</v>
      </c>
      <c r="B1062" s="4">
        <v>45469</v>
      </c>
      <c r="C1062" t="s">
        <v>2015</v>
      </c>
      <c r="D1062" t="s">
        <v>2019</v>
      </c>
      <c r="E1062" t="s">
        <v>2028</v>
      </c>
      <c r="F1062" t="s">
        <v>2030</v>
      </c>
      <c r="G1062" t="s">
        <v>2035</v>
      </c>
      <c r="H1062" t="s">
        <v>2038</v>
      </c>
      <c r="I1062">
        <v>1</v>
      </c>
      <c r="J1062">
        <v>1</v>
      </c>
      <c r="K1062">
        <v>0</v>
      </c>
      <c r="L1062" t="s">
        <v>2042</v>
      </c>
      <c r="M1062">
        <v>227</v>
      </c>
      <c r="N1062">
        <v>0</v>
      </c>
      <c r="O1062">
        <v>0</v>
      </c>
      <c r="P1062" s="13">
        <f t="shared" si="112"/>
        <v>1</v>
      </c>
      <c r="Q1062" t="str">
        <f t="shared" si="113"/>
        <v>No</v>
      </c>
      <c r="R1062" t="str" cm="1">
        <f t="array" ref="R1062">_xlfn.IFS(K1062=0,"On Time",K1062&lt;=2,"Minor",K1062&lt;=5,"Major",K1062&gt;5,"Severe")</f>
        <v>On Time</v>
      </c>
      <c r="S1062">
        <f t="shared" si="114"/>
        <v>0</v>
      </c>
      <c r="T1062">
        <f t="shared" si="115"/>
        <v>0</v>
      </c>
      <c r="U1062">
        <f t="shared" si="116"/>
        <v>2024</v>
      </c>
      <c r="V1062">
        <f t="shared" si="117"/>
        <v>6</v>
      </c>
      <c r="W1062" s="11">
        <f t="shared" si="118"/>
        <v>0</v>
      </c>
    </row>
    <row r="1063" spans="1:23">
      <c r="A1063" t="s">
        <v>1076</v>
      </c>
      <c r="B1063" s="4">
        <v>45465</v>
      </c>
      <c r="C1063" t="s">
        <v>2016</v>
      </c>
      <c r="D1063" t="s">
        <v>2021</v>
      </c>
      <c r="E1063" t="s">
        <v>2029</v>
      </c>
      <c r="F1063" t="s">
        <v>2031</v>
      </c>
      <c r="G1063" t="s">
        <v>2037</v>
      </c>
      <c r="H1063" t="s">
        <v>2039</v>
      </c>
      <c r="I1063">
        <v>2</v>
      </c>
      <c r="J1063">
        <v>4</v>
      </c>
      <c r="K1063">
        <v>2</v>
      </c>
      <c r="L1063" t="s">
        <v>2041</v>
      </c>
      <c r="M1063">
        <v>247</v>
      </c>
      <c r="N1063">
        <v>4732</v>
      </c>
      <c r="O1063">
        <v>8338</v>
      </c>
      <c r="P1063" s="13">
        <f t="shared" si="112"/>
        <v>0</v>
      </c>
      <c r="Q1063" t="str">
        <f t="shared" si="113"/>
        <v>No</v>
      </c>
      <c r="R1063" t="str" cm="1">
        <f t="array" ref="R1063">_xlfn.IFS(K1063=0,"On Time",K1063&lt;=2,"Minor",K1063&lt;=5,"Major",K1063&gt;5,"Severe")</f>
        <v>Minor</v>
      </c>
      <c r="S1063">
        <f t="shared" si="114"/>
        <v>4169</v>
      </c>
      <c r="T1063">
        <f t="shared" si="115"/>
        <v>2366</v>
      </c>
      <c r="U1063">
        <f t="shared" si="116"/>
        <v>2024</v>
      </c>
      <c r="V1063">
        <f t="shared" si="117"/>
        <v>6</v>
      </c>
      <c r="W1063" s="11">
        <f t="shared" si="118"/>
        <v>1</v>
      </c>
    </row>
    <row r="1064" spans="1:23">
      <c r="A1064" t="s">
        <v>1077</v>
      </c>
      <c r="B1064" s="4">
        <v>45430</v>
      </c>
      <c r="C1064" t="s">
        <v>2016</v>
      </c>
      <c r="D1064" t="s">
        <v>2021</v>
      </c>
      <c r="E1064" t="s">
        <v>2029</v>
      </c>
      <c r="F1064" t="s">
        <v>2031</v>
      </c>
      <c r="G1064" t="s">
        <v>2037</v>
      </c>
      <c r="H1064" t="s">
        <v>2038</v>
      </c>
      <c r="I1064">
        <v>1</v>
      </c>
      <c r="J1064">
        <v>5</v>
      </c>
      <c r="K1064">
        <v>4</v>
      </c>
      <c r="L1064" t="s">
        <v>2041</v>
      </c>
      <c r="M1064">
        <v>152</v>
      </c>
      <c r="N1064">
        <v>6024</v>
      </c>
      <c r="O1064">
        <v>17248</v>
      </c>
      <c r="P1064" s="13">
        <f t="shared" si="112"/>
        <v>0</v>
      </c>
      <c r="Q1064" t="str">
        <f t="shared" si="113"/>
        <v>No</v>
      </c>
      <c r="R1064" t="str" cm="1">
        <f t="array" ref="R1064">_xlfn.IFS(K1064=0,"On Time",K1064&lt;=2,"Minor",K1064&lt;=5,"Major",K1064&gt;5,"Severe")</f>
        <v>Major</v>
      </c>
      <c r="S1064">
        <f t="shared" si="114"/>
        <v>4312</v>
      </c>
      <c r="T1064">
        <f t="shared" si="115"/>
        <v>1506</v>
      </c>
      <c r="U1064">
        <f t="shared" si="116"/>
        <v>2024</v>
      </c>
      <c r="V1064">
        <f t="shared" si="117"/>
        <v>5</v>
      </c>
      <c r="W1064" s="11">
        <f t="shared" si="118"/>
        <v>1</v>
      </c>
    </row>
    <row r="1065" spans="1:23">
      <c r="A1065" t="s">
        <v>1078</v>
      </c>
      <c r="B1065" s="4">
        <v>45626</v>
      </c>
      <c r="C1065" t="s">
        <v>2015</v>
      </c>
      <c r="D1065" t="s">
        <v>2019</v>
      </c>
      <c r="E1065" t="s">
        <v>2029</v>
      </c>
      <c r="F1065" t="s">
        <v>2030</v>
      </c>
      <c r="G1065" t="s">
        <v>2037</v>
      </c>
      <c r="H1065" t="s">
        <v>2038</v>
      </c>
      <c r="I1065">
        <v>3</v>
      </c>
      <c r="J1065">
        <v>7</v>
      </c>
      <c r="K1065">
        <v>4</v>
      </c>
      <c r="L1065" t="s">
        <v>2041</v>
      </c>
      <c r="M1065">
        <v>425</v>
      </c>
      <c r="N1065">
        <v>8452</v>
      </c>
      <c r="O1065">
        <v>6744</v>
      </c>
      <c r="P1065" s="13">
        <f t="shared" si="112"/>
        <v>0</v>
      </c>
      <c r="Q1065" t="str">
        <f t="shared" si="113"/>
        <v>No</v>
      </c>
      <c r="R1065" t="str" cm="1">
        <f t="array" ref="R1065">_xlfn.IFS(K1065=0,"On Time",K1065&lt;=2,"Minor",K1065&lt;=5,"Major",K1065&gt;5,"Severe")</f>
        <v>Major</v>
      </c>
      <c r="S1065">
        <f t="shared" si="114"/>
        <v>1686</v>
      </c>
      <c r="T1065">
        <f t="shared" si="115"/>
        <v>2113</v>
      </c>
      <c r="U1065">
        <f t="shared" si="116"/>
        <v>2024</v>
      </c>
      <c r="V1065">
        <f t="shared" si="117"/>
        <v>11</v>
      </c>
      <c r="W1065" s="11">
        <f t="shared" si="118"/>
        <v>1</v>
      </c>
    </row>
    <row r="1066" spans="1:23">
      <c r="A1066" t="s">
        <v>1079</v>
      </c>
      <c r="B1066" s="4">
        <v>45621</v>
      </c>
      <c r="C1066" t="s">
        <v>2016</v>
      </c>
      <c r="D1066" t="s">
        <v>2021</v>
      </c>
      <c r="E1066" t="s">
        <v>2029</v>
      </c>
      <c r="F1066" t="s">
        <v>2031</v>
      </c>
      <c r="G1066" t="s">
        <v>2034</v>
      </c>
      <c r="H1066" t="s">
        <v>2039</v>
      </c>
      <c r="I1066">
        <v>2</v>
      </c>
      <c r="J1066">
        <v>5</v>
      </c>
      <c r="K1066">
        <v>3</v>
      </c>
      <c r="L1066" t="s">
        <v>2041</v>
      </c>
      <c r="M1066">
        <v>374</v>
      </c>
      <c r="N1066">
        <v>7266</v>
      </c>
      <c r="O1066">
        <v>11271</v>
      </c>
      <c r="P1066" s="13">
        <f t="shared" si="112"/>
        <v>0</v>
      </c>
      <c r="Q1066" t="str">
        <f t="shared" si="113"/>
        <v>No</v>
      </c>
      <c r="R1066" t="str" cm="1">
        <f t="array" ref="R1066">_xlfn.IFS(K1066=0,"On Time",K1066&lt;=2,"Minor",K1066&lt;=5,"Major",K1066&gt;5,"Severe")</f>
        <v>Major</v>
      </c>
      <c r="S1066">
        <f t="shared" si="114"/>
        <v>3757</v>
      </c>
      <c r="T1066">
        <f t="shared" si="115"/>
        <v>2422</v>
      </c>
      <c r="U1066">
        <f t="shared" si="116"/>
        <v>2024</v>
      </c>
      <c r="V1066">
        <f t="shared" si="117"/>
        <v>11</v>
      </c>
      <c r="W1066" s="11">
        <f t="shared" si="118"/>
        <v>1</v>
      </c>
    </row>
    <row r="1067" spans="1:23">
      <c r="A1067" t="s">
        <v>1080</v>
      </c>
      <c r="B1067" s="4">
        <v>45309</v>
      </c>
      <c r="C1067" t="s">
        <v>2017</v>
      </c>
      <c r="D1067" t="s">
        <v>2022</v>
      </c>
      <c r="E1067" t="s">
        <v>2028</v>
      </c>
      <c r="F1067" t="s">
        <v>2031</v>
      </c>
      <c r="G1067" t="s">
        <v>2036</v>
      </c>
      <c r="H1067" t="s">
        <v>2038</v>
      </c>
      <c r="I1067">
        <v>3</v>
      </c>
      <c r="J1067">
        <v>7</v>
      </c>
      <c r="K1067">
        <v>4</v>
      </c>
      <c r="L1067" t="s">
        <v>2041</v>
      </c>
      <c r="M1067">
        <v>273</v>
      </c>
      <c r="N1067">
        <v>7392</v>
      </c>
      <c r="O1067">
        <v>10180</v>
      </c>
      <c r="P1067" s="13">
        <f t="shared" si="112"/>
        <v>0</v>
      </c>
      <c r="Q1067" t="str">
        <f t="shared" si="113"/>
        <v>No</v>
      </c>
      <c r="R1067" t="str" cm="1">
        <f t="array" ref="R1067">_xlfn.IFS(K1067=0,"On Time",K1067&lt;=2,"Minor",K1067&lt;=5,"Major",K1067&gt;5,"Severe")</f>
        <v>Major</v>
      </c>
      <c r="S1067">
        <f t="shared" si="114"/>
        <v>2545</v>
      </c>
      <c r="T1067">
        <f t="shared" si="115"/>
        <v>1848</v>
      </c>
      <c r="U1067">
        <f t="shared" si="116"/>
        <v>2024</v>
      </c>
      <c r="V1067">
        <f t="shared" si="117"/>
        <v>1</v>
      </c>
      <c r="W1067" s="11">
        <f t="shared" si="118"/>
        <v>1</v>
      </c>
    </row>
    <row r="1068" spans="1:23">
      <c r="A1068" t="s">
        <v>1081</v>
      </c>
      <c r="B1068" s="4">
        <v>45381</v>
      </c>
      <c r="C1068" t="s">
        <v>2015</v>
      </c>
      <c r="D1068" t="s">
        <v>2020</v>
      </c>
      <c r="E1068" t="s">
        <v>2028</v>
      </c>
      <c r="F1068" t="s">
        <v>2030</v>
      </c>
      <c r="G1068" t="s">
        <v>2035</v>
      </c>
      <c r="H1068" t="s">
        <v>2038</v>
      </c>
      <c r="I1068">
        <v>1</v>
      </c>
      <c r="J1068">
        <v>4</v>
      </c>
      <c r="K1068">
        <v>3</v>
      </c>
      <c r="L1068" t="s">
        <v>2041</v>
      </c>
      <c r="M1068">
        <v>230</v>
      </c>
      <c r="N1068">
        <v>5931</v>
      </c>
      <c r="O1068">
        <v>10365</v>
      </c>
      <c r="P1068" s="13">
        <f t="shared" si="112"/>
        <v>0</v>
      </c>
      <c r="Q1068" t="str">
        <f t="shared" si="113"/>
        <v>No</v>
      </c>
      <c r="R1068" t="str" cm="1">
        <f t="array" ref="R1068">_xlfn.IFS(K1068=0,"On Time",K1068&lt;=2,"Minor",K1068&lt;=5,"Major",K1068&gt;5,"Severe")</f>
        <v>Major</v>
      </c>
      <c r="S1068">
        <f t="shared" si="114"/>
        <v>3455</v>
      </c>
      <c r="T1068">
        <f t="shared" si="115"/>
        <v>1977</v>
      </c>
      <c r="U1068">
        <f t="shared" si="116"/>
        <v>2024</v>
      </c>
      <c r="V1068">
        <f t="shared" si="117"/>
        <v>3</v>
      </c>
      <c r="W1068" s="11">
        <f t="shared" si="118"/>
        <v>1</v>
      </c>
    </row>
    <row r="1069" spans="1:23">
      <c r="A1069" t="s">
        <v>1082</v>
      </c>
      <c r="B1069" s="4">
        <v>45494</v>
      </c>
      <c r="C1069" t="s">
        <v>2018</v>
      </c>
      <c r="D1069" t="s">
        <v>2026</v>
      </c>
      <c r="E1069" t="s">
        <v>2027</v>
      </c>
      <c r="F1069" t="s">
        <v>2031</v>
      </c>
      <c r="G1069" t="s">
        <v>2037</v>
      </c>
      <c r="H1069" t="s">
        <v>2038</v>
      </c>
      <c r="I1069">
        <v>1</v>
      </c>
      <c r="J1069">
        <v>3</v>
      </c>
      <c r="K1069">
        <v>2</v>
      </c>
      <c r="L1069" t="s">
        <v>2041</v>
      </c>
      <c r="M1069">
        <v>344</v>
      </c>
      <c r="N1069">
        <v>2508</v>
      </c>
      <c r="O1069">
        <v>9616</v>
      </c>
      <c r="P1069" s="13">
        <f t="shared" si="112"/>
        <v>0</v>
      </c>
      <c r="Q1069" t="str">
        <f t="shared" si="113"/>
        <v>No</v>
      </c>
      <c r="R1069" t="str" cm="1">
        <f t="array" ref="R1069">_xlfn.IFS(K1069=0,"On Time",K1069&lt;=2,"Minor",K1069&lt;=5,"Major",K1069&gt;5,"Severe")</f>
        <v>Minor</v>
      </c>
      <c r="S1069">
        <f t="shared" si="114"/>
        <v>4808</v>
      </c>
      <c r="T1069">
        <f t="shared" si="115"/>
        <v>1254</v>
      </c>
      <c r="U1069">
        <f t="shared" si="116"/>
        <v>2024</v>
      </c>
      <c r="V1069">
        <f t="shared" si="117"/>
        <v>7</v>
      </c>
      <c r="W1069" s="11">
        <f t="shared" si="118"/>
        <v>1</v>
      </c>
    </row>
    <row r="1070" spans="1:23">
      <c r="A1070" t="s">
        <v>1083</v>
      </c>
      <c r="B1070" s="4">
        <v>45536</v>
      </c>
      <c r="C1070" t="s">
        <v>2015</v>
      </c>
      <c r="D1070" t="s">
        <v>2019</v>
      </c>
      <c r="E1070" t="s">
        <v>2027</v>
      </c>
      <c r="F1070" t="s">
        <v>2031</v>
      </c>
      <c r="G1070" t="s">
        <v>2036</v>
      </c>
      <c r="H1070" t="s">
        <v>2039</v>
      </c>
      <c r="I1070">
        <v>2</v>
      </c>
      <c r="J1070">
        <v>6</v>
      </c>
      <c r="K1070">
        <v>4</v>
      </c>
      <c r="L1070" t="s">
        <v>2041</v>
      </c>
      <c r="M1070">
        <v>448</v>
      </c>
      <c r="N1070">
        <v>8272</v>
      </c>
      <c r="O1070">
        <v>10844</v>
      </c>
      <c r="P1070" s="13">
        <f t="shared" si="112"/>
        <v>0</v>
      </c>
      <c r="Q1070" t="str">
        <f t="shared" si="113"/>
        <v>No</v>
      </c>
      <c r="R1070" t="str" cm="1">
        <f t="array" ref="R1070">_xlfn.IFS(K1070=0,"On Time",K1070&lt;=2,"Minor",K1070&lt;=5,"Major",K1070&gt;5,"Severe")</f>
        <v>Major</v>
      </c>
      <c r="S1070">
        <f t="shared" si="114"/>
        <v>2711</v>
      </c>
      <c r="T1070">
        <f t="shared" si="115"/>
        <v>2068</v>
      </c>
      <c r="U1070">
        <f t="shared" si="116"/>
        <v>2024</v>
      </c>
      <c r="V1070">
        <f t="shared" si="117"/>
        <v>9</v>
      </c>
      <c r="W1070" s="11">
        <f t="shared" si="118"/>
        <v>1</v>
      </c>
    </row>
    <row r="1071" spans="1:23">
      <c r="A1071" t="s">
        <v>1084</v>
      </c>
      <c r="B1071" s="4">
        <v>45451</v>
      </c>
      <c r="C1071" t="s">
        <v>2017</v>
      </c>
      <c r="D1071" t="s">
        <v>2022</v>
      </c>
      <c r="E1071" t="s">
        <v>2028</v>
      </c>
      <c r="F1071" t="s">
        <v>2032</v>
      </c>
      <c r="G1071" t="s">
        <v>2037</v>
      </c>
      <c r="H1071" t="s">
        <v>2040</v>
      </c>
      <c r="I1071">
        <v>3</v>
      </c>
      <c r="J1071">
        <v>12</v>
      </c>
      <c r="K1071">
        <v>9</v>
      </c>
      <c r="L1071" t="s">
        <v>2041</v>
      </c>
      <c r="M1071">
        <v>325</v>
      </c>
      <c r="N1071">
        <v>15489</v>
      </c>
      <c r="O1071">
        <v>43578</v>
      </c>
      <c r="P1071" s="13">
        <f t="shared" si="112"/>
        <v>0</v>
      </c>
      <c r="Q1071" t="str">
        <f t="shared" si="113"/>
        <v>No</v>
      </c>
      <c r="R1071" t="str" cm="1">
        <f t="array" ref="R1071">_xlfn.IFS(K1071=0,"On Time",K1071&lt;=2,"Minor",K1071&lt;=5,"Major",K1071&gt;5,"Severe")</f>
        <v>Severe</v>
      </c>
      <c r="S1071">
        <f t="shared" si="114"/>
        <v>4842</v>
      </c>
      <c r="T1071">
        <f t="shared" si="115"/>
        <v>1721</v>
      </c>
      <c r="U1071">
        <f t="shared" si="116"/>
        <v>2024</v>
      </c>
      <c r="V1071">
        <f t="shared" si="117"/>
        <v>6</v>
      </c>
      <c r="W1071" s="11">
        <f t="shared" si="118"/>
        <v>1</v>
      </c>
    </row>
    <row r="1072" spans="1:23">
      <c r="A1072" t="s">
        <v>1085</v>
      </c>
      <c r="B1072" s="4">
        <v>45610</v>
      </c>
      <c r="C1072" t="s">
        <v>2017</v>
      </c>
      <c r="D1072" t="s">
        <v>2023</v>
      </c>
      <c r="E1072" t="s">
        <v>2027</v>
      </c>
      <c r="F1072" t="s">
        <v>2031</v>
      </c>
      <c r="G1072" t="s">
        <v>2033</v>
      </c>
      <c r="H1072" t="s">
        <v>2038</v>
      </c>
      <c r="I1072">
        <v>1</v>
      </c>
      <c r="J1072">
        <v>1</v>
      </c>
      <c r="K1072">
        <v>0</v>
      </c>
      <c r="L1072" t="s">
        <v>2042</v>
      </c>
      <c r="M1072">
        <v>146</v>
      </c>
      <c r="N1072">
        <v>0</v>
      </c>
      <c r="O1072">
        <v>0</v>
      </c>
      <c r="P1072" s="13">
        <f t="shared" si="112"/>
        <v>1</v>
      </c>
      <c r="Q1072" t="str">
        <f t="shared" si="113"/>
        <v>No</v>
      </c>
      <c r="R1072" t="str" cm="1">
        <f t="array" ref="R1072">_xlfn.IFS(K1072=0,"On Time",K1072&lt;=2,"Minor",K1072&lt;=5,"Major",K1072&gt;5,"Severe")</f>
        <v>On Time</v>
      </c>
      <c r="S1072">
        <f t="shared" si="114"/>
        <v>0</v>
      </c>
      <c r="T1072">
        <f t="shared" si="115"/>
        <v>0</v>
      </c>
      <c r="U1072">
        <f t="shared" si="116"/>
        <v>2024</v>
      </c>
      <c r="V1072">
        <f t="shared" si="117"/>
        <v>11</v>
      </c>
      <c r="W1072" s="11">
        <f t="shared" si="118"/>
        <v>0</v>
      </c>
    </row>
    <row r="1073" spans="1:23">
      <c r="A1073" t="s">
        <v>1086</v>
      </c>
      <c r="B1073" s="4">
        <v>45461</v>
      </c>
      <c r="C1073" t="s">
        <v>2016</v>
      </c>
      <c r="D1073" t="s">
        <v>2021</v>
      </c>
      <c r="E1073" t="s">
        <v>2029</v>
      </c>
      <c r="F1073" t="s">
        <v>2032</v>
      </c>
      <c r="G1073" t="s">
        <v>2034</v>
      </c>
      <c r="H1073" t="s">
        <v>2040</v>
      </c>
      <c r="I1073">
        <v>1</v>
      </c>
      <c r="J1073">
        <v>8</v>
      </c>
      <c r="K1073">
        <v>7</v>
      </c>
      <c r="L1073" t="s">
        <v>2041</v>
      </c>
      <c r="M1073">
        <v>462</v>
      </c>
      <c r="N1073">
        <v>9163</v>
      </c>
      <c r="O1073">
        <v>24094</v>
      </c>
      <c r="P1073" s="13">
        <f t="shared" si="112"/>
        <v>0</v>
      </c>
      <c r="Q1073" t="str">
        <f t="shared" si="113"/>
        <v>No</v>
      </c>
      <c r="R1073" t="str" cm="1">
        <f t="array" ref="R1073">_xlfn.IFS(K1073=0,"On Time",K1073&lt;=2,"Minor",K1073&lt;=5,"Major",K1073&gt;5,"Severe")</f>
        <v>Severe</v>
      </c>
      <c r="S1073">
        <f t="shared" si="114"/>
        <v>3442</v>
      </c>
      <c r="T1073">
        <f t="shared" si="115"/>
        <v>1309</v>
      </c>
      <c r="U1073">
        <f t="shared" si="116"/>
        <v>2024</v>
      </c>
      <c r="V1073">
        <f t="shared" si="117"/>
        <v>6</v>
      </c>
      <c r="W1073" s="11">
        <f t="shared" si="118"/>
        <v>1</v>
      </c>
    </row>
    <row r="1074" spans="1:23">
      <c r="A1074" t="s">
        <v>1087</v>
      </c>
      <c r="B1074" s="4">
        <v>45452</v>
      </c>
      <c r="C1074" t="s">
        <v>2018</v>
      </c>
      <c r="D1074" t="s">
        <v>2024</v>
      </c>
      <c r="E1074" t="s">
        <v>2027</v>
      </c>
      <c r="F1074" t="s">
        <v>2032</v>
      </c>
      <c r="G1074" t="s">
        <v>2033</v>
      </c>
      <c r="H1074" t="s">
        <v>2039</v>
      </c>
      <c r="I1074">
        <v>2</v>
      </c>
      <c r="J1074">
        <v>7</v>
      </c>
      <c r="K1074">
        <v>5</v>
      </c>
      <c r="L1074" t="s">
        <v>2041</v>
      </c>
      <c r="M1074">
        <v>485</v>
      </c>
      <c r="N1074">
        <v>10840</v>
      </c>
      <c r="O1074">
        <v>11370</v>
      </c>
      <c r="P1074" s="13">
        <f t="shared" si="112"/>
        <v>0</v>
      </c>
      <c r="Q1074" t="str">
        <f t="shared" si="113"/>
        <v>No</v>
      </c>
      <c r="R1074" t="str" cm="1">
        <f t="array" ref="R1074">_xlfn.IFS(K1074=0,"On Time",K1074&lt;=2,"Minor",K1074&lt;=5,"Major",K1074&gt;5,"Severe")</f>
        <v>Major</v>
      </c>
      <c r="S1074">
        <f t="shared" si="114"/>
        <v>2274</v>
      </c>
      <c r="T1074">
        <f t="shared" si="115"/>
        <v>2168</v>
      </c>
      <c r="U1074">
        <f t="shared" si="116"/>
        <v>2024</v>
      </c>
      <c r="V1074">
        <f t="shared" si="117"/>
        <v>6</v>
      </c>
      <c r="W1074" s="11">
        <f t="shared" si="118"/>
        <v>1</v>
      </c>
    </row>
    <row r="1075" spans="1:23">
      <c r="A1075" t="s">
        <v>1088</v>
      </c>
      <c r="B1075" s="4">
        <v>45351</v>
      </c>
      <c r="C1075" t="s">
        <v>2017</v>
      </c>
      <c r="D1075" t="s">
        <v>2023</v>
      </c>
      <c r="E1075" t="s">
        <v>2029</v>
      </c>
      <c r="F1075" t="s">
        <v>2032</v>
      </c>
      <c r="G1075" t="s">
        <v>2035</v>
      </c>
      <c r="H1075" t="s">
        <v>2039</v>
      </c>
      <c r="I1075">
        <v>1</v>
      </c>
      <c r="J1075">
        <v>3</v>
      </c>
      <c r="K1075">
        <v>2</v>
      </c>
      <c r="L1075" t="s">
        <v>2041</v>
      </c>
      <c r="M1075">
        <v>276</v>
      </c>
      <c r="N1075">
        <v>1994</v>
      </c>
      <c r="O1075">
        <v>4000</v>
      </c>
      <c r="P1075" s="13">
        <f t="shared" si="112"/>
        <v>0</v>
      </c>
      <c r="Q1075" t="str">
        <f t="shared" si="113"/>
        <v>No</v>
      </c>
      <c r="R1075" t="str" cm="1">
        <f t="array" ref="R1075">_xlfn.IFS(K1075=0,"On Time",K1075&lt;=2,"Minor",K1075&lt;=5,"Major",K1075&gt;5,"Severe")</f>
        <v>Minor</v>
      </c>
      <c r="S1075">
        <f t="shared" si="114"/>
        <v>2000</v>
      </c>
      <c r="T1075">
        <f t="shared" si="115"/>
        <v>997</v>
      </c>
      <c r="U1075">
        <f t="shared" si="116"/>
        <v>2024</v>
      </c>
      <c r="V1075">
        <f t="shared" si="117"/>
        <v>2</v>
      </c>
      <c r="W1075" s="11">
        <f t="shared" si="118"/>
        <v>1</v>
      </c>
    </row>
    <row r="1076" spans="1:23">
      <c r="A1076" t="s">
        <v>1089</v>
      </c>
      <c r="B1076" s="4">
        <v>45489</v>
      </c>
      <c r="C1076" t="s">
        <v>2016</v>
      </c>
      <c r="D1076" t="s">
        <v>2021</v>
      </c>
      <c r="E1076" t="s">
        <v>2029</v>
      </c>
      <c r="F1076" t="s">
        <v>2031</v>
      </c>
      <c r="G1076" t="s">
        <v>2034</v>
      </c>
      <c r="H1076" t="s">
        <v>2038</v>
      </c>
      <c r="I1076">
        <v>1</v>
      </c>
      <c r="J1076">
        <v>2</v>
      </c>
      <c r="K1076">
        <v>1</v>
      </c>
      <c r="L1076" t="s">
        <v>2041</v>
      </c>
      <c r="M1076">
        <v>220</v>
      </c>
      <c r="N1076">
        <v>1533</v>
      </c>
      <c r="O1076">
        <v>2176</v>
      </c>
      <c r="P1076" s="13">
        <f t="shared" si="112"/>
        <v>0</v>
      </c>
      <c r="Q1076" t="str">
        <f t="shared" si="113"/>
        <v>No</v>
      </c>
      <c r="R1076" t="str" cm="1">
        <f t="array" ref="R1076">_xlfn.IFS(K1076=0,"On Time",K1076&lt;=2,"Minor",K1076&lt;=5,"Major",K1076&gt;5,"Severe")</f>
        <v>Minor</v>
      </c>
      <c r="S1076">
        <f t="shared" si="114"/>
        <v>2176</v>
      </c>
      <c r="T1076">
        <f t="shared" si="115"/>
        <v>1533</v>
      </c>
      <c r="U1076">
        <f t="shared" si="116"/>
        <v>2024</v>
      </c>
      <c r="V1076">
        <f t="shared" si="117"/>
        <v>7</v>
      </c>
      <c r="W1076" s="11">
        <f t="shared" si="118"/>
        <v>1</v>
      </c>
    </row>
    <row r="1077" spans="1:23">
      <c r="A1077" t="s">
        <v>1090</v>
      </c>
      <c r="B1077" s="4">
        <v>45389</v>
      </c>
      <c r="C1077" t="s">
        <v>2018</v>
      </c>
      <c r="D1077" t="s">
        <v>2024</v>
      </c>
      <c r="E1077" t="s">
        <v>2029</v>
      </c>
      <c r="F1077" t="s">
        <v>2030</v>
      </c>
      <c r="G1077" t="s">
        <v>2034</v>
      </c>
      <c r="H1077" t="s">
        <v>2038</v>
      </c>
      <c r="I1077">
        <v>3</v>
      </c>
      <c r="J1077">
        <v>4</v>
      </c>
      <c r="K1077">
        <v>1</v>
      </c>
      <c r="L1077" t="s">
        <v>2041</v>
      </c>
      <c r="M1077">
        <v>472</v>
      </c>
      <c r="N1077">
        <v>1991</v>
      </c>
      <c r="O1077">
        <v>2531</v>
      </c>
      <c r="P1077" s="13">
        <f t="shared" si="112"/>
        <v>0</v>
      </c>
      <c r="Q1077" t="str">
        <f t="shared" si="113"/>
        <v>No</v>
      </c>
      <c r="R1077" t="str" cm="1">
        <f t="array" ref="R1077">_xlfn.IFS(K1077=0,"On Time",K1077&lt;=2,"Minor",K1077&lt;=5,"Major",K1077&gt;5,"Severe")</f>
        <v>Minor</v>
      </c>
      <c r="S1077">
        <f t="shared" si="114"/>
        <v>2531</v>
      </c>
      <c r="T1077">
        <f t="shared" si="115"/>
        <v>1991</v>
      </c>
      <c r="U1077">
        <f t="shared" si="116"/>
        <v>2024</v>
      </c>
      <c r="V1077">
        <f t="shared" si="117"/>
        <v>4</v>
      </c>
      <c r="W1077" s="11">
        <f t="shared" si="118"/>
        <v>1</v>
      </c>
    </row>
    <row r="1078" spans="1:23">
      <c r="A1078" t="s">
        <v>1091</v>
      </c>
      <c r="B1078" s="4">
        <v>45405</v>
      </c>
      <c r="C1078" t="s">
        <v>2015</v>
      </c>
      <c r="D1078" t="s">
        <v>2020</v>
      </c>
      <c r="E1078" t="s">
        <v>2029</v>
      </c>
      <c r="F1078" t="s">
        <v>2031</v>
      </c>
      <c r="G1078" t="s">
        <v>2037</v>
      </c>
      <c r="H1078" t="s">
        <v>2038</v>
      </c>
      <c r="I1078">
        <v>3</v>
      </c>
      <c r="J1078">
        <v>6</v>
      </c>
      <c r="K1078">
        <v>3</v>
      </c>
      <c r="L1078" t="s">
        <v>2041</v>
      </c>
      <c r="M1078">
        <v>130</v>
      </c>
      <c r="N1078">
        <v>4443</v>
      </c>
      <c r="O1078">
        <v>9660</v>
      </c>
      <c r="P1078" s="13">
        <f t="shared" si="112"/>
        <v>0</v>
      </c>
      <c r="Q1078" t="str">
        <f t="shared" si="113"/>
        <v>No</v>
      </c>
      <c r="R1078" t="str" cm="1">
        <f t="array" ref="R1078">_xlfn.IFS(K1078=0,"On Time",K1078&lt;=2,"Minor",K1078&lt;=5,"Major",K1078&gt;5,"Severe")</f>
        <v>Major</v>
      </c>
      <c r="S1078">
        <f t="shared" si="114"/>
        <v>3220</v>
      </c>
      <c r="T1078">
        <f t="shared" si="115"/>
        <v>1481</v>
      </c>
      <c r="U1078">
        <f t="shared" si="116"/>
        <v>2024</v>
      </c>
      <c r="V1078">
        <f t="shared" si="117"/>
        <v>4</v>
      </c>
      <c r="W1078" s="11">
        <f t="shared" si="118"/>
        <v>1</v>
      </c>
    </row>
    <row r="1079" spans="1:23">
      <c r="A1079" t="s">
        <v>1092</v>
      </c>
      <c r="B1079" s="4">
        <v>45581</v>
      </c>
      <c r="C1079" t="s">
        <v>2018</v>
      </c>
      <c r="D1079" t="s">
        <v>2024</v>
      </c>
      <c r="E1079" t="s">
        <v>2027</v>
      </c>
      <c r="F1079" t="s">
        <v>2031</v>
      </c>
      <c r="G1079" t="s">
        <v>2033</v>
      </c>
      <c r="H1079" t="s">
        <v>2040</v>
      </c>
      <c r="I1079">
        <v>3</v>
      </c>
      <c r="J1079">
        <v>9</v>
      </c>
      <c r="K1079">
        <v>6</v>
      </c>
      <c r="L1079" t="s">
        <v>2041</v>
      </c>
      <c r="M1079">
        <v>234</v>
      </c>
      <c r="N1079">
        <v>6240</v>
      </c>
      <c r="O1079">
        <v>28218</v>
      </c>
      <c r="P1079" s="13">
        <f t="shared" si="112"/>
        <v>0</v>
      </c>
      <c r="Q1079" t="str">
        <f t="shared" si="113"/>
        <v>No</v>
      </c>
      <c r="R1079" t="str" cm="1">
        <f t="array" ref="R1079">_xlfn.IFS(K1079=0,"On Time",K1079&lt;=2,"Minor",K1079&lt;=5,"Major",K1079&gt;5,"Severe")</f>
        <v>Severe</v>
      </c>
      <c r="S1079">
        <f t="shared" si="114"/>
        <v>4703</v>
      </c>
      <c r="T1079">
        <f t="shared" si="115"/>
        <v>1040</v>
      </c>
      <c r="U1079">
        <f t="shared" si="116"/>
        <v>2024</v>
      </c>
      <c r="V1079">
        <f t="shared" si="117"/>
        <v>10</v>
      </c>
      <c r="W1079" s="11">
        <f t="shared" si="118"/>
        <v>1</v>
      </c>
    </row>
    <row r="1080" spans="1:23">
      <c r="A1080" t="s">
        <v>1093</v>
      </c>
      <c r="B1080" s="4">
        <v>45655</v>
      </c>
      <c r="C1080" t="s">
        <v>2016</v>
      </c>
      <c r="D1080" t="s">
        <v>2021</v>
      </c>
      <c r="E1080" t="s">
        <v>2027</v>
      </c>
      <c r="F1080" t="s">
        <v>2030</v>
      </c>
      <c r="G1080" t="s">
        <v>2037</v>
      </c>
      <c r="H1080" t="s">
        <v>2039</v>
      </c>
      <c r="I1080">
        <v>2</v>
      </c>
      <c r="J1080">
        <v>5</v>
      </c>
      <c r="K1080">
        <v>3</v>
      </c>
      <c r="L1080" t="s">
        <v>2041</v>
      </c>
      <c r="M1080">
        <v>322</v>
      </c>
      <c r="N1080">
        <v>4659</v>
      </c>
      <c r="O1080">
        <v>10743</v>
      </c>
      <c r="P1080" s="13">
        <f t="shared" si="112"/>
        <v>0</v>
      </c>
      <c r="Q1080" t="str">
        <f t="shared" si="113"/>
        <v>No</v>
      </c>
      <c r="R1080" t="str" cm="1">
        <f t="array" ref="R1080">_xlfn.IFS(K1080=0,"On Time",K1080&lt;=2,"Minor",K1080&lt;=5,"Major",K1080&gt;5,"Severe")</f>
        <v>Major</v>
      </c>
      <c r="S1080">
        <f t="shared" si="114"/>
        <v>3581</v>
      </c>
      <c r="T1080">
        <f t="shared" si="115"/>
        <v>1553</v>
      </c>
      <c r="U1080">
        <f t="shared" si="116"/>
        <v>2024</v>
      </c>
      <c r="V1080">
        <f t="shared" si="117"/>
        <v>12</v>
      </c>
      <c r="W1080" s="11">
        <f t="shared" si="118"/>
        <v>1</v>
      </c>
    </row>
    <row r="1081" spans="1:23">
      <c r="A1081" t="s">
        <v>1094</v>
      </c>
      <c r="B1081" s="4">
        <v>45329</v>
      </c>
      <c r="C1081" t="s">
        <v>2015</v>
      </c>
      <c r="D1081" t="s">
        <v>2019</v>
      </c>
      <c r="E1081" t="s">
        <v>2028</v>
      </c>
      <c r="F1081" t="s">
        <v>2030</v>
      </c>
      <c r="G1081" t="s">
        <v>2036</v>
      </c>
      <c r="H1081" t="s">
        <v>2038</v>
      </c>
      <c r="I1081">
        <v>2</v>
      </c>
      <c r="J1081">
        <v>6</v>
      </c>
      <c r="K1081">
        <v>4</v>
      </c>
      <c r="L1081" t="s">
        <v>2041</v>
      </c>
      <c r="M1081">
        <v>239</v>
      </c>
      <c r="N1081">
        <v>5164</v>
      </c>
      <c r="O1081">
        <v>13520</v>
      </c>
      <c r="P1081" s="13">
        <f t="shared" si="112"/>
        <v>0</v>
      </c>
      <c r="Q1081" t="str">
        <f t="shared" si="113"/>
        <v>No</v>
      </c>
      <c r="R1081" t="str" cm="1">
        <f t="array" ref="R1081">_xlfn.IFS(K1081=0,"On Time",K1081&lt;=2,"Minor",K1081&lt;=5,"Major",K1081&gt;5,"Severe")</f>
        <v>Major</v>
      </c>
      <c r="S1081">
        <f t="shared" si="114"/>
        <v>3380</v>
      </c>
      <c r="T1081">
        <f t="shared" si="115"/>
        <v>1291</v>
      </c>
      <c r="U1081">
        <f t="shared" si="116"/>
        <v>2024</v>
      </c>
      <c r="V1081">
        <f t="shared" si="117"/>
        <v>2</v>
      </c>
      <c r="W1081" s="11">
        <f t="shared" si="118"/>
        <v>1</v>
      </c>
    </row>
    <row r="1082" spans="1:23">
      <c r="A1082" t="s">
        <v>1095</v>
      </c>
      <c r="B1082" s="4">
        <v>45607</v>
      </c>
      <c r="C1082" t="s">
        <v>2018</v>
      </c>
      <c r="D1082" t="s">
        <v>2026</v>
      </c>
      <c r="E1082" t="s">
        <v>2027</v>
      </c>
      <c r="F1082" t="s">
        <v>2032</v>
      </c>
      <c r="G1082" t="s">
        <v>2035</v>
      </c>
      <c r="H1082" t="s">
        <v>2038</v>
      </c>
      <c r="I1082">
        <v>2</v>
      </c>
      <c r="J1082">
        <v>5</v>
      </c>
      <c r="K1082">
        <v>3</v>
      </c>
      <c r="L1082" t="s">
        <v>2041</v>
      </c>
      <c r="M1082">
        <v>313</v>
      </c>
      <c r="N1082">
        <v>7035</v>
      </c>
      <c r="O1082">
        <v>6387</v>
      </c>
      <c r="P1082" s="13">
        <f t="shared" si="112"/>
        <v>0</v>
      </c>
      <c r="Q1082" t="str">
        <f t="shared" si="113"/>
        <v>No</v>
      </c>
      <c r="R1082" t="str" cm="1">
        <f t="array" ref="R1082">_xlfn.IFS(K1082=0,"On Time",K1082&lt;=2,"Minor",K1082&lt;=5,"Major",K1082&gt;5,"Severe")</f>
        <v>Major</v>
      </c>
      <c r="S1082">
        <f t="shared" si="114"/>
        <v>2129</v>
      </c>
      <c r="T1082">
        <f t="shared" si="115"/>
        <v>2345</v>
      </c>
      <c r="U1082">
        <f t="shared" si="116"/>
        <v>2024</v>
      </c>
      <c r="V1082">
        <f t="shared" si="117"/>
        <v>11</v>
      </c>
      <c r="W1082" s="11">
        <f t="shared" si="118"/>
        <v>1</v>
      </c>
    </row>
    <row r="1083" spans="1:23">
      <c r="A1083" t="s">
        <v>1096</v>
      </c>
      <c r="B1083" s="4">
        <v>45306</v>
      </c>
      <c r="C1083" t="s">
        <v>2018</v>
      </c>
      <c r="D1083" t="s">
        <v>2024</v>
      </c>
      <c r="E1083" t="s">
        <v>2028</v>
      </c>
      <c r="F1083" t="s">
        <v>2031</v>
      </c>
      <c r="G1083" t="s">
        <v>2034</v>
      </c>
      <c r="H1083" t="s">
        <v>2038</v>
      </c>
      <c r="I1083">
        <v>2</v>
      </c>
      <c r="J1083">
        <v>7</v>
      </c>
      <c r="K1083">
        <v>5</v>
      </c>
      <c r="L1083" t="s">
        <v>2041</v>
      </c>
      <c r="M1083">
        <v>107</v>
      </c>
      <c r="N1083">
        <v>8455</v>
      </c>
      <c r="O1083">
        <v>23765</v>
      </c>
      <c r="P1083" s="13">
        <f t="shared" si="112"/>
        <v>0</v>
      </c>
      <c r="Q1083" t="str">
        <f t="shared" si="113"/>
        <v>No</v>
      </c>
      <c r="R1083" t="str" cm="1">
        <f t="array" ref="R1083">_xlfn.IFS(K1083=0,"On Time",K1083&lt;=2,"Minor",K1083&lt;=5,"Major",K1083&gt;5,"Severe")</f>
        <v>Major</v>
      </c>
      <c r="S1083">
        <f t="shared" si="114"/>
        <v>4753</v>
      </c>
      <c r="T1083">
        <f t="shared" si="115"/>
        <v>1691</v>
      </c>
      <c r="U1083">
        <f t="shared" si="116"/>
        <v>2024</v>
      </c>
      <c r="V1083">
        <f t="shared" si="117"/>
        <v>1</v>
      </c>
      <c r="W1083" s="11">
        <f t="shared" si="118"/>
        <v>1</v>
      </c>
    </row>
    <row r="1084" spans="1:23">
      <c r="A1084" t="s">
        <v>1097</v>
      </c>
      <c r="B1084" s="4">
        <v>45304</v>
      </c>
      <c r="C1084" t="s">
        <v>2017</v>
      </c>
      <c r="D1084" t="s">
        <v>2023</v>
      </c>
      <c r="E1084" t="s">
        <v>2029</v>
      </c>
      <c r="F1084" t="s">
        <v>2031</v>
      </c>
      <c r="G1084" t="s">
        <v>2035</v>
      </c>
      <c r="H1084" t="s">
        <v>2040</v>
      </c>
      <c r="I1084">
        <v>2</v>
      </c>
      <c r="J1084">
        <v>10</v>
      </c>
      <c r="K1084">
        <v>8</v>
      </c>
      <c r="L1084" t="s">
        <v>2041</v>
      </c>
      <c r="M1084">
        <v>294</v>
      </c>
      <c r="N1084">
        <v>11648</v>
      </c>
      <c r="O1084">
        <v>20248</v>
      </c>
      <c r="P1084" s="13">
        <f t="shared" si="112"/>
        <v>0</v>
      </c>
      <c r="Q1084" t="str">
        <f t="shared" si="113"/>
        <v>No</v>
      </c>
      <c r="R1084" t="str" cm="1">
        <f t="array" ref="R1084">_xlfn.IFS(K1084=0,"On Time",K1084&lt;=2,"Minor",K1084&lt;=5,"Major",K1084&gt;5,"Severe")</f>
        <v>Severe</v>
      </c>
      <c r="S1084">
        <f t="shared" si="114"/>
        <v>2531</v>
      </c>
      <c r="T1084">
        <f t="shared" si="115"/>
        <v>1456</v>
      </c>
      <c r="U1084">
        <f t="shared" si="116"/>
        <v>2024</v>
      </c>
      <c r="V1084">
        <f t="shared" si="117"/>
        <v>1</v>
      </c>
      <c r="W1084" s="11">
        <f t="shared" si="118"/>
        <v>1</v>
      </c>
    </row>
    <row r="1085" spans="1:23">
      <c r="A1085" t="s">
        <v>1098</v>
      </c>
      <c r="B1085" s="4">
        <v>45332</v>
      </c>
      <c r="C1085" t="s">
        <v>2018</v>
      </c>
      <c r="D1085" t="s">
        <v>2026</v>
      </c>
      <c r="E1085" t="s">
        <v>2028</v>
      </c>
      <c r="F1085" t="s">
        <v>2030</v>
      </c>
      <c r="G1085" t="s">
        <v>2037</v>
      </c>
      <c r="H1085" t="s">
        <v>2038</v>
      </c>
      <c r="I1085">
        <v>1</v>
      </c>
      <c r="J1085">
        <v>2</v>
      </c>
      <c r="K1085">
        <v>1</v>
      </c>
      <c r="L1085" t="s">
        <v>2041</v>
      </c>
      <c r="M1085">
        <v>262</v>
      </c>
      <c r="N1085">
        <v>1297</v>
      </c>
      <c r="O1085">
        <v>2257</v>
      </c>
      <c r="P1085" s="13">
        <f t="shared" si="112"/>
        <v>0</v>
      </c>
      <c r="Q1085" t="str">
        <f t="shared" si="113"/>
        <v>No</v>
      </c>
      <c r="R1085" t="str" cm="1">
        <f t="array" ref="R1085">_xlfn.IFS(K1085=0,"On Time",K1085&lt;=2,"Minor",K1085&lt;=5,"Major",K1085&gt;5,"Severe")</f>
        <v>Minor</v>
      </c>
      <c r="S1085">
        <f t="shared" si="114"/>
        <v>2257</v>
      </c>
      <c r="T1085">
        <f t="shared" si="115"/>
        <v>1297</v>
      </c>
      <c r="U1085">
        <f t="shared" si="116"/>
        <v>2024</v>
      </c>
      <c r="V1085">
        <f t="shared" si="117"/>
        <v>2</v>
      </c>
      <c r="W1085" s="11">
        <f t="shared" si="118"/>
        <v>1</v>
      </c>
    </row>
    <row r="1086" spans="1:23">
      <c r="A1086" t="s">
        <v>1099</v>
      </c>
      <c r="B1086" s="4">
        <v>45598</v>
      </c>
      <c r="C1086" t="s">
        <v>2017</v>
      </c>
      <c r="D1086" t="s">
        <v>2023</v>
      </c>
      <c r="E1086" t="s">
        <v>2028</v>
      </c>
      <c r="F1086" t="s">
        <v>2031</v>
      </c>
      <c r="G1086" t="s">
        <v>2035</v>
      </c>
      <c r="H1086" t="s">
        <v>2038</v>
      </c>
      <c r="I1086">
        <v>1</v>
      </c>
      <c r="J1086">
        <v>1</v>
      </c>
      <c r="K1086">
        <v>0</v>
      </c>
      <c r="L1086" t="s">
        <v>2042</v>
      </c>
      <c r="M1086">
        <v>485</v>
      </c>
      <c r="N1086">
        <v>0</v>
      </c>
      <c r="O1086">
        <v>0</v>
      </c>
      <c r="P1086" s="13">
        <f t="shared" si="112"/>
        <v>1</v>
      </c>
      <c r="Q1086" t="str">
        <f t="shared" si="113"/>
        <v>No</v>
      </c>
      <c r="R1086" t="str" cm="1">
        <f t="array" ref="R1086">_xlfn.IFS(K1086=0,"On Time",K1086&lt;=2,"Minor",K1086&lt;=5,"Major",K1086&gt;5,"Severe")</f>
        <v>On Time</v>
      </c>
      <c r="S1086">
        <f t="shared" si="114"/>
        <v>0</v>
      </c>
      <c r="T1086">
        <f t="shared" si="115"/>
        <v>0</v>
      </c>
      <c r="U1086">
        <f t="shared" si="116"/>
        <v>2024</v>
      </c>
      <c r="V1086">
        <f t="shared" si="117"/>
        <v>11</v>
      </c>
      <c r="W1086" s="11">
        <f t="shared" si="118"/>
        <v>0</v>
      </c>
    </row>
    <row r="1087" spans="1:23">
      <c r="A1087" t="s">
        <v>1100</v>
      </c>
      <c r="B1087" s="4">
        <v>45367</v>
      </c>
      <c r="C1087" t="s">
        <v>2018</v>
      </c>
      <c r="D1087" t="s">
        <v>2024</v>
      </c>
      <c r="E1087" t="s">
        <v>2029</v>
      </c>
      <c r="F1087" t="s">
        <v>2030</v>
      </c>
      <c r="G1087" t="s">
        <v>2033</v>
      </c>
      <c r="H1087" t="s">
        <v>2038</v>
      </c>
      <c r="I1087">
        <v>2</v>
      </c>
      <c r="J1087">
        <v>6</v>
      </c>
      <c r="K1087">
        <v>4</v>
      </c>
      <c r="L1087" t="s">
        <v>2041</v>
      </c>
      <c r="M1087">
        <v>305</v>
      </c>
      <c r="N1087">
        <v>7260</v>
      </c>
      <c r="O1087">
        <v>14196</v>
      </c>
      <c r="P1087" s="13">
        <f t="shared" si="112"/>
        <v>0</v>
      </c>
      <c r="Q1087" t="str">
        <f t="shared" si="113"/>
        <v>No</v>
      </c>
      <c r="R1087" t="str" cm="1">
        <f t="array" ref="R1087">_xlfn.IFS(K1087=0,"On Time",K1087&lt;=2,"Minor",K1087&lt;=5,"Major",K1087&gt;5,"Severe")</f>
        <v>Major</v>
      </c>
      <c r="S1087">
        <f t="shared" si="114"/>
        <v>3549</v>
      </c>
      <c r="T1087">
        <f t="shared" si="115"/>
        <v>1815</v>
      </c>
      <c r="U1087">
        <f t="shared" si="116"/>
        <v>2024</v>
      </c>
      <c r="V1087">
        <f t="shared" si="117"/>
        <v>3</v>
      </c>
      <c r="W1087" s="11">
        <f t="shared" si="118"/>
        <v>1</v>
      </c>
    </row>
    <row r="1088" spans="1:23">
      <c r="A1088" t="s">
        <v>1101</v>
      </c>
      <c r="B1088" s="4">
        <v>45536</v>
      </c>
      <c r="C1088" t="s">
        <v>2018</v>
      </c>
      <c r="D1088" t="s">
        <v>2024</v>
      </c>
      <c r="E1088" t="s">
        <v>2028</v>
      </c>
      <c r="F1088" t="s">
        <v>2030</v>
      </c>
      <c r="G1088" t="s">
        <v>2034</v>
      </c>
      <c r="H1088" t="s">
        <v>2038</v>
      </c>
      <c r="I1088">
        <v>3</v>
      </c>
      <c r="J1088">
        <v>4</v>
      </c>
      <c r="K1088">
        <v>1</v>
      </c>
      <c r="L1088" t="s">
        <v>2041</v>
      </c>
      <c r="M1088">
        <v>170</v>
      </c>
      <c r="N1088">
        <v>1328</v>
      </c>
      <c r="O1088">
        <v>2762</v>
      </c>
      <c r="P1088" s="13">
        <f t="shared" si="112"/>
        <v>0</v>
      </c>
      <c r="Q1088" t="str">
        <f t="shared" si="113"/>
        <v>No</v>
      </c>
      <c r="R1088" t="str" cm="1">
        <f t="array" ref="R1088">_xlfn.IFS(K1088=0,"On Time",K1088&lt;=2,"Minor",K1088&lt;=5,"Major",K1088&gt;5,"Severe")</f>
        <v>Minor</v>
      </c>
      <c r="S1088">
        <f t="shared" si="114"/>
        <v>2762</v>
      </c>
      <c r="T1088">
        <f t="shared" si="115"/>
        <v>1328</v>
      </c>
      <c r="U1088">
        <f t="shared" si="116"/>
        <v>2024</v>
      </c>
      <c r="V1088">
        <f t="shared" si="117"/>
        <v>9</v>
      </c>
      <c r="W1088" s="11">
        <f t="shared" si="118"/>
        <v>1</v>
      </c>
    </row>
    <row r="1089" spans="1:23">
      <c r="A1089" t="s">
        <v>1102</v>
      </c>
      <c r="B1089" s="4">
        <v>45602</v>
      </c>
      <c r="C1089" t="s">
        <v>2016</v>
      </c>
      <c r="D1089" t="s">
        <v>2021</v>
      </c>
      <c r="E1089" t="s">
        <v>2029</v>
      </c>
      <c r="F1089" t="s">
        <v>2030</v>
      </c>
      <c r="G1089" t="s">
        <v>2033</v>
      </c>
      <c r="H1089" t="s">
        <v>2038</v>
      </c>
      <c r="I1089">
        <v>1</v>
      </c>
      <c r="J1089">
        <v>6</v>
      </c>
      <c r="K1089">
        <v>5</v>
      </c>
      <c r="L1089" t="s">
        <v>2041</v>
      </c>
      <c r="M1089">
        <v>154</v>
      </c>
      <c r="N1089">
        <v>9685</v>
      </c>
      <c r="O1089">
        <v>21025</v>
      </c>
      <c r="P1089" s="13">
        <f t="shared" si="112"/>
        <v>0</v>
      </c>
      <c r="Q1089" t="str">
        <f t="shared" si="113"/>
        <v>No</v>
      </c>
      <c r="R1089" t="str" cm="1">
        <f t="array" ref="R1089">_xlfn.IFS(K1089=0,"On Time",K1089&lt;=2,"Minor",K1089&lt;=5,"Major",K1089&gt;5,"Severe")</f>
        <v>Major</v>
      </c>
      <c r="S1089">
        <f t="shared" si="114"/>
        <v>4205</v>
      </c>
      <c r="T1089">
        <f t="shared" si="115"/>
        <v>1937</v>
      </c>
      <c r="U1089">
        <f t="shared" si="116"/>
        <v>2024</v>
      </c>
      <c r="V1089">
        <f t="shared" si="117"/>
        <v>11</v>
      </c>
      <c r="W1089" s="11">
        <f t="shared" si="118"/>
        <v>1</v>
      </c>
    </row>
    <row r="1090" spans="1:23">
      <c r="A1090" t="s">
        <v>1103</v>
      </c>
      <c r="B1090" s="4">
        <v>45560</v>
      </c>
      <c r="C1090" t="s">
        <v>2016</v>
      </c>
      <c r="D1090" t="s">
        <v>2025</v>
      </c>
      <c r="E1090" t="s">
        <v>2029</v>
      </c>
      <c r="F1090" t="s">
        <v>2031</v>
      </c>
      <c r="G1090" t="s">
        <v>2035</v>
      </c>
      <c r="H1090" t="s">
        <v>2039</v>
      </c>
      <c r="I1090">
        <v>1</v>
      </c>
      <c r="J1090">
        <v>5</v>
      </c>
      <c r="K1090">
        <v>4</v>
      </c>
      <c r="L1090" t="s">
        <v>2041</v>
      </c>
      <c r="M1090">
        <v>171</v>
      </c>
      <c r="N1090">
        <v>9352</v>
      </c>
      <c r="O1090">
        <v>9592</v>
      </c>
      <c r="P1090" s="13">
        <f t="shared" si="112"/>
        <v>0</v>
      </c>
      <c r="Q1090" t="str">
        <f t="shared" si="113"/>
        <v>No</v>
      </c>
      <c r="R1090" t="str" cm="1">
        <f t="array" ref="R1090">_xlfn.IFS(K1090=0,"On Time",K1090&lt;=2,"Minor",K1090&lt;=5,"Major",K1090&gt;5,"Severe")</f>
        <v>Major</v>
      </c>
      <c r="S1090">
        <f t="shared" si="114"/>
        <v>2398</v>
      </c>
      <c r="T1090">
        <f t="shared" si="115"/>
        <v>2338</v>
      </c>
      <c r="U1090">
        <f t="shared" si="116"/>
        <v>2024</v>
      </c>
      <c r="V1090">
        <f t="shared" si="117"/>
        <v>9</v>
      </c>
      <c r="W1090" s="11">
        <f t="shared" si="118"/>
        <v>1</v>
      </c>
    </row>
    <row r="1091" spans="1:23">
      <c r="A1091" t="s">
        <v>1104</v>
      </c>
      <c r="B1091" s="4">
        <v>45497</v>
      </c>
      <c r="C1091" t="s">
        <v>2017</v>
      </c>
      <c r="D1091" t="s">
        <v>2023</v>
      </c>
      <c r="E1091" t="s">
        <v>2029</v>
      </c>
      <c r="F1091" t="s">
        <v>2032</v>
      </c>
      <c r="G1091" t="s">
        <v>2036</v>
      </c>
      <c r="H1091" t="s">
        <v>2038</v>
      </c>
      <c r="I1091">
        <v>2</v>
      </c>
      <c r="J1091">
        <v>6</v>
      </c>
      <c r="K1091">
        <v>4</v>
      </c>
      <c r="L1091" t="s">
        <v>2041</v>
      </c>
      <c r="M1091">
        <v>410</v>
      </c>
      <c r="N1091">
        <v>3444</v>
      </c>
      <c r="O1091">
        <v>10976</v>
      </c>
      <c r="P1091" s="13">
        <f t="shared" ref="P1091:P1154" si="119">IF(L1091="Yes",0,1)</f>
        <v>0</v>
      </c>
      <c r="Q1091" t="str">
        <f t="shared" ref="Q1091:Q1154" si="120">IF(K1091&gt;J1091,"Yes","No")</f>
        <v>No</v>
      </c>
      <c r="R1091" t="str" cm="1">
        <f t="array" ref="R1091">_xlfn.IFS(K1091=0,"On Time",K1091&lt;=2,"Minor",K1091&lt;=5,"Major",K1091&gt;5,"Severe")</f>
        <v>Major</v>
      </c>
      <c r="S1091">
        <f t="shared" ref="S1091:S1154" si="121">IFERROR(O1091/K1091,0)</f>
        <v>2744</v>
      </c>
      <c r="T1091">
        <f t="shared" ref="T1091:T1154" si="122">IFERROR(N1091/K1091,0)</f>
        <v>861</v>
      </c>
      <c r="U1091">
        <f t="shared" ref="U1091:U1154" si="123">YEAR(B1091)</f>
        <v>2024</v>
      </c>
      <c r="V1091">
        <f t="shared" ref="V1091:V1154" si="124">MONTH(B1091)</f>
        <v>7</v>
      </c>
      <c r="W1091" s="11">
        <f t="shared" ref="W1091:W1154" si="125">IF(L1091="Yes",1,0)</f>
        <v>1</v>
      </c>
    </row>
    <row r="1092" spans="1:23">
      <c r="A1092" t="s">
        <v>1105</v>
      </c>
      <c r="B1092" s="4">
        <v>45349</v>
      </c>
      <c r="C1092" t="s">
        <v>2018</v>
      </c>
      <c r="D1092" t="s">
        <v>2026</v>
      </c>
      <c r="E1092" t="s">
        <v>2029</v>
      </c>
      <c r="F1092" t="s">
        <v>2030</v>
      </c>
      <c r="G1092" t="s">
        <v>2037</v>
      </c>
      <c r="H1092" t="s">
        <v>2038</v>
      </c>
      <c r="I1092">
        <v>3</v>
      </c>
      <c r="J1092">
        <v>5</v>
      </c>
      <c r="K1092">
        <v>2</v>
      </c>
      <c r="L1092" t="s">
        <v>2041</v>
      </c>
      <c r="M1092">
        <v>166</v>
      </c>
      <c r="N1092">
        <v>2656</v>
      </c>
      <c r="O1092">
        <v>8660</v>
      </c>
      <c r="P1092" s="13">
        <f t="shared" si="119"/>
        <v>0</v>
      </c>
      <c r="Q1092" t="str">
        <f t="shared" si="120"/>
        <v>No</v>
      </c>
      <c r="R1092" t="str" cm="1">
        <f t="array" ref="R1092">_xlfn.IFS(K1092=0,"On Time",K1092&lt;=2,"Minor",K1092&lt;=5,"Major",K1092&gt;5,"Severe")</f>
        <v>Minor</v>
      </c>
      <c r="S1092">
        <f t="shared" si="121"/>
        <v>4330</v>
      </c>
      <c r="T1092">
        <f t="shared" si="122"/>
        <v>1328</v>
      </c>
      <c r="U1092">
        <f t="shared" si="123"/>
        <v>2024</v>
      </c>
      <c r="V1092">
        <f t="shared" si="124"/>
        <v>2</v>
      </c>
      <c r="W1092" s="11">
        <f t="shared" si="125"/>
        <v>1</v>
      </c>
    </row>
    <row r="1093" spans="1:23">
      <c r="A1093" t="s">
        <v>1106</v>
      </c>
      <c r="B1093" s="4">
        <v>45429</v>
      </c>
      <c r="C1093" t="s">
        <v>2015</v>
      </c>
      <c r="D1093" t="s">
        <v>2020</v>
      </c>
      <c r="E1093" t="s">
        <v>2028</v>
      </c>
      <c r="F1093" t="s">
        <v>2030</v>
      </c>
      <c r="G1093" t="s">
        <v>2033</v>
      </c>
      <c r="H1093" t="s">
        <v>2038</v>
      </c>
      <c r="I1093">
        <v>2</v>
      </c>
      <c r="J1093">
        <v>7</v>
      </c>
      <c r="K1093">
        <v>5</v>
      </c>
      <c r="L1093" t="s">
        <v>2041</v>
      </c>
      <c r="M1093">
        <v>258</v>
      </c>
      <c r="N1093">
        <v>5635</v>
      </c>
      <c r="O1093">
        <v>21995</v>
      </c>
      <c r="P1093" s="13">
        <f t="shared" si="119"/>
        <v>0</v>
      </c>
      <c r="Q1093" t="str">
        <f t="shared" si="120"/>
        <v>No</v>
      </c>
      <c r="R1093" t="str" cm="1">
        <f t="array" ref="R1093">_xlfn.IFS(K1093=0,"On Time",K1093&lt;=2,"Minor",K1093&lt;=5,"Major",K1093&gt;5,"Severe")</f>
        <v>Major</v>
      </c>
      <c r="S1093">
        <f t="shared" si="121"/>
        <v>4399</v>
      </c>
      <c r="T1093">
        <f t="shared" si="122"/>
        <v>1127</v>
      </c>
      <c r="U1093">
        <f t="shared" si="123"/>
        <v>2024</v>
      </c>
      <c r="V1093">
        <f t="shared" si="124"/>
        <v>5</v>
      </c>
      <c r="W1093" s="11">
        <f t="shared" si="125"/>
        <v>1</v>
      </c>
    </row>
    <row r="1094" spans="1:23">
      <c r="A1094" t="s">
        <v>1107</v>
      </c>
      <c r="B1094" s="4">
        <v>45604</v>
      </c>
      <c r="C1094" t="s">
        <v>2017</v>
      </c>
      <c r="D1094" t="s">
        <v>2022</v>
      </c>
      <c r="E1094" t="s">
        <v>2027</v>
      </c>
      <c r="F1094" t="s">
        <v>2031</v>
      </c>
      <c r="G1094" t="s">
        <v>2034</v>
      </c>
      <c r="H1094" t="s">
        <v>2038</v>
      </c>
      <c r="I1094">
        <v>3</v>
      </c>
      <c r="J1094">
        <v>6</v>
      </c>
      <c r="K1094">
        <v>3</v>
      </c>
      <c r="L1094" t="s">
        <v>2041</v>
      </c>
      <c r="M1094">
        <v>277</v>
      </c>
      <c r="N1094">
        <v>4329</v>
      </c>
      <c r="O1094">
        <v>14610</v>
      </c>
      <c r="P1094" s="13">
        <f t="shared" si="119"/>
        <v>0</v>
      </c>
      <c r="Q1094" t="str">
        <f t="shared" si="120"/>
        <v>No</v>
      </c>
      <c r="R1094" t="str" cm="1">
        <f t="array" ref="R1094">_xlfn.IFS(K1094=0,"On Time",K1094&lt;=2,"Minor",K1094&lt;=5,"Major",K1094&gt;5,"Severe")</f>
        <v>Major</v>
      </c>
      <c r="S1094">
        <f t="shared" si="121"/>
        <v>4870</v>
      </c>
      <c r="T1094">
        <f t="shared" si="122"/>
        <v>1443</v>
      </c>
      <c r="U1094">
        <f t="shared" si="123"/>
        <v>2024</v>
      </c>
      <c r="V1094">
        <f t="shared" si="124"/>
        <v>11</v>
      </c>
      <c r="W1094" s="11">
        <f t="shared" si="125"/>
        <v>1</v>
      </c>
    </row>
    <row r="1095" spans="1:23">
      <c r="A1095" t="s">
        <v>1108</v>
      </c>
      <c r="B1095" s="4">
        <v>45406</v>
      </c>
      <c r="C1095" t="s">
        <v>2018</v>
      </c>
      <c r="D1095" t="s">
        <v>2024</v>
      </c>
      <c r="E1095" t="s">
        <v>2029</v>
      </c>
      <c r="F1095" t="s">
        <v>2032</v>
      </c>
      <c r="G1095" t="s">
        <v>2034</v>
      </c>
      <c r="H1095" t="s">
        <v>2039</v>
      </c>
      <c r="I1095">
        <v>2</v>
      </c>
      <c r="J1095">
        <v>7</v>
      </c>
      <c r="K1095">
        <v>5</v>
      </c>
      <c r="L1095" t="s">
        <v>2041</v>
      </c>
      <c r="M1095">
        <v>60</v>
      </c>
      <c r="N1095">
        <v>4190</v>
      </c>
      <c r="O1095">
        <v>24120</v>
      </c>
      <c r="P1095" s="13">
        <f t="shared" si="119"/>
        <v>0</v>
      </c>
      <c r="Q1095" t="str">
        <f t="shared" si="120"/>
        <v>No</v>
      </c>
      <c r="R1095" t="str" cm="1">
        <f t="array" ref="R1095">_xlfn.IFS(K1095=0,"On Time",K1095&lt;=2,"Minor",K1095&lt;=5,"Major",K1095&gt;5,"Severe")</f>
        <v>Major</v>
      </c>
      <c r="S1095">
        <f t="shared" si="121"/>
        <v>4824</v>
      </c>
      <c r="T1095">
        <f t="shared" si="122"/>
        <v>838</v>
      </c>
      <c r="U1095">
        <f t="shared" si="123"/>
        <v>2024</v>
      </c>
      <c r="V1095">
        <f t="shared" si="124"/>
        <v>4</v>
      </c>
      <c r="W1095" s="11">
        <f t="shared" si="125"/>
        <v>1</v>
      </c>
    </row>
    <row r="1096" spans="1:23">
      <c r="A1096" t="s">
        <v>1109</v>
      </c>
      <c r="B1096" s="4">
        <v>45370</v>
      </c>
      <c r="C1096" t="s">
        <v>2015</v>
      </c>
      <c r="D1096" t="s">
        <v>2019</v>
      </c>
      <c r="E1096" t="s">
        <v>2029</v>
      </c>
      <c r="F1096" t="s">
        <v>2031</v>
      </c>
      <c r="G1096" t="s">
        <v>2034</v>
      </c>
      <c r="H1096" t="s">
        <v>2039</v>
      </c>
      <c r="I1096">
        <v>3</v>
      </c>
      <c r="J1096">
        <v>3</v>
      </c>
      <c r="K1096">
        <v>0</v>
      </c>
      <c r="L1096" t="s">
        <v>2042</v>
      </c>
      <c r="M1096">
        <v>86</v>
      </c>
      <c r="N1096">
        <v>0</v>
      </c>
      <c r="O1096">
        <v>0</v>
      </c>
      <c r="P1096" s="13">
        <f t="shared" si="119"/>
        <v>1</v>
      </c>
      <c r="Q1096" t="str">
        <f t="shared" si="120"/>
        <v>No</v>
      </c>
      <c r="R1096" t="str" cm="1">
        <f t="array" ref="R1096">_xlfn.IFS(K1096=0,"On Time",K1096&lt;=2,"Minor",K1096&lt;=5,"Major",K1096&gt;5,"Severe")</f>
        <v>On Time</v>
      </c>
      <c r="S1096">
        <f t="shared" si="121"/>
        <v>0</v>
      </c>
      <c r="T1096">
        <f t="shared" si="122"/>
        <v>0</v>
      </c>
      <c r="U1096">
        <f t="shared" si="123"/>
        <v>2024</v>
      </c>
      <c r="V1096">
        <f t="shared" si="124"/>
        <v>3</v>
      </c>
      <c r="W1096" s="11">
        <f t="shared" si="125"/>
        <v>0</v>
      </c>
    </row>
    <row r="1097" spans="1:23">
      <c r="A1097" t="s">
        <v>1110</v>
      </c>
      <c r="B1097" s="4">
        <v>45299</v>
      </c>
      <c r="C1097" t="s">
        <v>2016</v>
      </c>
      <c r="D1097" t="s">
        <v>2021</v>
      </c>
      <c r="E1097" t="s">
        <v>2028</v>
      </c>
      <c r="F1097" t="s">
        <v>2031</v>
      </c>
      <c r="G1097" t="s">
        <v>2034</v>
      </c>
      <c r="H1097" t="s">
        <v>2038</v>
      </c>
      <c r="I1097">
        <v>2</v>
      </c>
      <c r="J1097">
        <v>2</v>
      </c>
      <c r="K1097">
        <v>0</v>
      </c>
      <c r="L1097" t="s">
        <v>2042</v>
      </c>
      <c r="M1097">
        <v>203</v>
      </c>
      <c r="N1097">
        <v>0</v>
      </c>
      <c r="O1097">
        <v>0</v>
      </c>
      <c r="P1097" s="13">
        <f t="shared" si="119"/>
        <v>1</v>
      </c>
      <c r="Q1097" t="str">
        <f t="shared" si="120"/>
        <v>No</v>
      </c>
      <c r="R1097" t="str" cm="1">
        <f t="array" ref="R1097">_xlfn.IFS(K1097=0,"On Time",K1097&lt;=2,"Minor",K1097&lt;=5,"Major",K1097&gt;5,"Severe")</f>
        <v>On Time</v>
      </c>
      <c r="S1097">
        <f t="shared" si="121"/>
        <v>0</v>
      </c>
      <c r="T1097">
        <f t="shared" si="122"/>
        <v>0</v>
      </c>
      <c r="U1097">
        <f t="shared" si="123"/>
        <v>2024</v>
      </c>
      <c r="V1097">
        <f t="shared" si="124"/>
        <v>1</v>
      </c>
      <c r="W1097" s="11">
        <f t="shared" si="125"/>
        <v>0</v>
      </c>
    </row>
    <row r="1098" spans="1:23">
      <c r="A1098" t="s">
        <v>1111</v>
      </c>
      <c r="B1098" s="4">
        <v>45456</v>
      </c>
      <c r="C1098" t="s">
        <v>2016</v>
      </c>
      <c r="D1098" t="s">
        <v>2021</v>
      </c>
      <c r="E1098" t="s">
        <v>2029</v>
      </c>
      <c r="F1098" t="s">
        <v>2030</v>
      </c>
      <c r="G1098" t="s">
        <v>2034</v>
      </c>
      <c r="H1098" t="s">
        <v>2038</v>
      </c>
      <c r="I1098">
        <v>2</v>
      </c>
      <c r="J1098">
        <v>4</v>
      </c>
      <c r="K1098">
        <v>2</v>
      </c>
      <c r="L1098" t="s">
        <v>2041</v>
      </c>
      <c r="M1098">
        <v>126</v>
      </c>
      <c r="N1098">
        <v>2508</v>
      </c>
      <c r="O1098">
        <v>7032</v>
      </c>
      <c r="P1098" s="13">
        <f t="shared" si="119"/>
        <v>0</v>
      </c>
      <c r="Q1098" t="str">
        <f t="shared" si="120"/>
        <v>No</v>
      </c>
      <c r="R1098" t="str" cm="1">
        <f t="array" ref="R1098">_xlfn.IFS(K1098=0,"On Time",K1098&lt;=2,"Minor",K1098&lt;=5,"Major",K1098&gt;5,"Severe")</f>
        <v>Minor</v>
      </c>
      <c r="S1098">
        <f t="shared" si="121"/>
        <v>3516</v>
      </c>
      <c r="T1098">
        <f t="shared" si="122"/>
        <v>1254</v>
      </c>
      <c r="U1098">
        <f t="shared" si="123"/>
        <v>2024</v>
      </c>
      <c r="V1098">
        <f t="shared" si="124"/>
        <v>6</v>
      </c>
      <c r="W1098" s="11">
        <f t="shared" si="125"/>
        <v>1</v>
      </c>
    </row>
    <row r="1099" spans="1:23">
      <c r="A1099" t="s">
        <v>1112</v>
      </c>
      <c r="B1099" s="4">
        <v>45410</v>
      </c>
      <c r="C1099" t="s">
        <v>2015</v>
      </c>
      <c r="D1099" t="s">
        <v>2019</v>
      </c>
      <c r="E1099" t="s">
        <v>2029</v>
      </c>
      <c r="F1099" t="s">
        <v>2030</v>
      </c>
      <c r="G1099" t="s">
        <v>2037</v>
      </c>
      <c r="H1099" t="s">
        <v>2040</v>
      </c>
      <c r="I1099">
        <v>3</v>
      </c>
      <c r="J1099">
        <v>11</v>
      </c>
      <c r="K1099">
        <v>8</v>
      </c>
      <c r="L1099" t="s">
        <v>2041</v>
      </c>
      <c r="M1099">
        <v>391</v>
      </c>
      <c r="N1099">
        <v>12600</v>
      </c>
      <c r="O1099">
        <v>18200</v>
      </c>
      <c r="P1099" s="13">
        <f t="shared" si="119"/>
        <v>0</v>
      </c>
      <c r="Q1099" t="str">
        <f t="shared" si="120"/>
        <v>No</v>
      </c>
      <c r="R1099" t="str" cm="1">
        <f t="array" ref="R1099">_xlfn.IFS(K1099=0,"On Time",K1099&lt;=2,"Minor",K1099&lt;=5,"Major",K1099&gt;5,"Severe")</f>
        <v>Severe</v>
      </c>
      <c r="S1099">
        <f t="shared" si="121"/>
        <v>2275</v>
      </c>
      <c r="T1099">
        <f t="shared" si="122"/>
        <v>1575</v>
      </c>
      <c r="U1099">
        <f t="shared" si="123"/>
        <v>2024</v>
      </c>
      <c r="V1099">
        <f t="shared" si="124"/>
        <v>4</v>
      </c>
      <c r="W1099" s="11">
        <f t="shared" si="125"/>
        <v>1</v>
      </c>
    </row>
    <row r="1100" spans="1:23">
      <c r="A1100" t="s">
        <v>1113</v>
      </c>
      <c r="B1100" s="4">
        <v>45556</v>
      </c>
      <c r="C1100" t="s">
        <v>2015</v>
      </c>
      <c r="D1100" t="s">
        <v>2019</v>
      </c>
      <c r="E1100" t="s">
        <v>2029</v>
      </c>
      <c r="F1100" t="s">
        <v>2030</v>
      </c>
      <c r="G1100" t="s">
        <v>2037</v>
      </c>
      <c r="H1100" t="s">
        <v>2039</v>
      </c>
      <c r="I1100">
        <v>1</v>
      </c>
      <c r="J1100">
        <v>4</v>
      </c>
      <c r="K1100">
        <v>3</v>
      </c>
      <c r="L1100" t="s">
        <v>2041</v>
      </c>
      <c r="M1100">
        <v>201</v>
      </c>
      <c r="N1100">
        <v>2604</v>
      </c>
      <c r="O1100">
        <v>8490</v>
      </c>
      <c r="P1100" s="13">
        <f t="shared" si="119"/>
        <v>0</v>
      </c>
      <c r="Q1100" t="str">
        <f t="shared" si="120"/>
        <v>No</v>
      </c>
      <c r="R1100" t="str" cm="1">
        <f t="array" ref="R1100">_xlfn.IFS(K1100=0,"On Time",K1100&lt;=2,"Minor",K1100&lt;=5,"Major",K1100&gt;5,"Severe")</f>
        <v>Major</v>
      </c>
      <c r="S1100">
        <f t="shared" si="121"/>
        <v>2830</v>
      </c>
      <c r="T1100">
        <f t="shared" si="122"/>
        <v>868</v>
      </c>
      <c r="U1100">
        <f t="shared" si="123"/>
        <v>2024</v>
      </c>
      <c r="V1100">
        <f t="shared" si="124"/>
        <v>9</v>
      </c>
      <c r="W1100" s="11">
        <f t="shared" si="125"/>
        <v>1</v>
      </c>
    </row>
    <row r="1101" spans="1:23">
      <c r="A1101" t="s">
        <v>1114</v>
      </c>
      <c r="B1101" s="4">
        <v>45626</v>
      </c>
      <c r="C1101" t="s">
        <v>2018</v>
      </c>
      <c r="D1101" t="s">
        <v>2024</v>
      </c>
      <c r="E1101" t="s">
        <v>2028</v>
      </c>
      <c r="F1101" t="s">
        <v>2032</v>
      </c>
      <c r="G1101" t="s">
        <v>2034</v>
      </c>
      <c r="H1101" t="s">
        <v>2040</v>
      </c>
      <c r="I1101">
        <v>1</v>
      </c>
      <c r="J1101">
        <v>5</v>
      </c>
      <c r="K1101">
        <v>4</v>
      </c>
      <c r="L1101" t="s">
        <v>2041</v>
      </c>
      <c r="M1101">
        <v>53</v>
      </c>
      <c r="N1101">
        <v>7360</v>
      </c>
      <c r="O1101">
        <v>12404</v>
      </c>
      <c r="P1101" s="13">
        <f t="shared" si="119"/>
        <v>0</v>
      </c>
      <c r="Q1101" t="str">
        <f t="shared" si="120"/>
        <v>No</v>
      </c>
      <c r="R1101" t="str" cm="1">
        <f t="array" ref="R1101">_xlfn.IFS(K1101=0,"On Time",K1101&lt;=2,"Minor",K1101&lt;=5,"Major",K1101&gt;5,"Severe")</f>
        <v>Major</v>
      </c>
      <c r="S1101">
        <f t="shared" si="121"/>
        <v>3101</v>
      </c>
      <c r="T1101">
        <f t="shared" si="122"/>
        <v>1840</v>
      </c>
      <c r="U1101">
        <f t="shared" si="123"/>
        <v>2024</v>
      </c>
      <c r="V1101">
        <f t="shared" si="124"/>
        <v>11</v>
      </c>
      <c r="W1101" s="11">
        <f t="shared" si="125"/>
        <v>1</v>
      </c>
    </row>
    <row r="1102" spans="1:23">
      <c r="A1102" t="s">
        <v>1115</v>
      </c>
      <c r="B1102" s="4">
        <v>45443</v>
      </c>
      <c r="C1102" t="s">
        <v>2015</v>
      </c>
      <c r="D1102" t="s">
        <v>2020</v>
      </c>
      <c r="E1102" t="s">
        <v>2027</v>
      </c>
      <c r="F1102" t="s">
        <v>2030</v>
      </c>
      <c r="G1102" t="s">
        <v>2037</v>
      </c>
      <c r="H1102" t="s">
        <v>2038</v>
      </c>
      <c r="I1102">
        <v>2</v>
      </c>
      <c r="J1102">
        <v>5</v>
      </c>
      <c r="K1102">
        <v>3</v>
      </c>
      <c r="L1102" t="s">
        <v>2041</v>
      </c>
      <c r="M1102">
        <v>439</v>
      </c>
      <c r="N1102">
        <v>6966</v>
      </c>
      <c r="O1102">
        <v>7317</v>
      </c>
      <c r="P1102" s="13">
        <f t="shared" si="119"/>
        <v>0</v>
      </c>
      <c r="Q1102" t="str">
        <f t="shared" si="120"/>
        <v>No</v>
      </c>
      <c r="R1102" t="str" cm="1">
        <f t="array" ref="R1102">_xlfn.IFS(K1102=0,"On Time",K1102&lt;=2,"Minor",K1102&lt;=5,"Major",K1102&gt;5,"Severe")</f>
        <v>Major</v>
      </c>
      <c r="S1102">
        <f t="shared" si="121"/>
        <v>2439</v>
      </c>
      <c r="T1102">
        <f t="shared" si="122"/>
        <v>2322</v>
      </c>
      <c r="U1102">
        <f t="shared" si="123"/>
        <v>2024</v>
      </c>
      <c r="V1102">
        <f t="shared" si="124"/>
        <v>5</v>
      </c>
      <c r="W1102" s="11">
        <f t="shared" si="125"/>
        <v>1</v>
      </c>
    </row>
    <row r="1103" spans="1:23">
      <c r="A1103" t="s">
        <v>1116</v>
      </c>
      <c r="B1103" s="4">
        <v>45532</v>
      </c>
      <c r="C1103" t="s">
        <v>2017</v>
      </c>
      <c r="D1103" t="s">
        <v>2023</v>
      </c>
      <c r="E1103" t="s">
        <v>2027</v>
      </c>
      <c r="F1103" t="s">
        <v>2031</v>
      </c>
      <c r="G1103" t="s">
        <v>2037</v>
      </c>
      <c r="H1103" t="s">
        <v>2040</v>
      </c>
      <c r="I1103">
        <v>2</v>
      </c>
      <c r="J1103">
        <v>8</v>
      </c>
      <c r="K1103">
        <v>6</v>
      </c>
      <c r="L1103" t="s">
        <v>2041</v>
      </c>
      <c r="M1103">
        <v>453</v>
      </c>
      <c r="N1103">
        <v>14166</v>
      </c>
      <c r="O1103">
        <v>14664</v>
      </c>
      <c r="P1103" s="13">
        <f t="shared" si="119"/>
        <v>0</v>
      </c>
      <c r="Q1103" t="str">
        <f t="shared" si="120"/>
        <v>No</v>
      </c>
      <c r="R1103" t="str" cm="1">
        <f t="array" ref="R1103">_xlfn.IFS(K1103=0,"On Time",K1103&lt;=2,"Minor",K1103&lt;=5,"Major",K1103&gt;5,"Severe")</f>
        <v>Severe</v>
      </c>
      <c r="S1103">
        <f t="shared" si="121"/>
        <v>2444</v>
      </c>
      <c r="T1103">
        <f t="shared" si="122"/>
        <v>2361</v>
      </c>
      <c r="U1103">
        <f t="shared" si="123"/>
        <v>2024</v>
      </c>
      <c r="V1103">
        <f t="shared" si="124"/>
        <v>8</v>
      </c>
      <c r="W1103" s="11">
        <f t="shared" si="125"/>
        <v>1</v>
      </c>
    </row>
    <row r="1104" spans="1:23">
      <c r="A1104" t="s">
        <v>1117</v>
      </c>
      <c r="B1104" s="4">
        <v>45440</v>
      </c>
      <c r="C1104" t="s">
        <v>2018</v>
      </c>
      <c r="D1104" t="s">
        <v>2026</v>
      </c>
      <c r="E1104" t="s">
        <v>2028</v>
      </c>
      <c r="F1104" t="s">
        <v>2031</v>
      </c>
      <c r="G1104" t="s">
        <v>2036</v>
      </c>
      <c r="H1104" t="s">
        <v>2038</v>
      </c>
      <c r="I1104">
        <v>2</v>
      </c>
      <c r="J1104">
        <v>6</v>
      </c>
      <c r="K1104">
        <v>4</v>
      </c>
      <c r="L1104" t="s">
        <v>2041</v>
      </c>
      <c r="M1104">
        <v>211</v>
      </c>
      <c r="N1104">
        <v>9688</v>
      </c>
      <c r="O1104">
        <v>15856</v>
      </c>
      <c r="P1104" s="13">
        <f t="shared" si="119"/>
        <v>0</v>
      </c>
      <c r="Q1104" t="str">
        <f t="shared" si="120"/>
        <v>No</v>
      </c>
      <c r="R1104" t="str" cm="1">
        <f t="array" ref="R1104">_xlfn.IFS(K1104=0,"On Time",K1104&lt;=2,"Minor",K1104&lt;=5,"Major",K1104&gt;5,"Severe")</f>
        <v>Major</v>
      </c>
      <c r="S1104">
        <f t="shared" si="121"/>
        <v>3964</v>
      </c>
      <c r="T1104">
        <f t="shared" si="122"/>
        <v>2422</v>
      </c>
      <c r="U1104">
        <f t="shared" si="123"/>
        <v>2024</v>
      </c>
      <c r="V1104">
        <f t="shared" si="124"/>
        <v>5</v>
      </c>
      <c r="W1104" s="11">
        <f t="shared" si="125"/>
        <v>1</v>
      </c>
    </row>
    <row r="1105" spans="1:23">
      <c r="A1105" t="s">
        <v>1118</v>
      </c>
      <c r="B1105" s="4">
        <v>45334</v>
      </c>
      <c r="C1105" t="s">
        <v>2017</v>
      </c>
      <c r="D1105" t="s">
        <v>2023</v>
      </c>
      <c r="E1105" t="s">
        <v>2028</v>
      </c>
      <c r="F1105" t="s">
        <v>2030</v>
      </c>
      <c r="G1105" t="s">
        <v>2033</v>
      </c>
      <c r="H1105" t="s">
        <v>2040</v>
      </c>
      <c r="I1105">
        <v>2</v>
      </c>
      <c r="J1105">
        <v>5</v>
      </c>
      <c r="K1105">
        <v>3</v>
      </c>
      <c r="L1105" t="s">
        <v>2041</v>
      </c>
      <c r="M1105">
        <v>339</v>
      </c>
      <c r="N1105">
        <v>6357</v>
      </c>
      <c r="O1105">
        <v>9132</v>
      </c>
      <c r="P1105" s="13">
        <f t="shared" si="119"/>
        <v>0</v>
      </c>
      <c r="Q1105" t="str">
        <f t="shared" si="120"/>
        <v>No</v>
      </c>
      <c r="R1105" t="str" cm="1">
        <f t="array" ref="R1105">_xlfn.IFS(K1105=0,"On Time",K1105&lt;=2,"Minor",K1105&lt;=5,"Major",K1105&gt;5,"Severe")</f>
        <v>Major</v>
      </c>
      <c r="S1105">
        <f t="shared" si="121"/>
        <v>3044</v>
      </c>
      <c r="T1105">
        <f t="shared" si="122"/>
        <v>2119</v>
      </c>
      <c r="U1105">
        <f t="shared" si="123"/>
        <v>2024</v>
      </c>
      <c r="V1105">
        <f t="shared" si="124"/>
        <v>2</v>
      </c>
      <c r="W1105" s="11">
        <f t="shared" si="125"/>
        <v>1</v>
      </c>
    </row>
    <row r="1106" spans="1:23">
      <c r="A1106" t="s">
        <v>1119</v>
      </c>
      <c r="B1106" s="4">
        <v>45365</v>
      </c>
      <c r="C1106" t="s">
        <v>2017</v>
      </c>
      <c r="D1106" t="s">
        <v>2022</v>
      </c>
      <c r="E1106" t="s">
        <v>2028</v>
      </c>
      <c r="F1106" t="s">
        <v>2031</v>
      </c>
      <c r="G1106" t="s">
        <v>2035</v>
      </c>
      <c r="H1106" t="s">
        <v>2040</v>
      </c>
      <c r="I1106">
        <v>1</v>
      </c>
      <c r="J1106">
        <v>4</v>
      </c>
      <c r="K1106">
        <v>3</v>
      </c>
      <c r="L1106" t="s">
        <v>2041</v>
      </c>
      <c r="M1106">
        <v>245</v>
      </c>
      <c r="N1106">
        <v>6822</v>
      </c>
      <c r="O1106">
        <v>7761</v>
      </c>
      <c r="P1106" s="13">
        <f t="shared" si="119"/>
        <v>0</v>
      </c>
      <c r="Q1106" t="str">
        <f t="shared" si="120"/>
        <v>No</v>
      </c>
      <c r="R1106" t="str" cm="1">
        <f t="array" ref="R1106">_xlfn.IFS(K1106=0,"On Time",K1106&lt;=2,"Minor",K1106&lt;=5,"Major",K1106&gt;5,"Severe")</f>
        <v>Major</v>
      </c>
      <c r="S1106">
        <f t="shared" si="121"/>
        <v>2587</v>
      </c>
      <c r="T1106">
        <f t="shared" si="122"/>
        <v>2274</v>
      </c>
      <c r="U1106">
        <f t="shared" si="123"/>
        <v>2024</v>
      </c>
      <c r="V1106">
        <f t="shared" si="124"/>
        <v>3</v>
      </c>
      <c r="W1106" s="11">
        <f t="shared" si="125"/>
        <v>1</v>
      </c>
    </row>
    <row r="1107" spans="1:23">
      <c r="A1107" t="s">
        <v>1120</v>
      </c>
      <c r="B1107" s="4">
        <v>45603</v>
      </c>
      <c r="C1107" t="s">
        <v>2015</v>
      </c>
      <c r="D1107" t="s">
        <v>2020</v>
      </c>
      <c r="E1107" t="s">
        <v>2027</v>
      </c>
      <c r="F1107" t="s">
        <v>2031</v>
      </c>
      <c r="G1107" t="s">
        <v>2036</v>
      </c>
      <c r="H1107" t="s">
        <v>2039</v>
      </c>
      <c r="I1107">
        <v>3</v>
      </c>
      <c r="J1107">
        <v>3</v>
      </c>
      <c r="K1107">
        <v>0</v>
      </c>
      <c r="L1107" t="s">
        <v>2042</v>
      </c>
      <c r="M1107">
        <v>293</v>
      </c>
      <c r="N1107">
        <v>0</v>
      </c>
      <c r="O1107">
        <v>0</v>
      </c>
      <c r="P1107" s="13">
        <f t="shared" si="119"/>
        <v>1</v>
      </c>
      <c r="Q1107" t="str">
        <f t="shared" si="120"/>
        <v>No</v>
      </c>
      <c r="R1107" t="str" cm="1">
        <f t="array" ref="R1107">_xlfn.IFS(K1107=0,"On Time",K1107&lt;=2,"Minor",K1107&lt;=5,"Major",K1107&gt;5,"Severe")</f>
        <v>On Time</v>
      </c>
      <c r="S1107">
        <f t="shared" si="121"/>
        <v>0</v>
      </c>
      <c r="T1107">
        <f t="shared" si="122"/>
        <v>0</v>
      </c>
      <c r="U1107">
        <f t="shared" si="123"/>
        <v>2024</v>
      </c>
      <c r="V1107">
        <f t="shared" si="124"/>
        <v>11</v>
      </c>
      <c r="W1107" s="11">
        <f t="shared" si="125"/>
        <v>0</v>
      </c>
    </row>
    <row r="1108" spans="1:23">
      <c r="A1108" t="s">
        <v>1121</v>
      </c>
      <c r="B1108" s="4">
        <v>45609</v>
      </c>
      <c r="C1108" t="s">
        <v>2016</v>
      </c>
      <c r="D1108" t="s">
        <v>2021</v>
      </c>
      <c r="E1108" t="s">
        <v>2028</v>
      </c>
      <c r="F1108" t="s">
        <v>2030</v>
      </c>
      <c r="G1108" t="s">
        <v>2034</v>
      </c>
      <c r="H1108" t="s">
        <v>2039</v>
      </c>
      <c r="I1108">
        <v>2</v>
      </c>
      <c r="J1108">
        <v>4</v>
      </c>
      <c r="K1108">
        <v>2</v>
      </c>
      <c r="L1108" t="s">
        <v>2041</v>
      </c>
      <c r="M1108">
        <v>160</v>
      </c>
      <c r="N1108">
        <v>2528</v>
      </c>
      <c r="O1108">
        <v>6500</v>
      </c>
      <c r="P1108" s="13">
        <f t="shared" si="119"/>
        <v>0</v>
      </c>
      <c r="Q1108" t="str">
        <f t="shared" si="120"/>
        <v>No</v>
      </c>
      <c r="R1108" t="str" cm="1">
        <f t="array" ref="R1108">_xlfn.IFS(K1108=0,"On Time",K1108&lt;=2,"Minor",K1108&lt;=5,"Major",K1108&gt;5,"Severe")</f>
        <v>Minor</v>
      </c>
      <c r="S1108">
        <f t="shared" si="121"/>
        <v>3250</v>
      </c>
      <c r="T1108">
        <f t="shared" si="122"/>
        <v>1264</v>
      </c>
      <c r="U1108">
        <f t="shared" si="123"/>
        <v>2024</v>
      </c>
      <c r="V1108">
        <f t="shared" si="124"/>
        <v>11</v>
      </c>
      <c r="W1108" s="11">
        <f t="shared" si="125"/>
        <v>1</v>
      </c>
    </row>
    <row r="1109" spans="1:23">
      <c r="A1109" t="s">
        <v>1122</v>
      </c>
      <c r="B1109" s="4">
        <v>45380</v>
      </c>
      <c r="C1109" t="s">
        <v>2018</v>
      </c>
      <c r="D1109" t="s">
        <v>2026</v>
      </c>
      <c r="E1109" t="s">
        <v>2029</v>
      </c>
      <c r="F1109" t="s">
        <v>2030</v>
      </c>
      <c r="G1109" t="s">
        <v>2036</v>
      </c>
      <c r="H1109" t="s">
        <v>2040</v>
      </c>
      <c r="I1109">
        <v>1</v>
      </c>
      <c r="J1109">
        <v>4</v>
      </c>
      <c r="K1109">
        <v>3</v>
      </c>
      <c r="L1109" t="s">
        <v>2041</v>
      </c>
      <c r="M1109">
        <v>482</v>
      </c>
      <c r="N1109">
        <v>7314</v>
      </c>
      <c r="O1109">
        <v>14211</v>
      </c>
      <c r="P1109" s="13">
        <f t="shared" si="119"/>
        <v>0</v>
      </c>
      <c r="Q1109" t="str">
        <f t="shared" si="120"/>
        <v>No</v>
      </c>
      <c r="R1109" t="str" cm="1">
        <f t="array" ref="R1109">_xlfn.IFS(K1109=0,"On Time",K1109&lt;=2,"Minor",K1109&lt;=5,"Major",K1109&gt;5,"Severe")</f>
        <v>Major</v>
      </c>
      <c r="S1109">
        <f t="shared" si="121"/>
        <v>4737</v>
      </c>
      <c r="T1109">
        <f t="shared" si="122"/>
        <v>2438</v>
      </c>
      <c r="U1109">
        <f t="shared" si="123"/>
        <v>2024</v>
      </c>
      <c r="V1109">
        <f t="shared" si="124"/>
        <v>3</v>
      </c>
      <c r="W1109" s="11">
        <f t="shared" si="125"/>
        <v>1</v>
      </c>
    </row>
    <row r="1110" spans="1:23">
      <c r="A1110" t="s">
        <v>1123</v>
      </c>
      <c r="B1110" s="4">
        <v>45608</v>
      </c>
      <c r="C1110" t="s">
        <v>2015</v>
      </c>
      <c r="D1110" t="s">
        <v>2019</v>
      </c>
      <c r="E1110" t="s">
        <v>2027</v>
      </c>
      <c r="F1110" t="s">
        <v>2031</v>
      </c>
      <c r="G1110" t="s">
        <v>2035</v>
      </c>
      <c r="H1110" t="s">
        <v>2040</v>
      </c>
      <c r="I1110">
        <v>2</v>
      </c>
      <c r="J1110">
        <v>8</v>
      </c>
      <c r="K1110">
        <v>6</v>
      </c>
      <c r="L1110" t="s">
        <v>2041</v>
      </c>
      <c r="M1110">
        <v>351</v>
      </c>
      <c r="N1110">
        <v>13596</v>
      </c>
      <c r="O1110">
        <v>28662</v>
      </c>
      <c r="P1110" s="13">
        <f t="shared" si="119"/>
        <v>0</v>
      </c>
      <c r="Q1110" t="str">
        <f t="shared" si="120"/>
        <v>No</v>
      </c>
      <c r="R1110" t="str" cm="1">
        <f t="array" ref="R1110">_xlfn.IFS(K1110=0,"On Time",K1110&lt;=2,"Minor",K1110&lt;=5,"Major",K1110&gt;5,"Severe")</f>
        <v>Severe</v>
      </c>
      <c r="S1110">
        <f t="shared" si="121"/>
        <v>4777</v>
      </c>
      <c r="T1110">
        <f t="shared" si="122"/>
        <v>2266</v>
      </c>
      <c r="U1110">
        <f t="shared" si="123"/>
        <v>2024</v>
      </c>
      <c r="V1110">
        <f t="shared" si="124"/>
        <v>11</v>
      </c>
      <c r="W1110" s="11">
        <f t="shared" si="125"/>
        <v>1</v>
      </c>
    </row>
    <row r="1111" spans="1:23">
      <c r="A1111" t="s">
        <v>1124</v>
      </c>
      <c r="B1111" s="4">
        <v>45309</v>
      </c>
      <c r="C1111" t="s">
        <v>2017</v>
      </c>
      <c r="D1111" t="s">
        <v>2023</v>
      </c>
      <c r="E1111" t="s">
        <v>2027</v>
      </c>
      <c r="F1111" t="s">
        <v>2031</v>
      </c>
      <c r="G1111" t="s">
        <v>2036</v>
      </c>
      <c r="H1111" t="s">
        <v>2038</v>
      </c>
      <c r="I1111">
        <v>3</v>
      </c>
      <c r="J1111">
        <v>5</v>
      </c>
      <c r="K1111">
        <v>2</v>
      </c>
      <c r="L1111" t="s">
        <v>2041</v>
      </c>
      <c r="M1111">
        <v>326</v>
      </c>
      <c r="N1111">
        <v>3886</v>
      </c>
      <c r="O1111">
        <v>6812</v>
      </c>
      <c r="P1111" s="13">
        <f t="shared" si="119"/>
        <v>0</v>
      </c>
      <c r="Q1111" t="str">
        <f t="shared" si="120"/>
        <v>No</v>
      </c>
      <c r="R1111" t="str" cm="1">
        <f t="array" ref="R1111">_xlfn.IFS(K1111=0,"On Time",K1111&lt;=2,"Minor",K1111&lt;=5,"Major",K1111&gt;5,"Severe")</f>
        <v>Minor</v>
      </c>
      <c r="S1111">
        <f t="shared" si="121"/>
        <v>3406</v>
      </c>
      <c r="T1111">
        <f t="shared" si="122"/>
        <v>1943</v>
      </c>
      <c r="U1111">
        <f t="shared" si="123"/>
        <v>2024</v>
      </c>
      <c r="V1111">
        <f t="shared" si="124"/>
        <v>1</v>
      </c>
      <c r="W1111" s="11">
        <f t="shared" si="125"/>
        <v>1</v>
      </c>
    </row>
    <row r="1112" spans="1:23">
      <c r="A1112" t="s">
        <v>1125</v>
      </c>
      <c r="B1112" s="4">
        <v>45589</v>
      </c>
      <c r="C1112" t="s">
        <v>2016</v>
      </c>
      <c r="D1112" t="s">
        <v>2025</v>
      </c>
      <c r="E1112" t="s">
        <v>2029</v>
      </c>
      <c r="F1112" t="s">
        <v>2032</v>
      </c>
      <c r="G1112" t="s">
        <v>2035</v>
      </c>
      <c r="H1112" t="s">
        <v>2038</v>
      </c>
      <c r="I1112">
        <v>2</v>
      </c>
      <c r="J1112">
        <v>7</v>
      </c>
      <c r="K1112">
        <v>5</v>
      </c>
      <c r="L1112" t="s">
        <v>2041</v>
      </c>
      <c r="M1112">
        <v>109</v>
      </c>
      <c r="N1112">
        <v>5735</v>
      </c>
      <c r="O1112">
        <v>21235</v>
      </c>
      <c r="P1112" s="13">
        <f t="shared" si="119"/>
        <v>0</v>
      </c>
      <c r="Q1112" t="str">
        <f t="shared" si="120"/>
        <v>No</v>
      </c>
      <c r="R1112" t="str" cm="1">
        <f t="array" ref="R1112">_xlfn.IFS(K1112=0,"On Time",K1112&lt;=2,"Minor",K1112&lt;=5,"Major",K1112&gt;5,"Severe")</f>
        <v>Major</v>
      </c>
      <c r="S1112">
        <f t="shared" si="121"/>
        <v>4247</v>
      </c>
      <c r="T1112">
        <f t="shared" si="122"/>
        <v>1147</v>
      </c>
      <c r="U1112">
        <f t="shared" si="123"/>
        <v>2024</v>
      </c>
      <c r="V1112">
        <f t="shared" si="124"/>
        <v>10</v>
      </c>
      <c r="W1112" s="11">
        <f t="shared" si="125"/>
        <v>1</v>
      </c>
    </row>
    <row r="1113" spans="1:23">
      <c r="A1113" t="s">
        <v>1126</v>
      </c>
      <c r="B1113" s="4">
        <v>45313</v>
      </c>
      <c r="C1113" t="s">
        <v>2017</v>
      </c>
      <c r="D1113" t="s">
        <v>2022</v>
      </c>
      <c r="E1113" t="s">
        <v>2027</v>
      </c>
      <c r="F1113" t="s">
        <v>2031</v>
      </c>
      <c r="G1113" t="s">
        <v>2035</v>
      </c>
      <c r="H1113" t="s">
        <v>2040</v>
      </c>
      <c r="I1113">
        <v>1</v>
      </c>
      <c r="J1113">
        <v>4</v>
      </c>
      <c r="K1113">
        <v>3</v>
      </c>
      <c r="L1113" t="s">
        <v>2041</v>
      </c>
      <c r="M1113">
        <v>95</v>
      </c>
      <c r="N1113">
        <v>3678</v>
      </c>
      <c r="O1113">
        <v>13236</v>
      </c>
      <c r="P1113" s="13">
        <f t="shared" si="119"/>
        <v>0</v>
      </c>
      <c r="Q1113" t="str">
        <f t="shared" si="120"/>
        <v>No</v>
      </c>
      <c r="R1113" t="str" cm="1">
        <f t="array" ref="R1113">_xlfn.IFS(K1113=0,"On Time",K1113&lt;=2,"Minor",K1113&lt;=5,"Major",K1113&gt;5,"Severe")</f>
        <v>Major</v>
      </c>
      <c r="S1113">
        <f t="shared" si="121"/>
        <v>4412</v>
      </c>
      <c r="T1113">
        <f t="shared" si="122"/>
        <v>1226</v>
      </c>
      <c r="U1113">
        <f t="shared" si="123"/>
        <v>2024</v>
      </c>
      <c r="V1113">
        <f t="shared" si="124"/>
        <v>1</v>
      </c>
      <c r="W1113" s="11">
        <f t="shared" si="125"/>
        <v>1</v>
      </c>
    </row>
    <row r="1114" spans="1:23">
      <c r="A1114" t="s">
        <v>1127</v>
      </c>
      <c r="B1114" s="4">
        <v>45374</v>
      </c>
      <c r="C1114" t="s">
        <v>2018</v>
      </c>
      <c r="D1114" t="s">
        <v>2024</v>
      </c>
      <c r="E1114" t="s">
        <v>2028</v>
      </c>
      <c r="F1114" t="s">
        <v>2031</v>
      </c>
      <c r="G1114" t="s">
        <v>2036</v>
      </c>
      <c r="H1114" t="s">
        <v>2039</v>
      </c>
      <c r="I1114">
        <v>2</v>
      </c>
      <c r="J1114">
        <v>4</v>
      </c>
      <c r="K1114">
        <v>2</v>
      </c>
      <c r="L1114" t="s">
        <v>2041</v>
      </c>
      <c r="M1114">
        <v>231</v>
      </c>
      <c r="N1114">
        <v>2038</v>
      </c>
      <c r="O1114">
        <v>7758</v>
      </c>
      <c r="P1114" s="13">
        <f t="shared" si="119"/>
        <v>0</v>
      </c>
      <c r="Q1114" t="str">
        <f t="shared" si="120"/>
        <v>No</v>
      </c>
      <c r="R1114" t="str" cm="1">
        <f t="array" ref="R1114">_xlfn.IFS(K1114=0,"On Time",K1114&lt;=2,"Minor",K1114&lt;=5,"Major",K1114&gt;5,"Severe")</f>
        <v>Minor</v>
      </c>
      <c r="S1114">
        <f t="shared" si="121"/>
        <v>3879</v>
      </c>
      <c r="T1114">
        <f t="shared" si="122"/>
        <v>1019</v>
      </c>
      <c r="U1114">
        <f t="shared" si="123"/>
        <v>2024</v>
      </c>
      <c r="V1114">
        <f t="shared" si="124"/>
        <v>3</v>
      </c>
      <c r="W1114" s="11">
        <f t="shared" si="125"/>
        <v>1</v>
      </c>
    </row>
    <row r="1115" spans="1:23">
      <c r="A1115" t="s">
        <v>1128</v>
      </c>
      <c r="B1115" s="4">
        <v>45427</v>
      </c>
      <c r="C1115" t="s">
        <v>2015</v>
      </c>
      <c r="D1115" t="s">
        <v>2020</v>
      </c>
      <c r="E1115" t="s">
        <v>2029</v>
      </c>
      <c r="F1115" t="s">
        <v>2030</v>
      </c>
      <c r="G1115" t="s">
        <v>2037</v>
      </c>
      <c r="H1115" t="s">
        <v>2039</v>
      </c>
      <c r="I1115">
        <v>2</v>
      </c>
      <c r="J1115">
        <v>6</v>
      </c>
      <c r="K1115">
        <v>4</v>
      </c>
      <c r="L1115" t="s">
        <v>2041</v>
      </c>
      <c r="M1115">
        <v>371</v>
      </c>
      <c r="N1115">
        <v>4960</v>
      </c>
      <c r="O1115">
        <v>14504</v>
      </c>
      <c r="P1115" s="13">
        <f t="shared" si="119"/>
        <v>0</v>
      </c>
      <c r="Q1115" t="str">
        <f t="shared" si="120"/>
        <v>No</v>
      </c>
      <c r="R1115" t="str" cm="1">
        <f t="array" ref="R1115">_xlfn.IFS(K1115=0,"On Time",K1115&lt;=2,"Minor",K1115&lt;=5,"Major",K1115&gt;5,"Severe")</f>
        <v>Major</v>
      </c>
      <c r="S1115">
        <f t="shared" si="121"/>
        <v>3626</v>
      </c>
      <c r="T1115">
        <f t="shared" si="122"/>
        <v>1240</v>
      </c>
      <c r="U1115">
        <f t="shared" si="123"/>
        <v>2024</v>
      </c>
      <c r="V1115">
        <f t="shared" si="124"/>
        <v>5</v>
      </c>
      <c r="W1115" s="11">
        <f t="shared" si="125"/>
        <v>1</v>
      </c>
    </row>
    <row r="1116" spans="1:23">
      <c r="A1116" t="s">
        <v>1129</v>
      </c>
      <c r="B1116" s="4">
        <v>45471</v>
      </c>
      <c r="C1116" t="s">
        <v>2015</v>
      </c>
      <c r="D1116" t="s">
        <v>2020</v>
      </c>
      <c r="E1116" t="s">
        <v>2029</v>
      </c>
      <c r="F1116" t="s">
        <v>2031</v>
      </c>
      <c r="G1116" t="s">
        <v>2036</v>
      </c>
      <c r="H1116" t="s">
        <v>2039</v>
      </c>
      <c r="I1116">
        <v>1</v>
      </c>
      <c r="J1116">
        <v>4</v>
      </c>
      <c r="K1116">
        <v>3</v>
      </c>
      <c r="L1116" t="s">
        <v>2041</v>
      </c>
      <c r="M1116">
        <v>404</v>
      </c>
      <c r="N1116">
        <v>6918</v>
      </c>
      <c r="O1116">
        <v>10464</v>
      </c>
      <c r="P1116" s="13">
        <f t="shared" si="119"/>
        <v>0</v>
      </c>
      <c r="Q1116" t="str">
        <f t="shared" si="120"/>
        <v>No</v>
      </c>
      <c r="R1116" t="str" cm="1">
        <f t="array" ref="R1116">_xlfn.IFS(K1116=0,"On Time",K1116&lt;=2,"Minor",K1116&lt;=5,"Major",K1116&gt;5,"Severe")</f>
        <v>Major</v>
      </c>
      <c r="S1116">
        <f t="shared" si="121"/>
        <v>3488</v>
      </c>
      <c r="T1116">
        <f t="shared" si="122"/>
        <v>2306</v>
      </c>
      <c r="U1116">
        <f t="shared" si="123"/>
        <v>2024</v>
      </c>
      <c r="V1116">
        <f t="shared" si="124"/>
        <v>6</v>
      </c>
      <c r="W1116" s="11">
        <f t="shared" si="125"/>
        <v>1</v>
      </c>
    </row>
    <row r="1117" spans="1:23">
      <c r="A1117" t="s">
        <v>1130</v>
      </c>
      <c r="B1117" s="4">
        <v>45467</v>
      </c>
      <c r="C1117" t="s">
        <v>2016</v>
      </c>
      <c r="D1117" t="s">
        <v>2021</v>
      </c>
      <c r="E1117" t="s">
        <v>2029</v>
      </c>
      <c r="F1117" t="s">
        <v>2031</v>
      </c>
      <c r="G1117" t="s">
        <v>2037</v>
      </c>
      <c r="H1117" t="s">
        <v>2039</v>
      </c>
      <c r="I1117">
        <v>2</v>
      </c>
      <c r="J1117">
        <v>7</v>
      </c>
      <c r="K1117">
        <v>5</v>
      </c>
      <c r="L1117" t="s">
        <v>2041</v>
      </c>
      <c r="M1117">
        <v>455</v>
      </c>
      <c r="N1117">
        <v>7650</v>
      </c>
      <c r="O1117">
        <v>17685</v>
      </c>
      <c r="P1117" s="13">
        <f t="shared" si="119"/>
        <v>0</v>
      </c>
      <c r="Q1117" t="str">
        <f t="shared" si="120"/>
        <v>No</v>
      </c>
      <c r="R1117" t="str" cm="1">
        <f t="array" ref="R1117">_xlfn.IFS(K1117=0,"On Time",K1117&lt;=2,"Minor",K1117&lt;=5,"Major",K1117&gt;5,"Severe")</f>
        <v>Major</v>
      </c>
      <c r="S1117">
        <f t="shared" si="121"/>
        <v>3537</v>
      </c>
      <c r="T1117">
        <f t="shared" si="122"/>
        <v>1530</v>
      </c>
      <c r="U1117">
        <f t="shared" si="123"/>
        <v>2024</v>
      </c>
      <c r="V1117">
        <f t="shared" si="124"/>
        <v>6</v>
      </c>
      <c r="W1117" s="11">
        <f t="shared" si="125"/>
        <v>1</v>
      </c>
    </row>
    <row r="1118" spans="1:23">
      <c r="A1118" t="s">
        <v>1131</v>
      </c>
      <c r="B1118" s="4">
        <v>45443</v>
      </c>
      <c r="C1118" t="s">
        <v>2015</v>
      </c>
      <c r="D1118" t="s">
        <v>2019</v>
      </c>
      <c r="E1118" t="s">
        <v>2028</v>
      </c>
      <c r="F1118" t="s">
        <v>2032</v>
      </c>
      <c r="G1118" t="s">
        <v>2033</v>
      </c>
      <c r="H1118" t="s">
        <v>2039</v>
      </c>
      <c r="I1118">
        <v>5</v>
      </c>
      <c r="J1118">
        <v>10</v>
      </c>
      <c r="K1118">
        <v>5</v>
      </c>
      <c r="L1118" t="s">
        <v>2041</v>
      </c>
      <c r="M1118">
        <v>71</v>
      </c>
      <c r="N1118">
        <v>7435</v>
      </c>
      <c r="O1118">
        <v>19630</v>
      </c>
      <c r="P1118" s="13">
        <f t="shared" si="119"/>
        <v>0</v>
      </c>
      <c r="Q1118" t="str">
        <f t="shared" si="120"/>
        <v>No</v>
      </c>
      <c r="R1118" t="str" cm="1">
        <f t="array" ref="R1118">_xlfn.IFS(K1118=0,"On Time",K1118&lt;=2,"Minor",K1118&lt;=5,"Major",K1118&gt;5,"Severe")</f>
        <v>Major</v>
      </c>
      <c r="S1118">
        <f t="shared" si="121"/>
        <v>3926</v>
      </c>
      <c r="T1118">
        <f t="shared" si="122"/>
        <v>1487</v>
      </c>
      <c r="U1118">
        <f t="shared" si="123"/>
        <v>2024</v>
      </c>
      <c r="V1118">
        <f t="shared" si="124"/>
        <v>5</v>
      </c>
      <c r="W1118" s="11">
        <f t="shared" si="125"/>
        <v>1</v>
      </c>
    </row>
    <row r="1119" spans="1:23">
      <c r="A1119" t="s">
        <v>1132</v>
      </c>
      <c r="B1119" s="4">
        <v>45294</v>
      </c>
      <c r="C1119" t="s">
        <v>2018</v>
      </c>
      <c r="D1119" t="s">
        <v>2026</v>
      </c>
      <c r="E1119" t="s">
        <v>2027</v>
      </c>
      <c r="F1119" t="s">
        <v>2030</v>
      </c>
      <c r="G1119" t="s">
        <v>2033</v>
      </c>
      <c r="H1119" t="s">
        <v>2038</v>
      </c>
      <c r="I1119">
        <v>1</v>
      </c>
      <c r="J1119">
        <v>6</v>
      </c>
      <c r="K1119">
        <v>5</v>
      </c>
      <c r="L1119" t="s">
        <v>2041</v>
      </c>
      <c r="M1119">
        <v>119</v>
      </c>
      <c r="N1119">
        <v>11095</v>
      </c>
      <c r="O1119">
        <v>16520</v>
      </c>
      <c r="P1119" s="13">
        <f t="shared" si="119"/>
        <v>0</v>
      </c>
      <c r="Q1119" t="str">
        <f t="shared" si="120"/>
        <v>No</v>
      </c>
      <c r="R1119" t="str" cm="1">
        <f t="array" ref="R1119">_xlfn.IFS(K1119=0,"On Time",K1119&lt;=2,"Minor",K1119&lt;=5,"Major",K1119&gt;5,"Severe")</f>
        <v>Major</v>
      </c>
      <c r="S1119">
        <f t="shared" si="121"/>
        <v>3304</v>
      </c>
      <c r="T1119">
        <f t="shared" si="122"/>
        <v>2219</v>
      </c>
      <c r="U1119">
        <f t="shared" si="123"/>
        <v>2024</v>
      </c>
      <c r="V1119">
        <f t="shared" si="124"/>
        <v>1</v>
      </c>
      <c r="W1119" s="11">
        <f t="shared" si="125"/>
        <v>1</v>
      </c>
    </row>
    <row r="1120" spans="1:23">
      <c r="A1120" t="s">
        <v>1133</v>
      </c>
      <c r="B1120" s="4">
        <v>45600</v>
      </c>
      <c r="C1120" t="s">
        <v>2015</v>
      </c>
      <c r="D1120" t="s">
        <v>2019</v>
      </c>
      <c r="E1120" t="s">
        <v>2029</v>
      </c>
      <c r="F1120" t="s">
        <v>2030</v>
      </c>
      <c r="G1120" t="s">
        <v>2034</v>
      </c>
      <c r="H1120" t="s">
        <v>2038</v>
      </c>
      <c r="I1120">
        <v>1</v>
      </c>
      <c r="J1120">
        <v>4</v>
      </c>
      <c r="K1120">
        <v>3</v>
      </c>
      <c r="L1120" t="s">
        <v>2041</v>
      </c>
      <c r="M1120">
        <v>453</v>
      </c>
      <c r="N1120">
        <v>7419</v>
      </c>
      <c r="O1120">
        <v>5643</v>
      </c>
      <c r="P1120" s="13">
        <f t="shared" si="119"/>
        <v>0</v>
      </c>
      <c r="Q1120" t="str">
        <f t="shared" si="120"/>
        <v>No</v>
      </c>
      <c r="R1120" t="str" cm="1">
        <f t="array" ref="R1120">_xlfn.IFS(K1120=0,"On Time",K1120&lt;=2,"Minor",K1120&lt;=5,"Major",K1120&gt;5,"Severe")</f>
        <v>Major</v>
      </c>
      <c r="S1120">
        <f t="shared" si="121"/>
        <v>1881</v>
      </c>
      <c r="T1120">
        <f t="shared" si="122"/>
        <v>2473</v>
      </c>
      <c r="U1120">
        <f t="shared" si="123"/>
        <v>2024</v>
      </c>
      <c r="V1120">
        <f t="shared" si="124"/>
        <v>11</v>
      </c>
      <c r="W1120" s="11">
        <f t="shared" si="125"/>
        <v>1</v>
      </c>
    </row>
    <row r="1121" spans="1:23">
      <c r="A1121" t="s">
        <v>1134</v>
      </c>
      <c r="B1121" s="4">
        <v>45571</v>
      </c>
      <c r="C1121" t="s">
        <v>2017</v>
      </c>
      <c r="D1121" t="s">
        <v>2023</v>
      </c>
      <c r="E1121" t="s">
        <v>2027</v>
      </c>
      <c r="F1121" t="s">
        <v>2032</v>
      </c>
      <c r="G1121" t="s">
        <v>2034</v>
      </c>
      <c r="H1121" t="s">
        <v>2038</v>
      </c>
      <c r="I1121">
        <v>5</v>
      </c>
      <c r="J1121">
        <v>11</v>
      </c>
      <c r="K1121">
        <v>6</v>
      </c>
      <c r="L1121" t="s">
        <v>2041</v>
      </c>
      <c r="M1121">
        <v>193</v>
      </c>
      <c r="N1121">
        <v>14232</v>
      </c>
      <c r="O1121">
        <v>29028</v>
      </c>
      <c r="P1121" s="13">
        <f t="shared" si="119"/>
        <v>0</v>
      </c>
      <c r="Q1121" t="str">
        <f t="shared" si="120"/>
        <v>No</v>
      </c>
      <c r="R1121" t="str" cm="1">
        <f t="array" ref="R1121">_xlfn.IFS(K1121=0,"On Time",K1121&lt;=2,"Minor",K1121&lt;=5,"Major",K1121&gt;5,"Severe")</f>
        <v>Severe</v>
      </c>
      <c r="S1121">
        <f t="shared" si="121"/>
        <v>4838</v>
      </c>
      <c r="T1121">
        <f t="shared" si="122"/>
        <v>2372</v>
      </c>
      <c r="U1121">
        <f t="shared" si="123"/>
        <v>2024</v>
      </c>
      <c r="V1121">
        <f t="shared" si="124"/>
        <v>10</v>
      </c>
      <c r="W1121" s="11">
        <f t="shared" si="125"/>
        <v>1</v>
      </c>
    </row>
    <row r="1122" spans="1:23">
      <c r="A1122" t="s">
        <v>1135</v>
      </c>
      <c r="B1122" s="4">
        <v>45349</v>
      </c>
      <c r="C1122" t="s">
        <v>2016</v>
      </c>
      <c r="D1122" t="s">
        <v>2021</v>
      </c>
      <c r="E1122" t="s">
        <v>2027</v>
      </c>
      <c r="F1122" t="s">
        <v>2031</v>
      </c>
      <c r="G1122" t="s">
        <v>2033</v>
      </c>
      <c r="H1122" t="s">
        <v>2038</v>
      </c>
      <c r="I1122">
        <v>1</v>
      </c>
      <c r="J1122">
        <v>3</v>
      </c>
      <c r="K1122">
        <v>2</v>
      </c>
      <c r="L1122" t="s">
        <v>2041</v>
      </c>
      <c r="M1122">
        <v>81</v>
      </c>
      <c r="N1122">
        <v>3926</v>
      </c>
      <c r="O1122">
        <v>4414</v>
      </c>
      <c r="P1122" s="13">
        <f t="shared" si="119"/>
        <v>0</v>
      </c>
      <c r="Q1122" t="str">
        <f t="shared" si="120"/>
        <v>No</v>
      </c>
      <c r="R1122" t="str" cm="1">
        <f t="array" ref="R1122">_xlfn.IFS(K1122=0,"On Time",K1122&lt;=2,"Minor",K1122&lt;=5,"Major",K1122&gt;5,"Severe")</f>
        <v>Minor</v>
      </c>
      <c r="S1122">
        <f t="shared" si="121"/>
        <v>2207</v>
      </c>
      <c r="T1122">
        <f t="shared" si="122"/>
        <v>1963</v>
      </c>
      <c r="U1122">
        <f t="shared" si="123"/>
        <v>2024</v>
      </c>
      <c r="V1122">
        <f t="shared" si="124"/>
        <v>2</v>
      </c>
      <c r="W1122" s="11">
        <f t="shared" si="125"/>
        <v>1</v>
      </c>
    </row>
    <row r="1123" spans="1:23">
      <c r="A1123" t="s">
        <v>1136</v>
      </c>
      <c r="B1123" s="4">
        <v>45344</v>
      </c>
      <c r="C1123" t="s">
        <v>2015</v>
      </c>
      <c r="D1123" t="s">
        <v>2020</v>
      </c>
      <c r="E1123" t="s">
        <v>2029</v>
      </c>
      <c r="F1123" t="s">
        <v>2031</v>
      </c>
      <c r="G1123" t="s">
        <v>2037</v>
      </c>
      <c r="H1123" t="s">
        <v>2039</v>
      </c>
      <c r="I1123">
        <v>1</v>
      </c>
      <c r="J1123">
        <v>6</v>
      </c>
      <c r="K1123">
        <v>5</v>
      </c>
      <c r="L1123" t="s">
        <v>2041</v>
      </c>
      <c r="M1123">
        <v>451</v>
      </c>
      <c r="N1123">
        <v>8150</v>
      </c>
      <c r="O1123">
        <v>20460</v>
      </c>
      <c r="P1123" s="13">
        <f t="shared" si="119"/>
        <v>0</v>
      </c>
      <c r="Q1123" t="str">
        <f t="shared" si="120"/>
        <v>No</v>
      </c>
      <c r="R1123" t="str" cm="1">
        <f t="array" ref="R1123">_xlfn.IFS(K1123=0,"On Time",K1123&lt;=2,"Minor",K1123&lt;=5,"Major",K1123&gt;5,"Severe")</f>
        <v>Major</v>
      </c>
      <c r="S1123">
        <f t="shared" si="121"/>
        <v>4092</v>
      </c>
      <c r="T1123">
        <f t="shared" si="122"/>
        <v>1630</v>
      </c>
      <c r="U1123">
        <f t="shared" si="123"/>
        <v>2024</v>
      </c>
      <c r="V1123">
        <f t="shared" si="124"/>
        <v>2</v>
      </c>
      <c r="W1123" s="11">
        <f t="shared" si="125"/>
        <v>1</v>
      </c>
    </row>
    <row r="1124" spans="1:23">
      <c r="A1124" t="s">
        <v>1137</v>
      </c>
      <c r="B1124" s="4">
        <v>45598</v>
      </c>
      <c r="C1124" t="s">
        <v>2018</v>
      </c>
      <c r="D1124" t="s">
        <v>2024</v>
      </c>
      <c r="E1124" t="s">
        <v>2028</v>
      </c>
      <c r="F1124" t="s">
        <v>2032</v>
      </c>
      <c r="G1124" t="s">
        <v>2035</v>
      </c>
      <c r="H1124" t="s">
        <v>2040</v>
      </c>
      <c r="I1124">
        <v>1</v>
      </c>
      <c r="J1124">
        <v>5</v>
      </c>
      <c r="K1124">
        <v>4</v>
      </c>
      <c r="L1124" t="s">
        <v>2041</v>
      </c>
      <c r="M1124">
        <v>96</v>
      </c>
      <c r="N1124">
        <v>8604</v>
      </c>
      <c r="O1124">
        <v>15812</v>
      </c>
      <c r="P1124" s="13">
        <f t="shared" si="119"/>
        <v>0</v>
      </c>
      <c r="Q1124" t="str">
        <f t="shared" si="120"/>
        <v>No</v>
      </c>
      <c r="R1124" t="str" cm="1">
        <f t="array" ref="R1124">_xlfn.IFS(K1124=0,"On Time",K1124&lt;=2,"Minor",K1124&lt;=5,"Major",K1124&gt;5,"Severe")</f>
        <v>Major</v>
      </c>
      <c r="S1124">
        <f t="shared" si="121"/>
        <v>3953</v>
      </c>
      <c r="T1124">
        <f t="shared" si="122"/>
        <v>2151</v>
      </c>
      <c r="U1124">
        <f t="shared" si="123"/>
        <v>2024</v>
      </c>
      <c r="V1124">
        <f t="shared" si="124"/>
        <v>11</v>
      </c>
      <c r="W1124" s="11">
        <f t="shared" si="125"/>
        <v>1</v>
      </c>
    </row>
    <row r="1125" spans="1:23">
      <c r="A1125" t="s">
        <v>1138</v>
      </c>
      <c r="B1125" s="4">
        <v>45571</v>
      </c>
      <c r="C1125" t="s">
        <v>2016</v>
      </c>
      <c r="D1125" t="s">
        <v>2025</v>
      </c>
      <c r="E1125" t="s">
        <v>2029</v>
      </c>
      <c r="F1125" t="s">
        <v>2032</v>
      </c>
      <c r="G1125" t="s">
        <v>2033</v>
      </c>
      <c r="H1125" t="s">
        <v>2038</v>
      </c>
      <c r="I1125">
        <v>2</v>
      </c>
      <c r="J1125">
        <v>4</v>
      </c>
      <c r="K1125">
        <v>2</v>
      </c>
      <c r="L1125" t="s">
        <v>2041</v>
      </c>
      <c r="M1125">
        <v>277</v>
      </c>
      <c r="N1125">
        <v>2102</v>
      </c>
      <c r="O1125">
        <v>7460</v>
      </c>
      <c r="P1125" s="13">
        <f t="shared" si="119"/>
        <v>0</v>
      </c>
      <c r="Q1125" t="str">
        <f t="shared" si="120"/>
        <v>No</v>
      </c>
      <c r="R1125" t="str" cm="1">
        <f t="array" ref="R1125">_xlfn.IFS(K1125=0,"On Time",K1125&lt;=2,"Minor",K1125&lt;=5,"Major",K1125&gt;5,"Severe")</f>
        <v>Minor</v>
      </c>
      <c r="S1125">
        <f t="shared" si="121"/>
        <v>3730</v>
      </c>
      <c r="T1125">
        <f t="shared" si="122"/>
        <v>1051</v>
      </c>
      <c r="U1125">
        <f t="shared" si="123"/>
        <v>2024</v>
      </c>
      <c r="V1125">
        <f t="shared" si="124"/>
        <v>10</v>
      </c>
      <c r="W1125" s="11">
        <f t="shared" si="125"/>
        <v>1</v>
      </c>
    </row>
    <row r="1126" spans="1:23">
      <c r="A1126" t="s">
        <v>1139</v>
      </c>
      <c r="B1126" s="4">
        <v>45535</v>
      </c>
      <c r="C1126" t="s">
        <v>2017</v>
      </c>
      <c r="D1126" t="s">
        <v>2022</v>
      </c>
      <c r="E1126" t="s">
        <v>2027</v>
      </c>
      <c r="F1126" t="s">
        <v>2031</v>
      </c>
      <c r="G1126" t="s">
        <v>2036</v>
      </c>
      <c r="H1126" t="s">
        <v>2039</v>
      </c>
      <c r="I1126">
        <v>1</v>
      </c>
      <c r="J1126">
        <v>4</v>
      </c>
      <c r="K1126">
        <v>3</v>
      </c>
      <c r="L1126" t="s">
        <v>2041</v>
      </c>
      <c r="M1126">
        <v>244</v>
      </c>
      <c r="N1126">
        <v>3255</v>
      </c>
      <c r="O1126">
        <v>13542</v>
      </c>
      <c r="P1126" s="13">
        <f t="shared" si="119"/>
        <v>0</v>
      </c>
      <c r="Q1126" t="str">
        <f t="shared" si="120"/>
        <v>No</v>
      </c>
      <c r="R1126" t="str" cm="1">
        <f t="array" ref="R1126">_xlfn.IFS(K1126=0,"On Time",K1126&lt;=2,"Minor",K1126&lt;=5,"Major",K1126&gt;5,"Severe")</f>
        <v>Major</v>
      </c>
      <c r="S1126">
        <f t="shared" si="121"/>
        <v>4514</v>
      </c>
      <c r="T1126">
        <f t="shared" si="122"/>
        <v>1085</v>
      </c>
      <c r="U1126">
        <f t="shared" si="123"/>
        <v>2024</v>
      </c>
      <c r="V1126">
        <f t="shared" si="124"/>
        <v>8</v>
      </c>
      <c r="W1126" s="11">
        <f t="shared" si="125"/>
        <v>1</v>
      </c>
    </row>
    <row r="1127" spans="1:23">
      <c r="A1127" t="s">
        <v>1140</v>
      </c>
      <c r="B1127" s="4">
        <v>45299</v>
      </c>
      <c r="C1127" t="s">
        <v>2018</v>
      </c>
      <c r="D1127" t="s">
        <v>2026</v>
      </c>
      <c r="E1127" t="s">
        <v>2027</v>
      </c>
      <c r="F1127" t="s">
        <v>2032</v>
      </c>
      <c r="G1127" t="s">
        <v>2036</v>
      </c>
      <c r="H1127" t="s">
        <v>2038</v>
      </c>
      <c r="I1127">
        <v>1</v>
      </c>
      <c r="J1127">
        <v>8</v>
      </c>
      <c r="K1127">
        <v>7</v>
      </c>
      <c r="L1127" t="s">
        <v>2041</v>
      </c>
      <c r="M1127">
        <v>62</v>
      </c>
      <c r="N1127">
        <v>10605</v>
      </c>
      <c r="O1127">
        <v>27776</v>
      </c>
      <c r="P1127" s="13">
        <f t="shared" si="119"/>
        <v>0</v>
      </c>
      <c r="Q1127" t="str">
        <f t="shared" si="120"/>
        <v>No</v>
      </c>
      <c r="R1127" t="str" cm="1">
        <f t="array" ref="R1127">_xlfn.IFS(K1127=0,"On Time",K1127&lt;=2,"Minor",K1127&lt;=5,"Major",K1127&gt;5,"Severe")</f>
        <v>Severe</v>
      </c>
      <c r="S1127">
        <f t="shared" si="121"/>
        <v>3968</v>
      </c>
      <c r="T1127">
        <f t="shared" si="122"/>
        <v>1515</v>
      </c>
      <c r="U1127">
        <f t="shared" si="123"/>
        <v>2024</v>
      </c>
      <c r="V1127">
        <f t="shared" si="124"/>
        <v>1</v>
      </c>
      <c r="W1127" s="11">
        <f t="shared" si="125"/>
        <v>1</v>
      </c>
    </row>
    <row r="1128" spans="1:23">
      <c r="A1128" t="s">
        <v>1141</v>
      </c>
      <c r="B1128" s="4">
        <v>45365</v>
      </c>
      <c r="C1128" t="s">
        <v>2017</v>
      </c>
      <c r="D1128" t="s">
        <v>2023</v>
      </c>
      <c r="E1128" t="s">
        <v>2029</v>
      </c>
      <c r="F1128" t="s">
        <v>2031</v>
      </c>
      <c r="G1128" t="s">
        <v>2036</v>
      </c>
      <c r="H1128" t="s">
        <v>2039</v>
      </c>
      <c r="I1128">
        <v>5</v>
      </c>
      <c r="J1128">
        <v>6</v>
      </c>
      <c r="K1128">
        <v>1</v>
      </c>
      <c r="L1128" t="s">
        <v>2041</v>
      </c>
      <c r="M1128">
        <v>411</v>
      </c>
      <c r="N1128">
        <v>953</v>
      </c>
      <c r="O1128">
        <v>3787</v>
      </c>
      <c r="P1128" s="13">
        <f t="shared" si="119"/>
        <v>0</v>
      </c>
      <c r="Q1128" t="str">
        <f t="shared" si="120"/>
        <v>No</v>
      </c>
      <c r="R1128" t="str" cm="1">
        <f t="array" ref="R1128">_xlfn.IFS(K1128=0,"On Time",K1128&lt;=2,"Minor",K1128&lt;=5,"Major",K1128&gt;5,"Severe")</f>
        <v>Minor</v>
      </c>
      <c r="S1128">
        <f t="shared" si="121"/>
        <v>3787</v>
      </c>
      <c r="T1128">
        <f t="shared" si="122"/>
        <v>953</v>
      </c>
      <c r="U1128">
        <f t="shared" si="123"/>
        <v>2024</v>
      </c>
      <c r="V1128">
        <f t="shared" si="124"/>
        <v>3</v>
      </c>
      <c r="W1128" s="11">
        <f t="shared" si="125"/>
        <v>1</v>
      </c>
    </row>
    <row r="1129" spans="1:23">
      <c r="A1129" t="s">
        <v>1142</v>
      </c>
      <c r="B1129" s="4">
        <v>45528</v>
      </c>
      <c r="C1129" t="s">
        <v>2017</v>
      </c>
      <c r="D1129" t="s">
        <v>2023</v>
      </c>
      <c r="E1129" t="s">
        <v>2027</v>
      </c>
      <c r="F1129" t="s">
        <v>2031</v>
      </c>
      <c r="G1129" t="s">
        <v>2033</v>
      </c>
      <c r="H1129" t="s">
        <v>2038</v>
      </c>
      <c r="I1129">
        <v>3</v>
      </c>
      <c r="J1129">
        <v>3</v>
      </c>
      <c r="K1129">
        <v>0</v>
      </c>
      <c r="L1129" t="s">
        <v>2042</v>
      </c>
      <c r="M1129">
        <v>171</v>
      </c>
      <c r="N1129">
        <v>0</v>
      </c>
      <c r="O1129">
        <v>0</v>
      </c>
      <c r="P1129" s="13">
        <f t="shared" si="119"/>
        <v>1</v>
      </c>
      <c r="Q1129" t="str">
        <f t="shared" si="120"/>
        <v>No</v>
      </c>
      <c r="R1129" t="str" cm="1">
        <f t="array" ref="R1129">_xlfn.IFS(K1129=0,"On Time",K1129&lt;=2,"Minor",K1129&lt;=5,"Major",K1129&gt;5,"Severe")</f>
        <v>On Time</v>
      </c>
      <c r="S1129">
        <f t="shared" si="121"/>
        <v>0</v>
      </c>
      <c r="T1129">
        <f t="shared" si="122"/>
        <v>0</v>
      </c>
      <c r="U1129">
        <f t="shared" si="123"/>
        <v>2024</v>
      </c>
      <c r="V1129">
        <f t="shared" si="124"/>
        <v>8</v>
      </c>
      <c r="W1129" s="11">
        <f t="shared" si="125"/>
        <v>0</v>
      </c>
    </row>
    <row r="1130" spans="1:23">
      <c r="A1130" t="s">
        <v>1143</v>
      </c>
      <c r="B1130" s="4">
        <v>45441</v>
      </c>
      <c r="C1130" t="s">
        <v>2015</v>
      </c>
      <c r="D1130" t="s">
        <v>2020</v>
      </c>
      <c r="E1130" t="s">
        <v>2028</v>
      </c>
      <c r="F1130" t="s">
        <v>2032</v>
      </c>
      <c r="G1130" t="s">
        <v>2033</v>
      </c>
      <c r="H1130" t="s">
        <v>2039</v>
      </c>
      <c r="I1130">
        <v>3</v>
      </c>
      <c r="J1130">
        <v>6</v>
      </c>
      <c r="K1130">
        <v>3</v>
      </c>
      <c r="L1130" t="s">
        <v>2041</v>
      </c>
      <c r="M1130">
        <v>228</v>
      </c>
      <c r="N1130">
        <v>4566</v>
      </c>
      <c r="O1130">
        <v>13119</v>
      </c>
      <c r="P1130" s="13">
        <f t="shared" si="119"/>
        <v>0</v>
      </c>
      <c r="Q1130" t="str">
        <f t="shared" si="120"/>
        <v>No</v>
      </c>
      <c r="R1130" t="str" cm="1">
        <f t="array" ref="R1130">_xlfn.IFS(K1130=0,"On Time",K1130&lt;=2,"Minor",K1130&lt;=5,"Major",K1130&gt;5,"Severe")</f>
        <v>Major</v>
      </c>
      <c r="S1130">
        <f t="shared" si="121"/>
        <v>4373</v>
      </c>
      <c r="T1130">
        <f t="shared" si="122"/>
        <v>1522</v>
      </c>
      <c r="U1130">
        <f t="shared" si="123"/>
        <v>2024</v>
      </c>
      <c r="V1130">
        <f t="shared" si="124"/>
        <v>5</v>
      </c>
      <c r="W1130" s="11">
        <f t="shared" si="125"/>
        <v>1</v>
      </c>
    </row>
    <row r="1131" spans="1:23">
      <c r="A1131" t="s">
        <v>1144</v>
      </c>
      <c r="B1131" s="4">
        <v>45625</v>
      </c>
      <c r="C1131" t="s">
        <v>2016</v>
      </c>
      <c r="D1131" t="s">
        <v>2025</v>
      </c>
      <c r="E1131" t="s">
        <v>2027</v>
      </c>
      <c r="F1131" t="s">
        <v>2032</v>
      </c>
      <c r="G1131" t="s">
        <v>2035</v>
      </c>
      <c r="H1131" t="s">
        <v>2039</v>
      </c>
      <c r="I1131">
        <v>2</v>
      </c>
      <c r="J1131">
        <v>9</v>
      </c>
      <c r="K1131">
        <v>7</v>
      </c>
      <c r="L1131" t="s">
        <v>2041</v>
      </c>
      <c r="M1131">
        <v>215</v>
      </c>
      <c r="N1131">
        <v>11466</v>
      </c>
      <c r="O1131">
        <v>31388</v>
      </c>
      <c r="P1131" s="13">
        <f t="shared" si="119"/>
        <v>0</v>
      </c>
      <c r="Q1131" t="str">
        <f t="shared" si="120"/>
        <v>No</v>
      </c>
      <c r="R1131" t="str" cm="1">
        <f t="array" ref="R1131">_xlfn.IFS(K1131=0,"On Time",K1131&lt;=2,"Minor",K1131&lt;=5,"Major",K1131&gt;5,"Severe")</f>
        <v>Severe</v>
      </c>
      <c r="S1131">
        <f t="shared" si="121"/>
        <v>4484</v>
      </c>
      <c r="T1131">
        <f t="shared" si="122"/>
        <v>1638</v>
      </c>
      <c r="U1131">
        <f t="shared" si="123"/>
        <v>2024</v>
      </c>
      <c r="V1131">
        <f t="shared" si="124"/>
        <v>11</v>
      </c>
      <c r="W1131" s="11">
        <f t="shared" si="125"/>
        <v>1</v>
      </c>
    </row>
    <row r="1132" spans="1:23">
      <c r="A1132" t="s">
        <v>1145</v>
      </c>
      <c r="B1132" s="4">
        <v>45339</v>
      </c>
      <c r="C1132" t="s">
        <v>2018</v>
      </c>
      <c r="D1132" t="s">
        <v>2024</v>
      </c>
      <c r="E1132" t="s">
        <v>2028</v>
      </c>
      <c r="F1132" t="s">
        <v>2030</v>
      </c>
      <c r="G1132" t="s">
        <v>2037</v>
      </c>
      <c r="H1132" t="s">
        <v>2039</v>
      </c>
      <c r="I1132">
        <v>1</v>
      </c>
      <c r="J1132">
        <v>5</v>
      </c>
      <c r="K1132">
        <v>4</v>
      </c>
      <c r="L1132" t="s">
        <v>2041</v>
      </c>
      <c r="M1132">
        <v>125</v>
      </c>
      <c r="N1132">
        <v>7980</v>
      </c>
      <c r="O1132">
        <v>14620</v>
      </c>
      <c r="P1132" s="13">
        <f t="shared" si="119"/>
        <v>0</v>
      </c>
      <c r="Q1132" t="str">
        <f t="shared" si="120"/>
        <v>No</v>
      </c>
      <c r="R1132" t="str" cm="1">
        <f t="array" ref="R1132">_xlfn.IFS(K1132=0,"On Time",K1132&lt;=2,"Minor",K1132&lt;=5,"Major",K1132&gt;5,"Severe")</f>
        <v>Major</v>
      </c>
      <c r="S1132">
        <f t="shared" si="121"/>
        <v>3655</v>
      </c>
      <c r="T1132">
        <f t="shared" si="122"/>
        <v>1995</v>
      </c>
      <c r="U1132">
        <f t="shared" si="123"/>
        <v>2024</v>
      </c>
      <c r="V1132">
        <f t="shared" si="124"/>
        <v>2</v>
      </c>
      <c r="W1132" s="11">
        <f t="shared" si="125"/>
        <v>1</v>
      </c>
    </row>
    <row r="1133" spans="1:23">
      <c r="A1133" t="s">
        <v>1146</v>
      </c>
      <c r="B1133" s="4">
        <v>45364</v>
      </c>
      <c r="C1133" t="s">
        <v>2015</v>
      </c>
      <c r="D1133" t="s">
        <v>2020</v>
      </c>
      <c r="E1133" t="s">
        <v>2028</v>
      </c>
      <c r="F1133" t="s">
        <v>2031</v>
      </c>
      <c r="G1133" t="s">
        <v>2035</v>
      </c>
      <c r="H1133" t="s">
        <v>2039</v>
      </c>
      <c r="I1133">
        <v>3</v>
      </c>
      <c r="J1133">
        <v>7</v>
      </c>
      <c r="K1133">
        <v>4</v>
      </c>
      <c r="L1133" t="s">
        <v>2041</v>
      </c>
      <c r="M1133">
        <v>99</v>
      </c>
      <c r="N1133">
        <v>7568</v>
      </c>
      <c r="O1133">
        <v>13156</v>
      </c>
      <c r="P1133" s="13">
        <f t="shared" si="119"/>
        <v>0</v>
      </c>
      <c r="Q1133" t="str">
        <f t="shared" si="120"/>
        <v>No</v>
      </c>
      <c r="R1133" t="str" cm="1">
        <f t="array" ref="R1133">_xlfn.IFS(K1133=0,"On Time",K1133&lt;=2,"Minor",K1133&lt;=5,"Major",K1133&gt;5,"Severe")</f>
        <v>Major</v>
      </c>
      <c r="S1133">
        <f t="shared" si="121"/>
        <v>3289</v>
      </c>
      <c r="T1133">
        <f t="shared" si="122"/>
        <v>1892</v>
      </c>
      <c r="U1133">
        <f t="shared" si="123"/>
        <v>2024</v>
      </c>
      <c r="V1133">
        <f t="shared" si="124"/>
        <v>3</v>
      </c>
      <c r="W1133" s="11">
        <f t="shared" si="125"/>
        <v>1</v>
      </c>
    </row>
    <row r="1134" spans="1:23">
      <c r="A1134" t="s">
        <v>1147</v>
      </c>
      <c r="B1134" s="4">
        <v>45536</v>
      </c>
      <c r="C1134" t="s">
        <v>2018</v>
      </c>
      <c r="D1134" t="s">
        <v>2024</v>
      </c>
      <c r="E1134" t="s">
        <v>2029</v>
      </c>
      <c r="F1134" t="s">
        <v>2031</v>
      </c>
      <c r="G1134" t="s">
        <v>2035</v>
      </c>
      <c r="H1134" t="s">
        <v>2038</v>
      </c>
      <c r="I1134">
        <v>1</v>
      </c>
      <c r="J1134">
        <v>4</v>
      </c>
      <c r="K1134">
        <v>3</v>
      </c>
      <c r="L1134" t="s">
        <v>2041</v>
      </c>
      <c r="M1134">
        <v>176</v>
      </c>
      <c r="N1134">
        <v>4734</v>
      </c>
      <c r="O1134">
        <v>12459</v>
      </c>
      <c r="P1134" s="13">
        <f t="shared" si="119"/>
        <v>0</v>
      </c>
      <c r="Q1134" t="str">
        <f t="shared" si="120"/>
        <v>No</v>
      </c>
      <c r="R1134" t="str" cm="1">
        <f t="array" ref="R1134">_xlfn.IFS(K1134=0,"On Time",K1134&lt;=2,"Minor",K1134&lt;=5,"Major",K1134&gt;5,"Severe")</f>
        <v>Major</v>
      </c>
      <c r="S1134">
        <f t="shared" si="121"/>
        <v>4153</v>
      </c>
      <c r="T1134">
        <f t="shared" si="122"/>
        <v>1578</v>
      </c>
      <c r="U1134">
        <f t="shared" si="123"/>
        <v>2024</v>
      </c>
      <c r="V1134">
        <f t="shared" si="124"/>
        <v>9</v>
      </c>
      <c r="W1134" s="11">
        <f t="shared" si="125"/>
        <v>1</v>
      </c>
    </row>
    <row r="1135" spans="1:23">
      <c r="A1135" t="s">
        <v>1148</v>
      </c>
      <c r="B1135" s="4">
        <v>45475</v>
      </c>
      <c r="C1135" t="s">
        <v>2018</v>
      </c>
      <c r="D1135" t="s">
        <v>2026</v>
      </c>
      <c r="E1135" t="s">
        <v>2028</v>
      </c>
      <c r="F1135" t="s">
        <v>2031</v>
      </c>
      <c r="G1135" t="s">
        <v>2033</v>
      </c>
      <c r="H1135" t="s">
        <v>2038</v>
      </c>
      <c r="I1135">
        <v>2</v>
      </c>
      <c r="J1135">
        <v>6</v>
      </c>
      <c r="K1135">
        <v>4</v>
      </c>
      <c r="L1135" t="s">
        <v>2041</v>
      </c>
      <c r="M1135">
        <v>366</v>
      </c>
      <c r="N1135">
        <v>4348</v>
      </c>
      <c r="O1135">
        <v>7124</v>
      </c>
      <c r="P1135" s="13">
        <f t="shared" si="119"/>
        <v>0</v>
      </c>
      <c r="Q1135" t="str">
        <f t="shared" si="120"/>
        <v>No</v>
      </c>
      <c r="R1135" t="str" cm="1">
        <f t="array" ref="R1135">_xlfn.IFS(K1135=0,"On Time",K1135&lt;=2,"Minor",K1135&lt;=5,"Major",K1135&gt;5,"Severe")</f>
        <v>Major</v>
      </c>
      <c r="S1135">
        <f t="shared" si="121"/>
        <v>1781</v>
      </c>
      <c r="T1135">
        <f t="shared" si="122"/>
        <v>1087</v>
      </c>
      <c r="U1135">
        <f t="shared" si="123"/>
        <v>2024</v>
      </c>
      <c r="V1135">
        <f t="shared" si="124"/>
        <v>7</v>
      </c>
      <c r="W1135" s="11">
        <f t="shared" si="125"/>
        <v>1</v>
      </c>
    </row>
    <row r="1136" spans="1:23">
      <c r="A1136" t="s">
        <v>1149</v>
      </c>
      <c r="B1136" s="4">
        <v>45427</v>
      </c>
      <c r="C1136" t="s">
        <v>2017</v>
      </c>
      <c r="D1136" t="s">
        <v>2022</v>
      </c>
      <c r="E1136" t="s">
        <v>2029</v>
      </c>
      <c r="F1136" t="s">
        <v>2030</v>
      </c>
      <c r="G1136" t="s">
        <v>2034</v>
      </c>
      <c r="H1136" t="s">
        <v>2040</v>
      </c>
      <c r="I1136">
        <v>2</v>
      </c>
      <c r="J1136">
        <v>7</v>
      </c>
      <c r="K1136">
        <v>5</v>
      </c>
      <c r="L1136" t="s">
        <v>2041</v>
      </c>
      <c r="M1136">
        <v>106</v>
      </c>
      <c r="N1136">
        <v>8535</v>
      </c>
      <c r="O1136">
        <v>16635</v>
      </c>
      <c r="P1136" s="13">
        <f t="shared" si="119"/>
        <v>0</v>
      </c>
      <c r="Q1136" t="str">
        <f t="shared" si="120"/>
        <v>No</v>
      </c>
      <c r="R1136" t="str" cm="1">
        <f t="array" ref="R1136">_xlfn.IFS(K1136=0,"On Time",K1136&lt;=2,"Minor",K1136&lt;=5,"Major",K1136&gt;5,"Severe")</f>
        <v>Major</v>
      </c>
      <c r="S1136">
        <f t="shared" si="121"/>
        <v>3327</v>
      </c>
      <c r="T1136">
        <f t="shared" si="122"/>
        <v>1707</v>
      </c>
      <c r="U1136">
        <f t="shared" si="123"/>
        <v>2024</v>
      </c>
      <c r="V1136">
        <f t="shared" si="124"/>
        <v>5</v>
      </c>
      <c r="W1136" s="11">
        <f t="shared" si="125"/>
        <v>1</v>
      </c>
    </row>
    <row r="1137" spans="1:23">
      <c r="A1137" t="s">
        <v>1150</v>
      </c>
      <c r="B1137" s="4">
        <v>45320</v>
      </c>
      <c r="C1137" t="s">
        <v>2017</v>
      </c>
      <c r="D1137" t="s">
        <v>2023</v>
      </c>
      <c r="E1137" t="s">
        <v>2029</v>
      </c>
      <c r="F1137" t="s">
        <v>2031</v>
      </c>
      <c r="G1137" t="s">
        <v>2037</v>
      </c>
      <c r="H1137" t="s">
        <v>2038</v>
      </c>
      <c r="I1137">
        <v>5</v>
      </c>
      <c r="J1137">
        <v>8</v>
      </c>
      <c r="K1137">
        <v>3</v>
      </c>
      <c r="L1137" t="s">
        <v>2041</v>
      </c>
      <c r="M1137">
        <v>351</v>
      </c>
      <c r="N1137">
        <v>6078</v>
      </c>
      <c r="O1137">
        <v>9141</v>
      </c>
      <c r="P1137" s="13">
        <f t="shared" si="119"/>
        <v>0</v>
      </c>
      <c r="Q1137" t="str">
        <f t="shared" si="120"/>
        <v>No</v>
      </c>
      <c r="R1137" t="str" cm="1">
        <f t="array" ref="R1137">_xlfn.IFS(K1137=0,"On Time",K1137&lt;=2,"Minor",K1137&lt;=5,"Major",K1137&gt;5,"Severe")</f>
        <v>Major</v>
      </c>
      <c r="S1137">
        <f t="shared" si="121"/>
        <v>3047</v>
      </c>
      <c r="T1137">
        <f t="shared" si="122"/>
        <v>2026</v>
      </c>
      <c r="U1137">
        <f t="shared" si="123"/>
        <v>2024</v>
      </c>
      <c r="V1137">
        <f t="shared" si="124"/>
        <v>1</v>
      </c>
      <c r="W1137" s="11">
        <f t="shared" si="125"/>
        <v>1</v>
      </c>
    </row>
    <row r="1138" spans="1:23">
      <c r="A1138" t="s">
        <v>1151</v>
      </c>
      <c r="B1138" s="4">
        <v>45401</v>
      </c>
      <c r="C1138" t="s">
        <v>2018</v>
      </c>
      <c r="D1138" t="s">
        <v>2026</v>
      </c>
      <c r="E1138" t="s">
        <v>2028</v>
      </c>
      <c r="F1138" t="s">
        <v>2031</v>
      </c>
      <c r="G1138" t="s">
        <v>2033</v>
      </c>
      <c r="H1138" t="s">
        <v>2038</v>
      </c>
      <c r="I1138">
        <v>2</v>
      </c>
      <c r="J1138">
        <v>7</v>
      </c>
      <c r="K1138">
        <v>5</v>
      </c>
      <c r="L1138" t="s">
        <v>2041</v>
      </c>
      <c r="M1138">
        <v>448</v>
      </c>
      <c r="N1138">
        <v>9065</v>
      </c>
      <c r="O1138">
        <v>24100</v>
      </c>
      <c r="P1138" s="13">
        <f t="shared" si="119"/>
        <v>0</v>
      </c>
      <c r="Q1138" t="str">
        <f t="shared" si="120"/>
        <v>No</v>
      </c>
      <c r="R1138" t="str" cm="1">
        <f t="array" ref="R1138">_xlfn.IFS(K1138=0,"On Time",K1138&lt;=2,"Minor",K1138&lt;=5,"Major",K1138&gt;5,"Severe")</f>
        <v>Major</v>
      </c>
      <c r="S1138">
        <f t="shared" si="121"/>
        <v>4820</v>
      </c>
      <c r="T1138">
        <f t="shared" si="122"/>
        <v>1813</v>
      </c>
      <c r="U1138">
        <f t="shared" si="123"/>
        <v>2024</v>
      </c>
      <c r="V1138">
        <f t="shared" si="124"/>
        <v>4</v>
      </c>
      <c r="W1138" s="11">
        <f t="shared" si="125"/>
        <v>1</v>
      </c>
    </row>
    <row r="1139" spans="1:23">
      <c r="A1139" t="s">
        <v>1152</v>
      </c>
      <c r="B1139" s="4">
        <v>45641</v>
      </c>
      <c r="C1139" t="s">
        <v>2017</v>
      </c>
      <c r="D1139" t="s">
        <v>2023</v>
      </c>
      <c r="E1139" t="s">
        <v>2027</v>
      </c>
      <c r="F1139" t="s">
        <v>2031</v>
      </c>
      <c r="G1139" t="s">
        <v>2036</v>
      </c>
      <c r="H1139" t="s">
        <v>2038</v>
      </c>
      <c r="I1139">
        <v>3</v>
      </c>
      <c r="J1139">
        <v>5</v>
      </c>
      <c r="K1139">
        <v>2</v>
      </c>
      <c r="L1139" t="s">
        <v>2041</v>
      </c>
      <c r="M1139">
        <v>275</v>
      </c>
      <c r="N1139">
        <v>3662</v>
      </c>
      <c r="O1139">
        <v>9424</v>
      </c>
      <c r="P1139" s="13">
        <f t="shared" si="119"/>
        <v>0</v>
      </c>
      <c r="Q1139" t="str">
        <f t="shared" si="120"/>
        <v>No</v>
      </c>
      <c r="R1139" t="str" cm="1">
        <f t="array" ref="R1139">_xlfn.IFS(K1139=0,"On Time",K1139&lt;=2,"Minor",K1139&lt;=5,"Major",K1139&gt;5,"Severe")</f>
        <v>Minor</v>
      </c>
      <c r="S1139">
        <f t="shared" si="121"/>
        <v>4712</v>
      </c>
      <c r="T1139">
        <f t="shared" si="122"/>
        <v>1831</v>
      </c>
      <c r="U1139">
        <f t="shared" si="123"/>
        <v>2024</v>
      </c>
      <c r="V1139">
        <f t="shared" si="124"/>
        <v>12</v>
      </c>
      <c r="W1139" s="11">
        <f t="shared" si="125"/>
        <v>1</v>
      </c>
    </row>
    <row r="1140" spans="1:23">
      <c r="A1140" t="s">
        <v>1153</v>
      </c>
      <c r="B1140" s="4">
        <v>45638</v>
      </c>
      <c r="C1140" t="s">
        <v>2015</v>
      </c>
      <c r="D1140" t="s">
        <v>2019</v>
      </c>
      <c r="E1140" t="s">
        <v>2029</v>
      </c>
      <c r="F1140" t="s">
        <v>2031</v>
      </c>
      <c r="G1140" t="s">
        <v>2037</v>
      </c>
      <c r="H1140" t="s">
        <v>2039</v>
      </c>
      <c r="I1140">
        <v>2</v>
      </c>
      <c r="J1140">
        <v>3</v>
      </c>
      <c r="K1140">
        <v>1</v>
      </c>
      <c r="L1140" t="s">
        <v>2041</v>
      </c>
      <c r="M1140">
        <v>480</v>
      </c>
      <c r="N1140">
        <v>1211</v>
      </c>
      <c r="O1140">
        <v>1834</v>
      </c>
      <c r="P1140" s="13">
        <f t="shared" si="119"/>
        <v>0</v>
      </c>
      <c r="Q1140" t="str">
        <f t="shared" si="120"/>
        <v>No</v>
      </c>
      <c r="R1140" t="str" cm="1">
        <f t="array" ref="R1140">_xlfn.IFS(K1140=0,"On Time",K1140&lt;=2,"Minor",K1140&lt;=5,"Major",K1140&gt;5,"Severe")</f>
        <v>Minor</v>
      </c>
      <c r="S1140">
        <f t="shared" si="121"/>
        <v>1834</v>
      </c>
      <c r="T1140">
        <f t="shared" si="122"/>
        <v>1211</v>
      </c>
      <c r="U1140">
        <f t="shared" si="123"/>
        <v>2024</v>
      </c>
      <c r="V1140">
        <f t="shared" si="124"/>
        <v>12</v>
      </c>
      <c r="W1140" s="11">
        <f t="shared" si="125"/>
        <v>1</v>
      </c>
    </row>
    <row r="1141" spans="1:23">
      <c r="A1141" t="s">
        <v>1154</v>
      </c>
      <c r="B1141" s="4">
        <v>45630</v>
      </c>
      <c r="C1141" t="s">
        <v>2018</v>
      </c>
      <c r="D1141" t="s">
        <v>2024</v>
      </c>
      <c r="E1141" t="s">
        <v>2029</v>
      </c>
      <c r="F1141" t="s">
        <v>2031</v>
      </c>
      <c r="G1141" t="s">
        <v>2037</v>
      </c>
      <c r="H1141" t="s">
        <v>2039</v>
      </c>
      <c r="I1141">
        <v>3</v>
      </c>
      <c r="J1141">
        <v>3</v>
      </c>
      <c r="K1141">
        <v>0</v>
      </c>
      <c r="L1141" t="s">
        <v>2042</v>
      </c>
      <c r="M1141">
        <v>82</v>
      </c>
      <c r="N1141">
        <v>0</v>
      </c>
      <c r="O1141">
        <v>0</v>
      </c>
      <c r="P1141" s="13">
        <f t="shared" si="119"/>
        <v>1</v>
      </c>
      <c r="Q1141" t="str">
        <f t="shared" si="120"/>
        <v>No</v>
      </c>
      <c r="R1141" t="str" cm="1">
        <f t="array" ref="R1141">_xlfn.IFS(K1141=0,"On Time",K1141&lt;=2,"Minor",K1141&lt;=5,"Major",K1141&gt;5,"Severe")</f>
        <v>On Time</v>
      </c>
      <c r="S1141">
        <f t="shared" si="121"/>
        <v>0</v>
      </c>
      <c r="T1141">
        <f t="shared" si="122"/>
        <v>0</v>
      </c>
      <c r="U1141">
        <f t="shared" si="123"/>
        <v>2024</v>
      </c>
      <c r="V1141">
        <f t="shared" si="124"/>
        <v>12</v>
      </c>
      <c r="W1141" s="11">
        <f t="shared" si="125"/>
        <v>0</v>
      </c>
    </row>
    <row r="1142" spans="1:23">
      <c r="A1142" t="s">
        <v>1155</v>
      </c>
      <c r="B1142" s="4">
        <v>45498</v>
      </c>
      <c r="C1142" t="s">
        <v>2017</v>
      </c>
      <c r="D1142" t="s">
        <v>2022</v>
      </c>
      <c r="E1142" t="s">
        <v>2027</v>
      </c>
      <c r="F1142" t="s">
        <v>2030</v>
      </c>
      <c r="G1142" t="s">
        <v>2035</v>
      </c>
      <c r="H1142" t="s">
        <v>2040</v>
      </c>
      <c r="I1142">
        <v>2</v>
      </c>
      <c r="J1142">
        <v>8</v>
      </c>
      <c r="K1142">
        <v>6</v>
      </c>
      <c r="L1142" t="s">
        <v>2041</v>
      </c>
      <c r="M1142">
        <v>211</v>
      </c>
      <c r="N1142">
        <v>10122</v>
      </c>
      <c r="O1142">
        <v>21696</v>
      </c>
      <c r="P1142" s="13">
        <f t="shared" si="119"/>
        <v>0</v>
      </c>
      <c r="Q1142" t="str">
        <f t="shared" si="120"/>
        <v>No</v>
      </c>
      <c r="R1142" t="str" cm="1">
        <f t="array" ref="R1142">_xlfn.IFS(K1142=0,"On Time",K1142&lt;=2,"Minor",K1142&lt;=5,"Major",K1142&gt;5,"Severe")</f>
        <v>Severe</v>
      </c>
      <c r="S1142">
        <f t="shared" si="121"/>
        <v>3616</v>
      </c>
      <c r="T1142">
        <f t="shared" si="122"/>
        <v>1687</v>
      </c>
      <c r="U1142">
        <f t="shared" si="123"/>
        <v>2024</v>
      </c>
      <c r="V1142">
        <f t="shared" si="124"/>
        <v>7</v>
      </c>
      <c r="W1142" s="11">
        <f t="shared" si="125"/>
        <v>1</v>
      </c>
    </row>
    <row r="1143" spans="1:23">
      <c r="A1143" t="s">
        <v>1156</v>
      </c>
      <c r="B1143" s="4">
        <v>45596</v>
      </c>
      <c r="C1143" t="s">
        <v>2018</v>
      </c>
      <c r="D1143" t="s">
        <v>2024</v>
      </c>
      <c r="E1143" t="s">
        <v>2029</v>
      </c>
      <c r="F1143" t="s">
        <v>2031</v>
      </c>
      <c r="G1143" t="s">
        <v>2035</v>
      </c>
      <c r="H1143" t="s">
        <v>2038</v>
      </c>
      <c r="I1143">
        <v>3</v>
      </c>
      <c r="J1143">
        <v>8</v>
      </c>
      <c r="K1143">
        <v>5</v>
      </c>
      <c r="L1143" t="s">
        <v>2041</v>
      </c>
      <c r="M1143">
        <v>327</v>
      </c>
      <c r="N1143">
        <v>6400</v>
      </c>
      <c r="O1143">
        <v>21380</v>
      </c>
      <c r="P1143" s="13">
        <f t="shared" si="119"/>
        <v>0</v>
      </c>
      <c r="Q1143" t="str">
        <f t="shared" si="120"/>
        <v>No</v>
      </c>
      <c r="R1143" t="str" cm="1">
        <f t="array" ref="R1143">_xlfn.IFS(K1143=0,"On Time",K1143&lt;=2,"Minor",K1143&lt;=5,"Major",K1143&gt;5,"Severe")</f>
        <v>Major</v>
      </c>
      <c r="S1143">
        <f t="shared" si="121"/>
        <v>4276</v>
      </c>
      <c r="T1143">
        <f t="shared" si="122"/>
        <v>1280</v>
      </c>
      <c r="U1143">
        <f t="shared" si="123"/>
        <v>2024</v>
      </c>
      <c r="V1143">
        <f t="shared" si="124"/>
        <v>10</v>
      </c>
      <c r="W1143" s="11">
        <f t="shared" si="125"/>
        <v>1</v>
      </c>
    </row>
    <row r="1144" spans="1:23">
      <c r="A1144" t="s">
        <v>1157</v>
      </c>
      <c r="B1144" s="4">
        <v>45488</v>
      </c>
      <c r="C1144" t="s">
        <v>2018</v>
      </c>
      <c r="D1144" t="s">
        <v>2026</v>
      </c>
      <c r="E1144" t="s">
        <v>2029</v>
      </c>
      <c r="F1144" t="s">
        <v>2031</v>
      </c>
      <c r="G1144" t="s">
        <v>2036</v>
      </c>
      <c r="H1144" t="s">
        <v>2038</v>
      </c>
      <c r="I1144">
        <v>3</v>
      </c>
      <c r="J1144">
        <v>5</v>
      </c>
      <c r="K1144">
        <v>2</v>
      </c>
      <c r="L1144" t="s">
        <v>2041</v>
      </c>
      <c r="M1144">
        <v>146</v>
      </c>
      <c r="N1144">
        <v>3222</v>
      </c>
      <c r="O1144">
        <v>6428</v>
      </c>
      <c r="P1144" s="13">
        <f t="shared" si="119"/>
        <v>0</v>
      </c>
      <c r="Q1144" t="str">
        <f t="shared" si="120"/>
        <v>No</v>
      </c>
      <c r="R1144" t="str" cm="1">
        <f t="array" ref="R1144">_xlfn.IFS(K1144=0,"On Time",K1144&lt;=2,"Minor",K1144&lt;=5,"Major",K1144&gt;5,"Severe")</f>
        <v>Minor</v>
      </c>
      <c r="S1144">
        <f t="shared" si="121"/>
        <v>3214</v>
      </c>
      <c r="T1144">
        <f t="shared" si="122"/>
        <v>1611</v>
      </c>
      <c r="U1144">
        <f t="shared" si="123"/>
        <v>2024</v>
      </c>
      <c r="V1144">
        <f t="shared" si="124"/>
        <v>7</v>
      </c>
      <c r="W1144" s="11">
        <f t="shared" si="125"/>
        <v>1</v>
      </c>
    </row>
    <row r="1145" spans="1:23">
      <c r="A1145" t="s">
        <v>1158</v>
      </c>
      <c r="B1145" s="4">
        <v>45593</v>
      </c>
      <c r="C1145" t="s">
        <v>2017</v>
      </c>
      <c r="D1145" t="s">
        <v>2022</v>
      </c>
      <c r="E1145" t="s">
        <v>2028</v>
      </c>
      <c r="F1145" t="s">
        <v>2030</v>
      </c>
      <c r="G1145" t="s">
        <v>2034</v>
      </c>
      <c r="H1145" t="s">
        <v>2039</v>
      </c>
      <c r="I1145">
        <v>2</v>
      </c>
      <c r="J1145">
        <v>6</v>
      </c>
      <c r="K1145">
        <v>4</v>
      </c>
      <c r="L1145" t="s">
        <v>2041</v>
      </c>
      <c r="M1145">
        <v>134</v>
      </c>
      <c r="N1145">
        <v>8196</v>
      </c>
      <c r="O1145">
        <v>18064</v>
      </c>
      <c r="P1145" s="13">
        <f t="shared" si="119"/>
        <v>0</v>
      </c>
      <c r="Q1145" t="str">
        <f t="shared" si="120"/>
        <v>No</v>
      </c>
      <c r="R1145" t="str" cm="1">
        <f t="array" ref="R1145">_xlfn.IFS(K1145=0,"On Time",K1145&lt;=2,"Minor",K1145&lt;=5,"Major",K1145&gt;5,"Severe")</f>
        <v>Major</v>
      </c>
      <c r="S1145">
        <f t="shared" si="121"/>
        <v>4516</v>
      </c>
      <c r="T1145">
        <f t="shared" si="122"/>
        <v>2049</v>
      </c>
      <c r="U1145">
        <f t="shared" si="123"/>
        <v>2024</v>
      </c>
      <c r="V1145">
        <f t="shared" si="124"/>
        <v>10</v>
      </c>
      <c r="W1145" s="11">
        <f t="shared" si="125"/>
        <v>1</v>
      </c>
    </row>
    <row r="1146" spans="1:23">
      <c r="A1146" t="s">
        <v>1159</v>
      </c>
      <c r="B1146" s="4">
        <v>45378</v>
      </c>
      <c r="C1146" t="s">
        <v>2017</v>
      </c>
      <c r="D1146" t="s">
        <v>2023</v>
      </c>
      <c r="E1146" t="s">
        <v>2029</v>
      </c>
      <c r="F1146" t="s">
        <v>2031</v>
      </c>
      <c r="G1146" t="s">
        <v>2035</v>
      </c>
      <c r="H1146" t="s">
        <v>2039</v>
      </c>
      <c r="I1146">
        <v>2</v>
      </c>
      <c r="J1146">
        <v>6</v>
      </c>
      <c r="K1146">
        <v>4</v>
      </c>
      <c r="L1146" t="s">
        <v>2041</v>
      </c>
      <c r="M1146">
        <v>343</v>
      </c>
      <c r="N1146">
        <v>6988</v>
      </c>
      <c r="O1146">
        <v>11988</v>
      </c>
      <c r="P1146" s="13">
        <f t="shared" si="119"/>
        <v>0</v>
      </c>
      <c r="Q1146" t="str">
        <f t="shared" si="120"/>
        <v>No</v>
      </c>
      <c r="R1146" t="str" cm="1">
        <f t="array" ref="R1146">_xlfn.IFS(K1146=0,"On Time",K1146&lt;=2,"Minor",K1146&lt;=5,"Major",K1146&gt;5,"Severe")</f>
        <v>Major</v>
      </c>
      <c r="S1146">
        <f t="shared" si="121"/>
        <v>2997</v>
      </c>
      <c r="T1146">
        <f t="shared" si="122"/>
        <v>1747</v>
      </c>
      <c r="U1146">
        <f t="shared" si="123"/>
        <v>2024</v>
      </c>
      <c r="V1146">
        <f t="shared" si="124"/>
        <v>3</v>
      </c>
      <c r="W1146" s="11">
        <f t="shared" si="125"/>
        <v>1</v>
      </c>
    </row>
    <row r="1147" spans="1:23">
      <c r="A1147" t="s">
        <v>1160</v>
      </c>
      <c r="B1147" s="4">
        <v>45329</v>
      </c>
      <c r="C1147" t="s">
        <v>2016</v>
      </c>
      <c r="D1147" t="s">
        <v>2021</v>
      </c>
      <c r="E1147" t="s">
        <v>2029</v>
      </c>
      <c r="F1147" t="s">
        <v>2032</v>
      </c>
      <c r="G1147" t="s">
        <v>2034</v>
      </c>
      <c r="H1147" t="s">
        <v>2038</v>
      </c>
      <c r="I1147">
        <v>3</v>
      </c>
      <c r="J1147">
        <v>5</v>
      </c>
      <c r="K1147">
        <v>2</v>
      </c>
      <c r="L1147" t="s">
        <v>2041</v>
      </c>
      <c r="M1147">
        <v>298</v>
      </c>
      <c r="N1147">
        <v>2106</v>
      </c>
      <c r="O1147">
        <v>8244</v>
      </c>
      <c r="P1147" s="13">
        <f t="shared" si="119"/>
        <v>0</v>
      </c>
      <c r="Q1147" t="str">
        <f t="shared" si="120"/>
        <v>No</v>
      </c>
      <c r="R1147" t="str" cm="1">
        <f t="array" ref="R1147">_xlfn.IFS(K1147=0,"On Time",K1147&lt;=2,"Minor",K1147&lt;=5,"Major",K1147&gt;5,"Severe")</f>
        <v>Minor</v>
      </c>
      <c r="S1147">
        <f t="shared" si="121"/>
        <v>4122</v>
      </c>
      <c r="T1147">
        <f t="shared" si="122"/>
        <v>1053</v>
      </c>
      <c r="U1147">
        <f t="shared" si="123"/>
        <v>2024</v>
      </c>
      <c r="V1147">
        <f t="shared" si="124"/>
        <v>2</v>
      </c>
      <c r="W1147" s="11">
        <f t="shared" si="125"/>
        <v>1</v>
      </c>
    </row>
    <row r="1148" spans="1:23">
      <c r="A1148" t="s">
        <v>1161</v>
      </c>
      <c r="B1148" s="4">
        <v>45421</v>
      </c>
      <c r="C1148" t="s">
        <v>2017</v>
      </c>
      <c r="D1148" t="s">
        <v>2023</v>
      </c>
      <c r="E1148" t="s">
        <v>2028</v>
      </c>
      <c r="F1148" t="s">
        <v>2031</v>
      </c>
      <c r="G1148" t="s">
        <v>2037</v>
      </c>
      <c r="H1148" t="s">
        <v>2038</v>
      </c>
      <c r="I1148">
        <v>2</v>
      </c>
      <c r="J1148">
        <v>7</v>
      </c>
      <c r="K1148">
        <v>5</v>
      </c>
      <c r="L1148" t="s">
        <v>2041</v>
      </c>
      <c r="M1148">
        <v>126</v>
      </c>
      <c r="N1148">
        <v>4360</v>
      </c>
      <c r="O1148">
        <v>18280</v>
      </c>
      <c r="P1148" s="13">
        <f t="shared" si="119"/>
        <v>0</v>
      </c>
      <c r="Q1148" t="str">
        <f t="shared" si="120"/>
        <v>No</v>
      </c>
      <c r="R1148" t="str" cm="1">
        <f t="array" ref="R1148">_xlfn.IFS(K1148=0,"On Time",K1148&lt;=2,"Minor",K1148&lt;=5,"Major",K1148&gt;5,"Severe")</f>
        <v>Major</v>
      </c>
      <c r="S1148">
        <f t="shared" si="121"/>
        <v>3656</v>
      </c>
      <c r="T1148">
        <f t="shared" si="122"/>
        <v>872</v>
      </c>
      <c r="U1148">
        <f t="shared" si="123"/>
        <v>2024</v>
      </c>
      <c r="V1148">
        <f t="shared" si="124"/>
        <v>5</v>
      </c>
      <c r="W1148" s="11">
        <f t="shared" si="125"/>
        <v>1</v>
      </c>
    </row>
    <row r="1149" spans="1:23">
      <c r="A1149" t="s">
        <v>1162</v>
      </c>
      <c r="B1149" s="4">
        <v>45350</v>
      </c>
      <c r="C1149" t="s">
        <v>2015</v>
      </c>
      <c r="D1149" t="s">
        <v>2019</v>
      </c>
      <c r="E1149" t="s">
        <v>2027</v>
      </c>
      <c r="F1149" t="s">
        <v>2031</v>
      </c>
      <c r="G1149" t="s">
        <v>2037</v>
      </c>
      <c r="H1149" t="s">
        <v>2040</v>
      </c>
      <c r="I1149">
        <v>3</v>
      </c>
      <c r="J1149">
        <v>7</v>
      </c>
      <c r="K1149">
        <v>4</v>
      </c>
      <c r="L1149" t="s">
        <v>2041</v>
      </c>
      <c r="M1149">
        <v>245</v>
      </c>
      <c r="N1149">
        <v>5692</v>
      </c>
      <c r="O1149">
        <v>16896</v>
      </c>
      <c r="P1149" s="13">
        <f t="shared" si="119"/>
        <v>0</v>
      </c>
      <c r="Q1149" t="str">
        <f t="shared" si="120"/>
        <v>No</v>
      </c>
      <c r="R1149" t="str" cm="1">
        <f t="array" ref="R1149">_xlfn.IFS(K1149=0,"On Time",K1149&lt;=2,"Minor",K1149&lt;=5,"Major",K1149&gt;5,"Severe")</f>
        <v>Major</v>
      </c>
      <c r="S1149">
        <f t="shared" si="121"/>
        <v>4224</v>
      </c>
      <c r="T1149">
        <f t="shared" si="122"/>
        <v>1423</v>
      </c>
      <c r="U1149">
        <f t="shared" si="123"/>
        <v>2024</v>
      </c>
      <c r="V1149">
        <f t="shared" si="124"/>
        <v>2</v>
      </c>
      <c r="W1149" s="11">
        <f t="shared" si="125"/>
        <v>1</v>
      </c>
    </row>
    <row r="1150" spans="1:23">
      <c r="A1150" t="s">
        <v>1163</v>
      </c>
      <c r="B1150" s="4">
        <v>45476</v>
      </c>
      <c r="C1150" t="s">
        <v>2017</v>
      </c>
      <c r="D1150" t="s">
        <v>2023</v>
      </c>
      <c r="E1150" t="s">
        <v>2028</v>
      </c>
      <c r="F1150" t="s">
        <v>2030</v>
      </c>
      <c r="G1150" t="s">
        <v>2033</v>
      </c>
      <c r="H1150" t="s">
        <v>2040</v>
      </c>
      <c r="I1150">
        <v>1</v>
      </c>
      <c r="J1150">
        <v>5</v>
      </c>
      <c r="K1150">
        <v>4</v>
      </c>
      <c r="L1150" t="s">
        <v>2041</v>
      </c>
      <c r="M1150">
        <v>90</v>
      </c>
      <c r="N1150">
        <v>8420</v>
      </c>
      <c r="O1150">
        <v>14992</v>
      </c>
      <c r="P1150" s="13">
        <f t="shared" si="119"/>
        <v>0</v>
      </c>
      <c r="Q1150" t="str">
        <f t="shared" si="120"/>
        <v>No</v>
      </c>
      <c r="R1150" t="str" cm="1">
        <f t="array" ref="R1150">_xlfn.IFS(K1150=0,"On Time",K1150&lt;=2,"Minor",K1150&lt;=5,"Major",K1150&gt;5,"Severe")</f>
        <v>Major</v>
      </c>
      <c r="S1150">
        <f t="shared" si="121"/>
        <v>3748</v>
      </c>
      <c r="T1150">
        <f t="shared" si="122"/>
        <v>2105</v>
      </c>
      <c r="U1150">
        <f t="shared" si="123"/>
        <v>2024</v>
      </c>
      <c r="V1150">
        <f t="shared" si="124"/>
        <v>7</v>
      </c>
      <c r="W1150" s="11">
        <f t="shared" si="125"/>
        <v>1</v>
      </c>
    </row>
    <row r="1151" spans="1:23">
      <c r="A1151" t="s">
        <v>1164</v>
      </c>
      <c r="B1151" s="4">
        <v>45494</v>
      </c>
      <c r="C1151" t="s">
        <v>2017</v>
      </c>
      <c r="D1151" t="s">
        <v>2023</v>
      </c>
      <c r="E1151" t="s">
        <v>2028</v>
      </c>
      <c r="F1151" t="s">
        <v>2030</v>
      </c>
      <c r="G1151" t="s">
        <v>2034</v>
      </c>
      <c r="H1151" t="s">
        <v>2038</v>
      </c>
      <c r="I1151">
        <v>5</v>
      </c>
      <c r="J1151">
        <v>8</v>
      </c>
      <c r="K1151">
        <v>3</v>
      </c>
      <c r="L1151" t="s">
        <v>2041</v>
      </c>
      <c r="M1151">
        <v>441</v>
      </c>
      <c r="N1151">
        <v>7089</v>
      </c>
      <c r="O1151">
        <v>7287</v>
      </c>
      <c r="P1151" s="13">
        <f t="shared" si="119"/>
        <v>0</v>
      </c>
      <c r="Q1151" t="str">
        <f t="shared" si="120"/>
        <v>No</v>
      </c>
      <c r="R1151" t="str" cm="1">
        <f t="array" ref="R1151">_xlfn.IFS(K1151=0,"On Time",K1151&lt;=2,"Minor",K1151&lt;=5,"Major",K1151&gt;5,"Severe")</f>
        <v>Major</v>
      </c>
      <c r="S1151">
        <f t="shared" si="121"/>
        <v>2429</v>
      </c>
      <c r="T1151">
        <f t="shared" si="122"/>
        <v>2363</v>
      </c>
      <c r="U1151">
        <f t="shared" si="123"/>
        <v>2024</v>
      </c>
      <c r="V1151">
        <f t="shared" si="124"/>
        <v>7</v>
      </c>
      <c r="W1151" s="11">
        <f t="shared" si="125"/>
        <v>1</v>
      </c>
    </row>
    <row r="1152" spans="1:23">
      <c r="A1152" t="s">
        <v>1165</v>
      </c>
      <c r="B1152" s="4">
        <v>45636</v>
      </c>
      <c r="C1152" t="s">
        <v>2018</v>
      </c>
      <c r="D1152" t="s">
        <v>2026</v>
      </c>
      <c r="E1152" t="s">
        <v>2028</v>
      </c>
      <c r="F1152" t="s">
        <v>2030</v>
      </c>
      <c r="G1152" t="s">
        <v>2033</v>
      </c>
      <c r="H1152" t="s">
        <v>2039</v>
      </c>
      <c r="I1152">
        <v>3</v>
      </c>
      <c r="J1152">
        <v>3</v>
      </c>
      <c r="K1152">
        <v>0</v>
      </c>
      <c r="L1152" t="s">
        <v>2042</v>
      </c>
      <c r="M1152">
        <v>268</v>
      </c>
      <c r="N1152">
        <v>0</v>
      </c>
      <c r="O1152">
        <v>0</v>
      </c>
      <c r="P1152" s="13">
        <f t="shared" si="119"/>
        <v>1</v>
      </c>
      <c r="Q1152" t="str">
        <f t="shared" si="120"/>
        <v>No</v>
      </c>
      <c r="R1152" t="str" cm="1">
        <f t="array" ref="R1152">_xlfn.IFS(K1152=0,"On Time",K1152&lt;=2,"Minor",K1152&lt;=5,"Major",K1152&gt;5,"Severe")</f>
        <v>On Time</v>
      </c>
      <c r="S1152">
        <f t="shared" si="121"/>
        <v>0</v>
      </c>
      <c r="T1152">
        <f t="shared" si="122"/>
        <v>0</v>
      </c>
      <c r="U1152">
        <f t="shared" si="123"/>
        <v>2024</v>
      </c>
      <c r="V1152">
        <f t="shared" si="124"/>
        <v>12</v>
      </c>
      <c r="W1152" s="11">
        <f t="shared" si="125"/>
        <v>0</v>
      </c>
    </row>
    <row r="1153" spans="1:23">
      <c r="A1153" t="s">
        <v>1166</v>
      </c>
      <c r="B1153" s="4">
        <v>45599</v>
      </c>
      <c r="C1153" t="s">
        <v>2017</v>
      </c>
      <c r="D1153" t="s">
        <v>2023</v>
      </c>
      <c r="E1153" t="s">
        <v>2029</v>
      </c>
      <c r="F1153" t="s">
        <v>2031</v>
      </c>
      <c r="G1153" t="s">
        <v>2037</v>
      </c>
      <c r="H1153" t="s">
        <v>2039</v>
      </c>
      <c r="I1153">
        <v>1</v>
      </c>
      <c r="J1153">
        <v>6</v>
      </c>
      <c r="K1153">
        <v>5</v>
      </c>
      <c r="L1153" t="s">
        <v>2041</v>
      </c>
      <c r="M1153">
        <v>353</v>
      </c>
      <c r="N1153">
        <v>8175</v>
      </c>
      <c r="O1153">
        <v>12125</v>
      </c>
      <c r="P1153" s="13">
        <f t="shared" si="119"/>
        <v>0</v>
      </c>
      <c r="Q1153" t="str">
        <f t="shared" si="120"/>
        <v>No</v>
      </c>
      <c r="R1153" t="str" cm="1">
        <f t="array" ref="R1153">_xlfn.IFS(K1153=0,"On Time",K1153&lt;=2,"Minor",K1153&lt;=5,"Major",K1153&gt;5,"Severe")</f>
        <v>Major</v>
      </c>
      <c r="S1153">
        <f t="shared" si="121"/>
        <v>2425</v>
      </c>
      <c r="T1153">
        <f t="shared" si="122"/>
        <v>1635</v>
      </c>
      <c r="U1153">
        <f t="shared" si="123"/>
        <v>2024</v>
      </c>
      <c r="V1153">
        <f t="shared" si="124"/>
        <v>11</v>
      </c>
      <c r="W1153" s="11">
        <f t="shared" si="125"/>
        <v>1</v>
      </c>
    </row>
    <row r="1154" spans="1:23">
      <c r="A1154" t="s">
        <v>1167</v>
      </c>
      <c r="B1154" s="4">
        <v>45569</v>
      </c>
      <c r="C1154" t="s">
        <v>2018</v>
      </c>
      <c r="D1154" t="s">
        <v>2026</v>
      </c>
      <c r="E1154" t="s">
        <v>2028</v>
      </c>
      <c r="F1154" t="s">
        <v>2030</v>
      </c>
      <c r="G1154" t="s">
        <v>2034</v>
      </c>
      <c r="H1154" t="s">
        <v>2038</v>
      </c>
      <c r="I1154">
        <v>1</v>
      </c>
      <c r="J1154">
        <v>5</v>
      </c>
      <c r="K1154">
        <v>4</v>
      </c>
      <c r="L1154" t="s">
        <v>2041</v>
      </c>
      <c r="M1154">
        <v>340</v>
      </c>
      <c r="N1154">
        <v>9992</v>
      </c>
      <c r="O1154">
        <v>7308</v>
      </c>
      <c r="P1154" s="13">
        <f t="shared" si="119"/>
        <v>0</v>
      </c>
      <c r="Q1154" t="str">
        <f t="shared" si="120"/>
        <v>No</v>
      </c>
      <c r="R1154" t="str" cm="1">
        <f t="array" ref="R1154">_xlfn.IFS(K1154=0,"On Time",K1154&lt;=2,"Minor",K1154&lt;=5,"Major",K1154&gt;5,"Severe")</f>
        <v>Major</v>
      </c>
      <c r="S1154">
        <f t="shared" si="121"/>
        <v>1827</v>
      </c>
      <c r="T1154">
        <f t="shared" si="122"/>
        <v>2498</v>
      </c>
      <c r="U1154">
        <f t="shared" si="123"/>
        <v>2024</v>
      </c>
      <c r="V1154">
        <f t="shared" si="124"/>
        <v>10</v>
      </c>
      <c r="W1154" s="11">
        <f t="shared" si="125"/>
        <v>1</v>
      </c>
    </row>
    <row r="1155" spans="1:23">
      <c r="A1155" t="s">
        <v>1168</v>
      </c>
      <c r="B1155" s="4">
        <v>45325</v>
      </c>
      <c r="C1155" t="s">
        <v>2016</v>
      </c>
      <c r="D1155" t="s">
        <v>2021</v>
      </c>
      <c r="E1155" t="s">
        <v>2027</v>
      </c>
      <c r="F1155" t="s">
        <v>2030</v>
      </c>
      <c r="G1155" t="s">
        <v>2033</v>
      </c>
      <c r="H1155" t="s">
        <v>2038</v>
      </c>
      <c r="I1155">
        <v>3</v>
      </c>
      <c r="J1155">
        <v>5</v>
      </c>
      <c r="K1155">
        <v>2</v>
      </c>
      <c r="L1155" t="s">
        <v>2041</v>
      </c>
      <c r="M1155">
        <v>336</v>
      </c>
      <c r="N1155">
        <v>4844</v>
      </c>
      <c r="O1155">
        <v>5532</v>
      </c>
      <c r="P1155" s="13">
        <f t="shared" ref="P1155:P1218" si="126">IF(L1155="Yes",0,1)</f>
        <v>0</v>
      </c>
      <c r="Q1155" t="str">
        <f t="shared" ref="Q1155:Q1218" si="127">IF(K1155&gt;J1155,"Yes","No")</f>
        <v>No</v>
      </c>
      <c r="R1155" t="str" cm="1">
        <f t="array" ref="R1155">_xlfn.IFS(K1155=0,"On Time",K1155&lt;=2,"Minor",K1155&lt;=5,"Major",K1155&gt;5,"Severe")</f>
        <v>Minor</v>
      </c>
      <c r="S1155">
        <f t="shared" ref="S1155:S1218" si="128">IFERROR(O1155/K1155,0)</f>
        <v>2766</v>
      </c>
      <c r="T1155">
        <f t="shared" ref="T1155:T1218" si="129">IFERROR(N1155/K1155,0)</f>
        <v>2422</v>
      </c>
      <c r="U1155">
        <f t="shared" ref="U1155:U1218" si="130">YEAR(B1155)</f>
        <v>2024</v>
      </c>
      <c r="V1155">
        <f t="shared" ref="V1155:V1218" si="131">MONTH(B1155)</f>
        <v>2</v>
      </c>
      <c r="W1155" s="11">
        <f t="shared" ref="W1155:W1218" si="132">IF(L1155="Yes",1,0)</f>
        <v>1</v>
      </c>
    </row>
    <row r="1156" spans="1:23">
      <c r="A1156" t="s">
        <v>1169</v>
      </c>
      <c r="B1156" s="4">
        <v>45537</v>
      </c>
      <c r="C1156" t="s">
        <v>2017</v>
      </c>
      <c r="D1156" t="s">
        <v>2022</v>
      </c>
      <c r="E1156" t="s">
        <v>2027</v>
      </c>
      <c r="F1156" t="s">
        <v>2030</v>
      </c>
      <c r="G1156" t="s">
        <v>2034</v>
      </c>
      <c r="H1156" t="s">
        <v>2040</v>
      </c>
      <c r="I1156">
        <v>2</v>
      </c>
      <c r="J1156">
        <v>5</v>
      </c>
      <c r="K1156">
        <v>3</v>
      </c>
      <c r="L1156" t="s">
        <v>2041</v>
      </c>
      <c r="M1156">
        <v>454</v>
      </c>
      <c r="N1156">
        <v>4461</v>
      </c>
      <c r="O1156">
        <v>6657</v>
      </c>
      <c r="P1156" s="13">
        <f t="shared" si="126"/>
        <v>0</v>
      </c>
      <c r="Q1156" t="str">
        <f t="shared" si="127"/>
        <v>No</v>
      </c>
      <c r="R1156" t="str" cm="1">
        <f t="array" ref="R1156">_xlfn.IFS(K1156=0,"On Time",K1156&lt;=2,"Minor",K1156&lt;=5,"Major",K1156&gt;5,"Severe")</f>
        <v>Major</v>
      </c>
      <c r="S1156">
        <f t="shared" si="128"/>
        <v>2219</v>
      </c>
      <c r="T1156">
        <f t="shared" si="129"/>
        <v>1487</v>
      </c>
      <c r="U1156">
        <f t="shared" si="130"/>
        <v>2024</v>
      </c>
      <c r="V1156">
        <f t="shared" si="131"/>
        <v>9</v>
      </c>
      <c r="W1156" s="11">
        <f t="shared" si="132"/>
        <v>1</v>
      </c>
    </row>
    <row r="1157" spans="1:23">
      <c r="A1157" t="s">
        <v>1170</v>
      </c>
      <c r="B1157" s="4">
        <v>45502</v>
      </c>
      <c r="C1157" t="s">
        <v>2018</v>
      </c>
      <c r="D1157" t="s">
        <v>2024</v>
      </c>
      <c r="E1157" t="s">
        <v>2027</v>
      </c>
      <c r="F1157" t="s">
        <v>2032</v>
      </c>
      <c r="G1157" t="s">
        <v>2034</v>
      </c>
      <c r="H1157" t="s">
        <v>2038</v>
      </c>
      <c r="I1157">
        <v>2</v>
      </c>
      <c r="J1157">
        <v>6</v>
      </c>
      <c r="K1157">
        <v>4</v>
      </c>
      <c r="L1157" t="s">
        <v>2041</v>
      </c>
      <c r="M1157">
        <v>119</v>
      </c>
      <c r="N1157">
        <v>9924</v>
      </c>
      <c r="O1157">
        <v>19296</v>
      </c>
      <c r="P1157" s="13">
        <f t="shared" si="126"/>
        <v>0</v>
      </c>
      <c r="Q1157" t="str">
        <f t="shared" si="127"/>
        <v>No</v>
      </c>
      <c r="R1157" t="str" cm="1">
        <f t="array" ref="R1157">_xlfn.IFS(K1157=0,"On Time",K1157&lt;=2,"Minor",K1157&lt;=5,"Major",K1157&gt;5,"Severe")</f>
        <v>Major</v>
      </c>
      <c r="S1157">
        <f t="shared" si="128"/>
        <v>4824</v>
      </c>
      <c r="T1157">
        <f t="shared" si="129"/>
        <v>2481</v>
      </c>
      <c r="U1157">
        <f t="shared" si="130"/>
        <v>2024</v>
      </c>
      <c r="V1157">
        <f t="shared" si="131"/>
        <v>7</v>
      </c>
      <c r="W1157" s="11">
        <f t="shared" si="132"/>
        <v>1</v>
      </c>
    </row>
    <row r="1158" spans="1:23">
      <c r="A1158" t="s">
        <v>1171</v>
      </c>
      <c r="B1158" s="4">
        <v>45402</v>
      </c>
      <c r="C1158" t="s">
        <v>2018</v>
      </c>
      <c r="D1158" t="s">
        <v>2026</v>
      </c>
      <c r="E1158" t="s">
        <v>2028</v>
      </c>
      <c r="F1158" t="s">
        <v>2031</v>
      </c>
      <c r="G1158" t="s">
        <v>2035</v>
      </c>
      <c r="H1158" t="s">
        <v>2040</v>
      </c>
      <c r="I1158">
        <v>1</v>
      </c>
      <c r="J1158">
        <v>5</v>
      </c>
      <c r="K1158">
        <v>4</v>
      </c>
      <c r="L1158" t="s">
        <v>2041</v>
      </c>
      <c r="M1158">
        <v>364</v>
      </c>
      <c r="N1158">
        <v>6544</v>
      </c>
      <c r="O1158">
        <v>11968</v>
      </c>
      <c r="P1158" s="13">
        <f t="shared" si="126"/>
        <v>0</v>
      </c>
      <c r="Q1158" t="str">
        <f t="shared" si="127"/>
        <v>No</v>
      </c>
      <c r="R1158" t="str" cm="1">
        <f t="array" ref="R1158">_xlfn.IFS(K1158=0,"On Time",K1158&lt;=2,"Minor",K1158&lt;=5,"Major",K1158&gt;5,"Severe")</f>
        <v>Major</v>
      </c>
      <c r="S1158">
        <f t="shared" si="128"/>
        <v>2992</v>
      </c>
      <c r="T1158">
        <f t="shared" si="129"/>
        <v>1636</v>
      </c>
      <c r="U1158">
        <f t="shared" si="130"/>
        <v>2024</v>
      </c>
      <c r="V1158">
        <f t="shared" si="131"/>
        <v>4</v>
      </c>
      <c r="W1158" s="11">
        <f t="shared" si="132"/>
        <v>1</v>
      </c>
    </row>
    <row r="1159" spans="1:23">
      <c r="A1159" t="s">
        <v>1172</v>
      </c>
      <c r="B1159" s="4">
        <v>45579</v>
      </c>
      <c r="C1159" t="s">
        <v>2018</v>
      </c>
      <c r="D1159" t="s">
        <v>2026</v>
      </c>
      <c r="E1159" t="s">
        <v>2029</v>
      </c>
      <c r="F1159" t="s">
        <v>2032</v>
      </c>
      <c r="G1159" t="s">
        <v>2035</v>
      </c>
      <c r="H1159" t="s">
        <v>2039</v>
      </c>
      <c r="I1159">
        <v>2</v>
      </c>
      <c r="J1159">
        <v>7</v>
      </c>
      <c r="K1159">
        <v>5</v>
      </c>
      <c r="L1159" t="s">
        <v>2041</v>
      </c>
      <c r="M1159">
        <v>424</v>
      </c>
      <c r="N1159">
        <v>10585</v>
      </c>
      <c r="O1159">
        <v>9225</v>
      </c>
      <c r="P1159" s="13">
        <f t="shared" si="126"/>
        <v>0</v>
      </c>
      <c r="Q1159" t="str">
        <f t="shared" si="127"/>
        <v>No</v>
      </c>
      <c r="R1159" t="str" cm="1">
        <f t="array" ref="R1159">_xlfn.IFS(K1159=0,"On Time",K1159&lt;=2,"Minor",K1159&lt;=5,"Major",K1159&gt;5,"Severe")</f>
        <v>Major</v>
      </c>
      <c r="S1159">
        <f t="shared" si="128"/>
        <v>1845</v>
      </c>
      <c r="T1159">
        <f t="shared" si="129"/>
        <v>2117</v>
      </c>
      <c r="U1159">
        <f t="shared" si="130"/>
        <v>2024</v>
      </c>
      <c r="V1159">
        <f t="shared" si="131"/>
        <v>10</v>
      </c>
      <c r="W1159" s="11">
        <f t="shared" si="132"/>
        <v>1</v>
      </c>
    </row>
    <row r="1160" spans="1:23">
      <c r="A1160" t="s">
        <v>1173</v>
      </c>
      <c r="B1160" s="4">
        <v>45375</v>
      </c>
      <c r="C1160" t="s">
        <v>2015</v>
      </c>
      <c r="D1160" t="s">
        <v>2019</v>
      </c>
      <c r="E1160" t="s">
        <v>2029</v>
      </c>
      <c r="F1160" t="s">
        <v>2030</v>
      </c>
      <c r="G1160" t="s">
        <v>2034</v>
      </c>
      <c r="H1160" t="s">
        <v>2039</v>
      </c>
      <c r="I1160">
        <v>2</v>
      </c>
      <c r="J1160">
        <v>2</v>
      </c>
      <c r="K1160">
        <v>0</v>
      </c>
      <c r="L1160" t="s">
        <v>2042</v>
      </c>
      <c r="M1160">
        <v>175</v>
      </c>
      <c r="N1160">
        <v>0</v>
      </c>
      <c r="O1160">
        <v>0</v>
      </c>
      <c r="P1160" s="13">
        <f t="shared" si="126"/>
        <v>1</v>
      </c>
      <c r="Q1160" t="str">
        <f t="shared" si="127"/>
        <v>No</v>
      </c>
      <c r="R1160" t="str" cm="1">
        <f t="array" ref="R1160">_xlfn.IFS(K1160=0,"On Time",K1160&lt;=2,"Minor",K1160&lt;=5,"Major",K1160&gt;5,"Severe")</f>
        <v>On Time</v>
      </c>
      <c r="S1160">
        <f t="shared" si="128"/>
        <v>0</v>
      </c>
      <c r="T1160">
        <f t="shared" si="129"/>
        <v>0</v>
      </c>
      <c r="U1160">
        <f t="shared" si="130"/>
        <v>2024</v>
      </c>
      <c r="V1160">
        <f t="shared" si="131"/>
        <v>3</v>
      </c>
      <c r="W1160" s="11">
        <f t="shared" si="132"/>
        <v>0</v>
      </c>
    </row>
    <row r="1161" spans="1:23">
      <c r="A1161" t="s">
        <v>1174</v>
      </c>
      <c r="B1161" s="4">
        <v>45607</v>
      </c>
      <c r="C1161" t="s">
        <v>2016</v>
      </c>
      <c r="D1161" t="s">
        <v>2021</v>
      </c>
      <c r="E1161" t="s">
        <v>2029</v>
      </c>
      <c r="F1161" t="s">
        <v>2030</v>
      </c>
      <c r="G1161" t="s">
        <v>2037</v>
      </c>
      <c r="H1161" t="s">
        <v>2038</v>
      </c>
      <c r="I1161">
        <v>3</v>
      </c>
      <c r="J1161">
        <v>3</v>
      </c>
      <c r="K1161">
        <v>0</v>
      </c>
      <c r="L1161" t="s">
        <v>2042</v>
      </c>
      <c r="M1161">
        <v>231</v>
      </c>
      <c r="N1161">
        <v>0</v>
      </c>
      <c r="O1161">
        <v>0</v>
      </c>
      <c r="P1161" s="13">
        <f t="shared" si="126"/>
        <v>1</v>
      </c>
      <c r="Q1161" t="str">
        <f t="shared" si="127"/>
        <v>No</v>
      </c>
      <c r="R1161" t="str" cm="1">
        <f t="array" ref="R1161">_xlfn.IFS(K1161=0,"On Time",K1161&lt;=2,"Minor",K1161&lt;=5,"Major",K1161&gt;5,"Severe")</f>
        <v>On Time</v>
      </c>
      <c r="S1161">
        <f t="shared" si="128"/>
        <v>0</v>
      </c>
      <c r="T1161">
        <f t="shared" si="129"/>
        <v>0</v>
      </c>
      <c r="U1161">
        <f t="shared" si="130"/>
        <v>2024</v>
      </c>
      <c r="V1161">
        <f t="shared" si="131"/>
        <v>11</v>
      </c>
      <c r="W1161" s="11">
        <f t="shared" si="132"/>
        <v>0</v>
      </c>
    </row>
    <row r="1162" spans="1:23">
      <c r="A1162" t="s">
        <v>1175</v>
      </c>
      <c r="B1162" s="4">
        <v>45416</v>
      </c>
      <c r="C1162" t="s">
        <v>2016</v>
      </c>
      <c r="D1162" t="s">
        <v>2025</v>
      </c>
      <c r="E1162" t="s">
        <v>2029</v>
      </c>
      <c r="F1162" t="s">
        <v>2031</v>
      </c>
      <c r="G1162" t="s">
        <v>2037</v>
      </c>
      <c r="H1162" t="s">
        <v>2040</v>
      </c>
      <c r="I1162">
        <v>2</v>
      </c>
      <c r="J1162">
        <v>5</v>
      </c>
      <c r="K1162">
        <v>3</v>
      </c>
      <c r="L1162" t="s">
        <v>2041</v>
      </c>
      <c r="M1162">
        <v>490</v>
      </c>
      <c r="N1162">
        <v>4545</v>
      </c>
      <c r="O1162">
        <v>14991</v>
      </c>
      <c r="P1162" s="13">
        <f t="shared" si="126"/>
        <v>0</v>
      </c>
      <c r="Q1162" t="str">
        <f t="shared" si="127"/>
        <v>No</v>
      </c>
      <c r="R1162" t="str" cm="1">
        <f t="array" ref="R1162">_xlfn.IFS(K1162=0,"On Time",K1162&lt;=2,"Minor",K1162&lt;=5,"Major",K1162&gt;5,"Severe")</f>
        <v>Major</v>
      </c>
      <c r="S1162">
        <f t="shared" si="128"/>
        <v>4997</v>
      </c>
      <c r="T1162">
        <f t="shared" si="129"/>
        <v>1515</v>
      </c>
      <c r="U1162">
        <f t="shared" si="130"/>
        <v>2024</v>
      </c>
      <c r="V1162">
        <f t="shared" si="131"/>
        <v>5</v>
      </c>
      <c r="W1162" s="11">
        <f t="shared" si="132"/>
        <v>1</v>
      </c>
    </row>
    <row r="1163" spans="1:23">
      <c r="A1163" t="s">
        <v>1176</v>
      </c>
      <c r="B1163" s="4">
        <v>45385</v>
      </c>
      <c r="C1163" t="s">
        <v>2017</v>
      </c>
      <c r="D1163" t="s">
        <v>2022</v>
      </c>
      <c r="E1163" t="s">
        <v>2027</v>
      </c>
      <c r="F1163" t="s">
        <v>2032</v>
      </c>
      <c r="G1163" t="s">
        <v>2036</v>
      </c>
      <c r="H1163" t="s">
        <v>2040</v>
      </c>
      <c r="I1163">
        <v>3</v>
      </c>
      <c r="J1163">
        <v>8</v>
      </c>
      <c r="K1163">
        <v>5</v>
      </c>
      <c r="L1163" t="s">
        <v>2041</v>
      </c>
      <c r="M1163">
        <v>295</v>
      </c>
      <c r="N1163">
        <v>5075</v>
      </c>
      <c r="O1163">
        <v>16245</v>
      </c>
      <c r="P1163" s="13">
        <f t="shared" si="126"/>
        <v>0</v>
      </c>
      <c r="Q1163" t="str">
        <f t="shared" si="127"/>
        <v>No</v>
      </c>
      <c r="R1163" t="str" cm="1">
        <f t="array" ref="R1163">_xlfn.IFS(K1163=0,"On Time",K1163&lt;=2,"Minor",K1163&lt;=5,"Major",K1163&gt;5,"Severe")</f>
        <v>Major</v>
      </c>
      <c r="S1163">
        <f t="shared" si="128"/>
        <v>3249</v>
      </c>
      <c r="T1163">
        <f t="shared" si="129"/>
        <v>1015</v>
      </c>
      <c r="U1163">
        <f t="shared" si="130"/>
        <v>2024</v>
      </c>
      <c r="V1163">
        <f t="shared" si="131"/>
        <v>4</v>
      </c>
      <c r="W1163" s="11">
        <f t="shared" si="132"/>
        <v>1</v>
      </c>
    </row>
    <row r="1164" spans="1:23">
      <c r="A1164" t="s">
        <v>1177</v>
      </c>
      <c r="B1164" s="4">
        <v>45648</v>
      </c>
      <c r="C1164" t="s">
        <v>2018</v>
      </c>
      <c r="D1164" t="s">
        <v>2026</v>
      </c>
      <c r="E1164" t="s">
        <v>2027</v>
      </c>
      <c r="F1164" t="s">
        <v>2031</v>
      </c>
      <c r="G1164" t="s">
        <v>2033</v>
      </c>
      <c r="H1164" t="s">
        <v>2039</v>
      </c>
      <c r="I1164">
        <v>3</v>
      </c>
      <c r="J1164">
        <v>6</v>
      </c>
      <c r="K1164">
        <v>3</v>
      </c>
      <c r="L1164" t="s">
        <v>2041</v>
      </c>
      <c r="M1164">
        <v>341</v>
      </c>
      <c r="N1164">
        <v>5940</v>
      </c>
      <c r="O1164">
        <v>4764</v>
      </c>
      <c r="P1164" s="13">
        <f t="shared" si="126"/>
        <v>0</v>
      </c>
      <c r="Q1164" t="str">
        <f t="shared" si="127"/>
        <v>No</v>
      </c>
      <c r="R1164" t="str" cm="1">
        <f t="array" ref="R1164">_xlfn.IFS(K1164=0,"On Time",K1164&lt;=2,"Minor",K1164&lt;=5,"Major",K1164&gt;5,"Severe")</f>
        <v>Major</v>
      </c>
      <c r="S1164">
        <f t="shared" si="128"/>
        <v>1588</v>
      </c>
      <c r="T1164">
        <f t="shared" si="129"/>
        <v>1980</v>
      </c>
      <c r="U1164">
        <f t="shared" si="130"/>
        <v>2024</v>
      </c>
      <c r="V1164">
        <f t="shared" si="131"/>
        <v>12</v>
      </c>
      <c r="W1164" s="11">
        <f t="shared" si="132"/>
        <v>1</v>
      </c>
    </row>
    <row r="1165" spans="1:23">
      <c r="A1165" t="s">
        <v>1178</v>
      </c>
      <c r="B1165" s="4">
        <v>45537</v>
      </c>
      <c r="C1165" t="s">
        <v>2017</v>
      </c>
      <c r="D1165" t="s">
        <v>2023</v>
      </c>
      <c r="E1165" t="s">
        <v>2029</v>
      </c>
      <c r="F1165" t="s">
        <v>2031</v>
      </c>
      <c r="G1165" t="s">
        <v>2035</v>
      </c>
      <c r="H1165" t="s">
        <v>2038</v>
      </c>
      <c r="I1165">
        <v>1</v>
      </c>
      <c r="J1165">
        <v>2</v>
      </c>
      <c r="K1165">
        <v>1</v>
      </c>
      <c r="L1165" t="s">
        <v>2041</v>
      </c>
      <c r="M1165">
        <v>473</v>
      </c>
      <c r="N1165">
        <v>1210</v>
      </c>
      <c r="O1165">
        <v>4729</v>
      </c>
      <c r="P1165" s="13">
        <f t="shared" si="126"/>
        <v>0</v>
      </c>
      <c r="Q1165" t="str">
        <f t="shared" si="127"/>
        <v>No</v>
      </c>
      <c r="R1165" t="str" cm="1">
        <f t="array" ref="R1165">_xlfn.IFS(K1165=0,"On Time",K1165&lt;=2,"Minor",K1165&lt;=5,"Major",K1165&gt;5,"Severe")</f>
        <v>Minor</v>
      </c>
      <c r="S1165">
        <f t="shared" si="128"/>
        <v>4729</v>
      </c>
      <c r="T1165">
        <f t="shared" si="129"/>
        <v>1210</v>
      </c>
      <c r="U1165">
        <f t="shared" si="130"/>
        <v>2024</v>
      </c>
      <c r="V1165">
        <f t="shared" si="131"/>
        <v>9</v>
      </c>
      <c r="W1165" s="11">
        <f t="shared" si="132"/>
        <v>1</v>
      </c>
    </row>
    <row r="1166" spans="1:23">
      <c r="A1166" t="s">
        <v>1179</v>
      </c>
      <c r="B1166" s="4">
        <v>45616</v>
      </c>
      <c r="C1166" t="s">
        <v>2018</v>
      </c>
      <c r="D1166" t="s">
        <v>2026</v>
      </c>
      <c r="E1166" t="s">
        <v>2028</v>
      </c>
      <c r="F1166" t="s">
        <v>2031</v>
      </c>
      <c r="G1166" t="s">
        <v>2036</v>
      </c>
      <c r="H1166" t="s">
        <v>2038</v>
      </c>
      <c r="I1166">
        <v>1</v>
      </c>
      <c r="J1166">
        <v>5</v>
      </c>
      <c r="K1166">
        <v>4</v>
      </c>
      <c r="L1166" t="s">
        <v>2041</v>
      </c>
      <c r="M1166">
        <v>144</v>
      </c>
      <c r="N1166">
        <v>8076</v>
      </c>
      <c r="O1166">
        <v>8788</v>
      </c>
      <c r="P1166" s="13">
        <f t="shared" si="126"/>
        <v>0</v>
      </c>
      <c r="Q1166" t="str">
        <f t="shared" si="127"/>
        <v>No</v>
      </c>
      <c r="R1166" t="str" cm="1">
        <f t="array" ref="R1166">_xlfn.IFS(K1166=0,"On Time",K1166&lt;=2,"Minor",K1166&lt;=5,"Major",K1166&gt;5,"Severe")</f>
        <v>Major</v>
      </c>
      <c r="S1166">
        <f t="shared" si="128"/>
        <v>2197</v>
      </c>
      <c r="T1166">
        <f t="shared" si="129"/>
        <v>2019</v>
      </c>
      <c r="U1166">
        <f t="shared" si="130"/>
        <v>2024</v>
      </c>
      <c r="V1166">
        <f t="shared" si="131"/>
        <v>11</v>
      </c>
      <c r="W1166" s="11">
        <f t="shared" si="132"/>
        <v>1</v>
      </c>
    </row>
    <row r="1167" spans="1:23">
      <c r="A1167" t="s">
        <v>1180</v>
      </c>
      <c r="B1167" s="4">
        <v>45325</v>
      </c>
      <c r="C1167" t="s">
        <v>2016</v>
      </c>
      <c r="D1167" t="s">
        <v>2021</v>
      </c>
      <c r="E1167" t="s">
        <v>2028</v>
      </c>
      <c r="F1167" t="s">
        <v>2031</v>
      </c>
      <c r="G1167" t="s">
        <v>2033</v>
      </c>
      <c r="H1167" t="s">
        <v>2038</v>
      </c>
      <c r="I1167">
        <v>1</v>
      </c>
      <c r="J1167">
        <v>5</v>
      </c>
      <c r="K1167">
        <v>4</v>
      </c>
      <c r="L1167" t="s">
        <v>2041</v>
      </c>
      <c r="M1167">
        <v>350</v>
      </c>
      <c r="N1167">
        <v>3792</v>
      </c>
      <c r="O1167">
        <v>6056</v>
      </c>
      <c r="P1167" s="13">
        <f t="shared" si="126"/>
        <v>0</v>
      </c>
      <c r="Q1167" t="str">
        <f t="shared" si="127"/>
        <v>No</v>
      </c>
      <c r="R1167" t="str" cm="1">
        <f t="array" ref="R1167">_xlfn.IFS(K1167=0,"On Time",K1167&lt;=2,"Minor",K1167&lt;=5,"Major",K1167&gt;5,"Severe")</f>
        <v>Major</v>
      </c>
      <c r="S1167">
        <f t="shared" si="128"/>
        <v>1514</v>
      </c>
      <c r="T1167">
        <f t="shared" si="129"/>
        <v>948</v>
      </c>
      <c r="U1167">
        <f t="shared" si="130"/>
        <v>2024</v>
      </c>
      <c r="V1167">
        <f t="shared" si="131"/>
        <v>2</v>
      </c>
      <c r="W1167" s="11">
        <f t="shared" si="132"/>
        <v>1</v>
      </c>
    </row>
    <row r="1168" spans="1:23">
      <c r="A1168" t="s">
        <v>1181</v>
      </c>
      <c r="B1168" s="4">
        <v>45580</v>
      </c>
      <c r="C1168" t="s">
        <v>2018</v>
      </c>
      <c r="D1168" t="s">
        <v>2026</v>
      </c>
      <c r="E1168" t="s">
        <v>2027</v>
      </c>
      <c r="F1168" t="s">
        <v>2030</v>
      </c>
      <c r="G1168" t="s">
        <v>2035</v>
      </c>
      <c r="H1168" t="s">
        <v>2038</v>
      </c>
      <c r="I1168">
        <v>2</v>
      </c>
      <c r="J1168">
        <v>7</v>
      </c>
      <c r="K1168">
        <v>5</v>
      </c>
      <c r="L1168" t="s">
        <v>2041</v>
      </c>
      <c r="M1168">
        <v>108</v>
      </c>
      <c r="N1168">
        <v>9330</v>
      </c>
      <c r="O1168">
        <v>8760</v>
      </c>
      <c r="P1168" s="13">
        <f t="shared" si="126"/>
        <v>0</v>
      </c>
      <c r="Q1168" t="str">
        <f t="shared" si="127"/>
        <v>No</v>
      </c>
      <c r="R1168" t="str" cm="1">
        <f t="array" ref="R1168">_xlfn.IFS(K1168=0,"On Time",K1168&lt;=2,"Minor",K1168&lt;=5,"Major",K1168&gt;5,"Severe")</f>
        <v>Major</v>
      </c>
      <c r="S1168">
        <f t="shared" si="128"/>
        <v>1752</v>
      </c>
      <c r="T1168">
        <f t="shared" si="129"/>
        <v>1866</v>
      </c>
      <c r="U1168">
        <f t="shared" si="130"/>
        <v>2024</v>
      </c>
      <c r="V1168">
        <f t="shared" si="131"/>
        <v>10</v>
      </c>
      <c r="W1168" s="11">
        <f t="shared" si="132"/>
        <v>1</v>
      </c>
    </row>
    <row r="1169" spans="1:23">
      <c r="A1169" t="s">
        <v>1182</v>
      </c>
      <c r="B1169" s="4">
        <v>45647</v>
      </c>
      <c r="C1169" t="s">
        <v>2015</v>
      </c>
      <c r="D1169" t="s">
        <v>2020</v>
      </c>
      <c r="E1169" t="s">
        <v>2027</v>
      </c>
      <c r="F1169" t="s">
        <v>2030</v>
      </c>
      <c r="G1169" t="s">
        <v>2036</v>
      </c>
      <c r="H1169" t="s">
        <v>2038</v>
      </c>
      <c r="I1169">
        <v>1</v>
      </c>
      <c r="J1169">
        <v>2</v>
      </c>
      <c r="K1169">
        <v>1</v>
      </c>
      <c r="L1169" t="s">
        <v>2041</v>
      </c>
      <c r="M1169">
        <v>223</v>
      </c>
      <c r="N1169">
        <v>1988</v>
      </c>
      <c r="O1169">
        <v>4943</v>
      </c>
      <c r="P1169" s="13">
        <f t="shared" si="126"/>
        <v>0</v>
      </c>
      <c r="Q1169" t="str">
        <f t="shared" si="127"/>
        <v>No</v>
      </c>
      <c r="R1169" t="str" cm="1">
        <f t="array" ref="R1169">_xlfn.IFS(K1169=0,"On Time",K1169&lt;=2,"Minor",K1169&lt;=5,"Major",K1169&gt;5,"Severe")</f>
        <v>Minor</v>
      </c>
      <c r="S1169">
        <f t="shared" si="128"/>
        <v>4943</v>
      </c>
      <c r="T1169">
        <f t="shared" si="129"/>
        <v>1988</v>
      </c>
      <c r="U1169">
        <f t="shared" si="130"/>
        <v>2024</v>
      </c>
      <c r="V1169">
        <f t="shared" si="131"/>
        <v>12</v>
      </c>
      <c r="W1169" s="11">
        <f t="shared" si="132"/>
        <v>1</v>
      </c>
    </row>
    <row r="1170" spans="1:23">
      <c r="A1170" t="s">
        <v>1183</v>
      </c>
      <c r="B1170" s="4">
        <v>45545</v>
      </c>
      <c r="C1170" t="s">
        <v>2018</v>
      </c>
      <c r="D1170" t="s">
        <v>2026</v>
      </c>
      <c r="E1170" t="s">
        <v>2029</v>
      </c>
      <c r="F1170" t="s">
        <v>2031</v>
      </c>
      <c r="G1170" t="s">
        <v>2034</v>
      </c>
      <c r="H1170" t="s">
        <v>2038</v>
      </c>
      <c r="I1170">
        <v>3</v>
      </c>
      <c r="J1170">
        <v>6</v>
      </c>
      <c r="K1170">
        <v>3</v>
      </c>
      <c r="L1170" t="s">
        <v>2041</v>
      </c>
      <c r="M1170">
        <v>452</v>
      </c>
      <c r="N1170">
        <v>4095</v>
      </c>
      <c r="O1170">
        <v>11298</v>
      </c>
      <c r="P1170" s="13">
        <f t="shared" si="126"/>
        <v>0</v>
      </c>
      <c r="Q1170" t="str">
        <f t="shared" si="127"/>
        <v>No</v>
      </c>
      <c r="R1170" t="str" cm="1">
        <f t="array" ref="R1170">_xlfn.IFS(K1170=0,"On Time",K1170&lt;=2,"Minor",K1170&lt;=5,"Major",K1170&gt;5,"Severe")</f>
        <v>Major</v>
      </c>
      <c r="S1170">
        <f t="shared" si="128"/>
        <v>3766</v>
      </c>
      <c r="T1170">
        <f t="shared" si="129"/>
        <v>1365</v>
      </c>
      <c r="U1170">
        <f t="shared" si="130"/>
        <v>2024</v>
      </c>
      <c r="V1170">
        <f t="shared" si="131"/>
        <v>9</v>
      </c>
      <c r="W1170" s="11">
        <f t="shared" si="132"/>
        <v>1</v>
      </c>
    </row>
    <row r="1171" spans="1:23">
      <c r="A1171" t="s">
        <v>1184</v>
      </c>
      <c r="B1171" s="4">
        <v>45527</v>
      </c>
      <c r="C1171" t="s">
        <v>2016</v>
      </c>
      <c r="D1171" t="s">
        <v>2025</v>
      </c>
      <c r="E1171" t="s">
        <v>2028</v>
      </c>
      <c r="F1171" t="s">
        <v>2030</v>
      </c>
      <c r="G1171" t="s">
        <v>2036</v>
      </c>
      <c r="H1171" t="s">
        <v>2039</v>
      </c>
      <c r="I1171">
        <v>2</v>
      </c>
      <c r="J1171">
        <v>5</v>
      </c>
      <c r="K1171">
        <v>3</v>
      </c>
      <c r="L1171" t="s">
        <v>2041</v>
      </c>
      <c r="M1171">
        <v>161</v>
      </c>
      <c r="N1171">
        <v>5019</v>
      </c>
      <c r="O1171">
        <v>7227</v>
      </c>
      <c r="P1171" s="13">
        <f t="shared" si="126"/>
        <v>0</v>
      </c>
      <c r="Q1171" t="str">
        <f t="shared" si="127"/>
        <v>No</v>
      </c>
      <c r="R1171" t="str" cm="1">
        <f t="array" ref="R1171">_xlfn.IFS(K1171=0,"On Time",K1171&lt;=2,"Minor",K1171&lt;=5,"Major",K1171&gt;5,"Severe")</f>
        <v>Major</v>
      </c>
      <c r="S1171">
        <f t="shared" si="128"/>
        <v>2409</v>
      </c>
      <c r="T1171">
        <f t="shared" si="129"/>
        <v>1673</v>
      </c>
      <c r="U1171">
        <f t="shared" si="130"/>
        <v>2024</v>
      </c>
      <c r="V1171">
        <f t="shared" si="131"/>
        <v>8</v>
      </c>
      <c r="W1171" s="11">
        <f t="shared" si="132"/>
        <v>1</v>
      </c>
    </row>
    <row r="1172" spans="1:23">
      <c r="A1172" t="s">
        <v>1185</v>
      </c>
      <c r="B1172" s="4">
        <v>45394</v>
      </c>
      <c r="C1172" t="s">
        <v>2016</v>
      </c>
      <c r="D1172" t="s">
        <v>2025</v>
      </c>
      <c r="E1172" t="s">
        <v>2027</v>
      </c>
      <c r="F1172" t="s">
        <v>2031</v>
      </c>
      <c r="G1172" t="s">
        <v>2036</v>
      </c>
      <c r="H1172" t="s">
        <v>2039</v>
      </c>
      <c r="I1172">
        <v>2</v>
      </c>
      <c r="J1172">
        <v>2</v>
      </c>
      <c r="K1172">
        <v>0</v>
      </c>
      <c r="L1172" t="s">
        <v>2042</v>
      </c>
      <c r="M1172">
        <v>231</v>
      </c>
      <c r="N1172">
        <v>0</v>
      </c>
      <c r="O1172">
        <v>0</v>
      </c>
      <c r="P1172" s="13">
        <f t="shared" si="126"/>
        <v>1</v>
      </c>
      <c r="Q1172" t="str">
        <f t="shared" si="127"/>
        <v>No</v>
      </c>
      <c r="R1172" t="str" cm="1">
        <f t="array" ref="R1172">_xlfn.IFS(K1172=0,"On Time",K1172&lt;=2,"Minor",K1172&lt;=5,"Major",K1172&gt;5,"Severe")</f>
        <v>On Time</v>
      </c>
      <c r="S1172">
        <f t="shared" si="128"/>
        <v>0</v>
      </c>
      <c r="T1172">
        <f t="shared" si="129"/>
        <v>0</v>
      </c>
      <c r="U1172">
        <f t="shared" si="130"/>
        <v>2024</v>
      </c>
      <c r="V1172">
        <f t="shared" si="131"/>
        <v>4</v>
      </c>
      <c r="W1172" s="11">
        <f t="shared" si="132"/>
        <v>0</v>
      </c>
    </row>
    <row r="1173" spans="1:23">
      <c r="A1173" t="s">
        <v>1186</v>
      </c>
      <c r="B1173" s="4">
        <v>45535</v>
      </c>
      <c r="C1173" t="s">
        <v>2016</v>
      </c>
      <c r="D1173" t="s">
        <v>2025</v>
      </c>
      <c r="E1173" t="s">
        <v>2027</v>
      </c>
      <c r="F1173" t="s">
        <v>2031</v>
      </c>
      <c r="G1173" t="s">
        <v>2035</v>
      </c>
      <c r="H1173" t="s">
        <v>2038</v>
      </c>
      <c r="I1173">
        <v>1</v>
      </c>
      <c r="J1173">
        <v>5</v>
      </c>
      <c r="K1173">
        <v>4</v>
      </c>
      <c r="L1173" t="s">
        <v>2041</v>
      </c>
      <c r="M1173">
        <v>466</v>
      </c>
      <c r="N1173">
        <v>8072</v>
      </c>
      <c r="O1173">
        <v>17708</v>
      </c>
      <c r="P1173" s="13">
        <f t="shared" si="126"/>
        <v>0</v>
      </c>
      <c r="Q1173" t="str">
        <f t="shared" si="127"/>
        <v>No</v>
      </c>
      <c r="R1173" t="str" cm="1">
        <f t="array" ref="R1173">_xlfn.IFS(K1173=0,"On Time",K1173&lt;=2,"Minor",K1173&lt;=5,"Major",K1173&gt;5,"Severe")</f>
        <v>Major</v>
      </c>
      <c r="S1173">
        <f t="shared" si="128"/>
        <v>4427</v>
      </c>
      <c r="T1173">
        <f t="shared" si="129"/>
        <v>2018</v>
      </c>
      <c r="U1173">
        <f t="shared" si="130"/>
        <v>2024</v>
      </c>
      <c r="V1173">
        <f t="shared" si="131"/>
        <v>8</v>
      </c>
      <c r="W1173" s="11">
        <f t="shared" si="132"/>
        <v>1</v>
      </c>
    </row>
    <row r="1174" spans="1:23">
      <c r="A1174" t="s">
        <v>1187</v>
      </c>
      <c r="B1174" s="4">
        <v>45316</v>
      </c>
      <c r="C1174" t="s">
        <v>2017</v>
      </c>
      <c r="D1174" t="s">
        <v>2023</v>
      </c>
      <c r="E1174" t="s">
        <v>2027</v>
      </c>
      <c r="F1174" t="s">
        <v>2030</v>
      </c>
      <c r="G1174" t="s">
        <v>2033</v>
      </c>
      <c r="H1174" t="s">
        <v>2038</v>
      </c>
      <c r="I1174">
        <v>1</v>
      </c>
      <c r="J1174">
        <v>5</v>
      </c>
      <c r="K1174">
        <v>4</v>
      </c>
      <c r="L1174" t="s">
        <v>2041</v>
      </c>
      <c r="M1174">
        <v>380</v>
      </c>
      <c r="N1174">
        <v>3740</v>
      </c>
      <c r="O1174">
        <v>15948</v>
      </c>
      <c r="P1174" s="13">
        <f t="shared" si="126"/>
        <v>0</v>
      </c>
      <c r="Q1174" t="str">
        <f t="shared" si="127"/>
        <v>No</v>
      </c>
      <c r="R1174" t="str" cm="1">
        <f t="array" ref="R1174">_xlfn.IFS(K1174=0,"On Time",K1174&lt;=2,"Minor",K1174&lt;=5,"Major",K1174&gt;5,"Severe")</f>
        <v>Major</v>
      </c>
      <c r="S1174">
        <f t="shared" si="128"/>
        <v>3987</v>
      </c>
      <c r="T1174">
        <f t="shared" si="129"/>
        <v>935</v>
      </c>
      <c r="U1174">
        <f t="shared" si="130"/>
        <v>2024</v>
      </c>
      <c r="V1174">
        <f t="shared" si="131"/>
        <v>1</v>
      </c>
      <c r="W1174" s="11">
        <f t="shared" si="132"/>
        <v>1</v>
      </c>
    </row>
    <row r="1175" spans="1:23">
      <c r="A1175" t="s">
        <v>1188</v>
      </c>
      <c r="B1175" s="4">
        <v>45590</v>
      </c>
      <c r="C1175" t="s">
        <v>2016</v>
      </c>
      <c r="D1175" t="s">
        <v>2025</v>
      </c>
      <c r="E1175" t="s">
        <v>2027</v>
      </c>
      <c r="F1175" t="s">
        <v>2031</v>
      </c>
      <c r="G1175" t="s">
        <v>2036</v>
      </c>
      <c r="H1175" t="s">
        <v>2038</v>
      </c>
      <c r="I1175">
        <v>2</v>
      </c>
      <c r="J1175">
        <v>2</v>
      </c>
      <c r="K1175">
        <v>0</v>
      </c>
      <c r="L1175" t="s">
        <v>2042</v>
      </c>
      <c r="M1175">
        <v>254</v>
      </c>
      <c r="N1175">
        <v>0</v>
      </c>
      <c r="O1175">
        <v>0</v>
      </c>
      <c r="P1175" s="13">
        <f t="shared" si="126"/>
        <v>1</v>
      </c>
      <c r="Q1175" t="str">
        <f t="shared" si="127"/>
        <v>No</v>
      </c>
      <c r="R1175" t="str" cm="1">
        <f t="array" ref="R1175">_xlfn.IFS(K1175=0,"On Time",K1175&lt;=2,"Minor",K1175&lt;=5,"Major",K1175&gt;5,"Severe")</f>
        <v>On Time</v>
      </c>
      <c r="S1175">
        <f t="shared" si="128"/>
        <v>0</v>
      </c>
      <c r="T1175">
        <f t="shared" si="129"/>
        <v>0</v>
      </c>
      <c r="U1175">
        <f t="shared" si="130"/>
        <v>2024</v>
      </c>
      <c r="V1175">
        <f t="shared" si="131"/>
        <v>10</v>
      </c>
      <c r="W1175" s="11">
        <f t="shared" si="132"/>
        <v>0</v>
      </c>
    </row>
    <row r="1176" spans="1:23">
      <c r="A1176" t="s">
        <v>1189</v>
      </c>
      <c r="B1176" s="4">
        <v>45529</v>
      </c>
      <c r="C1176" t="s">
        <v>2017</v>
      </c>
      <c r="D1176" t="s">
        <v>2023</v>
      </c>
      <c r="E1176" t="s">
        <v>2027</v>
      </c>
      <c r="F1176" t="s">
        <v>2030</v>
      </c>
      <c r="G1176" t="s">
        <v>2034</v>
      </c>
      <c r="H1176" t="s">
        <v>2039</v>
      </c>
      <c r="I1176">
        <v>1</v>
      </c>
      <c r="J1176">
        <v>2</v>
      </c>
      <c r="K1176">
        <v>1</v>
      </c>
      <c r="L1176" t="s">
        <v>2041</v>
      </c>
      <c r="M1176">
        <v>117</v>
      </c>
      <c r="N1176">
        <v>1110</v>
      </c>
      <c r="O1176">
        <v>4660</v>
      </c>
      <c r="P1176" s="13">
        <f t="shared" si="126"/>
        <v>0</v>
      </c>
      <c r="Q1176" t="str">
        <f t="shared" si="127"/>
        <v>No</v>
      </c>
      <c r="R1176" t="str" cm="1">
        <f t="array" ref="R1176">_xlfn.IFS(K1176=0,"On Time",K1176&lt;=2,"Minor",K1176&lt;=5,"Major",K1176&gt;5,"Severe")</f>
        <v>Minor</v>
      </c>
      <c r="S1176">
        <f t="shared" si="128"/>
        <v>4660</v>
      </c>
      <c r="T1176">
        <f t="shared" si="129"/>
        <v>1110</v>
      </c>
      <c r="U1176">
        <f t="shared" si="130"/>
        <v>2024</v>
      </c>
      <c r="V1176">
        <f t="shared" si="131"/>
        <v>8</v>
      </c>
      <c r="W1176" s="11">
        <f t="shared" si="132"/>
        <v>1</v>
      </c>
    </row>
    <row r="1177" spans="1:23">
      <c r="A1177" t="s">
        <v>1190</v>
      </c>
      <c r="B1177" s="4">
        <v>45460</v>
      </c>
      <c r="C1177" t="s">
        <v>2016</v>
      </c>
      <c r="D1177" t="s">
        <v>2025</v>
      </c>
      <c r="E1177" t="s">
        <v>2028</v>
      </c>
      <c r="F1177" t="s">
        <v>2030</v>
      </c>
      <c r="G1177" t="s">
        <v>2037</v>
      </c>
      <c r="H1177" t="s">
        <v>2039</v>
      </c>
      <c r="I1177">
        <v>2</v>
      </c>
      <c r="J1177">
        <v>3</v>
      </c>
      <c r="K1177">
        <v>1</v>
      </c>
      <c r="L1177" t="s">
        <v>2041</v>
      </c>
      <c r="M1177">
        <v>147</v>
      </c>
      <c r="N1177">
        <v>2112</v>
      </c>
      <c r="O1177">
        <v>2448</v>
      </c>
      <c r="P1177" s="13">
        <f t="shared" si="126"/>
        <v>0</v>
      </c>
      <c r="Q1177" t="str">
        <f t="shared" si="127"/>
        <v>No</v>
      </c>
      <c r="R1177" t="str" cm="1">
        <f t="array" ref="R1177">_xlfn.IFS(K1177=0,"On Time",K1177&lt;=2,"Minor",K1177&lt;=5,"Major",K1177&gt;5,"Severe")</f>
        <v>Minor</v>
      </c>
      <c r="S1177">
        <f t="shared" si="128"/>
        <v>2448</v>
      </c>
      <c r="T1177">
        <f t="shared" si="129"/>
        <v>2112</v>
      </c>
      <c r="U1177">
        <f t="shared" si="130"/>
        <v>2024</v>
      </c>
      <c r="V1177">
        <f t="shared" si="131"/>
        <v>6</v>
      </c>
      <c r="W1177" s="11">
        <f t="shared" si="132"/>
        <v>1</v>
      </c>
    </row>
    <row r="1178" spans="1:23">
      <c r="A1178" t="s">
        <v>1191</v>
      </c>
      <c r="B1178" s="4">
        <v>45564</v>
      </c>
      <c r="C1178" t="s">
        <v>2015</v>
      </c>
      <c r="D1178" t="s">
        <v>2020</v>
      </c>
      <c r="E1178" t="s">
        <v>2028</v>
      </c>
      <c r="F1178" t="s">
        <v>2031</v>
      </c>
      <c r="G1178" t="s">
        <v>2036</v>
      </c>
      <c r="H1178" t="s">
        <v>2039</v>
      </c>
      <c r="I1178">
        <v>5</v>
      </c>
      <c r="J1178">
        <v>10</v>
      </c>
      <c r="K1178">
        <v>5</v>
      </c>
      <c r="L1178" t="s">
        <v>2041</v>
      </c>
      <c r="M1178">
        <v>302</v>
      </c>
      <c r="N1178">
        <v>5310</v>
      </c>
      <c r="O1178">
        <v>7940</v>
      </c>
      <c r="P1178" s="13">
        <f t="shared" si="126"/>
        <v>0</v>
      </c>
      <c r="Q1178" t="str">
        <f t="shared" si="127"/>
        <v>No</v>
      </c>
      <c r="R1178" t="str" cm="1">
        <f t="array" ref="R1178">_xlfn.IFS(K1178=0,"On Time",K1178&lt;=2,"Minor",K1178&lt;=5,"Major",K1178&gt;5,"Severe")</f>
        <v>Major</v>
      </c>
      <c r="S1178">
        <f t="shared" si="128"/>
        <v>1588</v>
      </c>
      <c r="T1178">
        <f t="shared" si="129"/>
        <v>1062</v>
      </c>
      <c r="U1178">
        <f t="shared" si="130"/>
        <v>2024</v>
      </c>
      <c r="V1178">
        <f t="shared" si="131"/>
        <v>9</v>
      </c>
      <c r="W1178" s="11">
        <f t="shared" si="132"/>
        <v>1</v>
      </c>
    </row>
    <row r="1179" spans="1:23">
      <c r="A1179" t="s">
        <v>1192</v>
      </c>
      <c r="B1179" s="4">
        <v>45589</v>
      </c>
      <c r="C1179" t="s">
        <v>2017</v>
      </c>
      <c r="D1179" t="s">
        <v>2022</v>
      </c>
      <c r="E1179" t="s">
        <v>2027</v>
      </c>
      <c r="F1179" t="s">
        <v>2031</v>
      </c>
      <c r="G1179" t="s">
        <v>2035</v>
      </c>
      <c r="H1179" t="s">
        <v>2040</v>
      </c>
      <c r="I1179">
        <v>2</v>
      </c>
      <c r="J1179">
        <v>8</v>
      </c>
      <c r="K1179">
        <v>6</v>
      </c>
      <c r="L1179" t="s">
        <v>2041</v>
      </c>
      <c r="M1179">
        <v>141</v>
      </c>
      <c r="N1179">
        <v>9738</v>
      </c>
      <c r="O1179">
        <v>16170</v>
      </c>
      <c r="P1179" s="13">
        <f t="shared" si="126"/>
        <v>0</v>
      </c>
      <c r="Q1179" t="str">
        <f t="shared" si="127"/>
        <v>No</v>
      </c>
      <c r="R1179" t="str" cm="1">
        <f t="array" ref="R1179">_xlfn.IFS(K1179=0,"On Time",K1179&lt;=2,"Minor",K1179&lt;=5,"Major",K1179&gt;5,"Severe")</f>
        <v>Severe</v>
      </c>
      <c r="S1179">
        <f t="shared" si="128"/>
        <v>2695</v>
      </c>
      <c r="T1179">
        <f t="shared" si="129"/>
        <v>1623</v>
      </c>
      <c r="U1179">
        <f t="shared" si="130"/>
        <v>2024</v>
      </c>
      <c r="V1179">
        <f t="shared" si="131"/>
        <v>10</v>
      </c>
      <c r="W1179" s="11">
        <f t="shared" si="132"/>
        <v>1</v>
      </c>
    </row>
    <row r="1180" spans="1:23">
      <c r="A1180" t="s">
        <v>1193</v>
      </c>
      <c r="B1180" s="4">
        <v>45347</v>
      </c>
      <c r="C1180" t="s">
        <v>2015</v>
      </c>
      <c r="D1180" t="s">
        <v>2019</v>
      </c>
      <c r="E1180" t="s">
        <v>2027</v>
      </c>
      <c r="F1180" t="s">
        <v>2031</v>
      </c>
      <c r="G1180" t="s">
        <v>2035</v>
      </c>
      <c r="H1180" t="s">
        <v>2040</v>
      </c>
      <c r="I1180">
        <v>1</v>
      </c>
      <c r="J1180">
        <v>3</v>
      </c>
      <c r="K1180">
        <v>2</v>
      </c>
      <c r="L1180" t="s">
        <v>2041</v>
      </c>
      <c r="M1180">
        <v>458</v>
      </c>
      <c r="N1180">
        <v>3108</v>
      </c>
      <c r="O1180">
        <v>4252</v>
      </c>
      <c r="P1180" s="13">
        <f t="shared" si="126"/>
        <v>0</v>
      </c>
      <c r="Q1180" t="str">
        <f t="shared" si="127"/>
        <v>No</v>
      </c>
      <c r="R1180" t="str" cm="1">
        <f t="array" ref="R1180">_xlfn.IFS(K1180=0,"On Time",K1180&lt;=2,"Minor",K1180&lt;=5,"Major",K1180&gt;5,"Severe")</f>
        <v>Minor</v>
      </c>
      <c r="S1180">
        <f t="shared" si="128"/>
        <v>2126</v>
      </c>
      <c r="T1180">
        <f t="shared" si="129"/>
        <v>1554</v>
      </c>
      <c r="U1180">
        <f t="shared" si="130"/>
        <v>2024</v>
      </c>
      <c r="V1180">
        <f t="shared" si="131"/>
        <v>2</v>
      </c>
      <c r="W1180" s="11">
        <f t="shared" si="132"/>
        <v>1</v>
      </c>
    </row>
    <row r="1181" spans="1:23">
      <c r="A1181" t="s">
        <v>1194</v>
      </c>
      <c r="B1181" s="4">
        <v>45405</v>
      </c>
      <c r="C1181" t="s">
        <v>2017</v>
      </c>
      <c r="D1181" t="s">
        <v>2022</v>
      </c>
      <c r="E1181" t="s">
        <v>2028</v>
      </c>
      <c r="F1181" t="s">
        <v>2032</v>
      </c>
      <c r="G1181" t="s">
        <v>2035</v>
      </c>
      <c r="H1181" t="s">
        <v>2040</v>
      </c>
      <c r="I1181">
        <v>2</v>
      </c>
      <c r="J1181">
        <v>6</v>
      </c>
      <c r="K1181">
        <v>4</v>
      </c>
      <c r="L1181" t="s">
        <v>2041</v>
      </c>
      <c r="M1181">
        <v>414</v>
      </c>
      <c r="N1181">
        <v>3556</v>
      </c>
      <c r="O1181">
        <v>19208</v>
      </c>
      <c r="P1181" s="13">
        <f t="shared" si="126"/>
        <v>0</v>
      </c>
      <c r="Q1181" t="str">
        <f t="shared" si="127"/>
        <v>No</v>
      </c>
      <c r="R1181" t="str" cm="1">
        <f t="array" ref="R1181">_xlfn.IFS(K1181=0,"On Time",K1181&lt;=2,"Minor",K1181&lt;=5,"Major",K1181&gt;5,"Severe")</f>
        <v>Major</v>
      </c>
      <c r="S1181">
        <f t="shared" si="128"/>
        <v>4802</v>
      </c>
      <c r="T1181">
        <f t="shared" si="129"/>
        <v>889</v>
      </c>
      <c r="U1181">
        <f t="shared" si="130"/>
        <v>2024</v>
      </c>
      <c r="V1181">
        <f t="shared" si="131"/>
        <v>4</v>
      </c>
      <c r="W1181" s="11">
        <f t="shared" si="132"/>
        <v>1</v>
      </c>
    </row>
    <row r="1182" spans="1:23">
      <c r="A1182" t="s">
        <v>1195</v>
      </c>
      <c r="B1182" s="4">
        <v>45359</v>
      </c>
      <c r="C1182" t="s">
        <v>2015</v>
      </c>
      <c r="D1182" t="s">
        <v>2019</v>
      </c>
      <c r="E1182" t="s">
        <v>2028</v>
      </c>
      <c r="F1182" t="s">
        <v>2032</v>
      </c>
      <c r="G1182" t="s">
        <v>2037</v>
      </c>
      <c r="H1182" t="s">
        <v>2038</v>
      </c>
      <c r="I1182">
        <v>2</v>
      </c>
      <c r="J1182">
        <v>8</v>
      </c>
      <c r="K1182">
        <v>6</v>
      </c>
      <c r="L1182" t="s">
        <v>2041</v>
      </c>
      <c r="M1182">
        <v>244</v>
      </c>
      <c r="N1182">
        <v>6852</v>
      </c>
      <c r="O1182">
        <v>28410</v>
      </c>
      <c r="P1182" s="13">
        <f t="shared" si="126"/>
        <v>0</v>
      </c>
      <c r="Q1182" t="str">
        <f t="shared" si="127"/>
        <v>No</v>
      </c>
      <c r="R1182" t="str" cm="1">
        <f t="array" ref="R1182">_xlfn.IFS(K1182=0,"On Time",K1182&lt;=2,"Minor",K1182&lt;=5,"Major",K1182&gt;5,"Severe")</f>
        <v>Severe</v>
      </c>
      <c r="S1182">
        <f t="shared" si="128"/>
        <v>4735</v>
      </c>
      <c r="T1182">
        <f t="shared" si="129"/>
        <v>1142</v>
      </c>
      <c r="U1182">
        <f t="shared" si="130"/>
        <v>2024</v>
      </c>
      <c r="V1182">
        <f t="shared" si="131"/>
        <v>3</v>
      </c>
      <c r="W1182" s="11">
        <f t="shared" si="132"/>
        <v>1</v>
      </c>
    </row>
    <row r="1183" spans="1:23">
      <c r="A1183" t="s">
        <v>1196</v>
      </c>
      <c r="B1183" s="4">
        <v>45313</v>
      </c>
      <c r="C1183" t="s">
        <v>2015</v>
      </c>
      <c r="D1183" t="s">
        <v>2020</v>
      </c>
      <c r="E1183" t="s">
        <v>2028</v>
      </c>
      <c r="F1183" t="s">
        <v>2030</v>
      </c>
      <c r="G1183" t="s">
        <v>2033</v>
      </c>
      <c r="H1183" t="s">
        <v>2039</v>
      </c>
      <c r="I1183">
        <v>3</v>
      </c>
      <c r="J1183">
        <v>8</v>
      </c>
      <c r="K1183">
        <v>5</v>
      </c>
      <c r="L1183" t="s">
        <v>2041</v>
      </c>
      <c r="M1183">
        <v>428</v>
      </c>
      <c r="N1183">
        <v>7205</v>
      </c>
      <c r="O1183">
        <v>22210</v>
      </c>
      <c r="P1183" s="13">
        <f t="shared" si="126"/>
        <v>0</v>
      </c>
      <c r="Q1183" t="str">
        <f t="shared" si="127"/>
        <v>No</v>
      </c>
      <c r="R1183" t="str" cm="1">
        <f t="array" ref="R1183">_xlfn.IFS(K1183=0,"On Time",K1183&lt;=2,"Minor",K1183&lt;=5,"Major",K1183&gt;5,"Severe")</f>
        <v>Major</v>
      </c>
      <c r="S1183">
        <f t="shared" si="128"/>
        <v>4442</v>
      </c>
      <c r="T1183">
        <f t="shared" si="129"/>
        <v>1441</v>
      </c>
      <c r="U1183">
        <f t="shared" si="130"/>
        <v>2024</v>
      </c>
      <c r="V1183">
        <f t="shared" si="131"/>
        <v>1</v>
      </c>
      <c r="W1183" s="11">
        <f t="shared" si="132"/>
        <v>1</v>
      </c>
    </row>
    <row r="1184" spans="1:23">
      <c r="A1184" t="s">
        <v>1197</v>
      </c>
      <c r="B1184" s="4">
        <v>45606</v>
      </c>
      <c r="C1184" t="s">
        <v>2017</v>
      </c>
      <c r="D1184" t="s">
        <v>2022</v>
      </c>
      <c r="E1184" t="s">
        <v>2028</v>
      </c>
      <c r="F1184" t="s">
        <v>2031</v>
      </c>
      <c r="G1184" t="s">
        <v>2037</v>
      </c>
      <c r="H1184" t="s">
        <v>2040</v>
      </c>
      <c r="I1184">
        <v>2</v>
      </c>
      <c r="J1184">
        <v>9</v>
      </c>
      <c r="K1184">
        <v>7</v>
      </c>
      <c r="L1184" t="s">
        <v>2041</v>
      </c>
      <c r="M1184">
        <v>58</v>
      </c>
      <c r="N1184">
        <v>6531</v>
      </c>
      <c r="O1184">
        <v>30478</v>
      </c>
      <c r="P1184" s="13">
        <f t="shared" si="126"/>
        <v>0</v>
      </c>
      <c r="Q1184" t="str">
        <f t="shared" si="127"/>
        <v>No</v>
      </c>
      <c r="R1184" t="str" cm="1">
        <f t="array" ref="R1184">_xlfn.IFS(K1184=0,"On Time",K1184&lt;=2,"Minor",K1184&lt;=5,"Major",K1184&gt;5,"Severe")</f>
        <v>Severe</v>
      </c>
      <c r="S1184">
        <f t="shared" si="128"/>
        <v>4354</v>
      </c>
      <c r="T1184">
        <f t="shared" si="129"/>
        <v>933</v>
      </c>
      <c r="U1184">
        <f t="shared" si="130"/>
        <v>2024</v>
      </c>
      <c r="V1184">
        <f t="shared" si="131"/>
        <v>11</v>
      </c>
      <c r="W1184" s="11">
        <f t="shared" si="132"/>
        <v>1</v>
      </c>
    </row>
    <row r="1185" spans="1:23">
      <c r="A1185" t="s">
        <v>1198</v>
      </c>
      <c r="B1185" s="4">
        <v>45639</v>
      </c>
      <c r="C1185" t="s">
        <v>2018</v>
      </c>
      <c r="D1185" t="s">
        <v>2026</v>
      </c>
      <c r="E1185" t="s">
        <v>2028</v>
      </c>
      <c r="F1185" t="s">
        <v>2032</v>
      </c>
      <c r="G1185" t="s">
        <v>2034</v>
      </c>
      <c r="H1185" t="s">
        <v>2038</v>
      </c>
      <c r="I1185">
        <v>1</v>
      </c>
      <c r="J1185">
        <v>3</v>
      </c>
      <c r="K1185">
        <v>2</v>
      </c>
      <c r="L1185" t="s">
        <v>2041</v>
      </c>
      <c r="M1185">
        <v>388</v>
      </c>
      <c r="N1185">
        <v>4074</v>
      </c>
      <c r="O1185">
        <v>6052</v>
      </c>
      <c r="P1185" s="13">
        <f t="shared" si="126"/>
        <v>0</v>
      </c>
      <c r="Q1185" t="str">
        <f t="shared" si="127"/>
        <v>No</v>
      </c>
      <c r="R1185" t="str" cm="1">
        <f t="array" ref="R1185">_xlfn.IFS(K1185=0,"On Time",K1185&lt;=2,"Minor",K1185&lt;=5,"Major",K1185&gt;5,"Severe")</f>
        <v>Minor</v>
      </c>
      <c r="S1185">
        <f t="shared" si="128"/>
        <v>3026</v>
      </c>
      <c r="T1185">
        <f t="shared" si="129"/>
        <v>2037</v>
      </c>
      <c r="U1185">
        <f t="shared" si="130"/>
        <v>2024</v>
      </c>
      <c r="V1185">
        <f t="shared" si="131"/>
        <v>12</v>
      </c>
      <c r="W1185" s="11">
        <f t="shared" si="132"/>
        <v>1</v>
      </c>
    </row>
    <row r="1186" spans="1:23">
      <c r="A1186" t="s">
        <v>1199</v>
      </c>
      <c r="B1186" s="4">
        <v>45541</v>
      </c>
      <c r="C1186" t="s">
        <v>2016</v>
      </c>
      <c r="D1186" t="s">
        <v>2021</v>
      </c>
      <c r="E1186" t="s">
        <v>2027</v>
      </c>
      <c r="F1186" t="s">
        <v>2032</v>
      </c>
      <c r="G1186" t="s">
        <v>2033</v>
      </c>
      <c r="H1186" t="s">
        <v>2039</v>
      </c>
      <c r="I1186">
        <v>1</v>
      </c>
      <c r="J1186">
        <v>7</v>
      </c>
      <c r="K1186">
        <v>6</v>
      </c>
      <c r="L1186" t="s">
        <v>2041</v>
      </c>
      <c r="M1186">
        <v>336</v>
      </c>
      <c r="N1186">
        <v>9630</v>
      </c>
      <c r="O1186">
        <v>20130</v>
      </c>
      <c r="P1186" s="13">
        <f t="shared" si="126"/>
        <v>0</v>
      </c>
      <c r="Q1186" t="str">
        <f t="shared" si="127"/>
        <v>No</v>
      </c>
      <c r="R1186" t="str" cm="1">
        <f t="array" ref="R1186">_xlfn.IFS(K1186=0,"On Time",K1186&lt;=2,"Minor",K1186&lt;=5,"Major",K1186&gt;5,"Severe")</f>
        <v>Severe</v>
      </c>
      <c r="S1186">
        <f t="shared" si="128"/>
        <v>3355</v>
      </c>
      <c r="T1186">
        <f t="shared" si="129"/>
        <v>1605</v>
      </c>
      <c r="U1186">
        <f t="shared" si="130"/>
        <v>2024</v>
      </c>
      <c r="V1186">
        <f t="shared" si="131"/>
        <v>9</v>
      </c>
      <c r="W1186" s="11">
        <f t="shared" si="132"/>
        <v>1</v>
      </c>
    </row>
    <row r="1187" spans="1:23">
      <c r="A1187" t="s">
        <v>1200</v>
      </c>
      <c r="B1187" s="4">
        <v>45553</v>
      </c>
      <c r="C1187" t="s">
        <v>2015</v>
      </c>
      <c r="D1187" t="s">
        <v>2019</v>
      </c>
      <c r="E1187" t="s">
        <v>2028</v>
      </c>
      <c r="F1187" t="s">
        <v>2031</v>
      </c>
      <c r="G1187" t="s">
        <v>2037</v>
      </c>
      <c r="H1187" t="s">
        <v>2039</v>
      </c>
      <c r="I1187">
        <v>1</v>
      </c>
      <c r="J1187">
        <v>6</v>
      </c>
      <c r="K1187">
        <v>5</v>
      </c>
      <c r="L1187" t="s">
        <v>2041</v>
      </c>
      <c r="M1187">
        <v>215</v>
      </c>
      <c r="N1187">
        <v>12410</v>
      </c>
      <c r="O1187">
        <v>17980</v>
      </c>
      <c r="P1187" s="13">
        <f t="shared" si="126"/>
        <v>0</v>
      </c>
      <c r="Q1187" t="str">
        <f t="shared" si="127"/>
        <v>No</v>
      </c>
      <c r="R1187" t="str" cm="1">
        <f t="array" ref="R1187">_xlfn.IFS(K1187=0,"On Time",K1187&lt;=2,"Minor",K1187&lt;=5,"Major",K1187&gt;5,"Severe")</f>
        <v>Major</v>
      </c>
      <c r="S1187">
        <f t="shared" si="128"/>
        <v>3596</v>
      </c>
      <c r="T1187">
        <f t="shared" si="129"/>
        <v>2482</v>
      </c>
      <c r="U1187">
        <f t="shared" si="130"/>
        <v>2024</v>
      </c>
      <c r="V1187">
        <f t="shared" si="131"/>
        <v>9</v>
      </c>
      <c r="W1187" s="11">
        <f t="shared" si="132"/>
        <v>1</v>
      </c>
    </row>
    <row r="1188" spans="1:23">
      <c r="A1188" t="s">
        <v>1201</v>
      </c>
      <c r="B1188" s="4">
        <v>45521</v>
      </c>
      <c r="C1188" t="s">
        <v>2018</v>
      </c>
      <c r="D1188" t="s">
        <v>2024</v>
      </c>
      <c r="E1188" t="s">
        <v>2029</v>
      </c>
      <c r="F1188" t="s">
        <v>2030</v>
      </c>
      <c r="G1188" t="s">
        <v>2034</v>
      </c>
      <c r="H1188" t="s">
        <v>2039</v>
      </c>
      <c r="I1188">
        <v>1</v>
      </c>
      <c r="J1188">
        <v>3</v>
      </c>
      <c r="K1188">
        <v>2</v>
      </c>
      <c r="L1188" t="s">
        <v>2041</v>
      </c>
      <c r="M1188">
        <v>380</v>
      </c>
      <c r="N1188">
        <v>2444</v>
      </c>
      <c r="O1188">
        <v>6538</v>
      </c>
      <c r="P1188" s="13">
        <f t="shared" si="126"/>
        <v>0</v>
      </c>
      <c r="Q1188" t="str">
        <f t="shared" si="127"/>
        <v>No</v>
      </c>
      <c r="R1188" t="str" cm="1">
        <f t="array" ref="R1188">_xlfn.IFS(K1188=0,"On Time",K1188&lt;=2,"Minor",K1188&lt;=5,"Major",K1188&gt;5,"Severe")</f>
        <v>Minor</v>
      </c>
      <c r="S1188">
        <f t="shared" si="128"/>
        <v>3269</v>
      </c>
      <c r="T1188">
        <f t="shared" si="129"/>
        <v>1222</v>
      </c>
      <c r="U1188">
        <f t="shared" si="130"/>
        <v>2024</v>
      </c>
      <c r="V1188">
        <f t="shared" si="131"/>
        <v>8</v>
      </c>
      <c r="W1188" s="11">
        <f t="shared" si="132"/>
        <v>1</v>
      </c>
    </row>
    <row r="1189" spans="1:23">
      <c r="A1189" t="s">
        <v>1202</v>
      </c>
      <c r="B1189" s="4">
        <v>45493</v>
      </c>
      <c r="C1189" t="s">
        <v>2016</v>
      </c>
      <c r="D1189" t="s">
        <v>2021</v>
      </c>
      <c r="E1189" t="s">
        <v>2028</v>
      </c>
      <c r="F1189" t="s">
        <v>2032</v>
      </c>
      <c r="G1189" t="s">
        <v>2037</v>
      </c>
      <c r="H1189" t="s">
        <v>2038</v>
      </c>
      <c r="I1189">
        <v>3</v>
      </c>
      <c r="J1189">
        <v>6</v>
      </c>
      <c r="K1189">
        <v>3</v>
      </c>
      <c r="L1189" t="s">
        <v>2041</v>
      </c>
      <c r="M1189">
        <v>285</v>
      </c>
      <c r="N1189">
        <v>4056</v>
      </c>
      <c r="O1189">
        <v>8877</v>
      </c>
      <c r="P1189" s="13">
        <f t="shared" si="126"/>
        <v>0</v>
      </c>
      <c r="Q1189" t="str">
        <f t="shared" si="127"/>
        <v>No</v>
      </c>
      <c r="R1189" t="str" cm="1">
        <f t="array" ref="R1189">_xlfn.IFS(K1189=0,"On Time",K1189&lt;=2,"Minor",K1189&lt;=5,"Major",K1189&gt;5,"Severe")</f>
        <v>Major</v>
      </c>
      <c r="S1189">
        <f t="shared" si="128"/>
        <v>2959</v>
      </c>
      <c r="T1189">
        <f t="shared" si="129"/>
        <v>1352</v>
      </c>
      <c r="U1189">
        <f t="shared" si="130"/>
        <v>2024</v>
      </c>
      <c r="V1189">
        <f t="shared" si="131"/>
        <v>7</v>
      </c>
      <c r="W1189" s="11">
        <f t="shared" si="132"/>
        <v>1</v>
      </c>
    </row>
    <row r="1190" spans="1:23">
      <c r="A1190" t="s">
        <v>1203</v>
      </c>
      <c r="B1190" s="4">
        <v>45433</v>
      </c>
      <c r="C1190" t="s">
        <v>2017</v>
      </c>
      <c r="D1190" t="s">
        <v>2022</v>
      </c>
      <c r="E1190" t="s">
        <v>2029</v>
      </c>
      <c r="F1190" t="s">
        <v>2032</v>
      </c>
      <c r="G1190" t="s">
        <v>2035</v>
      </c>
      <c r="H1190" t="s">
        <v>2040</v>
      </c>
      <c r="I1190">
        <v>2</v>
      </c>
      <c r="J1190">
        <v>6</v>
      </c>
      <c r="K1190">
        <v>4</v>
      </c>
      <c r="L1190" t="s">
        <v>2041</v>
      </c>
      <c r="M1190">
        <v>457</v>
      </c>
      <c r="N1190">
        <v>9464</v>
      </c>
      <c r="O1190">
        <v>8408</v>
      </c>
      <c r="P1190" s="13">
        <f t="shared" si="126"/>
        <v>0</v>
      </c>
      <c r="Q1190" t="str">
        <f t="shared" si="127"/>
        <v>No</v>
      </c>
      <c r="R1190" t="str" cm="1">
        <f t="array" ref="R1190">_xlfn.IFS(K1190=0,"On Time",K1190&lt;=2,"Minor",K1190&lt;=5,"Major",K1190&gt;5,"Severe")</f>
        <v>Major</v>
      </c>
      <c r="S1190">
        <f t="shared" si="128"/>
        <v>2102</v>
      </c>
      <c r="T1190">
        <f t="shared" si="129"/>
        <v>2366</v>
      </c>
      <c r="U1190">
        <f t="shared" si="130"/>
        <v>2024</v>
      </c>
      <c r="V1190">
        <f t="shared" si="131"/>
        <v>5</v>
      </c>
      <c r="W1190" s="11">
        <f t="shared" si="132"/>
        <v>1</v>
      </c>
    </row>
    <row r="1191" spans="1:23">
      <c r="A1191" t="s">
        <v>1204</v>
      </c>
      <c r="B1191" s="4">
        <v>45545</v>
      </c>
      <c r="C1191" t="s">
        <v>2016</v>
      </c>
      <c r="D1191" t="s">
        <v>2021</v>
      </c>
      <c r="E1191" t="s">
        <v>2027</v>
      </c>
      <c r="F1191" t="s">
        <v>2030</v>
      </c>
      <c r="G1191" t="s">
        <v>2036</v>
      </c>
      <c r="H1191" t="s">
        <v>2038</v>
      </c>
      <c r="I1191">
        <v>2</v>
      </c>
      <c r="J1191">
        <v>3</v>
      </c>
      <c r="K1191">
        <v>1</v>
      </c>
      <c r="L1191" t="s">
        <v>2041</v>
      </c>
      <c r="M1191">
        <v>479</v>
      </c>
      <c r="N1191">
        <v>2065</v>
      </c>
      <c r="O1191">
        <v>4850</v>
      </c>
      <c r="P1191" s="13">
        <f t="shared" si="126"/>
        <v>0</v>
      </c>
      <c r="Q1191" t="str">
        <f t="shared" si="127"/>
        <v>No</v>
      </c>
      <c r="R1191" t="str" cm="1">
        <f t="array" ref="R1191">_xlfn.IFS(K1191=0,"On Time",K1191&lt;=2,"Minor",K1191&lt;=5,"Major",K1191&gt;5,"Severe")</f>
        <v>Minor</v>
      </c>
      <c r="S1191">
        <f t="shared" si="128"/>
        <v>4850</v>
      </c>
      <c r="T1191">
        <f t="shared" si="129"/>
        <v>2065</v>
      </c>
      <c r="U1191">
        <f t="shared" si="130"/>
        <v>2024</v>
      </c>
      <c r="V1191">
        <f t="shared" si="131"/>
        <v>9</v>
      </c>
      <c r="W1191" s="11">
        <f t="shared" si="132"/>
        <v>1</v>
      </c>
    </row>
    <row r="1192" spans="1:23">
      <c r="A1192" t="s">
        <v>1205</v>
      </c>
      <c r="B1192" s="4">
        <v>45395</v>
      </c>
      <c r="C1192" t="s">
        <v>2018</v>
      </c>
      <c r="D1192" t="s">
        <v>2026</v>
      </c>
      <c r="E1192" t="s">
        <v>2029</v>
      </c>
      <c r="F1192" t="s">
        <v>2031</v>
      </c>
      <c r="G1192" t="s">
        <v>2037</v>
      </c>
      <c r="H1192" t="s">
        <v>2038</v>
      </c>
      <c r="I1192">
        <v>1</v>
      </c>
      <c r="J1192">
        <v>6</v>
      </c>
      <c r="K1192">
        <v>5</v>
      </c>
      <c r="L1192" t="s">
        <v>2041</v>
      </c>
      <c r="M1192">
        <v>158</v>
      </c>
      <c r="N1192">
        <v>4250</v>
      </c>
      <c r="O1192">
        <v>11925</v>
      </c>
      <c r="P1192" s="13">
        <f t="shared" si="126"/>
        <v>0</v>
      </c>
      <c r="Q1192" t="str">
        <f t="shared" si="127"/>
        <v>No</v>
      </c>
      <c r="R1192" t="str" cm="1">
        <f t="array" ref="R1192">_xlfn.IFS(K1192=0,"On Time",K1192&lt;=2,"Minor",K1192&lt;=5,"Major",K1192&gt;5,"Severe")</f>
        <v>Major</v>
      </c>
      <c r="S1192">
        <f t="shared" si="128"/>
        <v>2385</v>
      </c>
      <c r="T1192">
        <f t="shared" si="129"/>
        <v>850</v>
      </c>
      <c r="U1192">
        <f t="shared" si="130"/>
        <v>2024</v>
      </c>
      <c r="V1192">
        <f t="shared" si="131"/>
        <v>4</v>
      </c>
      <c r="W1192" s="11">
        <f t="shared" si="132"/>
        <v>1</v>
      </c>
    </row>
    <row r="1193" spans="1:23">
      <c r="A1193" t="s">
        <v>1206</v>
      </c>
      <c r="B1193" s="4">
        <v>45374</v>
      </c>
      <c r="C1193" t="s">
        <v>2016</v>
      </c>
      <c r="D1193" t="s">
        <v>2025</v>
      </c>
      <c r="E1193" t="s">
        <v>2027</v>
      </c>
      <c r="F1193" t="s">
        <v>2031</v>
      </c>
      <c r="G1193" t="s">
        <v>2033</v>
      </c>
      <c r="H1193" t="s">
        <v>2038</v>
      </c>
      <c r="I1193">
        <v>2</v>
      </c>
      <c r="J1193">
        <v>6</v>
      </c>
      <c r="K1193">
        <v>4</v>
      </c>
      <c r="L1193" t="s">
        <v>2041</v>
      </c>
      <c r="M1193">
        <v>263</v>
      </c>
      <c r="N1193">
        <v>5100</v>
      </c>
      <c r="O1193">
        <v>18868</v>
      </c>
      <c r="P1193" s="13">
        <f t="shared" si="126"/>
        <v>0</v>
      </c>
      <c r="Q1193" t="str">
        <f t="shared" si="127"/>
        <v>No</v>
      </c>
      <c r="R1193" t="str" cm="1">
        <f t="array" ref="R1193">_xlfn.IFS(K1193=0,"On Time",K1193&lt;=2,"Minor",K1193&lt;=5,"Major",K1193&gt;5,"Severe")</f>
        <v>Major</v>
      </c>
      <c r="S1193">
        <f t="shared" si="128"/>
        <v>4717</v>
      </c>
      <c r="T1193">
        <f t="shared" si="129"/>
        <v>1275</v>
      </c>
      <c r="U1193">
        <f t="shared" si="130"/>
        <v>2024</v>
      </c>
      <c r="V1193">
        <f t="shared" si="131"/>
        <v>3</v>
      </c>
      <c r="W1193" s="11">
        <f t="shared" si="132"/>
        <v>1</v>
      </c>
    </row>
    <row r="1194" spans="1:23">
      <c r="A1194" t="s">
        <v>1207</v>
      </c>
      <c r="B1194" s="4">
        <v>45597</v>
      </c>
      <c r="C1194" t="s">
        <v>2015</v>
      </c>
      <c r="D1194" t="s">
        <v>2019</v>
      </c>
      <c r="E1194" t="s">
        <v>2027</v>
      </c>
      <c r="F1194" t="s">
        <v>2030</v>
      </c>
      <c r="G1194" t="s">
        <v>2037</v>
      </c>
      <c r="H1194" t="s">
        <v>2039</v>
      </c>
      <c r="I1194">
        <v>2</v>
      </c>
      <c r="J1194">
        <v>3</v>
      </c>
      <c r="K1194">
        <v>1</v>
      </c>
      <c r="L1194" t="s">
        <v>2041</v>
      </c>
      <c r="M1194">
        <v>356</v>
      </c>
      <c r="N1194">
        <v>1142</v>
      </c>
      <c r="O1194">
        <v>4136</v>
      </c>
      <c r="P1194" s="13">
        <f t="shared" si="126"/>
        <v>0</v>
      </c>
      <c r="Q1194" t="str">
        <f t="shared" si="127"/>
        <v>No</v>
      </c>
      <c r="R1194" t="str" cm="1">
        <f t="array" ref="R1194">_xlfn.IFS(K1194=0,"On Time",K1194&lt;=2,"Minor",K1194&lt;=5,"Major",K1194&gt;5,"Severe")</f>
        <v>Minor</v>
      </c>
      <c r="S1194">
        <f t="shared" si="128"/>
        <v>4136</v>
      </c>
      <c r="T1194">
        <f t="shared" si="129"/>
        <v>1142</v>
      </c>
      <c r="U1194">
        <f t="shared" si="130"/>
        <v>2024</v>
      </c>
      <c r="V1194">
        <f t="shared" si="131"/>
        <v>11</v>
      </c>
      <c r="W1194" s="11">
        <f t="shared" si="132"/>
        <v>1</v>
      </c>
    </row>
    <row r="1195" spans="1:23">
      <c r="A1195" t="s">
        <v>1208</v>
      </c>
      <c r="B1195" s="4">
        <v>45292</v>
      </c>
      <c r="C1195" t="s">
        <v>2015</v>
      </c>
      <c r="D1195" t="s">
        <v>2020</v>
      </c>
      <c r="E1195" t="s">
        <v>2027</v>
      </c>
      <c r="F1195" t="s">
        <v>2031</v>
      </c>
      <c r="G1195" t="s">
        <v>2037</v>
      </c>
      <c r="H1195" t="s">
        <v>2039</v>
      </c>
      <c r="I1195">
        <v>2</v>
      </c>
      <c r="J1195">
        <v>4</v>
      </c>
      <c r="K1195">
        <v>2</v>
      </c>
      <c r="L1195" t="s">
        <v>2041</v>
      </c>
      <c r="M1195">
        <v>409</v>
      </c>
      <c r="N1195">
        <v>3244</v>
      </c>
      <c r="O1195">
        <v>7780</v>
      </c>
      <c r="P1195" s="13">
        <f t="shared" si="126"/>
        <v>0</v>
      </c>
      <c r="Q1195" t="str">
        <f t="shared" si="127"/>
        <v>No</v>
      </c>
      <c r="R1195" t="str" cm="1">
        <f t="array" ref="R1195">_xlfn.IFS(K1195=0,"On Time",K1195&lt;=2,"Minor",K1195&lt;=5,"Major",K1195&gt;5,"Severe")</f>
        <v>Minor</v>
      </c>
      <c r="S1195">
        <f t="shared" si="128"/>
        <v>3890</v>
      </c>
      <c r="T1195">
        <f t="shared" si="129"/>
        <v>1622</v>
      </c>
      <c r="U1195">
        <f t="shared" si="130"/>
        <v>2024</v>
      </c>
      <c r="V1195">
        <f t="shared" si="131"/>
        <v>1</v>
      </c>
      <c r="W1195" s="11">
        <f t="shared" si="132"/>
        <v>1</v>
      </c>
    </row>
    <row r="1196" spans="1:23">
      <c r="A1196" t="s">
        <v>1209</v>
      </c>
      <c r="B1196" s="4">
        <v>45332</v>
      </c>
      <c r="C1196" t="s">
        <v>2017</v>
      </c>
      <c r="D1196" t="s">
        <v>2022</v>
      </c>
      <c r="E1196" t="s">
        <v>2027</v>
      </c>
      <c r="F1196" t="s">
        <v>2030</v>
      </c>
      <c r="G1196" t="s">
        <v>2036</v>
      </c>
      <c r="H1196" t="s">
        <v>2038</v>
      </c>
      <c r="I1196">
        <v>1</v>
      </c>
      <c r="J1196">
        <v>3</v>
      </c>
      <c r="K1196">
        <v>2</v>
      </c>
      <c r="L1196" t="s">
        <v>2041</v>
      </c>
      <c r="M1196">
        <v>98</v>
      </c>
      <c r="N1196">
        <v>4638</v>
      </c>
      <c r="O1196">
        <v>3274</v>
      </c>
      <c r="P1196" s="13">
        <f t="shared" si="126"/>
        <v>0</v>
      </c>
      <c r="Q1196" t="str">
        <f t="shared" si="127"/>
        <v>No</v>
      </c>
      <c r="R1196" t="str" cm="1">
        <f t="array" ref="R1196">_xlfn.IFS(K1196=0,"On Time",K1196&lt;=2,"Minor",K1196&lt;=5,"Major",K1196&gt;5,"Severe")</f>
        <v>Minor</v>
      </c>
      <c r="S1196">
        <f t="shared" si="128"/>
        <v>1637</v>
      </c>
      <c r="T1196">
        <f t="shared" si="129"/>
        <v>2319</v>
      </c>
      <c r="U1196">
        <f t="shared" si="130"/>
        <v>2024</v>
      </c>
      <c r="V1196">
        <f t="shared" si="131"/>
        <v>2</v>
      </c>
      <c r="W1196" s="11">
        <f t="shared" si="132"/>
        <v>1</v>
      </c>
    </row>
    <row r="1197" spans="1:23">
      <c r="A1197" t="s">
        <v>1210</v>
      </c>
      <c r="B1197" s="4">
        <v>45313</v>
      </c>
      <c r="C1197" t="s">
        <v>2016</v>
      </c>
      <c r="D1197" t="s">
        <v>2021</v>
      </c>
      <c r="E1197" t="s">
        <v>2027</v>
      </c>
      <c r="F1197" t="s">
        <v>2030</v>
      </c>
      <c r="G1197" t="s">
        <v>2034</v>
      </c>
      <c r="H1197" t="s">
        <v>2038</v>
      </c>
      <c r="I1197">
        <v>3</v>
      </c>
      <c r="J1197">
        <v>7</v>
      </c>
      <c r="K1197">
        <v>4</v>
      </c>
      <c r="L1197" t="s">
        <v>2041</v>
      </c>
      <c r="M1197">
        <v>212</v>
      </c>
      <c r="N1197">
        <v>4652</v>
      </c>
      <c r="O1197">
        <v>14220</v>
      </c>
      <c r="P1197" s="13">
        <f t="shared" si="126"/>
        <v>0</v>
      </c>
      <c r="Q1197" t="str">
        <f t="shared" si="127"/>
        <v>No</v>
      </c>
      <c r="R1197" t="str" cm="1">
        <f t="array" ref="R1197">_xlfn.IFS(K1197=0,"On Time",K1197&lt;=2,"Minor",K1197&lt;=5,"Major",K1197&gt;5,"Severe")</f>
        <v>Major</v>
      </c>
      <c r="S1197">
        <f t="shared" si="128"/>
        <v>3555</v>
      </c>
      <c r="T1197">
        <f t="shared" si="129"/>
        <v>1163</v>
      </c>
      <c r="U1197">
        <f t="shared" si="130"/>
        <v>2024</v>
      </c>
      <c r="V1197">
        <f t="shared" si="131"/>
        <v>1</v>
      </c>
      <c r="W1197" s="11">
        <f t="shared" si="132"/>
        <v>1</v>
      </c>
    </row>
    <row r="1198" spans="1:23">
      <c r="A1198" t="s">
        <v>1211</v>
      </c>
      <c r="B1198" s="4">
        <v>45448</v>
      </c>
      <c r="C1198" t="s">
        <v>2016</v>
      </c>
      <c r="D1198" t="s">
        <v>2025</v>
      </c>
      <c r="E1198" t="s">
        <v>2028</v>
      </c>
      <c r="F1198" t="s">
        <v>2031</v>
      </c>
      <c r="G1198" t="s">
        <v>2037</v>
      </c>
      <c r="H1198" t="s">
        <v>2038</v>
      </c>
      <c r="I1198">
        <v>1</v>
      </c>
      <c r="J1198">
        <v>4</v>
      </c>
      <c r="K1198">
        <v>3</v>
      </c>
      <c r="L1198" t="s">
        <v>2041</v>
      </c>
      <c r="M1198">
        <v>270</v>
      </c>
      <c r="N1198">
        <v>7119</v>
      </c>
      <c r="O1198">
        <v>8841</v>
      </c>
      <c r="P1198" s="13">
        <f t="shared" si="126"/>
        <v>0</v>
      </c>
      <c r="Q1198" t="str">
        <f t="shared" si="127"/>
        <v>No</v>
      </c>
      <c r="R1198" t="str" cm="1">
        <f t="array" ref="R1198">_xlfn.IFS(K1198=0,"On Time",K1198&lt;=2,"Minor",K1198&lt;=5,"Major",K1198&gt;5,"Severe")</f>
        <v>Major</v>
      </c>
      <c r="S1198">
        <f t="shared" si="128"/>
        <v>2947</v>
      </c>
      <c r="T1198">
        <f t="shared" si="129"/>
        <v>2373</v>
      </c>
      <c r="U1198">
        <f t="shared" si="130"/>
        <v>2024</v>
      </c>
      <c r="V1198">
        <f t="shared" si="131"/>
        <v>6</v>
      </c>
      <c r="W1198" s="11">
        <f t="shared" si="132"/>
        <v>1</v>
      </c>
    </row>
    <row r="1199" spans="1:23">
      <c r="A1199" t="s">
        <v>1212</v>
      </c>
      <c r="B1199" s="4">
        <v>45560</v>
      </c>
      <c r="C1199" t="s">
        <v>2017</v>
      </c>
      <c r="D1199" t="s">
        <v>2022</v>
      </c>
      <c r="E1199" t="s">
        <v>2029</v>
      </c>
      <c r="F1199" t="s">
        <v>2031</v>
      </c>
      <c r="G1199" t="s">
        <v>2033</v>
      </c>
      <c r="H1199" t="s">
        <v>2039</v>
      </c>
      <c r="I1199">
        <v>2</v>
      </c>
      <c r="J1199">
        <v>3</v>
      </c>
      <c r="K1199">
        <v>1</v>
      </c>
      <c r="L1199" t="s">
        <v>2041</v>
      </c>
      <c r="M1199">
        <v>235</v>
      </c>
      <c r="N1199">
        <v>2474</v>
      </c>
      <c r="O1199">
        <v>4536</v>
      </c>
      <c r="P1199" s="13">
        <f t="shared" si="126"/>
        <v>0</v>
      </c>
      <c r="Q1199" t="str">
        <f t="shared" si="127"/>
        <v>No</v>
      </c>
      <c r="R1199" t="str" cm="1">
        <f t="array" ref="R1199">_xlfn.IFS(K1199=0,"On Time",K1199&lt;=2,"Minor",K1199&lt;=5,"Major",K1199&gt;5,"Severe")</f>
        <v>Minor</v>
      </c>
      <c r="S1199">
        <f t="shared" si="128"/>
        <v>4536</v>
      </c>
      <c r="T1199">
        <f t="shared" si="129"/>
        <v>2474</v>
      </c>
      <c r="U1199">
        <f t="shared" si="130"/>
        <v>2024</v>
      </c>
      <c r="V1199">
        <f t="shared" si="131"/>
        <v>9</v>
      </c>
      <c r="W1199" s="11">
        <f t="shared" si="132"/>
        <v>1</v>
      </c>
    </row>
    <row r="1200" spans="1:23">
      <c r="A1200" t="s">
        <v>1213</v>
      </c>
      <c r="B1200" s="4">
        <v>45437</v>
      </c>
      <c r="C1200" t="s">
        <v>2016</v>
      </c>
      <c r="D1200" t="s">
        <v>2025</v>
      </c>
      <c r="E1200" t="s">
        <v>2027</v>
      </c>
      <c r="F1200" t="s">
        <v>2032</v>
      </c>
      <c r="G1200" t="s">
        <v>2037</v>
      </c>
      <c r="H1200" t="s">
        <v>2038</v>
      </c>
      <c r="I1200">
        <v>2</v>
      </c>
      <c r="J1200">
        <v>6</v>
      </c>
      <c r="K1200">
        <v>4</v>
      </c>
      <c r="L1200" t="s">
        <v>2041</v>
      </c>
      <c r="M1200">
        <v>55</v>
      </c>
      <c r="N1200">
        <v>5996</v>
      </c>
      <c r="O1200">
        <v>16320</v>
      </c>
      <c r="P1200" s="13">
        <f t="shared" si="126"/>
        <v>0</v>
      </c>
      <c r="Q1200" t="str">
        <f t="shared" si="127"/>
        <v>No</v>
      </c>
      <c r="R1200" t="str" cm="1">
        <f t="array" ref="R1200">_xlfn.IFS(K1200=0,"On Time",K1200&lt;=2,"Minor",K1200&lt;=5,"Major",K1200&gt;5,"Severe")</f>
        <v>Major</v>
      </c>
      <c r="S1200">
        <f t="shared" si="128"/>
        <v>4080</v>
      </c>
      <c r="T1200">
        <f t="shared" si="129"/>
        <v>1499</v>
      </c>
      <c r="U1200">
        <f t="shared" si="130"/>
        <v>2024</v>
      </c>
      <c r="V1200">
        <f t="shared" si="131"/>
        <v>5</v>
      </c>
      <c r="W1200" s="11">
        <f t="shared" si="132"/>
        <v>1</v>
      </c>
    </row>
    <row r="1201" spans="1:23">
      <c r="A1201" t="s">
        <v>1214</v>
      </c>
      <c r="B1201" s="4">
        <v>45381</v>
      </c>
      <c r="C1201" t="s">
        <v>2015</v>
      </c>
      <c r="D1201" t="s">
        <v>2020</v>
      </c>
      <c r="E1201" t="s">
        <v>2027</v>
      </c>
      <c r="F1201" t="s">
        <v>2031</v>
      </c>
      <c r="G1201" t="s">
        <v>2033</v>
      </c>
      <c r="H1201" t="s">
        <v>2039</v>
      </c>
      <c r="I1201">
        <v>1</v>
      </c>
      <c r="J1201">
        <v>4</v>
      </c>
      <c r="K1201">
        <v>3</v>
      </c>
      <c r="L1201" t="s">
        <v>2041</v>
      </c>
      <c r="M1201">
        <v>246</v>
      </c>
      <c r="N1201">
        <v>4698</v>
      </c>
      <c r="O1201">
        <v>8826</v>
      </c>
      <c r="P1201" s="13">
        <f t="shared" si="126"/>
        <v>0</v>
      </c>
      <c r="Q1201" t="str">
        <f t="shared" si="127"/>
        <v>No</v>
      </c>
      <c r="R1201" t="str" cm="1">
        <f t="array" ref="R1201">_xlfn.IFS(K1201=0,"On Time",K1201&lt;=2,"Minor",K1201&lt;=5,"Major",K1201&gt;5,"Severe")</f>
        <v>Major</v>
      </c>
      <c r="S1201">
        <f t="shared" si="128"/>
        <v>2942</v>
      </c>
      <c r="T1201">
        <f t="shared" si="129"/>
        <v>1566</v>
      </c>
      <c r="U1201">
        <f t="shared" si="130"/>
        <v>2024</v>
      </c>
      <c r="V1201">
        <f t="shared" si="131"/>
        <v>3</v>
      </c>
      <c r="W1201" s="11">
        <f t="shared" si="132"/>
        <v>1</v>
      </c>
    </row>
    <row r="1202" spans="1:23">
      <c r="A1202" t="s">
        <v>1215</v>
      </c>
      <c r="B1202" s="4">
        <v>45465</v>
      </c>
      <c r="C1202" t="s">
        <v>2018</v>
      </c>
      <c r="D1202" t="s">
        <v>2026</v>
      </c>
      <c r="E1202" t="s">
        <v>2029</v>
      </c>
      <c r="F1202" t="s">
        <v>2031</v>
      </c>
      <c r="G1202" t="s">
        <v>2036</v>
      </c>
      <c r="H1202" t="s">
        <v>2038</v>
      </c>
      <c r="I1202">
        <v>3</v>
      </c>
      <c r="J1202">
        <v>8</v>
      </c>
      <c r="K1202">
        <v>5</v>
      </c>
      <c r="L1202" t="s">
        <v>2041</v>
      </c>
      <c r="M1202">
        <v>450</v>
      </c>
      <c r="N1202">
        <v>7120</v>
      </c>
      <c r="O1202">
        <v>15770</v>
      </c>
      <c r="P1202" s="13">
        <f t="shared" si="126"/>
        <v>0</v>
      </c>
      <c r="Q1202" t="str">
        <f t="shared" si="127"/>
        <v>No</v>
      </c>
      <c r="R1202" t="str" cm="1">
        <f t="array" ref="R1202">_xlfn.IFS(K1202=0,"On Time",K1202&lt;=2,"Minor",K1202&lt;=5,"Major",K1202&gt;5,"Severe")</f>
        <v>Major</v>
      </c>
      <c r="S1202">
        <f t="shared" si="128"/>
        <v>3154</v>
      </c>
      <c r="T1202">
        <f t="shared" si="129"/>
        <v>1424</v>
      </c>
      <c r="U1202">
        <f t="shared" si="130"/>
        <v>2024</v>
      </c>
      <c r="V1202">
        <f t="shared" si="131"/>
        <v>6</v>
      </c>
      <c r="W1202" s="11">
        <f t="shared" si="132"/>
        <v>1</v>
      </c>
    </row>
    <row r="1203" spans="1:23">
      <c r="A1203" t="s">
        <v>1216</v>
      </c>
      <c r="B1203" s="4">
        <v>45524</v>
      </c>
      <c r="C1203" t="s">
        <v>2018</v>
      </c>
      <c r="D1203" t="s">
        <v>2026</v>
      </c>
      <c r="E1203" t="s">
        <v>2028</v>
      </c>
      <c r="F1203" t="s">
        <v>2032</v>
      </c>
      <c r="G1203" t="s">
        <v>2035</v>
      </c>
      <c r="H1203" t="s">
        <v>2040</v>
      </c>
      <c r="I1203">
        <v>1</v>
      </c>
      <c r="J1203">
        <v>7</v>
      </c>
      <c r="K1203">
        <v>6</v>
      </c>
      <c r="L1203" t="s">
        <v>2041</v>
      </c>
      <c r="M1203">
        <v>456</v>
      </c>
      <c r="N1203">
        <v>7416</v>
      </c>
      <c r="O1203">
        <v>21324</v>
      </c>
      <c r="P1203" s="13">
        <f t="shared" si="126"/>
        <v>0</v>
      </c>
      <c r="Q1203" t="str">
        <f t="shared" si="127"/>
        <v>No</v>
      </c>
      <c r="R1203" t="str" cm="1">
        <f t="array" ref="R1203">_xlfn.IFS(K1203=0,"On Time",K1203&lt;=2,"Minor",K1203&lt;=5,"Major",K1203&gt;5,"Severe")</f>
        <v>Severe</v>
      </c>
      <c r="S1203">
        <f t="shared" si="128"/>
        <v>3554</v>
      </c>
      <c r="T1203">
        <f t="shared" si="129"/>
        <v>1236</v>
      </c>
      <c r="U1203">
        <f t="shared" si="130"/>
        <v>2024</v>
      </c>
      <c r="V1203">
        <f t="shared" si="131"/>
        <v>8</v>
      </c>
      <c r="W1203" s="11">
        <f t="shared" si="132"/>
        <v>1</v>
      </c>
    </row>
    <row r="1204" spans="1:23">
      <c r="A1204" t="s">
        <v>1217</v>
      </c>
      <c r="B1204" s="4">
        <v>45313</v>
      </c>
      <c r="C1204" t="s">
        <v>2018</v>
      </c>
      <c r="D1204" t="s">
        <v>2026</v>
      </c>
      <c r="E1204" t="s">
        <v>2029</v>
      </c>
      <c r="F1204" t="s">
        <v>2031</v>
      </c>
      <c r="G1204" t="s">
        <v>2035</v>
      </c>
      <c r="H1204" t="s">
        <v>2038</v>
      </c>
      <c r="I1204">
        <v>2</v>
      </c>
      <c r="J1204">
        <v>6</v>
      </c>
      <c r="K1204">
        <v>4</v>
      </c>
      <c r="L1204" t="s">
        <v>2041</v>
      </c>
      <c r="M1204">
        <v>171</v>
      </c>
      <c r="N1204">
        <v>4616</v>
      </c>
      <c r="O1204">
        <v>6680</v>
      </c>
      <c r="P1204" s="13">
        <f t="shared" si="126"/>
        <v>0</v>
      </c>
      <c r="Q1204" t="str">
        <f t="shared" si="127"/>
        <v>No</v>
      </c>
      <c r="R1204" t="str" cm="1">
        <f t="array" ref="R1204">_xlfn.IFS(K1204=0,"On Time",K1204&lt;=2,"Minor",K1204&lt;=5,"Major",K1204&gt;5,"Severe")</f>
        <v>Major</v>
      </c>
      <c r="S1204">
        <f t="shared" si="128"/>
        <v>1670</v>
      </c>
      <c r="T1204">
        <f t="shared" si="129"/>
        <v>1154</v>
      </c>
      <c r="U1204">
        <f t="shared" si="130"/>
        <v>2024</v>
      </c>
      <c r="V1204">
        <f t="shared" si="131"/>
        <v>1</v>
      </c>
      <c r="W1204" s="11">
        <f t="shared" si="132"/>
        <v>1</v>
      </c>
    </row>
    <row r="1205" spans="1:23">
      <c r="A1205" t="s">
        <v>1218</v>
      </c>
      <c r="B1205" s="4">
        <v>45429</v>
      </c>
      <c r="C1205" t="s">
        <v>2015</v>
      </c>
      <c r="D1205" t="s">
        <v>2020</v>
      </c>
      <c r="E1205" t="s">
        <v>2029</v>
      </c>
      <c r="F1205" t="s">
        <v>2030</v>
      </c>
      <c r="G1205" t="s">
        <v>2037</v>
      </c>
      <c r="H1205" t="s">
        <v>2038</v>
      </c>
      <c r="I1205">
        <v>1</v>
      </c>
      <c r="J1205">
        <v>6</v>
      </c>
      <c r="K1205">
        <v>5</v>
      </c>
      <c r="L1205" t="s">
        <v>2041</v>
      </c>
      <c r="M1205">
        <v>335</v>
      </c>
      <c r="N1205">
        <v>11865</v>
      </c>
      <c r="O1205">
        <v>10900</v>
      </c>
      <c r="P1205" s="13">
        <f t="shared" si="126"/>
        <v>0</v>
      </c>
      <c r="Q1205" t="str">
        <f t="shared" si="127"/>
        <v>No</v>
      </c>
      <c r="R1205" t="str" cm="1">
        <f t="array" ref="R1205">_xlfn.IFS(K1205=0,"On Time",K1205&lt;=2,"Minor",K1205&lt;=5,"Major",K1205&gt;5,"Severe")</f>
        <v>Major</v>
      </c>
      <c r="S1205">
        <f t="shared" si="128"/>
        <v>2180</v>
      </c>
      <c r="T1205">
        <f t="shared" si="129"/>
        <v>2373</v>
      </c>
      <c r="U1205">
        <f t="shared" si="130"/>
        <v>2024</v>
      </c>
      <c r="V1205">
        <f t="shared" si="131"/>
        <v>5</v>
      </c>
      <c r="W1205" s="11">
        <f t="shared" si="132"/>
        <v>1</v>
      </c>
    </row>
    <row r="1206" spans="1:23">
      <c r="A1206" t="s">
        <v>1219</v>
      </c>
      <c r="B1206" s="4">
        <v>45340</v>
      </c>
      <c r="C1206" t="s">
        <v>2018</v>
      </c>
      <c r="D1206" t="s">
        <v>2024</v>
      </c>
      <c r="E1206" t="s">
        <v>2029</v>
      </c>
      <c r="F1206" t="s">
        <v>2032</v>
      </c>
      <c r="G1206" t="s">
        <v>2037</v>
      </c>
      <c r="H1206" t="s">
        <v>2038</v>
      </c>
      <c r="I1206">
        <v>2</v>
      </c>
      <c r="J1206">
        <v>8</v>
      </c>
      <c r="K1206">
        <v>6</v>
      </c>
      <c r="L1206" t="s">
        <v>2041</v>
      </c>
      <c r="M1206">
        <v>176</v>
      </c>
      <c r="N1206">
        <v>8298</v>
      </c>
      <c r="O1206">
        <v>26856</v>
      </c>
      <c r="P1206" s="13">
        <f t="shared" si="126"/>
        <v>0</v>
      </c>
      <c r="Q1206" t="str">
        <f t="shared" si="127"/>
        <v>No</v>
      </c>
      <c r="R1206" t="str" cm="1">
        <f t="array" ref="R1206">_xlfn.IFS(K1206=0,"On Time",K1206&lt;=2,"Minor",K1206&lt;=5,"Major",K1206&gt;5,"Severe")</f>
        <v>Severe</v>
      </c>
      <c r="S1206">
        <f t="shared" si="128"/>
        <v>4476</v>
      </c>
      <c r="T1206">
        <f t="shared" si="129"/>
        <v>1383</v>
      </c>
      <c r="U1206">
        <f t="shared" si="130"/>
        <v>2024</v>
      </c>
      <c r="V1206">
        <f t="shared" si="131"/>
        <v>2</v>
      </c>
      <c r="W1206" s="11">
        <f t="shared" si="132"/>
        <v>1</v>
      </c>
    </row>
    <row r="1207" spans="1:23">
      <c r="A1207" t="s">
        <v>1220</v>
      </c>
      <c r="B1207" s="4">
        <v>45550</v>
      </c>
      <c r="C1207" t="s">
        <v>2018</v>
      </c>
      <c r="D1207" t="s">
        <v>2024</v>
      </c>
      <c r="E1207" t="s">
        <v>2028</v>
      </c>
      <c r="F1207" t="s">
        <v>2031</v>
      </c>
      <c r="G1207" t="s">
        <v>2034</v>
      </c>
      <c r="H1207" t="s">
        <v>2040</v>
      </c>
      <c r="I1207">
        <v>2</v>
      </c>
      <c r="J1207">
        <v>9</v>
      </c>
      <c r="K1207">
        <v>7</v>
      </c>
      <c r="L1207" t="s">
        <v>2041</v>
      </c>
      <c r="M1207">
        <v>344</v>
      </c>
      <c r="N1207">
        <v>11389</v>
      </c>
      <c r="O1207">
        <v>22351</v>
      </c>
      <c r="P1207" s="13">
        <f t="shared" si="126"/>
        <v>0</v>
      </c>
      <c r="Q1207" t="str">
        <f t="shared" si="127"/>
        <v>No</v>
      </c>
      <c r="R1207" t="str" cm="1">
        <f t="array" ref="R1207">_xlfn.IFS(K1207=0,"On Time",K1207&lt;=2,"Minor",K1207&lt;=5,"Major",K1207&gt;5,"Severe")</f>
        <v>Severe</v>
      </c>
      <c r="S1207">
        <f t="shared" si="128"/>
        <v>3193</v>
      </c>
      <c r="T1207">
        <f t="shared" si="129"/>
        <v>1627</v>
      </c>
      <c r="U1207">
        <f t="shared" si="130"/>
        <v>2024</v>
      </c>
      <c r="V1207">
        <f t="shared" si="131"/>
        <v>9</v>
      </c>
      <c r="W1207" s="11">
        <f t="shared" si="132"/>
        <v>1</v>
      </c>
    </row>
    <row r="1208" spans="1:23">
      <c r="A1208" t="s">
        <v>1221</v>
      </c>
      <c r="B1208" s="4">
        <v>45336</v>
      </c>
      <c r="C1208" t="s">
        <v>2016</v>
      </c>
      <c r="D1208" t="s">
        <v>2025</v>
      </c>
      <c r="E1208" t="s">
        <v>2027</v>
      </c>
      <c r="F1208" t="s">
        <v>2032</v>
      </c>
      <c r="G1208" t="s">
        <v>2037</v>
      </c>
      <c r="H1208" t="s">
        <v>2039</v>
      </c>
      <c r="I1208">
        <v>3</v>
      </c>
      <c r="J1208">
        <v>5</v>
      </c>
      <c r="K1208">
        <v>2</v>
      </c>
      <c r="L1208" t="s">
        <v>2041</v>
      </c>
      <c r="M1208">
        <v>166</v>
      </c>
      <c r="N1208">
        <v>4102</v>
      </c>
      <c r="O1208">
        <v>8676</v>
      </c>
      <c r="P1208" s="13">
        <f t="shared" si="126"/>
        <v>0</v>
      </c>
      <c r="Q1208" t="str">
        <f t="shared" si="127"/>
        <v>No</v>
      </c>
      <c r="R1208" t="str" cm="1">
        <f t="array" ref="R1208">_xlfn.IFS(K1208=0,"On Time",K1208&lt;=2,"Minor",K1208&lt;=5,"Major",K1208&gt;5,"Severe")</f>
        <v>Minor</v>
      </c>
      <c r="S1208">
        <f t="shared" si="128"/>
        <v>4338</v>
      </c>
      <c r="T1208">
        <f t="shared" si="129"/>
        <v>2051</v>
      </c>
      <c r="U1208">
        <f t="shared" si="130"/>
        <v>2024</v>
      </c>
      <c r="V1208">
        <f t="shared" si="131"/>
        <v>2</v>
      </c>
      <c r="W1208" s="11">
        <f t="shared" si="132"/>
        <v>1</v>
      </c>
    </row>
    <row r="1209" spans="1:23">
      <c r="A1209" t="s">
        <v>1222</v>
      </c>
      <c r="B1209" s="4">
        <v>45308</v>
      </c>
      <c r="C1209" t="s">
        <v>2018</v>
      </c>
      <c r="D1209" t="s">
        <v>2026</v>
      </c>
      <c r="E1209" t="s">
        <v>2029</v>
      </c>
      <c r="F1209" t="s">
        <v>2032</v>
      </c>
      <c r="G1209" t="s">
        <v>2037</v>
      </c>
      <c r="H1209" t="s">
        <v>2039</v>
      </c>
      <c r="I1209">
        <v>3</v>
      </c>
      <c r="J1209">
        <v>6</v>
      </c>
      <c r="K1209">
        <v>3</v>
      </c>
      <c r="L1209" t="s">
        <v>2041</v>
      </c>
      <c r="M1209">
        <v>437</v>
      </c>
      <c r="N1209">
        <v>7296</v>
      </c>
      <c r="O1209">
        <v>7872</v>
      </c>
      <c r="P1209" s="13">
        <f t="shared" si="126"/>
        <v>0</v>
      </c>
      <c r="Q1209" t="str">
        <f t="shared" si="127"/>
        <v>No</v>
      </c>
      <c r="R1209" t="str" cm="1">
        <f t="array" ref="R1209">_xlfn.IFS(K1209=0,"On Time",K1209&lt;=2,"Minor",K1209&lt;=5,"Major",K1209&gt;5,"Severe")</f>
        <v>Major</v>
      </c>
      <c r="S1209">
        <f t="shared" si="128"/>
        <v>2624</v>
      </c>
      <c r="T1209">
        <f t="shared" si="129"/>
        <v>2432</v>
      </c>
      <c r="U1209">
        <f t="shared" si="130"/>
        <v>2024</v>
      </c>
      <c r="V1209">
        <f t="shared" si="131"/>
        <v>1</v>
      </c>
      <c r="W1209" s="11">
        <f t="shared" si="132"/>
        <v>1</v>
      </c>
    </row>
    <row r="1210" spans="1:23">
      <c r="A1210" t="s">
        <v>1223</v>
      </c>
      <c r="B1210" s="4">
        <v>45469</v>
      </c>
      <c r="C1210" t="s">
        <v>2018</v>
      </c>
      <c r="D1210" t="s">
        <v>2024</v>
      </c>
      <c r="E1210" t="s">
        <v>2029</v>
      </c>
      <c r="F1210" t="s">
        <v>2031</v>
      </c>
      <c r="G1210" t="s">
        <v>2036</v>
      </c>
      <c r="H1210" t="s">
        <v>2039</v>
      </c>
      <c r="I1210">
        <v>2</v>
      </c>
      <c r="J1210">
        <v>7</v>
      </c>
      <c r="K1210">
        <v>5</v>
      </c>
      <c r="L1210" t="s">
        <v>2041</v>
      </c>
      <c r="M1210">
        <v>151</v>
      </c>
      <c r="N1210">
        <v>11275</v>
      </c>
      <c r="O1210">
        <v>8205</v>
      </c>
      <c r="P1210" s="13">
        <f t="shared" si="126"/>
        <v>0</v>
      </c>
      <c r="Q1210" t="str">
        <f t="shared" si="127"/>
        <v>No</v>
      </c>
      <c r="R1210" t="str" cm="1">
        <f t="array" ref="R1210">_xlfn.IFS(K1210=0,"On Time",K1210&lt;=2,"Minor",K1210&lt;=5,"Major",K1210&gt;5,"Severe")</f>
        <v>Major</v>
      </c>
      <c r="S1210">
        <f t="shared" si="128"/>
        <v>1641</v>
      </c>
      <c r="T1210">
        <f t="shared" si="129"/>
        <v>2255</v>
      </c>
      <c r="U1210">
        <f t="shared" si="130"/>
        <v>2024</v>
      </c>
      <c r="V1210">
        <f t="shared" si="131"/>
        <v>6</v>
      </c>
      <c r="W1210" s="11">
        <f t="shared" si="132"/>
        <v>1</v>
      </c>
    </row>
    <row r="1211" spans="1:23">
      <c r="A1211" t="s">
        <v>1224</v>
      </c>
      <c r="B1211" s="4">
        <v>45474</v>
      </c>
      <c r="C1211" t="s">
        <v>2016</v>
      </c>
      <c r="D1211" t="s">
        <v>2025</v>
      </c>
      <c r="E1211" t="s">
        <v>2029</v>
      </c>
      <c r="F1211" t="s">
        <v>2031</v>
      </c>
      <c r="G1211" t="s">
        <v>2033</v>
      </c>
      <c r="H1211" t="s">
        <v>2039</v>
      </c>
      <c r="I1211">
        <v>2</v>
      </c>
      <c r="J1211">
        <v>7</v>
      </c>
      <c r="K1211">
        <v>5</v>
      </c>
      <c r="L1211" t="s">
        <v>2041</v>
      </c>
      <c r="M1211">
        <v>466</v>
      </c>
      <c r="N1211">
        <v>8245</v>
      </c>
      <c r="O1211">
        <v>16945</v>
      </c>
      <c r="P1211" s="13">
        <f t="shared" si="126"/>
        <v>0</v>
      </c>
      <c r="Q1211" t="str">
        <f t="shared" si="127"/>
        <v>No</v>
      </c>
      <c r="R1211" t="str" cm="1">
        <f t="array" ref="R1211">_xlfn.IFS(K1211=0,"On Time",K1211&lt;=2,"Minor",K1211&lt;=5,"Major",K1211&gt;5,"Severe")</f>
        <v>Major</v>
      </c>
      <c r="S1211">
        <f t="shared" si="128"/>
        <v>3389</v>
      </c>
      <c r="T1211">
        <f t="shared" si="129"/>
        <v>1649</v>
      </c>
      <c r="U1211">
        <f t="shared" si="130"/>
        <v>2024</v>
      </c>
      <c r="V1211">
        <f t="shared" si="131"/>
        <v>7</v>
      </c>
      <c r="W1211" s="11">
        <f t="shared" si="132"/>
        <v>1</v>
      </c>
    </row>
    <row r="1212" spans="1:23">
      <c r="A1212" t="s">
        <v>1225</v>
      </c>
      <c r="B1212" s="4">
        <v>45349</v>
      </c>
      <c r="C1212" t="s">
        <v>2018</v>
      </c>
      <c r="D1212" t="s">
        <v>2026</v>
      </c>
      <c r="E1212" t="s">
        <v>2027</v>
      </c>
      <c r="F1212" t="s">
        <v>2032</v>
      </c>
      <c r="G1212" t="s">
        <v>2037</v>
      </c>
      <c r="H1212" t="s">
        <v>2040</v>
      </c>
      <c r="I1212">
        <v>3</v>
      </c>
      <c r="J1212">
        <v>10</v>
      </c>
      <c r="K1212">
        <v>7</v>
      </c>
      <c r="L1212" t="s">
        <v>2041</v>
      </c>
      <c r="M1212">
        <v>220</v>
      </c>
      <c r="N1212">
        <v>8134</v>
      </c>
      <c r="O1212">
        <v>30506</v>
      </c>
      <c r="P1212" s="13">
        <f t="shared" si="126"/>
        <v>0</v>
      </c>
      <c r="Q1212" t="str">
        <f t="shared" si="127"/>
        <v>No</v>
      </c>
      <c r="R1212" t="str" cm="1">
        <f t="array" ref="R1212">_xlfn.IFS(K1212=0,"On Time",K1212&lt;=2,"Minor",K1212&lt;=5,"Major",K1212&gt;5,"Severe")</f>
        <v>Severe</v>
      </c>
      <c r="S1212">
        <f t="shared" si="128"/>
        <v>4358</v>
      </c>
      <c r="T1212">
        <f t="shared" si="129"/>
        <v>1162</v>
      </c>
      <c r="U1212">
        <f t="shared" si="130"/>
        <v>2024</v>
      </c>
      <c r="V1212">
        <f t="shared" si="131"/>
        <v>2</v>
      </c>
      <c r="W1212" s="11">
        <f t="shared" si="132"/>
        <v>1</v>
      </c>
    </row>
    <row r="1213" spans="1:23">
      <c r="A1213" t="s">
        <v>1226</v>
      </c>
      <c r="B1213" s="4">
        <v>45489</v>
      </c>
      <c r="C1213" t="s">
        <v>2016</v>
      </c>
      <c r="D1213" t="s">
        <v>2025</v>
      </c>
      <c r="E1213" t="s">
        <v>2029</v>
      </c>
      <c r="F1213" t="s">
        <v>2032</v>
      </c>
      <c r="G1213" t="s">
        <v>2037</v>
      </c>
      <c r="H1213" t="s">
        <v>2038</v>
      </c>
      <c r="I1213">
        <v>1</v>
      </c>
      <c r="J1213">
        <v>2</v>
      </c>
      <c r="K1213">
        <v>1</v>
      </c>
      <c r="L1213" t="s">
        <v>2041</v>
      </c>
      <c r="M1213">
        <v>221</v>
      </c>
      <c r="N1213">
        <v>2270</v>
      </c>
      <c r="O1213">
        <v>1968</v>
      </c>
      <c r="P1213" s="13">
        <f t="shared" si="126"/>
        <v>0</v>
      </c>
      <c r="Q1213" t="str">
        <f t="shared" si="127"/>
        <v>No</v>
      </c>
      <c r="R1213" t="str" cm="1">
        <f t="array" ref="R1213">_xlfn.IFS(K1213=0,"On Time",K1213&lt;=2,"Minor",K1213&lt;=5,"Major",K1213&gt;5,"Severe")</f>
        <v>Minor</v>
      </c>
      <c r="S1213">
        <f t="shared" si="128"/>
        <v>1968</v>
      </c>
      <c r="T1213">
        <f t="shared" si="129"/>
        <v>2270</v>
      </c>
      <c r="U1213">
        <f t="shared" si="130"/>
        <v>2024</v>
      </c>
      <c r="V1213">
        <f t="shared" si="131"/>
        <v>7</v>
      </c>
      <c r="W1213" s="11">
        <f t="shared" si="132"/>
        <v>1</v>
      </c>
    </row>
    <row r="1214" spans="1:23">
      <c r="A1214" t="s">
        <v>1227</v>
      </c>
      <c r="B1214" s="4">
        <v>45636</v>
      </c>
      <c r="C1214" t="s">
        <v>2017</v>
      </c>
      <c r="D1214" t="s">
        <v>2023</v>
      </c>
      <c r="E1214" t="s">
        <v>2027</v>
      </c>
      <c r="F1214" t="s">
        <v>2030</v>
      </c>
      <c r="G1214" t="s">
        <v>2034</v>
      </c>
      <c r="H1214" t="s">
        <v>2038</v>
      </c>
      <c r="I1214">
        <v>1</v>
      </c>
      <c r="J1214">
        <v>5</v>
      </c>
      <c r="K1214">
        <v>4</v>
      </c>
      <c r="L1214" t="s">
        <v>2041</v>
      </c>
      <c r="M1214">
        <v>264</v>
      </c>
      <c r="N1214">
        <v>5420</v>
      </c>
      <c r="O1214">
        <v>13664</v>
      </c>
      <c r="P1214" s="13">
        <f t="shared" si="126"/>
        <v>0</v>
      </c>
      <c r="Q1214" t="str">
        <f t="shared" si="127"/>
        <v>No</v>
      </c>
      <c r="R1214" t="str" cm="1">
        <f t="array" ref="R1214">_xlfn.IFS(K1214=0,"On Time",K1214&lt;=2,"Minor",K1214&lt;=5,"Major",K1214&gt;5,"Severe")</f>
        <v>Major</v>
      </c>
      <c r="S1214">
        <f t="shared" si="128"/>
        <v>3416</v>
      </c>
      <c r="T1214">
        <f t="shared" si="129"/>
        <v>1355</v>
      </c>
      <c r="U1214">
        <f t="shared" si="130"/>
        <v>2024</v>
      </c>
      <c r="V1214">
        <f t="shared" si="131"/>
        <v>12</v>
      </c>
      <c r="W1214" s="11">
        <f t="shared" si="132"/>
        <v>1</v>
      </c>
    </row>
    <row r="1215" spans="1:23">
      <c r="A1215" t="s">
        <v>1228</v>
      </c>
      <c r="B1215" s="4">
        <v>45563</v>
      </c>
      <c r="C1215" t="s">
        <v>2016</v>
      </c>
      <c r="D1215" t="s">
        <v>2025</v>
      </c>
      <c r="E1215" t="s">
        <v>2027</v>
      </c>
      <c r="F1215" t="s">
        <v>2030</v>
      </c>
      <c r="G1215" t="s">
        <v>2035</v>
      </c>
      <c r="H1215" t="s">
        <v>2038</v>
      </c>
      <c r="I1215">
        <v>5</v>
      </c>
      <c r="J1215">
        <v>9</v>
      </c>
      <c r="K1215">
        <v>4</v>
      </c>
      <c r="L1215" t="s">
        <v>2041</v>
      </c>
      <c r="M1215">
        <v>324</v>
      </c>
      <c r="N1215">
        <v>5504</v>
      </c>
      <c r="O1215">
        <v>9108</v>
      </c>
      <c r="P1215" s="13">
        <f t="shared" si="126"/>
        <v>0</v>
      </c>
      <c r="Q1215" t="str">
        <f t="shared" si="127"/>
        <v>No</v>
      </c>
      <c r="R1215" t="str" cm="1">
        <f t="array" ref="R1215">_xlfn.IFS(K1215=0,"On Time",K1215&lt;=2,"Minor",K1215&lt;=5,"Major",K1215&gt;5,"Severe")</f>
        <v>Major</v>
      </c>
      <c r="S1215">
        <f t="shared" si="128"/>
        <v>2277</v>
      </c>
      <c r="T1215">
        <f t="shared" si="129"/>
        <v>1376</v>
      </c>
      <c r="U1215">
        <f t="shared" si="130"/>
        <v>2024</v>
      </c>
      <c r="V1215">
        <f t="shared" si="131"/>
        <v>9</v>
      </c>
      <c r="W1215" s="11">
        <f t="shared" si="132"/>
        <v>1</v>
      </c>
    </row>
    <row r="1216" spans="1:23">
      <c r="A1216" t="s">
        <v>1229</v>
      </c>
      <c r="B1216" s="4">
        <v>45336</v>
      </c>
      <c r="C1216" t="s">
        <v>2016</v>
      </c>
      <c r="D1216" t="s">
        <v>2021</v>
      </c>
      <c r="E1216" t="s">
        <v>2028</v>
      </c>
      <c r="F1216" t="s">
        <v>2031</v>
      </c>
      <c r="G1216" t="s">
        <v>2034</v>
      </c>
      <c r="H1216" t="s">
        <v>2039</v>
      </c>
      <c r="I1216">
        <v>2</v>
      </c>
      <c r="J1216">
        <v>6</v>
      </c>
      <c r="K1216">
        <v>4</v>
      </c>
      <c r="L1216" t="s">
        <v>2041</v>
      </c>
      <c r="M1216">
        <v>91</v>
      </c>
      <c r="N1216">
        <v>5312</v>
      </c>
      <c r="O1216">
        <v>8804</v>
      </c>
      <c r="P1216" s="13">
        <f t="shared" si="126"/>
        <v>0</v>
      </c>
      <c r="Q1216" t="str">
        <f t="shared" si="127"/>
        <v>No</v>
      </c>
      <c r="R1216" t="str" cm="1">
        <f t="array" ref="R1216">_xlfn.IFS(K1216=0,"On Time",K1216&lt;=2,"Minor",K1216&lt;=5,"Major",K1216&gt;5,"Severe")</f>
        <v>Major</v>
      </c>
      <c r="S1216">
        <f t="shared" si="128"/>
        <v>2201</v>
      </c>
      <c r="T1216">
        <f t="shared" si="129"/>
        <v>1328</v>
      </c>
      <c r="U1216">
        <f t="shared" si="130"/>
        <v>2024</v>
      </c>
      <c r="V1216">
        <f t="shared" si="131"/>
        <v>2</v>
      </c>
      <c r="W1216" s="11">
        <f t="shared" si="132"/>
        <v>1</v>
      </c>
    </row>
    <row r="1217" spans="1:23">
      <c r="A1217" t="s">
        <v>1230</v>
      </c>
      <c r="B1217" s="4">
        <v>45515</v>
      </c>
      <c r="C1217" t="s">
        <v>2017</v>
      </c>
      <c r="D1217" t="s">
        <v>2022</v>
      </c>
      <c r="E1217" t="s">
        <v>2029</v>
      </c>
      <c r="F1217" t="s">
        <v>2030</v>
      </c>
      <c r="G1217" t="s">
        <v>2037</v>
      </c>
      <c r="H1217" t="s">
        <v>2039</v>
      </c>
      <c r="I1217">
        <v>1</v>
      </c>
      <c r="J1217">
        <v>4</v>
      </c>
      <c r="K1217">
        <v>3</v>
      </c>
      <c r="L1217" t="s">
        <v>2041</v>
      </c>
      <c r="M1217">
        <v>313</v>
      </c>
      <c r="N1217">
        <v>3714</v>
      </c>
      <c r="O1217">
        <v>12594</v>
      </c>
      <c r="P1217" s="13">
        <f t="shared" si="126"/>
        <v>0</v>
      </c>
      <c r="Q1217" t="str">
        <f t="shared" si="127"/>
        <v>No</v>
      </c>
      <c r="R1217" t="str" cm="1">
        <f t="array" ref="R1217">_xlfn.IFS(K1217=0,"On Time",K1217&lt;=2,"Minor",K1217&lt;=5,"Major",K1217&gt;5,"Severe")</f>
        <v>Major</v>
      </c>
      <c r="S1217">
        <f t="shared" si="128"/>
        <v>4198</v>
      </c>
      <c r="T1217">
        <f t="shared" si="129"/>
        <v>1238</v>
      </c>
      <c r="U1217">
        <f t="shared" si="130"/>
        <v>2024</v>
      </c>
      <c r="V1217">
        <f t="shared" si="131"/>
        <v>8</v>
      </c>
      <c r="W1217" s="11">
        <f t="shared" si="132"/>
        <v>1</v>
      </c>
    </row>
    <row r="1218" spans="1:23">
      <c r="A1218" t="s">
        <v>1231</v>
      </c>
      <c r="B1218" s="4">
        <v>45583</v>
      </c>
      <c r="C1218" t="s">
        <v>2016</v>
      </c>
      <c r="D1218" t="s">
        <v>2025</v>
      </c>
      <c r="E1218" t="s">
        <v>2029</v>
      </c>
      <c r="F1218" t="s">
        <v>2030</v>
      </c>
      <c r="G1218" t="s">
        <v>2035</v>
      </c>
      <c r="H1218" t="s">
        <v>2038</v>
      </c>
      <c r="I1218">
        <v>3</v>
      </c>
      <c r="J1218">
        <v>7</v>
      </c>
      <c r="K1218">
        <v>4</v>
      </c>
      <c r="L1218" t="s">
        <v>2041</v>
      </c>
      <c r="M1218">
        <v>108</v>
      </c>
      <c r="N1218">
        <v>7916</v>
      </c>
      <c r="O1218">
        <v>6476</v>
      </c>
      <c r="P1218" s="13">
        <f t="shared" si="126"/>
        <v>0</v>
      </c>
      <c r="Q1218" t="str">
        <f t="shared" si="127"/>
        <v>No</v>
      </c>
      <c r="R1218" t="str" cm="1">
        <f t="array" ref="R1218">_xlfn.IFS(K1218=0,"On Time",K1218&lt;=2,"Minor",K1218&lt;=5,"Major",K1218&gt;5,"Severe")</f>
        <v>Major</v>
      </c>
      <c r="S1218">
        <f t="shared" si="128"/>
        <v>1619</v>
      </c>
      <c r="T1218">
        <f t="shared" si="129"/>
        <v>1979</v>
      </c>
      <c r="U1218">
        <f t="shared" si="130"/>
        <v>2024</v>
      </c>
      <c r="V1218">
        <f t="shared" si="131"/>
        <v>10</v>
      </c>
      <c r="W1218" s="11">
        <f t="shared" si="132"/>
        <v>1</v>
      </c>
    </row>
    <row r="1219" spans="1:23">
      <c r="A1219" t="s">
        <v>1232</v>
      </c>
      <c r="B1219" s="4">
        <v>45336</v>
      </c>
      <c r="C1219" t="s">
        <v>2016</v>
      </c>
      <c r="D1219" t="s">
        <v>2025</v>
      </c>
      <c r="E1219" t="s">
        <v>2028</v>
      </c>
      <c r="F1219" t="s">
        <v>2031</v>
      </c>
      <c r="G1219" t="s">
        <v>2035</v>
      </c>
      <c r="H1219" t="s">
        <v>2038</v>
      </c>
      <c r="I1219">
        <v>3</v>
      </c>
      <c r="J1219">
        <v>6</v>
      </c>
      <c r="K1219">
        <v>3</v>
      </c>
      <c r="L1219" t="s">
        <v>2041</v>
      </c>
      <c r="M1219">
        <v>226</v>
      </c>
      <c r="N1219">
        <v>5802</v>
      </c>
      <c r="O1219">
        <v>10815</v>
      </c>
      <c r="P1219" s="13">
        <f t="shared" ref="P1219:P1282" si="133">IF(L1219="Yes",0,1)</f>
        <v>0</v>
      </c>
      <c r="Q1219" t="str">
        <f t="shared" ref="Q1219:Q1282" si="134">IF(K1219&gt;J1219,"Yes","No")</f>
        <v>No</v>
      </c>
      <c r="R1219" t="str" cm="1">
        <f t="array" ref="R1219">_xlfn.IFS(K1219=0,"On Time",K1219&lt;=2,"Minor",K1219&lt;=5,"Major",K1219&gt;5,"Severe")</f>
        <v>Major</v>
      </c>
      <c r="S1219">
        <f t="shared" ref="S1219:S1282" si="135">IFERROR(O1219/K1219,0)</f>
        <v>3605</v>
      </c>
      <c r="T1219">
        <f t="shared" ref="T1219:T1282" si="136">IFERROR(N1219/K1219,0)</f>
        <v>1934</v>
      </c>
      <c r="U1219">
        <f t="shared" ref="U1219:U1282" si="137">YEAR(B1219)</f>
        <v>2024</v>
      </c>
      <c r="V1219">
        <f t="shared" ref="V1219:V1282" si="138">MONTH(B1219)</f>
        <v>2</v>
      </c>
      <c r="W1219" s="11">
        <f t="shared" ref="W1219:W1282" si="139">IF(L1219="Yes",1,0)</f>
        <v>1</v>
      </c>
    </row>
    <row r="1220" spans="1:23">
      <c r="A1220" t="s">
        <v>1233</v>
      </c>
      <c r="B1220" s="4">
        <v>45372</v>
      </c>
      <c r="C1220" t="s">
        <v>2015</v>
      </c>
      <c r="D1220" t="s">
        <v>2020</v>
      </c>
      <c r="E1220" t="s">
        <v>2027</v>
      </c>
      <c r="F1220" t="s">
        <v>2030</v>
      </c>
      <c r="G1220" t="s">
        <v>2035</v>
      </c>
      <c r="H1220" t="s">
        <v>2039</v>
      </c>
      <c r="I1220">
        <v>2</v>
      </c>
      <c r="J1220">
        <v>6</v>
      </c>
      <c r="K1220">
        <v>4</v>
      </c>
      <c r="L1220" t="s">
        <v>2041</v>
      </c>
      <c r="M1220">
        <v>138</v>
      </c>
      <c r="N1220">
        <v>5460</v>
      </c>
      <c r="O1220">
        <v>7524</v>
      </c>
      <c r="P1220" s="13">
        <f t="shared" si="133"/>
        <v>0</v>
      </c>
      <c r="Q1220" t="str">
        <f t="shared" si="134"/>
        <v>No</v>
      </c>
      <c r="R1220" t="str" cm="1">
        <f t="array" ref="R1220">_xlfn.IFS(K1220=0,"On Time",K1220&lt;=2,"Minor",K1220&lt;=5,"Major",K1220&gt;5,"Severe")</f>
        <v>Major</v>
      </c>
      <c r="S1220">
        <f t="shared" si="135"/>
        <v>1881</v>
      </c>
      <c r="T1220">
        <f t="shared" si="136"/>
        <v>1365</v>
      </c>
      <c r="U1220">
        <f t="shared" si="137"/>
        <v>2024</v>
      </c>
      <c r="V1220">
        <f t="shared" si="138"/>
        <v>3</v>
      </c>
      <c r="W1220" s="11">
        <f t="shared" si="139"/>
        <v>1</v>
      </c>
    </row>
    <row r="1221" spans="1:23">
      <c r="A1221" t="s">
        <v>1234</v>
      </c>
      <c r="B1221" s="4">
        <v>45351</v>
      </c>
      <c r="C1221" t="s">
        <v>2015</v>
      </c>
      <c r="D1221" t="s">
        <v>2020</v>
      </c>
      <c r="E1221" t="s">
        <v>2028</v>
      </c>
      <c r="F1221" t="s">
        <v>2031</v>
      </c>
      <c r="G1221" t="s">
        <v>2034</v>
      </c>
      <c r="H1221" t="s">
        <v>2040</v>
      </c>
      <c r="I1221">
        <v>1</v>
      </c>
      <c r="J1221">
        <v>6</v>
      </c>
      <c r="K1221">
        <v>5</v>
      </c>
      <c r="L1221" t="s">
        <v>2041</v>
      </c>
      <c r="M1221">
        <v>289</v>
      </c>
      <c r="N1221">
        <v>12040</v>
      </c>
      <c r="O1221">
        <v>8635</v>
      </c>
      <c r="P1221" s="13">
        <f t="shared" si="133"/>
        <v>0</v>
      </c>
      <c r="Q1221" t="str">
        <f t="shared" si="134"/>
        <v>No</v>
      </c>
      <c r="R1221" t="str" cm="1">
        <f t="array" ref="R1221">_xlfn.IFS(K1221=0,"On Time",K1221&lt;=2,"Minor",K1221&lt;=5,"Major",K1221&gt;5,"Severe")</f>
        <v>Major</v>
      </c>
      <c r="S1221">
        <f t="shared" si="135"/>
        <v>1727</v>
      </c>
      <c r="T1221">
        <f t="shared" si="136"/>
        <v>2408</v>
      </c>
      <c r="U1221">
        <f t="shared" si="137"/>
        <v>2024</v>
      </c>
      <c r="V1221">
        <f t="shared" si="138"/>
        <v>2</v>
      </c>
      <c r="W1221" s="11">
        <f t="shared" si="139"/>
        <v>1</v>
      </c>
    </row>
    <row r="1222" spans="1:23">
      <c r="A1222" t="s">
        <v>1235</v>
      </c>
      <c r="B1222" s="4">
        <v>45507</v>
      </c>
      <c r="C1222" t="s">
        <v>2015</v>
      </c>
      <c r="D1222" t="s">
        <v>2020</v>
      </c>
      <c r="E1222" t="s">
        <v>2029</v>
      </c>
      <c r="F1222" t="s">
        <v>2031</v>
      </c>
      <c r="G1222" t="s">
        <v>2035</v>
      </c>
      <c r="H1222" t="s">
        <v>2038</v>
      </c>
      <c r="I1222">
        <v>3</v>
      </c>
      <c r="J1222">
        <v>4</v>
      </c>
      <c r="K1222">
        <v>1</v>
      </c>
      <c r="L1222" t="s">
        <v>2041</v>
      </c>
      <c r="M1222">
        <v>275</v>
      </c>
      <c r="N1222">
        <v>2321</v>
      </c>
      <c r="O1222">
        <v>3922</v>
      </c>
      <c r="P1222" s="13">
        <f t="shared" si="133"/>
        <v>0</v>
      </c>
      <c r="Q1222" t="str">
        <f t="shared" si="134"/>
        <v>No</v>
      </c>
      <c r="R1222" t="str" cm="1">
        <f t="array" ref="R1222">_xlfn.IFS(K1222=0,"On Time",K1222&lt;=2,"Minor",K1222&lt;=5,"Major",K1222&gt;5,"Severe")</f>
        <v>Minor</v>
      </c>
      <c r="S1222">
        <f t="shared" si="135"/>
        <v>3922</v>
      </c>
      <c r="T1222">
        <f t="shared" si="136"/>
        <v>2321</v>
      </c>
      <c r="U1222">
        <f t="shared" si="137"/>
        <v>2024</v>
      </c>
      <c r="V1222">
        <f t="shared" si="138"/>
        <v>8</v>
      </c>
      <c r="W1222" s="11">
        <f t="shared" si="139"/>
        <v>1</v>
      </c>
    </row>
    <row r="1223" spans="1:23">
      <c r="A1223" t="s">
        <v>1236</v>
      </c>
      <c r="B1223" s="4">
        <v>45377</v>
      </c>
      <c r="C1223" t="s">
        <v>2018</v>
      </c>
      <c r="D1223" t="s">
        <v>2026</v>
      </c>
      <c r="E1223" t="s">
        <v>2029</v>
      </c>
      <c r="F1223" t="s">
        <v>2031</v>
      </c>
      <c r="G1223" t="s">
        <v>2036</v>
      </c>
      <c r="H1223" t="s">
        <v>2038</v>
      </c>
      <c r="I1223">
        <v>1</v>
      </c>
      <c r="J1223">
        <v>5</v>
      </c>
      <c r="K1223">
        <v>4</v>
      </c>
      <c r="L1223" t="s">
        <v>2041</v>
      </c>
      <c r="M1223">
        <v>361</v>
      </c>
      <c r="N1223">
        <v>8020</v>
      </c>
      <c r="O1223">
        <v>12024</v>
      </c>
      <c r="P1223" s="13">
        <f t="shared" si="133"/>
        <v>0</v>
      </c>
      <c r="Q1223" t="str">
        <f t="shared" si="134"/>
        <v>No</v>
      </c>
      <c r="R1223" t="str" cm="1">
        <f t="array" ref="R1223">_xlfn.IFS(K1223=0,"On Time",K1223&lt;=2,"Minor",K1223&lt;=5,"Major",K1223&gt;5,"Severe")</f>
        <v>Major</v>
      </c>
      <c r="S1223">
        <f t="shared" si="135"/>
        <v>3006</v>
      </c>
      <c r="T1223">
        <f t="shared" si="136"/>
        <v>2005</v>
      </c>
      <c r="U1223">
        <f t="shared" si="137"/>
        <v>2024</v>
      </c>
      <c r="V1223">
        <f t="shared" si="138"/>
        <v>3</v>
      </c>
      <c r="W1223" s="11">
        <f t="shared" si="139"/>
        <v>1</v>
      </c>
    </row>
    <row r="1224" spans="1:23">
      <c r="A1224" t="s">
        <v>1237</v>
      </c>
      <c r="B1224" s="4">
        <v>45493</v>
      </c>
      <c r="C1224" t="s">
        <v>2016</v>
      </c>
      <c r="D1224" t="s">
        <v>2021</v>
      </c>
      <c r="E1224" t="s">
        <v>2028</v>
      </c>
      <c r="F1224" t="s">
        <v>2032</v>
      </c>
      <c r="G1224" t="s">
        <v>2035</v>
      </c>
      <c r="H1224" t="s">
        <v>2038</v>
      </c>
      <c r="I1224">
        <v>2</v>
      </c>
      <c r="J1224">
        <v>5</v>
      </c>
      <c r="K1224">
        <v>3</v>
      </c>
      <c r="L1224" t="s">
        <v>2041</v>
      </c>
      <c r="M1224">
        <v>127</v>
      </c>
      <c r="N1224">
        <v>6045</v>
      </c>
      <c r="O1224">
        <v>10806</v>
      </c>
      <c r="P1224" s="13">
        <f t="shared" si="133"/>
        <v>0</v>
      </c>
      <c r="Q1224" t="str">
        <f t="shared" si="134"/>
        <v>No</v>
      </c>
      <c r="R1224" t="str" cm="1">
        <f t="array" ref="R1224">_xlfn.IFS(K1224=0,"On Time",K1224&lt;=2,"Minor",K1224&lt;=5,"Major",K1224&gt;5,"Severe")</f>
        <v>Major</v>
      </c>
      <c r="S1224">
        <f t="shared" si="135"/>
        <v>3602</v>
      </c>
      <c r="T1224">
        <f t="shared" si="136"/>
        <v>2015</v>
      </c>
      <c r="U1224">
        <f t="shared" si="137"/>
        <v>2024</v>
      </c>
      <c r="V1224">
        <f t="shared" si="138"/>
        <v>7</v>
      </c>
      <c r="W1224" s="11">
        <f t="shared" si="139"/>
        <v>1</v>
      </c>
    </row>
    <row r="1225" spans="1:23">
      <c r="A1225" t="s">
        <v>1238</v>
      </c>
      <c r="B1225" s="4">
        <v>45554</v>
      </c>
      <c r="C1225" t="s">
        <v>2018</v>
      </c>
      <c r="D1225" t="s">
        <v>2024</v>
      </c>
      <c r="E1225" t="s">
        <v>2029</v>
      </c>
      <c r="F1225" t="s">
        <v>2031</v>
      </c>
      <c r="G1225" t="s">
        <v>2035</v>
      </c>
      <c r="H1225" t="s">
        <v>2038</v>
      </c>
      <c r="I1225">
        <v>3</v>
      </c>
      <c r="J1225">
        <v>7</v>
      </c>
      <c r="K1225">
        <v>4</v>
      </c>
      <c r="L1225" t="s">
        <v>2041</v>
      </c>
      <c r="M1225">
        <v>297</v>
      </c>
      <c r="N1225">
        <v>8360</v>
      </c>
      <c r="O1225">
        <v>9528</v>
      </c>
      <c r="P1225" s="13">
        <f t="shared" si="133"/>
        <v>0</v>
      </c>
      <c r="Q1225" t="str">
        <f t="shared" si="134"/>
        <v>No</v>
      </c>
      <c r="R1225" t="str" cm="1">
        <f t="array" ref="R1225">_xlfn.IFS(K1225=0,"On Time",K1225&lt;=2,"Minor",K1225&lt;=5,"Major",K1225&gt;5,"Severe")</f>
        <v>Major</v>
      </c>
      <c r="S1225">
        <f t="shared" si="135"/>
        <v>2382</v>
      </c>
      <c r="T1225">
        <f t="shared" si="136"/>
        <v>2090</v>
      </c>
      <c r="U1225">
        <f t="shared" si="137"/>
        <v>2024</v>
      </c>
      <c r="V1225">
        <f t="shared" si="138"/>
        <v>9</v>
      </c>
      <c r="W1225" s="11">
        <f t="shared" si="139"/>
        <v>1</v>
      </c>
    </row>
    <row r="1226" spans="1:23">
      <c r="A1226" t="s">
        <v>1239</v>
      </c>
      <c r="B1226" s="4">
        <v>45385</v>
      </c>
      <c r="C1226" t="s">
        <v>2015</v>
      </c>
      <c r="D1226" t="s">
        <v>2019</v>
      </c>
      <c r="E1226" t="s">
        <v>2028</v>
      </c>
      <c r="F1226" t="s">
        <v>2032</v>
      </c>
      <c r="G1226" t="s">
        <v>2033</v>
      </c>
      <c r="H1226" t="s">
        <v>2039</v>
      </c>
      <c r="I1226">
        <v>1</v>
      </c>
      <c r="J1226">
        <v>6</v>
      </c>
      <c r="K1226">
        <v>5</v>
      </c>
      <c r="L1226" t="s">
        <v>2041</v>
      </c>
      <c r="M1226">
        <v>262</v>
      </c>
      <c r="N1226">
        <v>4955</v>
      </c>
      <c r="O1226">
        <v>19185</v>
      </c>
      <c r="P1226" s="13">
        <f t="shared" si="133"/>
        <v>0</v>
      </c>
      <c r="Q1226" t="str">
        <f t="shared" si="134"/>
        <v>No</v>
      </c>
      <c r="R1226" t="str" cm="1">
        <f t="array" ref="R1226">_xlfn.IFS(K1226=0,"On Time",K1226&lt;=2,"Minor",K1226&lt;=5,"Major",K1226&gt;5,"Severe")</f>
        <v>Major</v>
      </c>
      <c r="S1226">
        <f t="shared" si="135"/>
        <v>3837</v>
      </c>
      <c r="T1226">
        <f t="shared" si="136"/>
        <v>991</v>
      </c>
      <c r="U1226">
        <f t="shared" si="137"/>
        <v>2024</v>
      </c>
      <c r="V1226">
        <f t="shared" si="138"/>
        <v>4</v>
      </c>
      <c r="W1226" s="11">
        <f t="shared" si="139"/>
        <v>1</v>
      </c>
    </row>
    <row r="1227" spans="1:23">
      <c r="A1227" t="s">
        <v>1240</v>
      </c>
      <c r="B1227" s="4">
        <v>45597</v>
      </c>
      <c r="C1227" t="s">
        <v>2018</v>
      </c>
      <c r="D1227" t="s">
        <v>2024</v>
      </c>
      <c r="E1227" t="s">
        <v>2027</v>
      </c>
      <c r="F1227" t="s">
        <v>2032</v>
      </c>
      <c r="G1227" t="s">
        <v>2037</v>
      </c>
      <c r="H1227" t="s">
        <v>2038</v>
      </c>
      <c r="I1227">
        <v>5</v>
      </c>
      <c r="J1227">
        <v>9</v>
      </c>
      <c r="K1227">
        <v>4</v>
      </c>
      <c r="L1227" t="s">
        <v>2041</v>
      </c>
      <c r="M1227">
        <v>97</v>
      </c>
      <c r="N1227">
        <v>3748</v>
      </c>
      <c r="O1227">
        <v>15468</v>
      </c>
      <c r="P1227" s="13">
        <f t="shared" si="133"/>
        <v>0</v>
      </c>
      <c r="Q1227" t="str">
        <f t="shared" si="134"/>
        <v>No</v>
      </c>
      <c r="R1227" t="str" cm="1">
        <f t="array" ref="R1227">_xlfn.IFS(K1227=0,"On Time",K1227&lt;=2,"Minor",K1227&lt;=5,"Major",K1227&gt;5,"Severe")</f>
        <v>Major</v>
      </c>
      <c r="S1227">
        <f t="shared" si="135"/>
        <v>3867</v>
      </c>
      <c r="T1227">
        <f t="shared" si="136"/>
        <v>937</v>
      </c>
      <c r="U1227">
        <f t="shared" si="137"/>
        <v>2024</v>
      </c>
      <c r="V1227">
        <f t="shared" si="138"/>
        <v>11</v>
      </c>
      <c r="W1227" s="11">
        <f t="shared" si="139"/>
        <v>1</v>
      </c>
    </row>
    <row r="1228" spans="1:23">
      <c r="A1228" t="s">
        <v>1241</v>
      </c>
      <c r="B1228" s="4">
        <v>45402</v>
      </c>
      <c r="C1228" t="s">
        <v>2016</v>
      </c>
      <c r="D1228" t="s">
        <v>2021</v>
      </c>
      <c r="E1228" t="s">
        <v>2028</v>
      </c>
      <c r="F1228" t="s">
        <v>2031</v>
      </c>
      <c r="G1228" t="s">
        <v>2036</v>
      </c>
      <c r="H1228" t="s">
        <v>2038</v>
      </c>
      <c r="I1228">
        <v>1</v>
      </c>
      <c r="J1228">
        <v>1</v>
      </c>
      <c r="K1228">
        <v>0</v>
      </c>
      <c r="L1228" t="s">
        <v>2042</v>
      </c>
      <c r="M1228">
        <v>238</v>
      </c>
      <c r="N1228">
        <v>0</v>
      </c>
      <c r="O1228">
        <v>0</v>
      </c>
      <c r="P1228" s="13">
        <f t="shared" si="133"/>
        <v>1</v>
      </c>
      <c r="Q1228" t="str">
        <f t="shared" si="134"/>
        <v>No</v>
      </c>
      <c r="R1228" t="str" cm="1">
        <f t="array" ref="R1228">_xlfn.IFS(K1228=0,"On Time",K1228&lt;=2,"Minor",K1228&lt;=5,"Major",K1228&gt;5,"Severe")</f>
        <v>On Time</v>
      </c>
      <c r="S1228">
        <f t="shared" si="135"/>
        <v>0</v>
      </c>
      <c r="T1228">
        <f t="shared" si="136"/>
        <v>0</v>
      </c>
      <c r="U1228">
        <f t="shared" si="137"/>
        <v>2024</v>
      </c>
      <c r="V1228">
        <f t="shared" si="138"/>
        <v>4</v>
      </c>
      <c r="W1228" s="11">
        <f t="shared" si="139"/>
        <v>0</v>
      </c>
    </row>
    <row r="1229" spans="1:23">
      <c r="A1229" t="s">
        <v>1242</v>
      </c>
      <c r="B1229" s="4">
        <v>45406</v>
      </c>
      <c r="C1229" t="s">
        <v>2015</v>
      </c>
      <c r="D1229" t="s">
        <v>2020</v>
      </c>
      <c r="E1229" t="s">
        <v>2029</v>
      </c>
      <c r="F1229" t="s">
        <v>2030</v>
      </c>
      <c r="G1229" t="s">
        <v>2037</v>
      </c>
      <c r="H1229" t="s">
        <v>2038</v>
      </c>
      <c r="I1229">
        <v>2</v>
      </c>
      <c r="J1229">
        <v>7</v>
      </c>
      <c r="K1229">
        <v>5</v>
      </c>
      <c r="L1229" t="s">
        <v>2041</v>
      </c>
      <c r="M1229">
        <v>224</v>
      </c>
      <c r="N1229">
        <v>4385</v>
      </c>
      <c r="O1229">
        <v>18475</v>
      </c>
      <c r="P1229" s="13">
        <f t="shared" si="133"/>
        <v>0</v>
      </c>
      <c r="Q1229" t="str">
        <f t="shared" si="134"/>
        <v>No</v>
      </c>
      <c r="R1229" t="str" cm="1">
        <f t="array" ref="R1229">_xlfn.IFS(K1229=0,"On Time",K1229&lt;=2,"Minor",K1229&lt;=5,"Major",K1229&gt;5,"Severe")</f>
        <v>Major</v>
      </c>
      <c r="S1229">
        <f t="shared" si="135"/>
        <v>3695</v>
      </c>
      <c r="T1229">
        <f t="shared" si="136"/>
        <v>877</v>
      </c>
      <c r="U1229">
        <f t="shared" si="137"/>
        <v>2024</v>
      </c>
      <c r="V1229">
        <f t="shared" si="138"/>
        <v>4</v>
      </c>
      <c r="W1229" s="11">
        <f t="shared" si="139"/>
        <v>1</v>
      </c>
    </row>
    <row r="1230" spans="1:23">
      <c r="A1230" t="s">
        <v>1243</v>
      </c>
      <c r="B1230" s="4">
        <v>45543</v>
      </c>
      <c r="C1230" t="s">
        <v>2015</v>
      </c>
      <c r="D1230" t="s">
        <v>2019</v>
      </c>
      <c r="E1230" t="s">
        <v>2027</v>
      </c>
      <c r="F1230" t="s">
        <v>2030</v>
      </c>
      <c r="G1230" t="s">
        <v>2033</v>
      </c>
      <c r="H1230" t="s">
        <v>2040</v>
      </c>
      <c r="I1230">
        <v>2</v>
      </c>
      <c r="J1230">
        <v>7</v>
      </c>
      <c r="K1230">
        <v>5</v>
      </c>
      <c r="L1230" t="s">
        <v>2041</v>
      </c>
      <c r="M1230">
        <v>140</v>
      </c>
      <c r="N1230">
        <v>11640</v>
      </c>
      <c r="O1230">
        <v>24180</v>
      </c>
      <c r="P1230" s="13">
        <f t="shared" si="133"/>
        <v>0</v>
      </c>
      <c r="Q1230" t="str">
        <f t="shared" si="134"/>
        <v>No</v>
      </c>
      <c r="R1230" t="str" cm="1">
        <f t="array" ref="R1230">_xlfn.IFS(K1230=0,"On Time",K1230&lt;=2,"Minor",K1230&lt;=5,"Major",K1230&gt;5,"Severe")</f>
        <v>Major</v>
      </c>
      <c r="S1230">
        <f t="shared" si="135"/>
        <v>4836</v>
      </c>
      <c r="T1230">
        <f t="shared" si="136"/>
        <v>2328</v>
      </c>
      <c r="U1230">
        <f t="shared" si="137"/>
        <v>2024</v>
      </c>
      <c r="V1230">
        <f t="shared" si="138"/>
        <v>9</v>
      </c>
      <c r="W1230" s="11">
        <f t="shared" si="139"/>
        <v>1</v>
      </c>
    </row>
    <row r="1231" spans="1:23">
      <c r="A1231" t="s">
        <v>1244</v>
      </c>
      <c r="B1231" s="4">
        <v>45594</v>
      </c>
      <c r="C1231" t="s">
        <v>2016</v>
      </c>
      <c r="D1231" t="s">
        <v>2021</v>
      </c>
      <c r="E1231" t="s">
        <v>2029</v>
      </c>
      <c r="F1231" t="s">
        <v>2031</v>
      </c>
      <c r="G1231" t="s">
        <v>2037</v>
      </c>
      <c r="H1231" t="s">
        <v>2039</v>
      </c>
      <c r="I1231">
        <v>2</v>
      </c>
      <c r="J1231">
        <v>5</v>
      </c>
      <c r="K1231">
        <v>3</v>
      </c>
      <c r="L1231" t="s">
        <v>2041</v>
      </c>
      <c r="M1231">
        <v>267</v>
      </c>
      <c r="N1231">
        <v>4608</v>
      </c>
      <c r="O1231">
        <v>6501</v>
      </c>
      <c r="P1231" s="13">
        <f t="shared" si="133"/>
        <v>0</v>
      </c>
      <c r="Q1231" t="str">
        <f t="shared" si="134"/>
        <v>No</v>
      </c>
      <c r="R1231" t="str" cm="1">
        <f t="array" ref="R1231">_xlfn.IFS(K1231=0,"On Time",K1231&lt;=2,"Minor",K1231&lt;=5,"Major",K1231&gt;5,"Severe")</f>
        <v>Major</v>
      </c>
      <c r="S1231">
        <f t="shared" si="135"/>
        <v>2167</v>
      </c>
      <c r="T1231">
        <f t="shared" si="136"/>
        <v>1536</v>
      </c>
      <c r="U1231">
        <f t="shared" si="137"/>
        <v>2024</v>
      </c>
      <c r="V1231">
        <f t="shared" si="138"/>
        <v>10</v>
      </c>
      <c r="W1231" s="11">
        <f t="shared" si="139"/>
        <v>1</v>
      </c>
    </row>
    <row r="1232" spans="1:23">
      <c r="A1232" t="s">
        <v>1245</v>
      </c>
      <c r="B1232" s="4">
        <v>45620</v>
      </c>
      <c r="C1232" t="s">
        <v>2018</v>
      </c>
      <c r="D1232" t="s">
        <v>2024</v>
      </c>
      <c r="E1232" t="s">
        <v>2028</v>
      </c>
      <c r="F1232" t="s">
        <v>2031</v>
      </c>
      <c r="G1232" t="s">
        <v>2036</v>
      </c>
      <c r="H1232" t="s">
        <v>2038</v>
      </c>
      <c r="I1232">
        <v>2</v>
      </c>
      <c r="J1232">
        <v>6</v>
      </c>
      <c r="K1232">
        <v>4</v>
      </c>
      <c r="L1232" t="s">
        <v>2041</v>
      </c>
      <c r="M1232">
        <v>82</v>
      </c>
      <c r="N1232">
        <v>5372</v>
      </c>
      <c r="O1232">
        <v>13056</v>
      </c>
      <c r="P1232" s="13">
        <f t="shared" si="133"/>
        <v>0</v>
      </c>
      <c r="Q1232" t="str">
        <f t="shared" si="134"/>
        <v>No</v>
      </c>
      <c r="R1232" t="str" cm="1">
        <f t="array" ref="R1232">_xlfn.IFS(K1232=0,"On Time",K1232&lt;=2,"Minor",K1232&lt;=5,"Major",K1232&gt;5,"Severe")</f>
        <v>Major</v>
      </c>
      <c r="S1232">
        <f t="shared" si="135"/>
        <v>3264</v>
      </c>
      <c r="T1232">
        <f t="shared" si="136"/>
        <v>1343</v>
      </c>
      <c r="U1232">
        <f t="shared" si="137"/>
        <v>2024</v>
      </c>
      <c r="V1232">
        <f t="shared" si="138"/>
        <v>11</v>
      </c>
      <c r="W1232" s="11">
        <f t="shared" si="139"/>
        <v>1</v>
      </c>
    </row>
    <row r="1233" spans="1:23">
      <c r="A1233" t="s">
        <v>1246</v>
      </c>
      <c r="B1233" s="4">
        <v>45649</v>
      </c>
      <c r="C1233" t="s">
        <v>2016</v>
      </c>
      <c r="D1233" t="s">
        <v>2025</v>
      </c>
      <c r="E1233" t="s">
        <v>2027</v>
      </c>
      <c r="F1233" t="s">
        <v>2031</v>
      </c>
      <c r="G1233" t="s">
        <v>2035</v>
      </c>
      <c r="H1233" t="s">
        <v>2039</v>
      </c>
      <c r="I1233">
        <v>5</v>
      </c>
      <c r="J1233">
        <v>7</v>
      </c>
      <c r="K1233">
        <v>2</v>
      </c>
      <c r="L1233" t="s">
        <v>2041</v>
      </c>
      <c r="M1233">
        <v>397</v>
      </c>
      <c r="N1233">
        <v>1706</v>
      </c>
      <c r="O1233">
        <v>4124</v>
      </c>
      <c r="P1233" s="13">
        <f t="shared" si="133"/>
        <v>0</v>
      </c>
      <c r="Q1233" t="str">
        <f t="shared" si="134"/>
        <v>No</v>
      </c>
      <c r="R1233" t="str" cm="1">
        <f t="array" ref="R1233">_xlfn.IFS(K1233=0,"On Time",K1233&lt;=2,"Minor",K1233&lt;=5,"Major",K1233&gt;5,"Severe")</f>
        <v>Minor</v>
      </c>
      <c r="S1233">
        <f t="shared" si="135"/>
        <v>2062</v>
      </c>
      <c r="T1233">
        <f t="shared" si="136"/>
        <v>853</v>
      </c>
      <c r="U1233">
        <f t="shared" si="137"/>
        <v>2024</v>
      </c>
      <c r="V1233">
        <f t="shared" si="138"/>
        <v>12</v>
      </c>
      <c r="W1233" s="11">
        <f t="shared" si="139"/>
        <v>1</v>
      </c>
    </row>
    <row r="1234" spans="1:23">
      <c r="A1234" t="s">
        <v>1247</v>
      </c>
      <c r="B1234" s="4">
        <v>45643</v>
      </c>
      <c r="C1234" t="s">
        <v>2016</v>
      </c>
      <c r="D1234" t="s">
        <v>2021</v>
      </c>
      <c r="E1234" t="s">
        <v>2028</v>
      </c>
      <c r="F1234" t="s">
        <v>2031</v>
      </c>
      <c r="G1234" t="s">
        <v>2033</v>
      </c>
      <c r="H1234" t="s">
        <v>2040</v>
      </c>
      <c r="I1234">
        <v>2</v>
      </c>
      <c r="J1234">
        <v>9</v>
      </c>
      <c r="K1234">
        <v>7</v>
      </c>
      <c r="L1234" t="s">
        <v>2041</v>
      </c>
      <c r="M1234">
        <v>405</v>
      </c>
      <c r="N1234">
        <v>12684</v>
      </c>
      <c r="O1234">
        <v>26166</v>
      </c>
      <c r="P1234" s="13">
        <f t="shared" si="133"/>
        <v>0</v>
      </c>
      <c r="Q1234" t="str">
        <f t="shared" si="134"/>
        <v>No</v>
      </c>
      <c r="R1234" t="str" cm="1">
        <f t="array" ref="R1234">_xlfn.IFS(K1234=0,"On Time",K1234&lt;=2,"Minor",K1234&lt;=5,"Major",K1234&gt;5,"Severe")</f>
        <v>Severe</v>
      </c>
      <c r="S1234">
        <f t="shared" si="135"/>
        <v>3738</v>
      </c>
      <c r="T1234">
        <f t="shared" si="136"/>
        <v>1812</v>
      </c>
      <c r="U1234">
        <f t="shared" si="137"/>
        <v>2024</v>
      </c>
      <c r="V1234">
        <f t="shared" si="138"/>
        <v>12</v>
      </c>
      <c r="W1234" s="11">
        <f t="shared" si="139"/>
        <v>1</v>
      </c>
    </row>
    <row r="1235" spans="1:23">
      <c r="A1235" t="s">
        <v>1248</v>
      </c>
      <c r="B1235" s="4">
        <v>45401</v>
      </c>
      <c r="C1235" t="s">
        <v>2017</v>
      </c>
      <c r="D1235" t="s">
        <v>2023</v>
      </c>
      <c r="E1235" t="s">
        <v>2027</v>
      </c>
      <c r="F1235" t="s">
        <v>2031</v>
      </c>
      <c r="G1235" t="s">
        <v>2037</v>
      </c>
      <c r="H1235" t="s">
        <v>2038</v>
      </c>
      <c r="I1235">
        <v>5</v>
      </c>
      <c r="J1235">
        <v>10</v>
      </c>
      <c r="K1235">
        <v>5</v>
      </c>
      <c r="L1235" t="s">
        <v>2041</v>
      </c>
      <c r="M1235">
        <v>366</v>
      </c>
      <c r="N1235">
        <v>12450</v>
      </c>
      <c r="O1235">
        <v>19515</v>
      </c>
      <c r="P1235" s="13">
        <f t="shared" si="133"/>
        <v>0</v>
      </c>
      <c r="Q1235" t="str">
        <f t="shared" si="134"/>
        <v>No</v>
      </c>
      <c r="R1235" t="str" cm="1">
        <f t="array" ref="R1235">_xlfn.IFS(K1235=0,"On Time",K1235&lt;=2,"Minor",K1235&lt;=5,"Major",K1235&gt;5,"Severe")</f>
        <v>Major</v>
      </c>
      <c r="S1235">
        <f t="shared" si="135"/>
        <v>3903</v>
      </c>
      <c r="T1235">
        <f t="shared" si="136"/>
        <v>2490</v>
      </c>
      <c r="U1235">
        <f t="shared" si="137"/>
        <v>2024</v>
      </c>
      <c r="V1235">
        <f t="shared" si="138"/>
        <v>4</v>
      </c>
      <c r="W1235" s="11">
        <f t="shared" si="139"/>
        <v>1</v>
      </c>
    </row>
    <row r="1236" spans="1:23">
      <c r="A1236" t="s">
        <v>1249</v>
      </c>
      <c r="B1236" s="4">
        <v>45441</v>
      </c>
      <c r="C1236" t="s">
        <v>2015</v>
      </c>
      <c r="D1236" t="s">
        <v>2019</v>
      </c>
      <c r="E1236" t="s">
        <v>2029</v>
      </c>
      <c r="F1236" t="s">
        <v>2032</v>
      </c>
      <c r="G1236" t="s">
        <v>2034</v>
      </c>
      <c r="H1236" t="s">
        <v>2038</v>
      </c>
      <c r="I1236">
        <v>1</v>
      </c>
      <c r="J1236">
        <v>3</v>
      </c>
      <c r="K1236">
        <v>2</v>
      </c>
      <c r="L1236" t="s">
        <v>2041</v>
      </c>
      <c r="M1236">
        <v>378</v>
      </c>
      <c r="N1236">
        <v>3008</v>
      </c>
      <c r="O1236">
        <v>5636</v>
      </c>
      <c r="P1236" s="13">
        <f t="shared" si="133"/>
        <v>0</v>
      </c>
      <c r="Q1236" t="str">
        <f t="shared" si="134"/>
        <v>No</v>
      </c>
      <c r="R1236" t="str" cm="1">
        <f t="array" ref="R1236">_xlfn.IFS(K1236=0,"On Time",K1236&lt;=2,"Minor",K1236&lt;=5,"Major",K1236&gt;5,"Severe")</f>
        <v>Minor</v>
      </c>
      <c r="S1236">
        <f t="shared" si="135"/>
        <v>2818</v>
      </c>
      <c r="T1236">
        <f t="shared" si="136"/>
        <v>1504</v>
      </c>
      <c r="U1236">
        <f t="shared" si="137"/>
        <v>2024</v>
      </c>
      <c r="V1236">
        <f t="shared" si="138"/>
        <v>5</v>
      </c>
      <c r="W1236" s="11">
        <f t="shared" si="139"/>
        <v>1</v>
      </c>
    </row>
    <row r="1237" spans="1:23">
      <c r="A1237" t="s">
        <v>1250</v>
      </c>
      <c r="B1237" s="4">
        <v>45308</v>
      </c>
      <c r="C1237" t="s">
        <v>2017</v>
      </c>
      <c r="D1237" t="s">
        <v>2023</v>
      </c>
      <c r="E1237" t="s">
        <v>2028</v>
      </c>
      <c r="F1237" t="s">
        <v>2030</v>
      </c>
      <c r="G1237" t="s">
        <v>2036</v>
      </c>
      <c r="H1237" t="s">
        <v>2039</v>
      </c>
      <c r="I1237">
        <v>2</v>
      </c>
      <c r="J1237">
        <v>3</v>
      </c>
      <c r="K1237">
        <v>1</v>
      </c>
      <c r="L1237" t="s">
        <v>2041</v>
      </c>
      <c r="M1237">
        <v>228</v>
      </c>
      <c r="N1237">
        <v>1311</v>
      </c>
      <c r="O1237">
        <v>1587</v>
      </c>
      <c r="P1237" s="13">
        <f t="shared" si="133"/>
        <v>0</v>
      </c>
      <c r="Q1237" t="str">
        <f t="shared" si="134"/>
        <v>No</v>
      </c>
      <c r="R1237" t="str" cm="1">
        <f t="array" ref="R1237">_xlfn.IFS(K1237=0,"On Time",K1237&lt;=2,"Minor",K1237&lt;=5,"Major",K1237&gt;5,"Severe")</f>
        <v>Minor</v>
      </c>
      <c r="S1237">
        <f t="shared" si="135"/>
        <v>1587</v>
      </c>
      <c r="T1237">
        <f t="shared" si="136"/>
        <v>1311</v>
      </c>
      <c r="U1237">
        <f t="shared" si="137"/>
        <v>2024</v>
      </c>
      <c r="V1237">
        <f t="shared" si="138"/>
        <v>1</v>
      </c>
      <c r="W1237" s="11">
        <f t="shared" si="139"/>
        <v>1</v>
      </c>
    </row>
    <row r="1238" spans="1:23">
      <c r="A1238" t="s">
        <v>1251</v>
      </c>
      <c r="B1238" s="4">
        <v>45441</v>
      </c>
      <c r="C1238" t="s">
        <v>2015</v>
      </c>
      <c r="D1238" t="s">
        <v>2020</v>
      </c>
      <c r="E1238" t="s">
        <v>2027</v>
      </c>
      <c r="F1238" t="s">
        <v>2030</v>
      </c>
      <c r="G1238" t="s">
        <v>2034</v>
      </c>
      <c r="H1238" t="s">
        <v>2038</v>
      </c>
      <c r="I1238">
        <v>2</v>
      </c>
      <c r="J1238">
        <v>3</v>
      </c>
      <c r="K1238">
        <v>1</v>
      </c>
      <c r="L1238" t="s">
        <v>2041</v>
      </c>
      <c r="M1238">
        <v>256</v>
      </c>
      <c r="N1238">
        <v>2244</v>
      </c>
      <c r="O1238">
        <v>3568</v>
      </c>
      <c r="P1238" s="13">
        <f t="shared" si="133"/>
        <v>0</v>
      </c>
      <c r="Q1238" t="str">
        <f t="shared" si="134"/>
        <v>No</v>
      </c>
      <c r="R1238" t="str" cm="1">
        <f t="array" ref="R1238">_xlfn.IFS(K1238=0,"On Time",K1238&lt;=2,"Minor",K1238&lt;=5,"Major",K1238&gt;5,"Severe")</f>
        <v>Minor</v>
      </c>
      <c r="S1238">
        <f t="shared" si="135"/>
        <v>3568</v>
      </c>
      <c r="T1238">
        <f t="shared" si="136"/>
        <v>2244</v>
      </c>
      <c r="U1238">
        <f t="shared" si="137"/>
        <v>2024</v>
      </c>
      <c r="V1238">
        <f t="shared" si="138"/>
        <v>5</v>
      </c>
      <c r="W1238" s="11">
        <f t="shared" si="139"/>
        <v>1</v>
      </c>
    </row>
    <row r="1239" spans="1:23">
      <c r="A1239" t="s">
        <v>1252</v>
      </c>
      <c r="B1239" s="4">
        <v>45620</v>
      </c>
      <c r="C1239" t="s">
        <v>2018</v>
      </c>
      <c r="D1239" t="s">
        <v>2026</v>
      </c>
      <c r="E1239" t="s">
        <v>2029</v>
      </c>
      <c r="F1239" t="s">
        <v>2032</v>
      </c>
      <c r="G1239" t="s">
        <v>2036</v>
      </c>
      <c r="H1239" t="s">
        <v>2040</v>
      </c>
      <c r="I1239">
        <v>2</v>
      </c>
      <c r="J1239">
        <v>8</v>
      </c>
      <c r="K1239">
        <v>6</v>
      </c>
      <c r="L1239" t="s">
        <v>2041</v>
      </c>
      <c r="M1239">
        <v>374</v>
      </c>
      <c r="N1239">
        <v>9486</v>
      </c>
      <c r="O1239">
        <v>27468</v>
      </c>
      <c r="P1239" s="13">
        <f t="shared" si="133"/>
        <v>0</v>
      </c>
      <c r="Q1239" t="str">
        <f t="shared" si="134"/>
        <v>No</v>
      </c>
      <c r="R1239" t="str" cm="1">
        <f t="array" ref="R1239">_xlfn.IFS(K1239=0,"On Time",K1239&lt;=2,"Minor",K1239&lt;=5,"Major",K1239&gt;5,"Severe")</f>
        <v>Severe</v>
      </c>
      <c r="S1239">
        <f t="shared" si="135"/>
        <v>4578</v>
      </c>
      <c r="T1239">
        <f t="shared" si="136"/>
        <v>1581</v>
      </c>
      <c r="U1239">
        <f t="shared" si="137"/>
        <v>2024</v>
      </c>
      <c r="V1239">
        <f t="shared" si="138"/>
        <v>11</v>
      </c>
      <c r="W1239" s="11">
        <f t="shared" si="139"/>
        <v>1</v>
      </c>
    </row>
    <row r="1240" spans="1:23">
      <c r="A1240" t="s">
        <v>1253</v>
      </c>
      <c r="B1240" s="4">
        <v>45323</v>
      </c>
      <c r="C1240" t="s">
        <v>2017</v>
      </c>
      <c r="D1240" t="s">
        <v>2022</v>
      </c>
      <c r="E1240" t="s">
        <v>2028</v>
      </c>
      <c r="F1240" t="s">
        <v>2031</v>
      </c>
      <c r="G1240" t="s">
        <v>2037</v>
      </c>
      <c r="H1240" t="s">
        <v>2039</v>
      </c>
      <c r="I1240">
        <v>2</v>
      </c>
      <c r="J1240">
        <v>7</v>
      </c>
      <c r="K1240">
        <v>5</v>
      </c>
      <c r="L1240" t="s">
        <v>2041</v>
      </c>
      <c r="M1240">
        <v>258</v>
      </c>
      <c r="N1240">
        <v>6100</v>
      </c>
      <c r="O1240">
        <v>20355</v>
      </c>
      <c r="P1240" s="13">
        <f t="shared" si="133"/>
        <v>0</v>
      </c>
      <c r="Q1240" t="str">
        <f t="shared" si="134"/>
        <v>No</v>
      </c>
      <c r="R1240" t="str" cm="1">
        <f t="array" ref="R1240">_xlfn.IFS(K1240=0,"On Time",K1240&lt;=2,"Minor",K1240&lt;=5,"Major",K1240&gt;5,"Severe")</f>
        <v>Major</v>
      </c>
      <c r="S1240">
        <f t="shared" si="135"/>
        <v>4071</v>
      </c>
      <c r="T1240">
        <f t="shared" si="136"/>
        <v>1220</v>
      </c>
      <c r="U1240">
        <f t="shared" si="137"/>
        <v>2024</v>
      </c>
      <c r="V1240">
        <f t="shared" si="138"/>
        <v>2</v>
      </c>
      <c r="W1240" s="11">
        <f t="shared" si="139"/>
        <v>1</v>
      </c>
    </row>
    <row r="1241" spans="1:23">
      <c r="A1241" t="s">
        <v>1254</v>
      </c>
      <c r="B1241" s="4">
        <v>45456</v>
      </c>
      <c r="C1241" t="s">
        <v>2017</v>
      </c>
      <c r="D1241" t="s">
        <v>2022</v>
      </c>
      <c r="E1241" t="s">
        <v>2029</v>
      </c>
      <c r="F1241" t="s">
        <v>2030</v>
      </c>
      <c r="G1241" t="s">
        <v>2035</v>
      </c>
      <c r="H1241" t="s">
        <v>2039</v>
      </c>
      <c r="I1241">
        <v>3</v>
      </c>
      <c r="J1241">
        <v>4</v>
      </c>
      <c r="K1241">
        <v>1</v>
      </c>
      <c r="L1241" t="s">
        <v>2041</v>
      </c>
      <c r="M1241">
        <v>470</v>
      </c>
      <c r="N1241">
        <v>1250</v>
      </c>
      <c r="O1241">
        <v>3001</v>
      </c>
      <c r="P1241" s="13">
        <f t="shared" si="133"/>
        <v>0</v>
      </c>
      <c r="Q1241" t="str">
        <f t="shared" si="134"/>
        <v>No</v>
      </c>
      <c r="R1241" t="str" cm="1">
        <f t="array" ref="R1241">_xlfn.IFS(K1241=0,"On Time",K1241&lt;=2,"Minor",K1241&lt;=5,"Major",K1241&gt;5,"Severe")</f>
        <v>Minor</v>
      </c>
      <c r="S1241">
        <f t="shared" si="135"/>
        <v>3001</v>
      </c>
      <c r="T1241">
        <f t="shared" si="136"/>
        <v>1250</v>
      </c>
      <c r="U1241">
        <f t="shared" si="137"/>
        <v>2024</v>
      </c>
      <c r="V1241">
        <f t="shared" si="138"/>
        <v>6</v>
      </c>
      <c r="W1241" s="11">
        <f t="shared" si="139"/>
        <v>1</v>
      </c>
    </row>
    <row r="1242" spans="1:23">
      <c r="A1242" t="s">
        <v>1255</v>
      </c>
      <c r="B1242" s="4">
        <v>45545</v>
      </c>
      <c r="C1242" t="s">
        <v>2015</v>
      </c>
      <c r="D1242" t="s">
        <v>2020</v>
      </c>
      <c r="E1242" t="s">
        <v>2028</v>
      </c>
      <c r="F1242" t="s">
        <v>2031</v>
      </c>
      <c r="G1242" t="s">
        <v>2036</v>
      </c>
      <c r="H1242" t="s">
        <v>2040</v>
      </c>
      <c r="I1242">
        <v>1</v>
      </c>
      <c r="J1242">
        <v>4</v>
      </c>
      <c r="K1242">
        <v>3</v>
      </c>
      <c r="L1242" t="s">
        <v>2041</v>
      </c>
      <c r="M1242">
        <v>470</v>
      </c>
      <c r="N1242">
        <v>5166</v>
      </c>
      <c r="O1242">
        <v>9762</v>
      </c>
      <c r="P1242" s="13">
        <f t="shared" si="133"/>
        <v>0</v>
      </c>
      <c r="Q1242" t="str">
        <f t="shared" si="134"/>
        <v>No</v>
      </c>
      <c r="R1242" t="str" cm="1">
        <f t="array" ref="R1242">_xlfn.IFS(K1242=0,"On Time",K1242&lt;=2,"Minor",K1242&lt;=5,"Major",K1242&gt;5,"Severe")</f>
        <v>Major</v>
      </c>
      <c r="S1242">
        <f t="shared" si="135"/>
        <v>3254</v>
      </c>
      <c r="T1242">
        <f t="shared" si="136"/>
        <v>1722</v>
      </c>
      <c r="U1242">
        <f t="shared" si="137"/>
        <v>2024</v>
      </c>
      <c r="V1242">
        <f t="shared" si="138"/>
        <v>9</v>
      </c>
      <c r="W1242" s="11">
        <f t="shared" si="139"/>
        <v>1</v>
      </c>
    </row>
    <row r="1243" spans="1:23">
      <c r="A1243" t="s">
        <v>1256</v>
      </c>
      <c r="B1243" s="4">
        <v>45516</v>
      </c>
      <c r="C1243" t="s">
        <v>2018</v>
      </c>
      <c r="D1243" t="s">
        <v>2026</v>
      </c>
      <c r="E1243" t="s">
        <v>2027</v>
      </c>
      <c r="F1243" t="s">
        <v>2030</v>
      </c>
      <c r="G1243" t="s">
        <v>2034</v>
      </c>
      <c r="H1243" t="s">
        <v>2040</v>
      </c>
      <c r="I1243">
        <v>2</v>
      </c>
      <c r="J1243">
        <v>9</v>
      </c>
      <c r="K1243">
        <v>7</v>
      </c>
      <c r="L1243" t="s">
        <v>2041</v>
      </c>
      <c r="M1243">
        <v>113</v>
      </c>
      <c r="N1243">
        <v>16765</v>
      </c>
      <c r="O1243">
        <v>23268</v>
      </c>
      <c r="P1243" s="13">
        <f t="shared" si="133"/>
        <v>0</v>
      </c>
      <c r="Q1243" t="str">
        <f t="shared" si="134"/>
        <v>No</v>
      </c>
      <c r="R1243" t="str" cm="1">
        <f t="array" ref="R1243">_xlfn.IFS(K1243=0,"On Time",K1243&lt;=2,"Minor",K1243&lt;=5,"Major",K1243&gt;5,"Severe")</f>
        <v>Severe</v>
      </c>
      <c r="S1243">
        <f t="shared" si="135"/>
        <v>3324</v>
      </c>
      <c r="T1243">
        <f t="shared" si="136"/>
        <v>2395</v>
      </c>
      <c r="U1243">
        <f t="shared" si="137"/>
        <v>2024</v>
      </c>
      <c r="V1243">
        <f t="shared" si="138"/>
        <v>8</v>
      </c>
      <c r="W1243" s="11">
        <f t="shared" si="139"/>
        <v>1</v>
      </c>
    </row>
    <row r="1244" spans="1:23">
      <c r="A1244" t="s">
        <v>1257</v>
      </c>
      <c r="B1244" s="4">
        <v>45327</v>
      </c>
      <c r="C1244" t="s">
        <v>2018</v>
      </c>
      <c r="D1244" t="s">
        <v>2024</v>
      </c>
      <c r="E1244" t="s">
        <v>2029</v>
      </c>
      <c r="F1244" t="s">
        <v>2031</v>
      </c>
      <c r="G1244" t="s">
        <v>2035</v>
      </c>
      <c r="H1244" t="s">
        <v>2039</v>
      </c>
      <c r="I1244">
        <v>1</v>
      </c>
      <c r="J1244">
        <v>2</v>
      </c>
      <c r="K1244">
        <v>1</v>
      </c>
      <c r="L1244" t="s">
        <v>2041</v>
      </c>
      <c r="M1244">
        <v>364</v>
      </c>
      <c r="N1244">
        <v>2243</v>
      </c>
      <c r="O1244">
        <v>4009</v>
      </c>
      <c r="P1244" s="13">
        <f t="shared" si="133"/>
        <v>0</v>
      </c>
      <c r="Q1244" t="str">
        <f t="shared" si="134"/>
        <v>No</v>
      </c>
      <c r="R1244" t="str" cm="1">
        <f t="array" ref="R1244">_xlfn.IFS(K1244=0,"On Time",K1244&lt;=2,"Minor",K1244&lt;=5,"Major",K1244&gt;5,"Severe")</f>
        <v>Minor</v>
      </c>
      <c r="S1244">
        <f t="shared" si="135"/>
        <v>4009</v>
      </c>
      <c r="T1244">
        <f t="shared" si="136"/>
        <v>2243</v>
      </c>
      <c r="U1244">
        <f t="shared" si="137"/>
        <v>2024</v>
      </c>
      <c r="V1244">
        <f t="shared" si="138"/>
        <v>2</v>
      </c>
      <c r="W1244" s="11">
        <f t="shared" si="139"/>
        <v>1</v>
      </c>
    </row>
    <row r="1245" spans="1:23">
      <c r="A1245" t="s">
        <v>1258</v>
      </c>
      <c r="B1245" s="4">
        <v>45648</v>
      </c>
      <c r="C1245" t="s">
        <v>2017</v>
      </c>
      <c r="D1245" t="s">
        <v>2023</v>
      </c>
      <c r="E1245" t="s">
        <v>2028</v>
      </c>
      <c r="F1245" t="s">
        <v>2032</v>
      </c>
      <c r="G1245" t="s">
        <v>2033</v>
      </c>
      <c r="H1245" t="s">
        <v>2038</v>
      </c>
      <c r="I1245">
        <v>2</v>
      </c>
      <c r="J1245">
        <v>4</v>
      </c>
      <c r="K1245">
        <v>2</v>
      </c>
      <c r="L1245" t="s">
        <v>2041</v>
      </c>
      <c r="M1245">
        <v>464</v>
      </c>
      <c r="N1245">
        <v>4484</v>
      </c>
      <c r="O1245">
        <v>4954</v>
      </c>
      <c r="P1245" s="13">
        <f t="shared" si="133"/>
        <v>0</v>
      </c>
      <c r="Q1245" t="str">
        <f t="shared" si="134"/>
        <v>No</v>
      </c>
      <c r="R1245" t="str" cm="1">
        <f t="array" ref="R1245">_xlfn.IFS(K1245=0,"On Time",K1245&lt;=2,"Minor",K1245&lt;=5,"Major",K1245&gt;5,"Severe")</f>
        <v>Minor</v>
      </c>
      <c r="S1245">
        <f t="shared" si="135"/>
        <v>2477</v>
      </c>
      <c r="T1245">
        <f t="shared" si="136"/>
        <v>2242</v>
      </c>
      <c r="U1245">
        <f t="shared" si="137"/>
        <v>2024</v>
      </c>
      <c r="V1245">
        <f t="shared" si="138"/>
        <v>12</v>
      </c>
      <c r="W1245" s="11">
        <f t="shared" si="139"/>
        <v>1</v>
      </c>
    </row>
    <row r="1246" spans="1:23">
      <c r="A1246" t="s">
        <v>1259</v>
      </c>
      <c r="B1246" s="4">
        <v>45497</v>
      </c>
      <c r="C1246" t="s">
        <v>2016</v>
      </c>
      <c r="D1246" t="s">
        <v>2021</v>
      </c>
      <c r="E1246" t="s">
        <v>2029</v>
      </c>
      <c r="F1246" t="s">
        <v>2032</v>
      </c>
      <c r="G1246" t="s">
        <v>2033</v>
      </c>
      <c r="H1246" t="s">
        <v>2038</v>
      </c>
      <c r="I1246">
        <v>3</v>
      </c>
      <c r="J1246">
        <v>9</v>
      </c>
      <c r="K1246">
        <v>6</v>
      </c>
      <c r="L1246" t="s">
        <v>2041</v>
      </c>
      <c r="M1246">
        <v>77</v>
      </c>
      <c r="N1246">
        <v>12264</v>
      </c>
      <c r="O1246">
        <v>18192</v>
      </c>
      <c r="P1246" s="13">
        <f t="shared" si="133"/>
        <v>0</v>
      </c>
      <c r="Q1246" t="str">
        <f t="shared" si="134"/>
        <v>No</v>
      </c>
      <c r="R1246" t="str" cm="1">
        <f t="array" ref="R1246">_xlfn.IFS(K1246=0,"On Time",K1246&lt;=2,"Minor",K1246&lt;=5,"Major",K1246&gt;5,"Severe")</f>
        <v>Severe</v>
      </c>
      <c r="S1246">
        <f t="shared" si="135"/>
        <v>3032</v>
      </c>
      <c r="T1246">
        <f t="shared" si="136"/>
        <v>2044</v>
      </c>
      <c r="U1246">
        <f t="shared" si="137"/>
        <v>2024</v>
      </c>
      <c r="V1246">
        <f t="shared" si="138"/>
        <v>7</v>
      </c>
      <c r="W1246" s="11">
        <f t="shared" si="139"/>
        <v>1</v>
      </c>
    </row>
    <row r="1247" spans="1:23">
      <c r="A1247" t="s">
        <v>1260</v>
      </c>
      <c r="B1247" s="4">
        <v>45538</v>
      </c>
      <c r="C1247" t="s">
        <v>2015</v>
      </c>
      <c r="D1247" t="s">
        <v>2020</v>
      </c>
      <c r="E1247" t="s">
        <v>2027</v>
      </c>
      <c r="F1247" t="s">
        <v>2032</v>
      </c>
      <c r="G1247" t="s">
        <v>2035</v>
      </c>
      <c r="H1247" t="s">
        <v>2038</v>
      </c>
      <c r="I1247">
        <v>5</v>
      </c>
      <c r="J1247">
        <v>11</v>
      </c>
      <c r="K1247">
        <v>6</v>
      </c>
      <c r="L1247" t="s">
        <v>2041</v>
      </c>
      <c r="M1247">
        <v>379</v>
      </c>
      <c r="N1247">
        <v>5418</v>
      </c>
      <c r="O1247">
        <v>27180</v>
      </c>
      <c r="P1247" s="13">
        <f t="shared" si="133"/>
        <v>0</v>
      </c>
      <c r="Q1247" t="str">
        <f t="shared" si="134"/>
        <v>No</v>
      </c>
      <c r="R1247" t="str" cm="1">
        <f t="array" ref="R1247">_xlfn.IFS(K1247=0,"On Time",K1247&lt;=2,"Minor",K1247&lt;=5,"Major",K1247&gt;5,"Severe")</f>
        <v>Severe</v>
      </c>
      <c r="S1247">
        <f t="shared" si="135"/>
        <v>4530</v>
      </c>
      <c r="T1247">
        <f t="shared" si="136"/>
        <v>903</v>
      </c>
      <c r="U1247">
        <f t="shared" si="137"/>
        <v>2024</v>
      </c>
      <c r="V1247">
        <f t="shared" si="138"/>
        <v>9</v>
      </c>
      <c r="W1247" s="11">
        <f t="shared" si="139"/>
        <v>1</v>
      </c>
    </row>
    <row r="1248" spans="1:23">
      <c r="A1248" t="s">
        <v>1261</v>
      </c>
      <c r="B1248" s="4">
        <v>45455</v>
      </c>
      <c r="C1248" t="s">
        <v>2015</v>
      </c>
      <c r="D1248" t="s">
        <v>2020</v>
      </c>
      <c r="E1248" t="s">
        <v>2027</v>
      </c>
      <c r="F1248" t="s">
        <v>2031</v>
      </c>
      <c r="G1248" t="s">
        <v>2033</v>
      </c>
      <c r="H1248" t="s">
        <v>2038</v>
      </c>
      <c r="I1248">
        <v>1</v>
      </c>
      <c r="J1248">
        <v>3</v>
      </c>
      <c r="K1248">
        <v>2</v>
      </c>
      <c r="L1248" t="s">
        <v>2041</v>
      </c>
      <c r="M1248">
        <v>226</v>
      </c>
      <c r="N1248">
        <v>4092</v>
      </c>
      <c r="O1248">
        <v>6210</v>
      </c>
      <c r="P1248" s="13">
        <f t="shared" si="133"/>
        <v>0</v>
      </c>
      <c r="Q1248" t="str">
        <f t="shared" si="134"/>
        <v>No</v>
      </c>
      <c r="R1248" t="str" cm="1">
        <f t="array" ref="R1248">_xlfn.IFS(K1248=0,"On Time",K1248&lt;=2,"Minor",K1248&lt;=5,"Major",K1248&gt;5,"Severe")</f>
        <v>Minor</v>
      </c>
      <c r="S1248">
        <f t="shared" si="135"/>
        <v>3105</v>
      </c>
      <c r="T1248">
        <f t="shared" si="136"/>
        <v>2046</v>
      </c>
      <c r="U1248">
        <f t="shared" si="137"/>
        <v>2024</v>
      </c>
      <c r="V1248">
        <f t="shared" si="138"/>
        <v>6</v>
      </c>
      <c r="W1248" s="11">
        <f t="shared" si="139"/>
        <v>1</v>
      </c>
    </row>
    <row r="1249" spans="1:23">
      <c r="A1249" t="s">
        <v>1262</v>
      </c>
      <c r="B1249" s="4">
        <v>45648</v>
      </c>
      <c r="C1249" t="s">
        <v>2015</v>
      </c>
      <c r="D1249" t="s">
        <v>2020</v>
      </c>
      <c r="E1249" t="s">
        <v>2027</v>
      </c>
      <c r="F1249" t="s">
        <v>2031</v>
      </c>
      <c r="G1249" t="s">
        <v>2034</v>
      </c>
      <c r="H1249" t="s">
        <v>2039</v>
      </c>
      <c r="I1249">
        <v>2</v>
      </c>
      <c r="J1249">
        <v>7</v>
      </c>
      <c r="K1249">
        <v>5</v>
      </c>
      <c r="L1249" t="s">
        <v>2041</v>
      </c>
      <c r="M1249">
        <v>133</v>
      </c>
      <c r="N1249">
        <v>12190</v>
      </c>
      <c r="O1249">
        <v>14060</v>
      </c>
      <c r="P1249" s="13">
        <f t="shared" si="133"/>
        <v>0</v>
      </c>
      <c r="Q1249" t="str">
        <f t="shared" si="134"/>
        <v>No</v>
      </c>
      <c r="R1249" t="str" cm="1">
        <f t="array" ref="R1249">_xlfn.IFS(K1249=0,"On Time",K1249&lt;=2,"Minor",K1249&lt;=5,"Major",K1249&gt;5,"Severe")</f>
        <v>Major</v>
      </c>
      <c r="S1249">
        <f t="shared" si="135"/>
        <v>2812</v>
      </c>
      <c r="T1249">
        <f t="shared" si="136"/>
        <v>2438</v>
      </c>
      <c r="U1249">
        <f t="shared" si="137"/>
        <v>2024</v>
      </c>
      <c r="V1249">
        <f t="shared" si="138"/>
        <v>12</v>
      </c>
      <c r="W1249" s="11">
        <f t="shared" si="139"/>
        <v>1</v>
      </c>
    </row>
    <row r="1250" spans="1:23">
      <c r="A1250" t="s">
        <v>1263</v>
      </c>
      <c r="B1250" s="4">
        <v>45385</v>
      </c>
      <c r="C1250" t="s">
        <v>2016</v>
      </c>
      <c r="D1250" t="s">
        <v>2025</v>
      </c>
      <c r="E1250" t="s">
        <v>2027</v>
      </c>
      <c r="F1250" t="s">
        <v>2031</v>
      </c>
      <c r="G1250" t="s">
        <v>2037</v>
      </c>
      <c r="H1250" t="s">
        <v>2038</v>
      </c>
      <c r="I1250">
        <v>1</v>
      </c>
      <c r="J1250">
        <v>1</v>
      </c>
      <c r="K1250">
        <v>0</v>
      </c>
      <c r="L1250" t="s">
        <v>2042</v>
      </c>
      <c r="M1250">
        <v>475</v>
      </c>
      <c r="N1250">
        <v>0</v>
      </c>
      <c r="O1250">
        <v>0</v>
      </c>
      <c r="P1250" s="13">
        <f t="shared" si="133"/>
        <v>1</v>
      </c>
      <c r="Q1250" t="str">
        <f t="shared" si="134"/>
        <v>No</v>
      </c>
      <c r="R1250" t="str" cm="1">
        <f t="array" ref="R1250">_xlfn.IFS(K1250=0,"On Time",K1250&lt;=2,"Minor",K1250&lt;=5,"Major",K1250&gt;5,"Severe")</f>
        <v>On Time</v>
      </c>
      <c r="S1250">
        <f t="shared" si="135"/>
        <v>0</v>
      </c>
      <c r="T1250">
        <f t="shared" si="136"/>
        <v>0</v>
      </c>
      <c r="U1250">
        <f t="shared" si="137"/>
        <v>2024</v>
      </c>
      <c r="V1250">
        <f t="shared" si="138"/>
        <v>4</v>
      </c>
      <c r="W1250" s="11">
        <f t="shared" si="139"/>
        <v>0</v>
      </c>
    </row>
    <row r="1251" spans="1:23">
      <c r="A1251" t="s">
        <v>1264</v>
      </c>
      <c r="B1251" s="4">
        <v>45292</v>
      </c>
      <c r="C1251" t="s">
        <v>2015</v>
      </c>
      <c r="D1251" t="s">
        <v>2020</v>
      </c>
      <c r="E1251" t="s">
        <v>2028</v>
      </c>
      <c r="F1251" t="s">
        <v>2030</v>
      </c>
      <c r="G1251" t="s">
        <v>2033</v>
      </c>
      <c r="H1251" t="s">
        <v>2038</v>
      </c>
      <c r="I1251">
        <v>3</v>
      </c>
      <c r="J1251">
        <v>8</v>
      </c>
      <c r="K1251">
        <v>5</v>
      </c>
      <c r="L1251" t="s">
        <v>2041</v>
      </c>
      <c r="M1251">
        <v>350</v>
      </c>
      <c r="N1251">
        <v>4680</v>
      </c>
      <c r="O1251">
        <v>14875</v>
      </c>
      <c r="P1251" s="13">
        <f t="shared" si="133"/>
        <v>0</v>
      </c>
      <c r="Q1251" t="str">
        <f t="shared" si="134"/>
        <v>No</v>
      </c>
      <c r="R1251" t="str" cm="1">
        <f t="array" ref="R1251">_xlfn.IFS(K1251=0,"On Time",K1251&lt;=2,"Minor",K1251&lt;=5,"Major",K1251&gt;5,"Severe")</f>
        <v>Major</v>
      </c>
      <c r="S1251">
        <f t="shared" si="135"/>
        <v>2975</v>
      </c>
      <c r="T1251">
        <f t="shared" si="136"/>
        <v>936</v>
      </c>
      <c r="U1251">
        <f t="shared" si="137"/>
        <v>2024</v>
      </c>
      <c r="V1251">
        <f t="shared" si="138"/>
        <v>1</v>
      </c>
      <c r="W1251" s="11">
        <f t="shared" si="139"/>
        <v>1</v>
      </c>
    </row>
    <row r="1252" spans="1:23">
      <c r="A1252" t="s">
        <v>1265</v>
      </c>
      <c r="B1252" s="4">
        <v>45321</v>
      </c>
      <c r="C1252" t="s">
        <v>2015</v>
      </c>
      <c r="D1252" t="s">
        <v>2019</v>
      </c>
      <c r="E1252" t="s">
        <v>2027</v>
      </c>
      <c r="F1252" t="s">
        <v>2032</v>
      </c>
      <c r="G1252" t="s">
        <v>2036</v>
      </c>
      <c r="H1252" t="s">
        <v>2039</v>
      </c>
      <c r="I1252">
        <v>5</v>
      </c>
      <c r="J1252">
        <v>12</v>
      </c>
      <c r="K1252">
        <v>7</v>
      </c>
      <c r="L1252" t="s">
        <v>2041</v>
      </c>
      <c r="M1252">
        <v>328</v>
      </c>
      <c r="N1252">
        <v>15400</v>
      </c>
      <c r="O1252">
        <v>26117</v>
      </c>
      <c r="P1252" s="13">
        <f t="shared" si="133"/>
        <v>0</v>
      </c>
      <c r="Q1252" t="str">
        <f t="shared" si="134"/>
        <v>No</v>
      </c>
      <c r="R1252" t="str" cm="1">
        <f t="array" ref="R1252">_xlfn.IFS(K1252=0,"On Time",K1252&lt;=2,"Minor",K1252&lt;=5,"Major",K1252&gt;5,"Severe")</f>
        <v>Severe</v>
      </c>
      <c r="S1252">
        <f t="shared" si="135"/>
        <v>3731</v>
      </c>
      <c r="T1252">
        <f t="shared" si="136"/>
        <v>2200</v>
      </c>
      <c r="U1252">
        <f t="shared" si="137"/>
        <v>2024</v>
      </c>
      <c r="V1252">
        <f t="shared" si="138"/>
        <v>1</v>
      </c>
      <c r="W1252" s="11">
        <f t="shared" si="139"/>
        <v>1</v>
      </c>
    </row>
    <row r="1253" spans="1:23">
      <c r="A1253" t="s">
        <v>1266</v>
      </c>
      <c r="B1253" s="4">
        <v>45648</v>
      </c>
      <c r="C1253" t="s">
        <v>2018</v>
      </c>
      <c r="D1253" t="s">
        <v>2026</v>
      </c>
      <c r="E1253" t="s">
        <v>2028</v>
      </c>
      <c r="F1253" t="s">
        <v>2030</v>
      </c>
      <c r="G1253" t="s">
        <v>2036</v>
      </c>
      <c r="H1253" t="s">
        <v>2038</v>
      </c>
      <c r="I1253">
        <v>3</v>
      </c>
      <c r="J1253">
        <v>6</v>
      </c>
      <c r="K1253">
        <v>3</v>
      </c>
      <c r="L1253" t="s">
        <v>2041</v>
      </c>
      <c r="M1253">
        <v>218</v>
      </c>
      <c r="N1253">
        <v>6579</v>
      </c>
      <c r="O1253">
        <v>6483</v>
      </c>
      <c r="P1253" s="13">
        <f t="shared" si="133"/>
        <v>0</v>
      </c>
      <c r="Q1253" t="str">
        <f t="shared" si="134"/>
        <v>No</v>
      </c>
      <c r="R1253" t="str" cm="1">
        <f t="array" ref="R1253">_xlfn.IFS(K1253=0,"On Time",K1253&lt;=2,"Minor",K1253&lt;=5,"Major",K1253&gt;5,"Severe")</f>
        <v>Major</v>
      </c>
      <c r="S1253">
        <f t="shared" si="135"/>
        <v>2161</v>
      </c>
      <c r="T1253">
        <f t="shared" si="136"/>
        <v>2193</v>
      </c>
      <c r="U1253">
        <f t="shared" si="137"/>
        <v>2024</v>
      </c>
      <c r="V1253">
        <f t="shared" si="138"/>
        <v>12</v>
      </c>
      <c r="W1253" s="11">
        <f t="shared" si="139"/>
        <v>1</v>
      </c>
    </row>
    <row r="1254" spans="1:23">
      <c r="A1254" t="s">
        <v>1267</v>
      </c>
      <c r="B1254" s="4">
        <v>45476</v>
      </c>
      <c r="C1254" t="s">
        <v>2018</v>
      </c>
      <c r="D1254" t="s">
        <v>2026</v>
      </c>
      <c r="E1254" t="s">
        <v>2028</v>
      </c>
      <c r="F1254" t="s">
        <v>2032</v>
      </c>
      <c r="G1254" t="s">
        <v>2037</v>
      </c>
      <c r="H1254" t="s">
        <v>2039</v>
      </c>
      <c r="I1254">
        <v>3</v>
      </c>
      <c r="J1254">
        <v>6</v>
      </c>
      <c r="K1254">
        <v>3</v>
      </c>
      <c r="L1254" t="s">
        <v>2041</v>
      </c>
      <c r="M1254">
        <v>133</v>
      </c>
      <c r="N1254">
        <v>7119</v>
      </c>
      <c r="O1254">
        <v>14802</v>
      </c>
      <c r="P1254" s="13">
        <f t="shared" si="133"/>
        <v>0</v>
      </c>
      <c r="Q1254" t="str">
        <f t="shared" si="134"/>
        <v>No</v>
      </c>
      <c r="R1254" t="str" cm="1">
        <f t="array" ref="R1254">_xlfn.IFS(K1254=0,"On Time",K1254&lt;=2,"Minor",K1254&lt;=5,"Major",K1254&gt;5,"Severe")</f>
        <v>Major</v>
      </c>
      <c r="S1254">
        <f t="shared" si="135"/>
        <v>4934</v>
      </c>
      <c r="T1254">
        <f t="shared" si="136"/>
        <v>2373</v>
      </c>
      <c r="U1254">
        <f t="shared" si="137"/>
        <v>2024</v>
      </c>
      <c r="V1254">
        <f t="shared" si="138"/>
        <v>7</v>
      </c>
      <c r="W1254" s="11">
        <f t="shared" si="139"/>
        <v>1</v>
      </c>
    </row>
    <row r="1255" spans="1:23">
      <c r="A1255" t="s">
        <v>1268</v>
      </c>
      <c r="B1255" s="4">
        <v>45422</v>
      </c>
      <c r="C1255" t="s">
        <v>2017</v>
      </c>
      <c r="D1255" t="s">
        <v>2023</v>
      </c>
      <c r="E1255" t="s">
        <v>2027</v>
      </c>
      <c r="F1255" t="s">
        <v>2032</v>
      </c>
      <c r="G1255" t="s">
        <v>2033</v>
      </c>
      <c r="H1255" t="s">
        <v>2039</v>
      </c>
      <c r="I1255">
        <v>5</v>
      </c>
      <c r="J1255">
        <v>8</v>
      </c>
      <c r="K1255">
        <v>3</v>
      </c>
      <c r="L1255" t="s">
        <v>2041</v>
      </c>
      <c r="M1255">
        <v>101</v>
      </c>
      <c r="N1255">
        <v>4416</v>
      </c>
      <c r="O1255">
        <v>14934</v>
      </c>
      <c r="P1255" s="13">
        <f t="shared" si="133"/>
        <v>0</v>
      </c>
      <c r="Q1255" t="str">
        <f t="shared" si="134"/>
        <v>No</v>
      </c>
      <c r="R1255" t="str" cm="1">
        <f t="array" ref="R1255">_xlfn.IFS(K1255=0,"On Time",K1255&lt;=2,"Minor",K1255&lt;=5,"Major",K1255&gt;5,"Severe")</f>
        <v>Major</v>
      </c>
      <c r="S1255">
        <f t="shared" si="135"/>
        <v>4978</v>
      </c>
      <c r="T1255">
        <f t="shared" si="136"/>
        <v>1472</v>
      </c>
      <c r="U1255">
        <f t="shared" si="137"/>
        <v>2024</v>
      </c>
      <c r="V1255">
        <f t="shared" si="138"/>
        <v>5</v>
      </c>
      <c r="W1255" s="11">
        <f t="shared" si="139"/>
        <v>1</v>
      </c>
    </row>
    <row r="1256" spans="1:23">
      <c r="A1256" t="s">
        <v>1269</v>
      </c>
      <c r="B1256" s="4">
        <v>45404</v>
      </c>
      <c r="C1256" t="s">
        <v>2016</v>
      </c>
      <c r="D1256" t="s">
        <v>2025</v>
      </c>
      <c r="E1256" t="s">
        <v>2027</v>
      </c>
      <c r="F1256" t="s">
        <v>2032</v>
      </c>
      <c r="G1256" t="s">
        <v>2036</v>
      </c>
      <c r="H1256" t="s">
        <v>2038</v>
      </c>
      <c r="I1256">
        <v>2</v>
      </c>
      <c r="J1256">
        <v>3</v>
      </c>
      <c r="K1256">
        <v>1</v>
      </c>
      <c r="L1256" t="s">
        <v>2041</v>
      </c>
      <c r="M1256">
        <v>53</v>
      </c>
      <c r="N1256">
        <v>1486</v>
      </c>
      <c r="O1256">
        <v>2234</v>
      </c>
      <c r="P1256" s="13">
        <f t="shared" si="133"/>
        <v>0</v>
      </c>
      <c r="Q1256" t="str">
        <f t="shared" si="134"/>
        <v>No</v>
      </c>
      <c r="R1256" t="str" cm="1">
        <f t="array" ref="R1256">_xlfn.IFS(K1256=0,"On Time",K1256&lt;=2,"Minor",K1256&lt;=5,"Major",K1256&gt;5,"Severe")</f>
        <v>Minor</v>
      </c>
      <c r="S1256">
        <f t="shared" si="135"/>
        <v>2234</v>
      </c>
      <c r="T1256">
        <f t="shared" si="136"/>
        <v>1486</v>
      </c>
      <c r="U1256">
        <f t="shared" si="137"/>
        <v>2024</v>
      </c>
      <c r="V1256">
        <f t="shared" si="138"/>
        <v>4</v>
      </c>
      <c r="W1256" s="11">
        <f t="shared" si="139"/>
        <v>1</v>
      </c>
    </row>
    <row r="1257" spans="1:23">
      <c r="A1257" t="s">
        <v>1270</v>
      </c>
      <c r="B1257" s="4">
        <v>45422</v>
      </c>
      <c r="C1257" t="s">
        <v>2017</v>
      </c>
      <c r="D1257" t="s">
        <v>2023</v>
      </c>
      <c r="E1257" t="s">
        <v>2027</v>
      </c>
      <c r="F1257" t="s">
        <v>2030</v>
      </c>
      <c r="G1257" t="s">
        <v>2033</v>
      </c>
      <c r="H1257" t="s">
        <v>2039</v>
      </c>
      <c r="I1257">
        <v>1</v>
      </c>
      <c r="J1257">
        <v>1</v>
      </c>
      <c r="K1257">
        <v>0</v>
      </c>
      <c r="L1257" t="s">
        <v>2042</v>
      </c>
      <c r="M1257">
        <v>59</v>
      </c>
      <c r="N1257">
        <v>0</v>
      </c>
      <c r="O1257">
        <v>0</v>
      </c>
      <c r="P1257" s="13">
        <f t="shared" si="133"/>
        <v>1</v>
      </c>
      <c r="Q1257" t="str">
        <f t="shared" si="134"/>
        <v>No</v>
      </c>
      <c r="R1257" t="str" cm="1">
        <f t="array" ref="R1257">_xlfn.IFS(K1257=0,"On Time",K1257&lt;=2,"Minor",K1257&lt;=5,"Major",K1257&gt;5,"Severe")</f>
        <v>On Time</v>
      </c>
      <c r="S1257">
        <f t="shared" si="135"/>
        <v>0</v>
      </c>
      <c r="T1257">
        <f t="shared" si="136"/>
        <v>0</v>
      </c>
      <c r="U1257">
        <f t="shared" si="137"/>
        <v>2024</v>
      </c>
      <c r="V1257">
        <f t="shared" si="138"/>
        <v>5</v>
      </c>
      <c r="W1257" s="11">
        <f t="shared" si="139"/>
        <v>0</v>
      </c>
    </row>
    <row r="1258" spans="1:23">
      <c r="A1258" t="s">
        <v>1271</v>
      </c>
      <c r="B1258" s="4">
        <v>45478</v>
      </c>
      <c r="C1258" t="s">
        <v>2016</v>
      </c>
      <c r="D1258" t="s">
        <v>2025</v>
      </c>
      <c r="E1258" t="s">
        <v>2029</v>
      </c>
      <c r="F1258" t="s">
        <v>2031</v>
      </c>
      <c r="G1258" t="s">
        <v>2037</v>
      </c>
      <c r="H1258" t="s">
        <v>2040</v>
      </c>
      <c r="I1258">
        <v>2</v>
      </c>
      <c r="J1258">
        <v>8</v>
      </c>
      <c r="K1258">
        <v>6</v>
      </c>
      <c r="L1258" t="s">
        <v>2041</v>
      </c>
      <c r="M1258">
        <v>444</v>
      </c>
      <c r="N1258">
        <v>13638</v>
      </c>
      <c r="O1258">
        <v>17694</v>
      </c>
      <c r="P1258" s="13">
        <f t="shared" si="133"/>
        <v>0</v>
      </c>
      <c r="Q1258" t="str">
        <f t="shared" si="134"/>
        <v>No</v>
      </c>
      <c r="R1258" t="str" cm="1">
        <f t="array" ref="R1258">_xlfn.IFS(K1258=0,"On Time",K1258&lt;=2,"Minor",K1258&lt;=5,"Major",K1258&gt;5,"Severe")</f>
        <v>Severe</v>
      </c>
      <c r="S1258">
        <f t="shared" si="135"/>
        <v>2949</v>
      </c>
      <c r="T1258">
        <f t="shared" si="136"/>
        <v>2273</v>
      </c>
      <c r="U1258">
        <f t="shared" si="137"/>
        <v>2024</v>
      </c>
      <c r="V1258">
        <f t="shared" si="138"/>
        <v>7</v>
      </c>
      <c r="W1258" s="11">
        <f t="shared" si="139"/>
        <v>1</v>
      </c>
    </row>
    <row r="1259" spans="1:23">
      <c r="A1259" t="s">
        <v>1272</v>
      </c>
      <c r="B1259" s="4">
        <v>45640</v>
      </c>
      <c r="C1259" t="s">
        <v>2018</v>
      </c>
      <c r="D1259" t="s">
        <v>2026</v>
      </c>
      <c r="E1259" t="s">
        <v>2028</v>
      </c>
      <c r="F1259" t="s">
        <v>2031</v>
      </c>
      <c r="G1259" t="s">
        <v>2033</v>
      </c>
      <c r="H1259" t="s">
        <v>2038</v>
      </c>
      <c r="I1259">
        <v>1</v>
      </c>
      <c r="J1259">
        <v>3</v>
      </c>
      <c r="K1259">
        <v>2</v>
      </c>
      <c r="L1259" t="s">
        <v>2041</v>
      </c>
      <c r="M1259">
        <v>435</v>
      </c>
      <c r="N1259">
        <v>4522</v>
      </c>
      <c r="O1259">
        <v>6320</v>
      </c>
      <c r="P1259" s="13">
        <f t="shared" si="133"/>
        <v>0</v>
      </c>
      <c r="Q1259" t="str">
        <f t="shared" si="134"/>
        <v>No</v>
      </c>
      <c r="R1259" t="str" cm="1">
        <f t="array" ref="R1259">_xlfn.IFS(K1259=0,"On Time",K1259&lt;=2,"Minor",K1259&lt;=5,"Major",K1259&gt;5,"Severe")</f>
        <v>Minor</v>
      </c>
      <c r="S1259">
        <f t="shared" si="135"/>
        <v>3160</v>
      </c>
      <c r="T1259">
        <f t="shared" si="136"/>
        <v>2261</v>
      </c>
      <c r="U1259">
        <f t="shared" si="137"/>
        <v>2024</v>
      </c>
      <c r="V1259">
        <f t="shared" si="138"/>
        <v>12</v>
      </c>
      <c r="W1259" s="11">
        <f t="shared" si="139"/>
        <v>1</v>
      </c>
    </row>
    <row r="1260" spans="1:23">
      <c r="A1260" t="s">
        <v>1273</v>
      </c>
      <c r="B1260" s="4">
        <v>45611</v>
      </c>
      <c r="C1260" t="s">
        <v>2018</v>
      </c>
      <c r="D1260" t="s">
        <v>2026</v>
      </c>
      <c r="E1260" t="s">
        <v>2027</v>
      </c>
      <c r="F1260" t="s">
        <v>2031</v>
      </c>
      <c r="G1260" t="s">
        <v>2033</v>
      </c>
      <c r="H1260" t="s">
        <v>2039</v>
      </c>
      <c r="I1260">
        <v>3</v>
      </c>
      <c r="J1260">
        <v>6</v>
      </c>
      <c r="K1260">
        <v>3</v>
      </c>
      <c r="L1260" t="s">
        <v>2041</v>
      </c>
      <c r="M1260">
        <v>366</v>
      </c>
      <c r="N1260">
        <v>3408</v>
      </c>
      <c r="O1260">
        <v>10161</v>
      </c>
      <c r="P1260" s="13">
        <f t="shared" si="133"/>
        <v>0</v>
      </c>
      <c r="Q1260" t="str">
        <f t="shared" si="134"/>
        <v>No</v>
      </c>
      <c r="R1260" t="str" cm="1">
        <f t="array" ref="R1260">_xlfn.IFS(K1260=0,"On Time",K1260&lt;=2,"Minor",K1260&lt;=5,"Major",K1260&gt;5,"Severe")</f>
        <v>Major</v>
      </c>
      <c r="S1260">
        <f t="shared" si="135"/>
        <v>3387</v>
      </c>
      <c r="T1260">
        <f t="shared" si="136"/>
        <v>1136</v>
      </c>
      <c r="U1260">
        <f t="shared" si="137"/>
        <v>2024</v>
      </c>
      <c r="V1260">
        <f t="shared" si="138"/>
        <v>11</v>
      </c>
      <c r="W1260" s="11">
        <f t="shared" si="139"/>
        <v>1</v>
      </c>
    </row>
    <row r="1261" spans="1:23">
      <c r="A1261" t="s">
        <v>1274</v>
      </c>
      <c r="B1261" s="4">
        <v>45491</v>
      </c>
      <c r="C1261" t="s">
        <v>2016</v>
      </c>
      <c r="D1261" t="s">
        <v>2021</v>
      </c>
      <c r="E1261" t="s">
        <v>2027</v>
      </c>
      <c r="F1261" t="s">
        <v>2031</v>
      </c>
      <c r="G1261" t="s">
        <v>2036</v>
      </c>
      <c r="H1261" t="s">
        <v>2038</v>
      </c>
      <c r="I1261">
        <v>3</v>
      </c>
      <c r="J1261">
        <v>4</v>
      </c>
      <c r="K1261">
        <v>1</v>
      </c>
      <c r="L1261" t="s">
        <v>2041</v>
      </c>
      <c r="M1261">
        <v>233</v>
      </c>
      <c r="N1261">
        <v>1884</v>
      </c>
      <c r="O1261">
        <v>2307</v>
      </c>
      <c r="P1261" s="13">
        <f t="shared" si="133"/>
        <v>0</v>
      </c>
      <c r="Q1261" t="str">
        <f t="shared" si="134"/>
        <v>No</v>
      </c>
      <c r="R1261" t="str" cm="1">
        <f t="array" ref="R1261">_xlfn.IFS(K1261=0,"On Time",K1261&lt;=2,"Minor",K1261&lt;=5,"Major",K1261&gt;5,"Severe")</f>
        <v>Minor</v>
      </c>
      <c r="S1261">
        <f t="shared" si="135"/>
        <v>2307</v>
      </c>
      <c r="T1261">
        <f t="shared" si="136"/>
        <v>1884</v>
      </c>
      <c r="U1261">
        <f t="shared" si="137"/>
        <v>2024</v>
      </c>
      <c r="V1261">
        <f t="shared" si="138"/>
        <v>7</v>
      </c>
      <c r="W1261" s="11">
        <f t="shared" si="139"/>
        <v>1</v>
      </c>
    </row>
    <row r="1262" spans="1:23">
      <c r="A1262" t="s">
        <v>1275</v>
      </c>
      <c r="B1262" s="4">
        <v>45573</v>
      </c>
      <c r="C1262" t="s">
        <v>2015</v>
      </c>
      <c r="D1262" t="s">
        <v>2019</v>
      </c>
      <c r="E1262" t="s">
        <v>2027</v>
      </c>
      <c r="F1262" t="s">
        <v>2030</v>
      </c>
      <c r="G1262" t="s">
        <v>2033</v>
      </c>
      <c r="H1262" t="s">
        <v>2039</v>
      </c>
      <c r="I1262">
        <v>2</v>
      </c>
      <c r="J1262">
        <v>3</v>
      </c>
      <c r="K1262">
        <v>1</v>
      </c>
      <c r="L1262" t="s">
        <v>2041</v>
      </c>
      <c r="M1262">
        <v>108</v>
      </c>
      <c r="N1262">
        <v>948</v>
      </c>
      <c r="O1262">
        <v>2430</v>
      </c>
      <c r="P1262" s="13">
        <f t="shared" si="133"/>
        <v>0</v>
      </c>
      <c r="Q1262" t="str">
        <f t="shared" si="134"/>
        <v>No</v>
      </c>
      <c r="R1262" t="str" cm="1">
        <f t="array" ref="R1262">_xlfn.IFS(K1262=0,"On Time",K1262&lt;=2,"Minor",K1262&lt;=5,"Major",K1262&gt;5,"Severe")</f>
        <v>Minor</v>
      </c>
      <c r="S1262">
        <f t="shared" si="135"/>
        <v>2430</v>
      </c>
      <c r="T1262">
        <f t="shared" si="136"/>
        <v>948</v>
      </c>
      <c r="U1262">
        <f t="shared" si="137"/>
        <v>2024</v>
      </c>
      <c r="V1262">
        <f t="shared" si="138"/>
        <v>10</v>
      </c>
      <c r="W1262" s="11">
        <f t="shared" si="139"/>
        <v>1</v>
      </c>
    </row>
    <row r="1263" spans="1:23">
      <c r="A1263" t="s">
        <v>1276</v>
      </c>
      <c r="B1263" s="4">
        <v>45296</v>
      </c>
      <c r="C1263" t="s">
        <v>2016</v>
      </c>
      <c r="D1263" t="s">
        <v>2025</v>
      </c>
      <c r="E1263" t="s">
        <v>2027</v>
      </c>
      <c r="F1263" t="s">
        <v>2032</v>
      </c>
      <c r="G1263" t="s">
        <v>2034</v>
      </c>
      <c r="H1263" t="s">
        <v>2039</v>
      </c>
      <c r="I1263">
        <v>1</v>
      </c>
      <c r="J1263">
        <v>5</v>
      </c>
      <c r="K1263">
        <v>4</v>
      </c>
      <c r="L1263" t="s">
        <v>2041</v>
      </c>
      <c r="M1263">
        <v>370</v>
      </c>
      <c r="N1263">
        <v>5848</v>
      </c>
      <c r="O1263">
        <v>8468</v>
      </c>
      <c r="P1263" s="13">
        <f t="shared" si="133"/>
        <v>0</v>
      </c>
      <c r="Q1263" t="str">
        <f t="shared" si="134"/>
        <v>No</v>
      </c>
      <c r="R1263" t="str" cm="1">
        <f t="array" ref="R1263">_xlfn.IFS(K1263=0,"On Time",K1263&lt;=2,"Minor",K1263&lt;=5,"Major",K1263&gt;5,"Severe")</f>
        <v>Major</v>
      </c>
      <c r="S1263">
        <f t="shared" si="135"/>
        <v>2117</v>
      </c>
      <c r="T1263">
        <f t="shared" si="136"/>
        <v>1462</v>
      </c>
      <c r="U1263">
        <f t="shared" si="137"/>
        <v>2024</v>
      </c>
      <c r="V1263">
        <f t="shared" si="138"/>
        <v>1</v>
      </c>
      <c r="W1263" s="11">
        <f t="shared" si="139"/>
        <v>1</v>
      </c>
    </row>
    <row r="1264" spans="1:23">
      <c r="A1264" t="s">
        <v>1277</v>
      </c>
      <c r="B1264" s="4">
        <v>45347</v>
      </c>
      <c r="C1264" t="s">
        <v>2016</v>
      </c>
      <c r="D1264" t="s">
        <v>2025</v>
      </c>
      <c r="E1264" t="s">
        <v>2027</v>
      </c>
      <c r="F1264" t="s">
        <v>2031</v>
      </c>
      <c r="G1264" t="s">
        <v>2035</v>
      </c>
      <c r="H1264" t="s">
        <v>2038</v>
      </c>
      <c r="I1264">
        <v>1</v>
      </c>
      <c r="J1264">
        <v>2</v>
      </c>
      <c r="K1264">
        <v>1</v>
      </c>
      <c r="L1264" t="s">
        <v>2041</v>
      </c>
      <c r="M1264">
        <v>99</v>
      </c>
      <c r="N1264">
        <v>2325</v>
      </c>
      <c r="O1264">
        <v>3479</v>
      </c>
      <c r="P1264" s="13">
        <f t="shared" si="133"/>
        <v>0</v>
      </c>
      <c r="Q1264" t="str">
        <f t="shared" si="134"/>
        <v>No</v>
      </c>
      <c r="R1264" t="str" cm="1">
        <f t="array" ref="R1264">_xlfn.IFS(K1264=0,"On Time",K1264&lt;=2,"Minor",K1264&lt;=5,"Major",K1264&gt;5,"Severe")</f>
        <v>Minor</v>
      </c>
      <c r="S1264">
        <f t="shared" si="135"/>
        <v>3479</v>
      </c>
      <c r="T1264">
        <f t="shared" si="136"/>
        <v>2325</v>
      </c>
      <c r="U1264">
        <f t="shared" si="137"/>
        <v>2024</v>
      </c>
      <c r="V1264">
        <f t="shared" si="138"/>
        <v>2</v>
      </c>
      <c r="W1264" s="11">
        <f t="shared" si="139"/>
        <v>1</v>
      </c>
    </row>
    <row r="1265" spans="1:23">
      <c r="A1265" t="s">
        <v>1278</v>
      </c>
      <c r="B1265" s="4">
        <v>45587</v>
      </c>
      <c r="C1265" t="s">
        <v>2018</v>
      </c>
      <c r="D1265" t="s">
        <v>2026</v>
      </c>
      <c r="E1265" t="s">
        <v>2027</v>
      </c>
      <c r="F1265" t="s">
        <v>2031</v>
      </c>
      <c r="G1265" t="s">
        <v>2033</v>
      </c>
      <c r="H1265" t="s">
        <v>2039</v>
      </c>
      <c r="I1265">
        <v>2</v>
      </c>
      <c r="J1265">
        <v>3</v>
      </c>
      <c r="K1265">
        <v>1</v>
      </c>
      <c r="L1265" t="s">
        <v>2041</v>
      </c>
      <c r="M1265">
        <v>410</v>
      </c>
      <c r="N1265">
        <v>2394</v>
      </c>
      <c r="O1265">
        <v>1549</v>
      </c>
      <c r="P1265" s="13">
        <f t="shared" si="133"/>
        <v>0</v>
      </c>
      <c r="Q1265" t="str">
        <f t="shared" si="134"/>
        <v>No</v>
      </c>
      <c r="R1265" t="str" cm="1">
        <f t="array" ref="R1265">_xlfn.IFS(K1265=0,"On Time",K1265&lt;=2,"Minor",K1265&lt;=5,"Major",K1265&gt;5,"Severe")</f>
        <v>Minor</v>
      </c>
      <c r="S1265">
        <f t="shared" si="135"/>
        <v>1549</v>
      </c>
      <c r="T1265">
        <f t="shared" si="136"/>
        <v>2394</v>
      </c>
      <c r="U1265">
        <f t="shared" si="137"/>
        <v>2024</v>
      </c>
      <c r="V1265">
        <f t="shared" si="138"/>
        <v>10</v>
      </c>
      <c r="W1265" s="11">
        <f t="shared" si="139"/>
        <v>1</v>
      </c>
    </row>
    <row r="1266" spans="1:23">
      <c r="A1266" t="s">
        <v>1279</v>
      </c>
      <c r="B1266" s="4">
        <v>45446</v>
      </c>
      <c r="C1266" t="s">
        <v>2015</v>
      </c>
      <c r="D1266" t="s">
        <v>2019</v>
      </c>
      <c r="E1266" t="s">
        <v>2029</v>
      </c>
      <c r="F1266" t="s">
        <v>2031</v>
      </c>
      <c r="G1266" t="s">
        <v>2033</v>
      </c>
      <c r="H1266" t="s">
        <v>2039</v>
      </c>
      <c r="I1266">
        <v>3</v>
      </c>
      <c r="J1266">
        <v>8</v>
      </c>
      <c r="K1266">
        <v>5</v>
      </c>
      <c r="L1266" t="s">
        <v>2041</v>
      </c>
      <c r="M1266">
        <v>499</v>
      </c>
      <c r="N1266">
        <v>9445</v>
      </c>
      <c r="O1266">
        <v>13115</v>
      </c>
      <c r="P1266" s="13">
        <f t="shared" si="133"/>
        <v>0</v>
      </c>
      <c r="Q1266" t="str">
        <f t="shared" si="134"/>
        <v>No</v>
      </c>
      <c r="R1266" t="str" cm="1">
        <f t="array" ref="R1266">_xlfn.IFS(K1266=0,"On Time",K1266&lt;=2,"Minor",K1266&lt;=5,"Major",K1266&gt;5,"Severe")</f>
        <v>Major</v>
      </c>
      <c r="S1266">
        <f t="shared" si="135"/>
        <v>2623</v>
      </c>
      <c r="T1266">
        <f t="shared" si="136"/>
        <v>1889</v>
      </c>
      <c r="U1266">
        <f t="shared" si="137"/>
        <v>2024</v>
      </c>
      <c r="V1266">
        <f t="shared" si="138"/>
        <v>6</v>
      </c>
      <c r="W1266" s="11">
        <f t="shared" si="139"/>
        <v>1</v>
      </c>
    </row>
    <row r="1267" spans="1:23">
      <c r="A1267" t="s">
        <v>1280</v>
      </c>
      <c r="B1267" s="4">
        <v>45416</v>
      </c>
      <c r="C1267" t="s">
        <v>2017</v>
      </c>
      <c r="D1267" t="s">
        <v>2023</v>
      </c>
      <c r="E1267" t="s">
        <v>2029</v>
      </c>
      <c r="F1267" t="s">
        <v>2031</v>
      </c>
      <c r="G1267" t="s">
        <v>2035</v>
      </c>
      <c r="H1267" t="s">
        <v>2038</v>
      </c>
      <c r="I1267">
        <v>3</v>
      </c>
      <c r="J1267">
        <v>7</v>
      </c>
      <c r="K1267">
        <v>4</v>
      </c>
      <c r="L1267" t="s">
        <v>2041</v>
      </c>
      <c r="M1267">
        <v>364</v>
      </c>
      <c r="N1267">
        <v>8504</v>
      </c>
      <c r="O1267">
        <v>13552</v>
      </c>
      <c r="P1267" s="13">
        <f t="shared" si="133"/>
        <v>0</v>
      </c>
      <c r="Q1267" t="str">
        <f t="shared" si="134"/>
        <v>No</v>
      </c>
      <c r="R1267" t="str" cm="1">
        <f t="array" ref="R1267">_xlfn.IFS(K1267=0,"On Time",K1267&lt;=2,"Minor",K1267&lt;=5,"Major",K1267&gt;5,"Severe")</f>
        <v>Major</v>
      </c>
      <c r="S1267">
        <f t="shared" si="135"/>
        <v>3388</v>
      </c>
      <c r="T1267">
        <f t="shared" si="136"/>
        <v>2126</v>
      </c>
      <c r="U1267">
        <f t="shared" si="137"/>
        <v>2024</v>
      </c>
      <c r="V1267">
        <f t="shared" si="138"/>
        <v>5</v>
      </c>
      <c r="W1267" s="11">
        <f t="shared" si="139"/>
        <v>1</v>
      </c>
    </row>
    <row r="1268" spans="1:23">
      <c r="A1268" t="s">
        <v>1281</v>
      </c>
      <c r="B1268" s="4">
        <v>45349</v>
      </c>
      <c r="C1268" t="s">
        <v>2017</v>
      </c>
      <c r="D1268" t="s">
        <v>2022</v>
      </c>
      <c r="E1268" t="s">
        <v>2029</v>
      </c>
      <c r="F1268" t="s">
        <v>2032</v>
      </c>
      <c r="G1268" t="s">
        <v>2037</v>
      </c>
      <c r="H1268" t="s">
        <v>2038</v>
      </c>
      <c r="I1268">
        <v>5</v>
      </c>
      <c r="J1268">
        <v>6</v>
      </c>
      <c r="K1268">
        <v>1</v>
      </c>
      <c r="L1268" t="s">
        <v>2041</v>
      </c>
      <c r="M1268">
        <v>437</v>
      </c>
      <c r="N1268">
        <v>987</v>
      </c>
      <c r="O1268">
        <v>1784</v>
      </c>
      <c r="P1268" s="13">
        <f t="shared" si="133"/>
        <v>0</v>
      </c>
      <c r="Q1268" t="str">
        <f t="shared" si="134"/>
        <v>No</v>
      </c>
      <c r="R1268" t="str" cm="1">
        <f t="array" ref="R1268">_xlfn.IFS(K1268=0,"On Time",K1268&lt;=2,"Minor",K1268&lt;=5,"Major",K1268&gt;5,"Severe")</f>
        <v>Minor</v>
      </c>
      <c r="S1268">
        <f t="shared" si="135"/>
        <v>1784</v>
      </c>
      <c r="T1268">
        <f t="shared" si="136"/>
        <v>987</v>
      </c>
      <c r="U1268">
        <f t="shared" si="137"/>
        <v>2024</v>
      </c>
      <c r="V1268">
        <f t="shared" si="138"/>
        <v>2</v>
      </c>
      <c r="W1268" s="11">
        <f t="shared" si="139"/>
        <v>1</v>
      </c>
    </row>
    <row r="1269" spans="1:23">
      <c r="A1269" t="s">
        <v>1282</v>
      </c>
      <c r="B1269" s="4">
        <v>45431</v>
      </c>
      <c r="C1269" t="s">
        <v>2017</v>
      </c>
      <c r="D1269" t="s">
        <v>2023</v>
      </c>
      <c r="E1269" t="s">
        <v>2029</v>
      </c>
      <c r="F1269" t="s">
        <v>2030</v>
      </c>
      <c r="G1269" t="s">
        <v>2033</v>
      </c>
      <c r="H1269" t="s">
        <v>2038</v>
      </c>
      <c r="I1269">
        <v>2</v>
      </c>
      <c r="J1269">
        <v>4</v>
      </c>
      <c r="K1269">
        <v>2</v>
      </c>
      <c r="L1269" t="s">
        <v>2041</v>
      </c>
      <c r="M1269">
        <v>343</v>
      </c>
      <c r="N1269">
        <v>4972</v>
      </c>
      <c r="O1269">
        <v>8194</v>
      </c>
      <c r="P1269" s="13">
        <f t="shared" si="133"/>
        <v>0</v>
      </c>
      <c r="Q1269" t="str">
        <f t="shared" si="134"/>
        <v>No</v>
      </c>
      <c r="R1269" t="str" cm="1">
        <f t="array" ref="R1269">_xlfn.IFS(K1269=0,"On Time",K1269&lt;=2,"Minor",K1269&lt;=5,"Major",K1269&gt;5,"Severe")</f>
        <v>Minor</v>
      </c>
      <c r="S1269">
        <f t="shared" si="135"/>
        <v>4097</v>
      </c>
      <c r="T1269">
        <f t="shared" si="136"/>
        <v>2486</v>
      </c>
      <c r="U1269">
        <f t="shared" si="137"/>
        <v>2024</v>
      </c>
      <c r="V1269">
        <f t="shared" si="138"/>
        <v>5</v>
      </c>
      <c r="W1269" s="11">
        <f t="shared" si="139"/>
        <v>1</v>
      </c>
    </row>
    <row r="1270" spans="1:23">
      <c r="A1270" t="s">
        <v>1283</v>
      </c>
      <c r="B1270" s="4">
        <v>45424</v>
      </c>
      <c r="C1270" t="s">
        <v>2018</v>
      </c>
      <c r="D1270" t="s">
        <v>2026</v>
      </c>
      <c r="E1270" t="s">
        <v>2029</v>
      </c>
      <c r="F1270" t="s">
        <v>2030</v>
      </c>
      <c r="G1270" t="s">
        <v>2036</v>
      </c>
      <c r="H1270" t="s">
        <v>2038</v>
      </c>
      <c r="I1270">
        <v>2</v>
      </c>
      <c r="J1270">
        <v>2</v>
      </c>
      <c r="K1270">
        <v>0</v>
      </c>
      <c r="L1270" t="s">
        <v>2042</v>
      </c>
      <c r="M1270">
        <v>150</v>
      </c>
      <c r="N1270">
        <v>0</v>
      </c>
      <c r="O1270">
        <v>0</v>
      </c>
      <c r="P1270" s="13">
        <f t="shared" si="133"/>
        <v>1</v>
      </c>
      <c r="Q1270" t="str">
        <f t="shared" si="134"/>
        <v>No</v>
      </c>
      <c r="R1270" t="str" cm="1">
        <f t="array" ref="R1270">_xlfn.IFS(K1270=0,"On Time",K1270&lt;=2,"Minor",K1270&lt;=5,"Major",K1270&gt;5,"Severe")</f>
        <v>On Time</v>
      </c>
      <c r="S1270">
        <f t="shared" si="135"/>
        <v>0</v>
      </c>
      <c r="T1270">
        <f t="shared" si="136"/>
        <v>0</v>
      </c>
      <c r="U1270">
        <f t="shared" si="137"/>
        <v>2024</v>
      </c>
      <c r="V1270">
        <f t="shared" si="138"/>
        <v>5</v>
      </c>
      <c r="W1270" s="11">
        <f t="shared" si="139"/>
        <v>0</v>
      </c>
    </row>
    <row r="1271" spans="1:23">
      <c r="A1271" t="s">
        <v>1284</v>
      </c>
      <c r="B1271" s="4">
        <v>45537</v>
      </c>
      <c r="C1271" t="s">
        <v>2018</v>
      </c>
      <c r="D1271" t="s">
        <v>2024</v>
      </c>
      <c r="E1271" t="s">
        <v>2029</v>
      </c>
      <c r="F1271" t="s">
        <v>2031</v>
      </c>
      <c r="G1271" t="s">
        <v>2033</v>
      </c>
      <c r="H1271" t="s">
        <v>2039</v>
      </c>
      <c r="I1271">
        <v>1</v>
      </c>
      <c r="J1271">
        <v>5</v>
      </c>
      <c r="K1271">
        <v>4</v>
      </c>
      <c r="L1271" t="s">
        <v>2041</v>
      </c>
      <c r="M1271">
        <v>87</v>
      </c>
      <c r="N1271">
        <v>8216</v>
      </c>
      <c r="O1271">
        <v>12972</v>
      </c>
      <c r="P1271" s="13">
        <f t="shared" si="133"/>
        <v>0</v>
      </c>
      <c r="Q1271" t="str">
        <f t="shared" si="134"/>
        <v>No</v>
      </c>
      <c r="R1271" t="str" cm="1">
        <f t="array" ref="R1271">_xlfn.IFS(K1271=0,"On Time",K1271&lt;=2,"Minor",K1271&lt;=5,"Major",K1271&gt;5,"Severe")</f>
        <v>Major</v>
      </c>
      <c r="S1271">
        <f t="shared" si="135"/>
        <v>3243</v>
      </c>
      <c r="T1271">
        <f t="shared" si="136"/>
        <v>2054</v>
      </c>
      <c r="U1271">
        <f t="shared" si="137"/>
        <v>2024</v>
      </c>
      <c r="V1271">
        <f t="shared" si="138"/>
        <v>9</v>
      </c>
      <c r="W1271" s="11">
        <f t="shared" si="139"/>
        <v>1</v>
      </c>
    </row>
    <row r="1272" spans="1:23">
      <c r="A1272" t="s">
        <v>1285</v>
      </c>
      <c r="B1272" s="4">
        <v>45617</v>
      </c>
      <c r="C1272" t="s">
        <v>2015</v>
      </c>
      <c r="D1272" t="s">
        <v>2020</v>
      </c>
      <c r="E1272" t="s">
        <v>2029</v>
      </c>
      <c r="F1272" t="s">
        <v>2031</v>
      </c>
      <c r="G1272" t="s">
        <v>2033</v>
      </c>
      <c r="H1272" t="s">
        <v>2039</v>
      </c>
      <c r="I1272">
        <v>2</v>
      </c>
      <c r="J1272">
        <v>5</v>
      </c>
      <c r="K1272">
        <v>3</v>
      </c>
      <c r="L1272" t="s">
        <v>2041</v>
      </c>
      <c r="M1272">
        <v>344</v>
      </c>
      <c r="N1272">
        <v>5718</v>
      </c>
      <c r="O1272">
        <v>12663</v>
      </c>
      <c r="P1272" s="13">
        <f t="shared" si="133"/>
        <v>0</v>
      </c>
      <c r="Q1272" t="str">
        <f t="shared" si="134"/>
        <v>No</v>
      </c>
      <c r="R1272" t="str" cm="1">
        <f t="array" ref="R1272">_xlfn.IFS(K1272=0,"On Time",K1272&lt;=2,"Minor",K1272&lt;=5,"Major",K1272&gt;5,"Severe")</f>
        <v>Major</v>
      </c>
      <c r="S1272">
        <f t="shared" si="135"/>
        <v>4221</v>
      </c>
      <c r="T1272">
        <f t="shared" si="136"/>
        <v>1906</v>
      </c>
      <c r="U1272">
        <f t="shared" si="137"/>
        <v>2024</v>
      </c>
      <c r="V1272">
        <f t="shared" si="138"/>
        <v>11</v>
      </c>
      <c r="W1272" s="11">
        <f t="shared" si="139"/>
        <v>1</v>
      </c>
    </row>
    <row r="1273" spans="1:23">
      <c r="A1273" t="s">
        <v>1286</v>
      </c>
      <c r="B1273" s="4">
        <v>45324</v>
      </c>
      <c r="C1273" t="s">
        <v>2018</v>
      </c>
      <c r="D1273" t="s">
        <v>2026</v>
      </c>
      <c r="E1273" t="s">
        <v>2028</v>
      </c>
      <c r="F1273" t="s">
        <v>2030</v>
      </c>
      <c r="G1273" t="s">
        <v>2036</v>
      </c>
      <c r="H1273" t="s">
        <v>2039</v>
      </c>
      <c r="I1273">
        <v>1</v>
      </c>
      <c r="J1273">
        <v>1</v>
      </c>
      <c r="K1273">
        <v>0</v>
      </c>
      <c r="L1273" t="s">
        <v>2042</v>
      </c>
      <c r="M1273">
        <v>77</v>
      </c>
      <c r="N1273">
        <v>0</v>
      </c>
      <c r="O1273">
        <v>0</v>
      </c>
      <c r="P1273" s="13">
        <f t="shared" si="133"/>
        <v>1</v>
      </c>
      <c r="Q1273" t="str">
        <f t="shared" si="134"/>
        <v>No</v>
      </c>
      <c r="R1273" t="str" cm="1">
        <f t="array" ref="R1273">_xlfn.IFS(K1273=0,"On Time",K1273&lt;=2,"Minor",K1273&lt;=5,"Major",K1273&gt;5,"Severe")</f>
        <v>On Time</v>
      </c>
      <c r="S1273">
        <f t="shared" si="135"/>
        <v>0</v>
      </c>
      <c r="T1273">
        <f t="shared" si="136"/>
        <v>0</v>
      </c>
      <c r="U1273">
        <f t="shared" si="137"/>
        <v>2024</v>
      </c>
      <c r="V1273">
        <f t="shared" si="138"/>
        <v>2</v>
      </c>
      <c r="W1273" s="11">
        <f t="shared" si="139"/>
        <v>0</v>
      </c>
    </row>
    <row r="1274" spans="1:23">
      <c r="A1274" t="s">
        <v>1287</v>
      </c>
      <c r="B1274" s="4">
        <v>45420</v>
      </c>
      <c r="C1274" t="s">
        <v>2015</v>
      </c>
      <c r="D1274" t="s">
        <v>2019</v>
      </c>
      <c r="E1274" t="s">
        <v>2028</v>
      </c>
      <c r="F1274" t="s">
        <v>2031</v>
      </c>
      <c r="G1274" t="s">
        <v>2034</v>
      </c>
      <c r="H1274" t="s">
        <v>2038</v>
      </c>
      <c r="I1274">
        <v>3</v>
      </c>
      <c r="J1274">
        <v>7</v>
      </c>
      <c r="K1274">
        <v>4</v>
      </c>
      <c r="L1274" t="s">
        <v>2041</v>
      </c>
      <c r="M1274">
        <v>258</v>
      </c>
      <c r="N1274">
        <v>3588</v>
      </c>
      <c r="O1274">
        <v>13712</v>
      </c>
      <c r="P1274" s="13">
        <f t="shared" si="133"/>
        <v>0</v>
      </c>
      <c r="Q1274" t="str">
        <f t="shared" si="134"/>
        <v>No</v>
      </c>
      <c r="R1274" t="str" cm="1">
        <f t="array" ref="R1274">_xlfn.IFS(K1274=0,"On Time",K1274&lt;=2,"Minor",K1274&lt;=5,"Major",K1274&gt;5,"Severe")</f>
        <v>Major</v>
      </c>
      <c r="S1274">
        <f t="shared" si="135"/>
        <v>3428</v>
      </c>
      <c r="T1274">
        <f t="shared" si="136"/>
        <v>897</v>
      </c>
      <c r="U1274">
        <f t="shared" si="137"/>
        <v>2024</v>
      </c>
      <c r="V1274">
        <f t="shared" si="138"/>
        <v>5</v>
      </c>
      <c r="W1274" s="11">
        <f t="shared" si="139"/>
        <v>1</v>
      </c>
    </row>
    <row r="1275" spans="1:23">
      <c r="A1275" t="s">
        <v>1288</v>
      </c>
      <c r="B1275" s="4">
        <v>45606</v>
      </c>
      <c r="C1275" t="s">
        <v>2018</v>
      </c>
      <c r="D1275" t="s">
        <v>2026</v>
      </c>
      <c r="E1275" t="s">
        <v>2029</v>
      </c>
      <c r="F1275" t="s">
        <v>2031</v>
      </c>
      <c r="G1275" t="s">
        <v>2033</v>
      </c>
      <c r="H1275" t="s">
        <v>2040</v>
      </c>
      <c r="I1275">
        <v>5</v>
      </c>
      <c r="J1275">
        <v>10</v>
      </c>
      <c r="K1275">
        <v>5</v>
      </c>
      <c r="L1275" t="s">
        <v>2041</v>
      </c>
      <c r="M1275">
        <v>72</v>
      </c>
      <c r="N1275">
        <v>4925</v>
      </c>
      <c r="O1275">
        <v>12120</v>
      </c>
      <c r="P1275" s="13">
        <f t="shared" si="133"/>
        <v>0</v>
      </c>
      <c r="Q1275" t="str">
        <f t="shared" si="134"/>
        <v>No</v>
      </c>
      <c r="R1275" t="str" cm="1">
        <f t="array" ref="R1275">_xlfn.IFS(K1275=0,"On Time",K1275&lt;=2,"Minor",K1275&lt;=5,"Major",K1275&gt;5,"Severe")</f>
        <v>Major</v>
      </c>
      <c r="S1275">
        <f t="shared" si="135"/>
        <v>2424</v>
      </c>
      <c r="T1275">
        <f t="shared" si="136"/>
        <v>985</v>
      </c>
      <c r="U1275">
        <f t="shared" si="137"/>
        <v>2024</v>
      </c>
      <c r="V1275">
        <f t="shared" si="138"/>
        <v>11</v>
      </c>
      <c r="W1275" s="11">
        <f t="shared" si="139"/>
        <v>1</v>
      </c>
    </row>
    <row r="1276" spans="1:23">
      <c r="A1276" t="s">
        <v>1289</v>
      </c>
      <c r="B1276" s="4">
        <v>45568</v>
      </c>
      <c r="C1276" t="s">
        <v>2016</v>
      </c>
      <c r="D1276" t="s">
        <v>2021</v>
      </c>
      <c r="E1276" t="s">
        <v>2028</v>
      </c>
      <c r="F1276" t="s">
        <v>2030</v>
      </c>
      <c r="G1276" t="s">
        <v>2033</v>
      </c>
      <c r="H1276" t="s">
        <v>2040</v>
      </c>
      <c r="I1276">
        <v>2</v>
      </c>
      <c r="J1276">
        <v>10</v>
      </c>
      <c r="K1276">
        <v>8</v>
      </c>
      <c r="L1276" t="s">
        <v>2041</v>
      </c>
      <c r="M1276">
        <v>370</v>
      </c>
      <c r="N1276">
        <v>13656</v>
      </c>
      <c r="O1276">
        <v>31048</v>
      </c>
      <c r="P1276" s="13">
        <f t="shared" si="133"/>
        <v>0</v>
      </c>
      <c r="Q1276" t="str">
        <f t="shared" si="134"/>
        <v>No</v>
      </c>
      <c r="R1276" t="str" cm="1">
        <f t="array" ref="R1276">_xlfn.IFS(K1276=0,"On Time",K1276&lt;=2,"Minor",K1276&lt;=5,"Major",K1276&gt;5,"Severe")</f>
        <v>Severe</v>
      </c>
      <c r="S1276">
        <f t="shared" si="135"/>
        <v>3881</v>
      </c>
      <c r="T1276">
        <f t="shared" si="136"/>
        <v>1707</v>
      </c>
      <c r="U1276">
        <f t="shared" si="137"/>
        <v>2024</v>
      </c>
      <c r="V1276">
        <f t="shared" si="138"/>
        <v>10</v>
      </c>
      <c r="W1276" s="11">
        <f t="shared" si="139"/>
        <v>1</v>
      </c>
    </row>
    <row r="1277" spans="1:23">
      <c r="A1277" t="s">
        <v>1290</v>
      </c>
      <c r="B1277" s="4">
        <v>45465</v>
      </c>
      <c r="C1277" t="s">
        <v>2016</v>
      </c>
      <c r="D1277" t="s">
        <v>2021</v>
      </c>
      <c r="E1277" t="s">
        <v>2027</v>
      </c>
      <c r="F1277" t="s">
        <v>2031</v>
      </c>
      <c r="G1277" t="s">
        <v>2034</v>
      </c>
      <c r="H1277" t="s">
        <v>2039</v>
      </c>
      <c r="I1277">
        <v>2</v>
      </c>
      <c r="J1277">
        <v>5</v>
      </c>
      <c r="K1277">
        <v>3</v>
      </c>
      <c r="L1277" t="s">
        <v>2041</v>
      </c>
      <c r="M1277">
        <v>486</v>
      </c>
      <c r="N1277">
        <v>6357</v>
      </c>
      <c r="O1277">
        <v>14112</v>
      </c>
      <c r="P1277" s="13">
        <f t="shared" si="133"/>
        <v>0</v>
      </c>
      <c r="Q1277" t="str">
        <f t="shared" si="134"/>
        <v>No</v>
      </c>
      <c r="R1277" t="str" cm="1">
        <f t="array" ref="R1277">_xlfn.IFS(K1277=0,"On Time",K1277&lt;=2,"Minor",K1277&lt;=5,"Major",K1277&gt;5,"Severe")</f>
        <v>Major</v>
      </c>
      <c r="S1277">
        <f t="shared" si="135"/>
        <v>4704</v>
      </c>
      <c r="T1277">
        <f t="shared" si="136"/>
        <v>2119</v>
      </c>
      <c r="U1277">
        <f t="shared" si="137"/>
        <v>2024</v>
      </c>
      <c r="V1277">
        <f t="shared" si="138"/>
        <v>6</v>
      </c>
      <c r="W1277" s="11">
        <f t="shared" si="139"/>
        <v>1</v>
      </c>
    </row>
    <row r="1278" spans="1:23">
      <c r="A1278" t="s">
        <v>1291</v>
      </c>
      <c r="B1278" s="4">
        <v>45445</v>
      </c>
      <c r="C1278" t="s">
        <v>2017</v>
      </c>
      <c r="D1278" t="s">
        <v>2022</v>
      </c>
      <c r="E1278" t="s">
        <v>2029</v>
      </c>
      <c r="F1278" t="s">
        <v>2031</v>
      </c>
      <c r="G1278" t="s">
        <v>2034</v>
      </c>
      <c r="H1278" t="s">
        <v>2038</v>
      </c>
      <c r="I1278">
        <v>1</v>
      </c>
      <c r="J1278">
        <v>6</v>
      </c>
      <c r="K1278">
        <v>5</v>
      </c>
      <c r="L1278" t="s">
        <v>2041</v>
      </c>
      <c r="M1278">
        <v>468</v>
      </c>
      <c r="N1278">
        <v>7075</v>
      </c>
      <c r="O1278">
        <v>24065</v>
      </c>
      <c r="P1278" s="13">
        <f t="shared" si="133"/>
        <v>0</v>
      </c>
      <c r="Q1278" t="str">
        <f t="shared" si="134"/>
        <v>No</v>
      </c>
      <c r="R1278" t="str" cm="1">
        <f t="array" ref="R1278">_xlfn.IFS(K1278=0,"On Time",K1278&lt;=2,"Minor",K1278&lt;=5,"Major",K1278&gt;5,"Severe")</f>
        <v>Major</v>
      </c>
      <c r="S1278">
        <f t="shared" si="135"/>
        <v>4813</v>
      </c>
      <c r="T1278">
        <f t="shared" si="136"/>
        <v>1415</v>
      </c>
      <c r="U1278">
        <f t="shared" si="137"/>
        <v>2024</v>
      </c>
      <c r="V1278">
        <f t="shared" si="138"/>
        <v>6</v>
      </c>
      <c r="W1278" s="11">
        <f t="shared" si="139"/>
        <v>1</v>
      </c>
    </row>
    <row r="1279" spans="1:23">
      <c r="A1279" t="s">
        <v>1292</v>
      </c>
      <c r="B1279" s="4">
        <v>45484</v>
      </c>
      <c r="C1279" t="s">
        <v>2016</v>
      </c>
      <c r="D1279" t="s">
        <v>2021</v>
      </c>
      <c r="E1279" t="s">
        <v>2029</v>
      </c>
      <c r="F1279" t="s">
        <v>2031</v>
      </c>
      <c r="G1279" t="s">
        <v>2037</v>
      </c>
      <c r="H1279" t="s">
        <v>2038</v>
      </c>
      <c r="I1279">
        <v>1</v>
      </c>
      <c r="J1279">
        <v>2</v>
      </c>
      <c r="K1279">
        <v>1</v>
      </c>
      <c r="L1279" t="s">
        <v>2041</v>
      </c>
      <c r="M1279">
        <v>480</v>
      </c>
      <c r="N1279">
        <v>2462</v>
      </c>
      <c r="O1279">
        <v>2175</v>
      </c>
      <c r="P1279" s="13">
        <f t="shared" si="133"/>
        <v>0</v>
      </c>
      <c r="Q1279" t="str">
        <f t="shared" si="134"/>
        <v>No</v>
      </c>
      <c r="R1279" t="str" cm="1">
        <f t="array" ref="R1279">_xlfn.IFS(K1279=0,"On Time",K1279&lt;=2,"Minor",K1279&lt;=5,"Major",K1279&gt;5,"Severe")</f>
        <v>Minor</v>
      </c>
      <c r="S1279">
        <f t="shared" si="135"/>
        <v>2175</v>
      </c>
      <c r="T1279">
        <f t="shared" si="136"/>
        <v>2462</v>
      </c>
      <c r="U1279">
        <f t="shared" si="137"/>
        <v>2024</v>
      </c>
      <c r="V1279">
        <f t="shared" si="138"/>
        <v>7</v>
      </c>
      <c r="W1279" s="11">
        <f t="shared" si="139"/>
        <v>1</v>
      </c>
    </row>
    <row r="1280" spans="1:23">
      <c r="A1280" t="s">
        <v>1293</v>
      </c>
      <c r="B1280" s="4">
        <v>45416</v>
      </c>
      <c r="C1280" t="s">
        <v>2018</v>
      </c>
      <c r="D1280" t="s">
        <v>2024</v>
      </c>
      <c r="E1280" t="s">
        <v>2027</v>
      </c>
      <c r="F1280" t="s">
        <v>2031</v>
      </c>
      <c r="G1280" t="s">
        <v>2033</v>
      </c>
      <c r="H1280" t="s">
        <v>2038</v>
      </c>
      <c r="I1280">
        <v>1</v>
      </c>
      <c r="J1280">
        <v>5</v>
      </c>
      <c r="K1280">
        <v>4</v>
      </c>
      <c r="L1280" t="s">
        <v>2041</v>
      </c>
      <c r="M1280">
        <v>337</v>
      </c>
      <c r="N1280">
        <v>8296</v>
      </c>
      <c r="O1280">
        <v>11412</v>
      </c>
      <c r="P1280" s="13">
        <f t="shared" si="133"/>
        <v>0</v>
      </c>
      <c r="Q1280" t="str">
        <f t="shared" si="134"/>
        <v>No</v>
      </c>
      <c r="R1280" t="str" cm="1">
        <f t="array" ref="R1280">_xlfn.IFS(K1280=0,"On Time",K1280&lt;=2,"Minor",K1280&lt;=5,"Major",K1280&gt;5,"Severe")</f>
        <v>Major</v>
      </c>
      <c r="S1280">
        <f t="shared" si="135"/>
        <v>2853</v>
      </c>
      <c r="T1280">
        <f t="shared" si="136"/>
        <v>2074</v>
      </c>
      <c r="U1280">
        <f t="shared" si="137"/>
        <v>2024</v>
      </c>
      <c r="V1280">
        <f t="shared" si="138"/>
        <v>5</v>
      </c>
      <c r="W1280" s="11">
        <f t="shared" si="139"/>
        <v>1</v>
      </c>
    </row>
    <row r="1281" spans="1:23">
      <c r="A1281" t="s">
        <v>1294</v>
      </c>
      <c r="B1281" s="4">
        <v>45503</v>
      </c>
      <c r="C1281" t="s">
        <v>2015</v>
      </c>
      <c r="D1281" t="s">
        <v>2020</v>
      </c>
      <c r="E1281" t="s">
        <v>2027</v>
      </c>
      <c r="F1281" t="s">
        <v>2031</v>
      </c>
      <c r="G1281" t="s">
        <v>2037</v>
      </c>
      <c r="H1281" t="s">
        <v>2038</v>
      </c>
      <c r="I1281">
        <v>2</v>
      </c>
      <c r="J1281">
        <v>7</v>
      </c>
      <c r="K1281">
        <v>5</v>
      </c>
      <c r="L1281" t="s">
        <v>2041</v>
      </c>
      <c r="M1281">
        <v>145</v>
      </c>
      <c r="N1281">
        <v>4190</v>
      </c>
      <c r="O1281">
        <v>20265</v>
      </c>
      <c r="P1281" s="13">
        <f t="shared" si="133"/>
        <v>0</v>
      </c>
      <c r="Q1281" t="str">
        <f t="shared" si="134"/>
        <v>No</v>
      </c>
      <c r="R1281" t="str" cm="1">
        <f t="array" ref="R1281">_xlfn.IFS(K1281=0,"On Time",K1281&lt;=2,"Minor",K1281&lt;=5,"Major",K1281&gt;5,"Severe")</f>
        <v>Major</v>
      </c>
      <c r="S1281">
        <f t="shared" si="135"/>
        <v>4053</v>
      </c>
      <c r="T1281">
        <f t="shared" si="136"/>
        <v>838</v>
      </c>
      <c r="U1281">
        <f t="shared" si="137"/>
        <v>2024</v>
      </c>
      <c r="V1281">
        <f t="shared" si="138"/>
        <v>7</v>
      </c>
      <c r="W1281" s="11">
        <f t="shared" si="139"/>
        <v>1</v>
      </c>
    </row>
    <row r="1282" spans="1:23">
      <c r="A1282" t="s">
        <v>1295</v>
      </c>
      <c r="B1282" s="4">
        <v>45386</v>
      </c>
      <c r="C1282" t="s">
        <v>2018</v>
      </c>
      <c r="D1282" t="s">
        <v>2026</v>
      </c>
      <c r="E1282" t="s">
        <v>2029</v>
      </c>
      <c r="F1282" t="s">
        <v>2031</v>
      </c>
      <c r="G1282" t="s">
        <v>2034</v>
      </c>
      <c r="H1282" t="s">
        <v>2038</v>
      </c>
      <c r="I1282">
        <v>1</v>
      </c>
      <c r="J1282">
        <v>1</v>
      </c>
      <c r="K1282">
        <v>0</v>
      </c>
      <c r="L1282" t="s">
        <v>2042</v>
      </c>
      <c r="M1282">
        <v>440</v>
      </c>
      <c r="N1282">
        <v>0</v>
      </c>
      <c r="O1282">
        <v>0</v>
      </c>
      <c r="P1282" s="13">
        <f t="shared" si="133"/>
        <v>1</v>
      </c>
      <c r="Q1282" t="str">
        <f t="shared" si="134"/>
        <v>No</v>
      </c>
      <c r="R1282" t="str" cm="1">
        <f t="array" ref="R1282">_xlfn.IFS(K1282=0,"On Time",K1282&lt;=2,"Minor",K1282&lt;=5,"Major",K1282&gt;5,"Severe")</f>
        <v>On Time</v>
      </c>
      <c r="S1282">
        <f t="shared" si="135"/>
        <v>0</v>
      </c>
      <c r="T1282">
        <f t="shared" si="136"/>
        <v>0</v>
      </c>
      <c r="U1282">
        <f t="shared" si="137"/>
        <v>2024</v>
      </c>
      <c r="V1282">
        <f t="shared" si="138"/>
        <v>4</v>
      </c>
      <c r="W1282" s="11">
        <f t="shared" si="139"/>
        <v>0</v>
      </c>
    </row>
    <row r="1283" spans="1:23">
      <c r="A1283" t="s">
        <v>1296</v>
      </c>
      <c r="B1283" s="4">
        <v>45637</v>
      </c>
      <c r="C1283" t="s">
        <v>2015</v>
      </c>
      <c r="D1283" t="s">
        <v>2019</v>
      </c>
      <c r="E1283" t="s">
        <v>2027</v>
      </c>
      <c r="F1283" t="s">
        <v>2031</v>
      </c>
      <c r="G1283" t="s">
        <v>2037</v>
      </c>
      <c r="H1283" t="s">
        <v>2038</v>
      </c>
      <c r="I1283">
        <v>2</v>
      </c>
      <c r="J1283">
        <v>4</v>
      </c>
      <c r="K1283">
        <v>2</v>
      </c>
      <c r="L1283" t="s">
        <v>2041</v>
      </c>
      <c r="M1283">
        <v>67</v>
      </c>
      <c r="N1283">
        <v>4510</v>
      </c>
      <c r="O1283">
        <v>8904</v>
      </c>
      <c r="P1283" s="13">
        <f t="shared" ref="P1283:P1346" si="140">IF(L1283="Yes",0,1)</f>
        <v>0</v>
      </c>
      <c r="Q1283" t="str">
        <f t="shared" ref="Q1283:Q1346" si="141">IF(K1283&gt;J1283,"Yes","No")</f>
        <v>No</v>
      </c>
      <c r="R1283" t="str" cm="1">
        <f t="array" ref="R1283">_xlfn.IFS(K1283=0,"On Time",K1283&lt;=2,"Minor",K1283&lt;=5,"Major",K1283&gt;5,"Severe")</f>
        <v>Minor</v>
      </c>
      <c r="S1283">
        <f t="shared" ref="S1283:S1346" si="142">IFERROR(O1283/K1283,0)</f>
        <v>4452</v>
      </c>
      <c r="T1283">
        <f t="shared" ref="T1283:T1346" si="143">IFERROR(N1283/K1283,0)</f>
        <v>2255</v>
      </c>
      <c r="U1283">
        <f t="shared" ref="U1283:U1346" si="144">YEAR(B1283)</f>
        <v>2024</v>
      </c>
      <c r="V1283">
        <f t="shared" ref="V1283:V1346" si="145">MONTH(B1283)</f>
        <v>12</v>
      </c>
      <c r="W1283" s="11">
        <f t="shared" ref="W1283:W1346" si="146">IF(L1283="Yes",1,0)</f>
        <v>1</v>
      </c>
    </row>
    <row r="1284" spans="1:23">
      <c r="A1284" t="s">
        <v>1297</v>
      </c>
      <c r="B1284" s="4">
        <v>45636</v>
      </c>
      <c r="C1284" t="s">
        <v>2018</v>
      </c>
      <c r="D1284" t="s">
        <v>2026</v>
      </c>
      <c r="E1284" t="s">
        <v>2029</v>
      </c>
      <c r="F1284" t="s">
        <v>2032</v>
      </c>
      <c r="G1284" t="s">
        <v>2033</v>
      </c>
      <c r="H1284" t="s">
        <v>2039</v>
      </c>
      <c r="I1284">
        <v>5</v>
      </c>
      <c r="J1284">
        <v>9</v>
      </c>
      <c r="K1284">
        <v>4</v>
      </c>
      <c r="L1284" t="s">
        <v>2041</v>
      </c>
      <c r="M1284">
        <v>256</v>
      </c>
      <c r="N1284">
        <v>4736</v>
      </c>
      <c r="O1284">
        <v>8452</v>
      </c>
      <c r="P1284" s="13">
        <f t="shared" si="140"/>
        <v>0</v>
      </c>
      <c r="Q1284" t="str">
        <f t="shared" si="141"/>
        <v>No</v>
      </c>
      <c r="R1284" t="str" cm="1">
        <f t="array" ref="R1284">_xlfn.IFS(K1284=0,"On Time",K1284&lt;=2,"Minor",K1284&lt;=5,"Major",K1284&gt;5,"Severe")</f>
        <v>Major</v>
      </c>
      <c r="S1284">
        <f t="shared" si="142"/>
        <v>2113</v>
      </c>
      <c r="T1284">
        <f t="shared" si="143"/>
        <v>1184</v>
      </c>
      <c r="U1284">
        <f t="shared" si="144"/>
        <v>2024</v>
      </c>
      <c r="V1284">
        <f t="shared" si="145"/>
        <v>12</v>
      </c>
      <c r="W1284" s="11">
        <f t="shared" si="146"/>
        <v>1</v>
      </c>
    </row>
    <row r="1285" spans="1:23">
      <c r="A1285" t="s">
        <v>1298</v>
      </c>
      <c r="B1285" s="4">
        <v>45440</v>
      </c>
      <c r="C1285" t="s">
        <v>2018</v>
      </c>
      <c r="D1285" t="s">
        <v>2026</v>
      </c>
      <c r="E1285" t="s">
        <v>2029</v>
      </c>
      <c r="F1285" t="s">
        <v>2032</v>
      </c>
      <c r="G1285" t="s">
        <v>2036</v>
      </c>
      <c r="H1285" t="s">
        <v>2039</v>
      </c>
      <c r="I1285">
        <v>2</v>
      </c>
      <c r="J1285">
        <v>7</v>
      </c>
      <c r="K1285">
        <v>5</v>
      </c>
      <c r="L1285" t="s">
        <v>2041</v>
      </c>
      <c r="M1285">
        <v>368</v>
      </c>
      <c r="N1285">
        <v>6075</v>
      </c>
      <c r="O1285">
        <v>19900</v>
      </c>
      <c r="P1285" s="13">
        <f t="shared" si="140"/>
        <v>0</v>
      </c>
      <c r="Q1285" t="str">
        <f t="shared" si="141"/>
        <v>No</v>
      </c>
      <c r="R1285" t="str" cm="1">
        <f t="array" ref="R1285">_xlfn.IFS(K1285=0,"On Time",K1285&lt;=2,"Minor",K1285&lt;=5,"Major",K1285&gt;5,"Severe")</f>
        <v>Major</v>
      </c>
      <c r="S1285">
        <f t="shared" si="142"/>
        <v>3980</v>
      </c>
      <c r="T1285">
        <f t="shared" si="143"/>
        <v>1215</v>
      </c>
      <c r="U1285">
        <f t="shared" si="144"/>
        <v>2024</v>
      </c>
      <c r="V1285">
        <f t="shared" si="145"/>
        <v>5</v>
      </c>
      <c r="W1285" s="11">
        <f t="shared" si="146"/>
        <v>1</v>
      </c>
    </row>
    <row r="1286" spans="1:23">
      <c r="A1286" t="s">
        <v>1299</v>
      </c>
      <c r="B1286" s="4">
        <v>45365</v>
      </c>
      <c r="C1286" t="s">
        <v>2017</v>
      </c>
      <c r="D1286" t="s">
        <v>2023</v>
      </c>
      <c r="E1286" t="s">
        <v>2029</v>
      </c>
      <c r="F1286" t="s">
        <v>2031</v>
      </c>
      <c r="G1286" t="s">
        <v>2037</v>
      </c>
      <c r="H1286" t="s">
        <v>2039</v>
      </c>
      <c r="I1286">
        <v>3</v>
      </c>
      <c r="J1286">
        <v>4</v>
      </c>
      <c r="K1286">
        <v>1</v>
      </c>
      <c r="L1286" t="s">
        <v>2041</v>
      </c>
      <c r="M1286">
        <v>75</v>
      </c>
      <c r="N1286">
        <v>1130</v>
      </c>
      <c r="O1286">
        <v>2193</v>
      </c>
      <c r="P1286" s="13">
        <f t="shared" si="140"/>
        <v>0</v>
      </c>
      <c r="Q1286" t="str">
        <f t="shared" si="141"/>
        <v>No</v>
      </c>
      <c r="R1286" t="str" cm="1">
        <f t="array" ref="R1286">_xlfn.IFS(K1286=0,"On Time",K1286&lt;=2,"Minor",K1286&lt;=5,"Major",K1286&gt;5,"Severe")</f>
        <v>Minor</v>
      </c>
      <c r="S1286">
        <f t="shared" si="142"/>
        <v>2193</v>
      </c>
      <c r="T1286">
        <f t="shared" si="143"/>
        <v>1130</v>
      </c>
      <c r="U1286">
        <f t="shared" si="144"/>
        <v>2024</v>
      </c>
      <c r="V1286">
        <f t="shared" si="145"/>
        <v>3</v>
      </c>
      <c r="W1286" s="11">
        <f t="shared" si="146"/>
        <v>1</v>
      </c>
    </row>
    <row r="1287" spans="1:23">
      <c r="A1287" t="s">
        <v>1300</v>
      </c>
      <c r="B1287" s="4">
        <v>45321</v>
      </c>
      <c r="C1287" t="s">
        <v>2018</v>
      </c>
      <c r="D1287" t="s">
        <v>2026</v>
      </c>
      <c r="E1287" t="s">
        <v>2029</v>
      </c>
      <c r="F1287" t="s">
        <v>2032</v>
      </c>
      <c r="G1287" t="s">
        <v>2036</v>
      </c>
      <c r="H1287" t="s">
        <v>2038</v>
      </c>
      <c r="I1287">
        <v>3</v>
      </c>
      <c r="J1287">
        <v>5</v>
      </c>
      <c r="K1287">
        <v>2</v>
      </c>
      <c r="L1287" t="s">
        <v>2041</v>
      </c>
      <c r="M1287">
        <v>168</v>
      </c>
      <c r="N1287">
        <v>2658</v>
      </c>
      <c r="O1287">
        <v>8894</v>
      </c>
      <c r="P1287" s="13">
        <f t="shared" si="140"/>
        <v>0</v>
      </c>
      <c r="Q1287" t="str">
        <f t="shared" si="141"/>
        <v>No</v>
      </c>
      <c r="R1287" t="str" cm="1">
        <f t="array" ref="R1287">_xlfn.IFS(K1287=0,"On Time",K1287&lt;=2,"Minor",K1287&lt;=5,"Major",K1287&gt;5,"Severe")</f>
        <v>Minor</v>
      </c>
      <c r="S1287">
        <f t="shared" si="142"/>
        <v>4447</v>
      </c>
      <c r="T1287">
        <f t="shared" si="143"/>
        <v>1329</v>
      </c>
      <c r="U1287">
        <f t="shared" si="144"/>
        <v>2024</v>
      </c>
      <c r="V1287">
        <f t="shared" si="145"/>
        <v>1</v>
      </c>
      <c r="W1287" s="11">
        <f t="shared" si="146"/>
        <v>1</v>
      </c>
    </row>
    <row r="1288" spans="1:23">
      <c r="A1288" t="s">
        <v>1301</v>
      </c>
      <c r="B1288" s="4">
        <v>45578</v>
      </c>
      <c r="C1288" t="s">
        <v>2016</v>
      </c>
      <c r="D1288" t="s">
        <v>2025</v>
      </c>
      <c r="E1288" t="s">
        <v>2029</v>
      </c>
      <c r="F1288" t="s">
        <v>2030</v>
      </c>
      <c r="G1288" t="s">
        <v>2037</v>
      </c>
      <c r="H1288" t="s">
        <v>2038</v>
      </c>
      <c r="I1288">
        <v>2</v>
      </c>
      <c r="J1288">
        <v>5</v>
      </c>
      <c r="K1288">
        <v>3</v>
      </c>
      <c r="L1288" t="s">
        <v>2041</v>
      </c>
      <c r="M1288">
        <v>338</v>
      </c>
      <c r="N1288">
        <v>5757</v>
      </c>
      <c r="O1288">
        <v>11025</v>
      </c>
      <c r="P1288" s="13">
        <f t="shared" si="140"/>
        <v>0</v>
      </c>
      <c r="Q1288" t="str">
        <f t="shared" si="141"/>
        <v>No</v>
      </c>
      <c r="R1288" t="str" cm="1">
        <f t="array" ref="R1288">_xlfn.IFS(K1288=0,"On Time",K1288&lt;=2,"Minor",K1288&lt;=5,"Major",K1288&gt;5,"Severe")</f>
        <v>Major</v>
      </c>
      <c r="S1288">
        <f t="shared" si="142"/>
        <v>3675</v>
      </c>
      <c r="T1288">
        <f t="shared" si="143"/>
        <v>1919</v>
      </c>
      <c r="U1288">
        <f t="shared" si="144"/>
        <v>2024</v>
      </c>
      <c r="V1288">
        <f t="shared" si="145"/>
        <v>10</v>
      </c>
      <c r="W1288" s="11">
        <f t="shared" si="146"/>
        <v>1</v>
      </c>
    </row>
    <row r="1289" spans="1:23">
      <c r="A1289" t="s">
        <v>1302</v>
      </c>
      <c r="B1289" s="4">
        <v>45642</v>
      </c>
      <c r="C1289" t="s">
        <v>2016</v>
      </c>
      <c r="D1289" t="s">
        <v>2021</v>
      </c>
      <c r="E1289" t="s">
        <v>2028</v>
      </c>
      <c r="F1289" t="s">
        <v>2031</v>
      </c>
      <c r="G1289" t="s">
        <v>2037</v>
      </c>
      <c r="H1289" t="s">
        <v>2039</v>
      </c>
      <c r="I1289">
        <v>3</v>
      </c>
      <c r="J1289">
        <v>6</v>
      </c>
      <c r="K1289">
        <v>3</v>
      </c>
      <c r="L1289" t="s">
        <v>2041</v>
      </c>
      <c r="M1289">
        <v>399</v>
      </c>
      <c r="N1289">
        <v>6993</v>
      </c>
      <c r="O1289">
        <v>4965</v>
      </c>
      <c r="P1289" s="13">
        <f t="shared" si="140"/>
        <v>0</v>
      </c>
      <c r="Q1289" t="str">
        <f t="shared" si="141"/>
        <v>No</v>
      </c>
      <c r="R1289" t="str" cm="1">
        <f t="array" ref="R1289">_xlfn.IFS(K1289=0,"On Time",K1289&lt;=2,"Minor",K1289&lt;=5,"Major",K1289&gt;5,"Severe")</f>
        <v>Major</v>
      </c>
      <c r="S1289">
        <f t="shared" si="142"/>
        <v>1655</v>
      </c>
      <c r="T1289">
        <f t="shared" si="143"/>
        <v>2331</v>
      </c>
      <c r="U1289">
        <f t="shared" si="144"/>
        <v>2024</v>
      </c>
      <c r="V1289">
        <f t="shared" si="145"/>
        <v>12</v>
      </c>
      <c r="W1289" s="11">
        <f t="shared" si="146"/>
        <v>1</v>
      </c>
    </row>
    <row r="1290" spans="1:23">
      <c r="A1290" t="s">
        <v>1303</v>
      </c>
      <c r="B1290" s="4">
        <v>45411</v>
      </c>
      <c r="C1290" t="s">
        <v>2018</v>
      </c>
      <c r="D1290" t="s">
        <v>2026</v>
      </c>
      <c r="E1290" t="s">
        <v>2029</v>
      </c>
      <c r="F1290" t="s">
        <v>2031</v>
      </c>
      <c r="G1290" t="s">
        <v>2036</v>
      </c>
      <c r="H1290" t="s">
        <v>2040</v>
      </c>
      <c r="I1290">
        <v>2</v>
      </c>
      <c r="J1290">
        <v>8</v>
      </c>
      <c r="K1290">
        <v>6</v>
      </c>
      <c r="L1290" t="s">
        <v>2041</v>
      </c>
      <c r="M1290">
        <v>316</v>
      </c>
      <c r="N1290">
        <v>5718</v>
      </c>
      <c r="O1290">
        <v>27144</v>
      </c>
      <c r="P1290" s="13">
        <f t="shared" si="140"/>
        <v>0</v>
      </c>
      <c r="Q1290" t="str">
        <f t="shared" si="141"/>
        <v>No</v>
      </c>
      <c r="R1290" t="str" cm="1">
        <f t="array" ref="R1290">_xlfn.IFS(K1290=0,"On Time",K1290&lt;=2,"Minor",K1290&lt;=5,"Major",K1290&gt;5,"Severe")</f>
        <v>Severe</v>
      </c>
      <c r="S1290">
        <f t="shared" si="142"/>
        <v>4524</v>
      </c>
      <c r="T1290">
        <f t="shared" si="143"/>
        <v>953</v>
      </c>
      <c r="U1290">
        <f t="shared" si="144"/>
        <v>2024</v>
      </c>
      <c r="V1290">
        <f t="shared" si="145"/>
        <v>4</v>
      </c>
      <c r="W1290" s="11">
        <f t="shared" si="146"/>
        <v>1</v>
      </c>
    </row>
    <row r="1291" spans="1:23">
      <c r="A1291" t="s">
        <v>1304</v>
      </c>
      <c r="B1291" s="4">
        <v>45529</v>
      </c>
      <c r="C1291" t="s">
        <v>2018</v>
      </c>
      <c r="D1291" t="s">
        <v>2024</v>
      </c>
      <c r="E1291" t="s">
        <v>2029</v>
      </c>
      <c r="F1291" t="s">
        <v>2030</v>
      </c>
      <c r="G1291" t="s">
        <v>2037</v>
      </c>
      <c r="H1291" t="s">
        <v>2039</v>
      </c>
      <c r="I1291">
        <v>5</v>
      </c>
      <c r="J1291">
        <v>5</v>
      </c>
      <c r="K1291">
        <v>0</v>
      </c>
      <c r="L1291" t="s">
        <v>2042</v>
      </c>
      <c r="M1291">
        <v>247</v>
      </c>
      <c r="N1291">
        <v>0</v>
      </c>
      <c r="O1291">
        <v>0</v>
      </c>
      <c r="P1291" s="13">
        <f t="shared" si="140"/>
        <v>1</v>
      </c>
      <c r="Q1291" t="str">
        <f t="shared" si="141"/>
        <v>No</v>
      </c>
      <c r="R1291" t="str" cm="1">
        <f t="array" ref="R1291">_xlfn.IFS(K1291=0,"On Time",K1291&lt;=2,"Minor",K1291&lt;=5,"Major",K1291&gt;5,"Severe")</f>
        <v>On Time</v>
      </c>
      <c r="S1291">
        <f t="shared" si="142"/>
        <v>0</v>
      </c>
      <c r="T1291">
        <f t="shared" si="143"/>
        <v>0</v>
      </c>
      <c r="U1291">
        <f t="shared" si="144"/>
        <v>2024</v>
      </c>
      <c r="V1291">
        <f t="shared" si="145"/>
        <v>8</v>
      </c>
      <c r="W1291" s="11">
        <f t="shared" si="146"/>
        <v>0</v>
      </c>
    </row>
    <row r="1292" spans="1:23">
      <c r="A1292" t="s">
        <v>1305</v>
      </c>
      <c r="B1292" s="4">
        <v>45629</v>
      </c>
      <c r="C1292" t="s">
        <v>2015</v>
      </c>
      <c r="D1292" t="s">
        <v>2020</v>
      </c>
      <c r="E1292" t="s">
        <v>2028</v>
      </c>
      <c r="F1292" t="s">
        <v>2031</v>
      </c>
      <c r="G1292" t="s">
        <v>2037</v>
      </c>
      <c r="H1292" t="s">
        <v>2038</v>
      </c>
      <c r="I1292">
        <v>2</v>
      </c>
      <c r="J1292">
        <v>3</v>
      </c>
      <c r="K1292">
        <v>1</v>
      </c>
      <c r="L1292" t="s">
        <v>2041</v>
      </c>
      <c r="M1292">
        <v>438</v>
      </c>
      <c r="N1292">
        <v>1479</v>
      </c>
      <c r="O1292">
        <v>4776</v>
      </c>
      <c r="P1292" s="13">
        <f t="shared" si="140"/>
        <v>0</v>
      </c>
      <c r="Q1292" t="str">
        <f t="shared" si="141"/>
        <v>No</v>
      </c>
      <c r="R1292" t="str" cm="1">
        <f t="array" ref="R1292">_xlfn.IFS(K1292=0,"On Time",K1292&lt;=2,"Minor",K1292&lt;=5,"Major",K1292&gt;5,"Severe")</f>
        <v>Minor</v>
      </c>
      <c r="S1292">
        <f t="shared" si="142"/>
        <v>4776</v>
      </c>
      <c r="T1292">
        <f t="shared" si="143"/>
        <v>1479</v>
      </c>
      <c r="U1292">
        <f t="shared" si="144"/>
        <v>2024</v>
      </c>
      <c r="V1292">
        <f t="shared" si="145"/>
        <v>12</v>
      </c>
      <c r="W1292" s="11">
        <f t="shared" si="146"/>
        <v>1</v>
      </c>
    </row>
    <row r="1293" spans="1:23">
      <c r="A1293" t="s">
        <v>1306</v>
      </c>
      <c r="B1293" s="4">
        <v>45604</v>
      </c>
      <c r="C1293" t="s">
        <v>2018</v>
      </c>
      <c r="D1293" t="s">
        <v>2026</v>
      </c>
      <c r="E1293" t="s">
        <v>2027</v>
      </c>
      <c r="F1293" t="s">
        <v>2031</v>
      </c>
      <c r="G1293" t="s">
        <v>2034</v>
      </c>
      <c r="H1293" t="s">
        <v>2040</v>
      </c>
      <c r="I1293">
        <v>2</v>
      </c>
      <c r="J1293">
        <v>6</v>
      </c>
      <c r="K1293">
        <v>4</v>
      </c>
      <c r="L1293" t="s">
        <v>2041</v>
      </c>
      <c r="M1293">
        <v>349</v>
      </c>
      <c r="N1293">
        <v>9164</v>
      </c>
      <c r="O1293">
        <v>15540</v>
      </c>
      <c r="P1293" s="13">
        <f t="shared" si="140"/>
        <v>0</v>
      </c>
      <c r="Q1293" t="str">
        <f t="shared" si="141"/>
        <v>No</v>
      </c>
      <c r="R1293" t="str" cm="1">
        <f t="array" ref="R1293">_xlfn.IFS(K1293=0,"On Time",K1293&lt;=2,"Minor",K1293&lt;=5,"Major",K1293&gt;5,"Severe")</f>
        <v>Major</v>
      </c>
      <c r="S1293">
        <f t="shared" si="142"/>
        <v>3885</v>
      </c>
      <c r="T1293">
        <f t="shared" si="143"/>
        <v>2291</v>
      </c>
      <c r="U1293">
        <f t="shared" si="144"/>
        <v>2024</v>
      </c>
      <c r="V1293">
        <f t="shared" si="145"/>
        <v>11</v>
      </c>
      <c r="W1293" s="11">
        <f t="shared" si="146"/>
        <v>1</v>
      </c>
    </row>
    <row r="1294" spans="1:23">
      <c r="A1294" t="s">
        <v>1307</v>
      </c>
      <c r="B1294" s="4">
        <v>45452</v>
      </c>
      <c r="C1294" t="s">
        <v>2017</v>
      </c>
      <c r="D1294" t="s">
        <v>2022</v>
      </c>
      <c r="E1294" t="s">
        <v>2028</v>
      </c>
      <c r="F1294" t="s">
        <v>2031</v>
      </c>
      <c r="G1294" t="s">
        <v>2035</v>
      </c>
      <c r="H1294" t="s">
        <v>2038</v>
      </c>
      <c r="I1294">
        <v>3</v>
      </c>
      <c r="J1294">
        <v>3</v>
      </c>
      <c r="K1294">
        <v>0</v>
      </c>
      <c r="L1294" t="s">
        <v>2042</v>
      </c>
      <c r="M1294">
        <v>367</v>
      </c>
      <c r="N1294">
        <v>0</v>
      </c>
      <c r="O1294">
        <v>0</v>
      </c>
      <c r="P1294" s="13">
        <f t="shared" si="140"/>
        <v>1</v>
      </c>
      <c r="Q1294" t="str">
        <f t="shared" si="141"/>
        <v>No</v>
      </c>
      <c r="R1294" t="str" cm="1">
        <f t="array" ref="R1294">_xlfn.IFS(K1294=0,"On Time",K1294&lt;=2,"Minor",K1294&lt;=5,"Major",K1294&gt;5,"Severe")</f>
        <v>On Time</v>
      </c>
      <c r="S1294">
        <f t="shared" si="142"/>
        <v>0</v>
      </c>
      <c r="T1294">
        <f t="shared" si="143"/>
        <v>0</v>
      </c>
      <c r="U1294">
        <f t="shared" si="144"/>
        <v>2024</v>
      </c>
      <c r="V1294">
        <f t="shared" si="145"/>
        <v>6</v>
      </c>
      <c r="W1294" s="11">
        <f t="shared" si="146"/>
        <v>0</v>
      </c>
    </row>
    <row r="1295" spans="1:23">
      <c r="A1295" t="s">
        <v>1308</v>
      </c>
      <c r="B1295" s="4">
        <v>45397</v>
      </c>
      <c r="C1295" t="s">
        <v>2016</v>
      </c>
      <c r="D1295" t="s">
        <v>2021</v>
      </c>
      <c r="E1295" t="s">
        <v>2029</v>
      </c>
      <c r="F1295" t="s">
        <v>2030</v>
      </c>
      <c r="G1295" t="s">
        <v>2037</v>
      </c>
      <c r="H1295" t="s">
        <v>2038</v>
      </c>
      <c r="I1295">
        <v>3</v>
      </c>
      <c r="J1295">
        <v>8</v>
      </c>
      <c r="K1295">
        <v>5</v>
      </c>
      <c r="L1295" t="s">
        <v>2041</v>
      </c>
      <c r="M1295">
        <v>283</v>
      </c>
      <c r="N1295">
        <v>7710</v>
      </c>
      <c r="O1295">
        <v>22025</v>
      </c>
      <c r="P1295" s="13">
        <f t="shared" si="140"/>
        <v>0</v>
      </c>
      <c r="Q1295" t="str">
        <f t="shared" si="141"/>
        <v>No</v>
      </c>
      <c r="R1295" t="str" cm="1">
        <f t="array" ref="R1295">_xlfn.IFS(K1295=0,"On Time",K1295&lt;=2,"Minor",K1295&lt;=5,"Major",K1295&gt;5,"Severe")</f>
        <v>Major</v>
      </c>
      <c r="S1295">
        <f t="shared" si="142"/>
        <v>4405</v>
      </c>
      <c r="T1295">
        <f t="shared" si="143"/>
        <v>1542</v>
      </c>
      <c r="U1295">
        <f t="shared" si="144"/>
        <v>2024</v>
      </c>
      <c r="V1295">
        <f t="shared" si="145"/>
        <v>4</v>
      </c>
      <c r="W1295" s="11">
        <f t="shared" si="146"/>
        <v>1</v>
      </c>
    </row>
    <row r="1296" spans="1:23">
      <c r="A1296" t="s">
        <v>1309</v>
      </c>
      <c r="B1296" s="4">
        <v>45541</v>
      </c>
      <c r="C1296" t="s">
        <v>2017</v>
      </c>
      <c r="D1296" t="s">
        <v>2023</v>
      </c>
      <c r="E1296" t="s">
        <v>2028</v>
      </c>
      <c r="F1296" t="s">
        <v>2030</v>
      </c>
      <c r="G1296" t="s">
        <v>2036</v>
      </c>
      <c r="H1296" t="s">
        <v>2038</v>
      </c>
      <c r="I1296">
        <v>3</v>
      </c>
      <c r="J1296">
        <v>3</v>
      </c>
      <c r="K1296">
        <v>0</v>
      </c>
      <c r="L1296" t="s">
        <v>2042</v>
      </c>
      <c r="M1296">
        <v>328</v>
      </c>
      <c r="N1296">
        <v>0</v>
      </c>
      <c r="O1296">
        <v>0</v>
      </c>
      <c r="P1296" s="13">
        <f t="shared" si="140"/>
        <v>1</v>
      </c>
      <c r="Q1296" t="str">
        <f t="shared" si="141"/>
        <v>No</v>
      </c>
      <c r="R1296" t="str" cm="1">
        <f t="array" ref="R1296">_xlfn.IFS(K1296=0,"On Time",K1296&lt;=2,"Minor",K1296&lt;=5,"Major",K1296&gt;5,"Severe")</f>
        <v>On Time</v>
      </c>
      <c r="S1296">
        <f t="shared" si="142"/>
        <v>0</v>
      </c>
      <c r="T1296">
        <f t="shared" si="143"/>
        <v>0</v>
      </c>
      <c r="U1296">
        <f t="shared" si="144"/>
        <v>2024</v>
      </c>
      <c r="V1296">
        <f t="shared" si="145"/>
        <v>9</v>
      </c>
      <c r="W1296" s="11">
        <f t="shared" si="146"/>
        <v>0</v>
      </c>
    </row>
    <row r="1297" spans="1:23">
      <c r="A1297" t="s">
        <v>1310</v>
      </c>
      <c r="B1297" s="4">
        <v>45370</v>
      </c>
      <c r="C1297" t="s">
        <v>2018</v>
      </c>
      <c r="D1297" t="s">
        <v>2024</v>
      </c>
      <c r="E1297" t="s">
        <v>2029</v>
      </c>
      <c r="F1297" t="s">
        <v>2030</v>
      </c>
      <c r="G1297" t="s">
        <v>2035</v>
      </c>
      <c r="H1297" t="s">
        <v>2038</v>
      </c>
      <c r="I1297">
        <v>2</v>
      </c>
      <c r="J1297">
        <v>7</v>
      </c>
      <c r="K1297">
        <v>5</v>
      </c>
      <c r="L1297" t="s">
        <v>2041</v>
      </c>
      <c r="M1297">
        <v>99</v>
      </c>
      <c r="N1297">
        <v>7470</v>
      </c>
      <c r="O1297">
        <v>16110</v>
      </c>
      <c r="P1297" s="13">
        <f t="shared" si="140"/>
        <v>0</v>
      </c>
      <c r="Q1297" t="str">
        <f t="shared" si="141"/>
        <v>No</v>
      </c>
      <c r="R1297" t="str" cm="1">
        <f t="array" ref="R1297">_xlfn.IFS(K1297=0,"On Time",K1297&lt;=2,"Minor",K1297&lt;=5,"Major",K1297&gt;5,"Severe")</f>
        <v>Major</v>
      </c>
      <c r="S1297">
        <f t="shared" si="142"/>
        <v>3222</v>
      </c>
      <c r="T1297">
        <f t="shared" si="143"/>
        <v>1494</v>
      </c>
      <c r="U1297">
        <f t="shared" si="144"/>
        <v>2024</v>
      </c>
      <c r="V1297">
        <f t="shared" si="145"/>
        <v>3</v>
      </c>
      <c r="W1297" s="11">
        <f t="shared" si="146"/>
        <v>1</v>
      </c>
    </row>
    <row r="1298" spans="1:23">
      <c r="A1298" t="s">
        <v>1311</v>
      </c>
      <c r="B1298" s="4">
        <v>45648</v>
      </c>
      <c r="C1298" t="s">
        <v>2015</v>
      </c>
      <c r="D1298" t="s">
        <v>2020</v>
      </c>
      <c r="E1298" t="s">
        <v>2029</v>
      </c>
      <c r="F1298" t="s">
        <v>2030</v>
      </c>
      <c r="G1298" t="s">
        <v>2037</v>
      </c>
      <c r="H1298" t="s">
        <v>2038</v>
      </c>
      <c r="I1298">
        <v>3</v>
      </c>
      <c r="J1298">
        <v>5</v>
      </c>
      <c r="K1298">
        <v>2</v>
      </c>
      <c r="L1298" t="s">
        <v>2041</v>
      </c>
      <c r="M1298">
        <v>422</v>
      </c>
      <c r="N1298">
        <v>2024</v>
      </c>
      <c r="O1298">
        <v>7066</v>
      </c>
      <c r="P1298" s="13">
        <f t="shared" si="140"/>
        <v>0</v>
      </c>
      <c r="Q1298" t="str">
        <f t="shared" si="141"/>
        <v>No</v>
      </c>
      <c r="R1298" t="str" cm="1">
        <f t="array" ref="R1298">_xlfn.IFS(K1298=0,"On Time",K1298&lt;=2,"Minor",K1298&lt;=5,"Major",K1298&gt;5,"Severe")</f>
        <v>Minor</v>
      </c>
      <c r="S1298">
        <f t="shared" si="142"/>
        <v>3533</v>
      </c>
      <c r="T1298">
        <f t="shared" si="143"/>
        <v>1012</v>
      </c>
      <c r="U1298">
        <f t="shared" si="144"/>
        <v>2024</v>
      </c>
      <c r="V1298">
        <f t="shared" si="145"/>
        <v>12</v>
      </c>
      <c r="W1298" s="11">
        <f t="shared" si="146"/>
        <v>1</v>
      </c>
    </row>
    <row r="1299" spans="1:23">
      <c r="A1299" t="s">
        <v>1312</v>
      </c>
      <c r="B1299" s="4">
        <v>45322</v>
      </c>
      <c r="C1299" t="s">
        <v>2016</v>
      </c>
      <c r="D1299" t="s">
        <v>2021</v>
      </c>
      <c r="E1299" t="s">
        <v>2029</v>
      </c>
      <c r="F1299" t="s">
        <v>2031</v>
      </c>
      <c r="G1299" t="s">
        <v>2037</v>
      </c>
      <c r="H1299" t="s">
        <v>2038</v>
      </c>
      <c r="I1299">
        <v>3</v>
      </c>
      <c r="J1299">
        <v>3</v>
      </c>
      <c r="K1299">
        <v>0</v>
      </c>
      <c r="L1299" t="s">
        <v>2042</v>
      </c>
      <c r="M1299">
        <v>111</v>
      </c>
      <c r="N1299">
        <v>0</v>
      </c>
      <c r="O1299">
        <v>0</v>
      </c>
      <c r="P1299" s="13">
        <f t="shared" si="140"/>
        <v>1</v>
      </c>
      <c r="Q1299" t="str">
        <f t="shared" si="141"/>
        <v>No</v>
      </c>
      <c r="R1299" t="str" cm="1">
        <f t="array" ref="R1299">_xlfn.IFS(K1299=0,"On Time",K1299&lt;=2,"Minor",K1299&lt;=5,"Major",K1299&gt;5,"Severe")</f>
        <v>On Time</v>
      </c>
      <c r="S1299">
        <f t="shared" si="142"/>
        <v>0</v>
      </c>
      <c r="T1299">
        <f t="shared" si="143"/>
        <v>0</v>
      </c>
      <c r="U1299">
        <f t="shared" si="144"/>
        <v>2024</v>
      </c>
      <c r="V1299">
        <f t="shared" si="145"/>
        <v>1</v>
      </c>
      <c r="W1299" s="11">
        <f t="shared" si="146"/>
        <v>0</v>
      </c>
    </row>
    <row r="1300" spans="1:23">
      <c r="A1300" t="s">
        <v>1313</v>
      </c>
      <c r="B1300" s="4">
        <v>45322</v>
      </c>
      <c r="C1300" t="s">
        <v>2018</v>
      </c>
      <c r="D1300" t="s">
        <v>2024</v>
      </c>
      <c r="E1300" t="s">
        <v>2029</v>
      </c>
      <c r="F1300" t="s">
        <v>2031</v>
      </c>
      <c r="G1300" t="s">
        <v>2035</v>
      </c>
      <c r="H1300" t="s">
        <v>2038</v>
      </c>
      <c r="I1300">
        <v>2</v>
      </c>
      <c r="J1300">
        <v>2</v>
      </c>
      <c r="K1300">
        <v>0</v>
      </c>
      <c r="L1300" t="s">
        <v>2042</v>
      </c>
      <c r="M1300">
        <v>255</v>
      </c>
      <c r="N1300">
        <v>0</v>
      </c>
      <c r="O1300">
        <v>0</v>
      </c>
      <c r="P1300" s="13">
        <f t="shared" si="140"/>
        <v>1</v>
      </c>
      <c r="Q1300" t="str">
        <f t="shared" si="141"/>
        <v>No</v>
      </c>
      <c r="R1300" t="str" cm="1">
        <f t="array" ref="R1300">_xlfn.IFS(K1300=0,"On Time",K1300&lt;=2,"Minor",K1300&lt;=5,"Major",K1300&gt;5,"Severe")</f>
        <v>On Time</v>
      </c>
      <c r="S1300">
        <f t="shared" si="142"/>
        <v>0</v>
      </c>
      <c r="T1300">
        <f t="shared" si="143"/>
        <v>0</v>
      </c>
      <c r="U1300">
        <f t="shared" si="144"/>
        <v>2024</v>
      </c>
      <c r="V1300">
        <f t="shared" si="145"/>
        <v>1</v>
      </c>
      <c r="W1300" s="11">
        <f t="shared" si="146"/>
        <v>0</v>
      </c>
    </row>
    <row r="1301" spans="1:23">
      <c r="A1301" t="s">
        <v>1314</v>
      </c>
      <c r="B1301" s="4">
        <v>45652</v>
      </c>
      <c r="C1301" t="s">
        <v>2018</v>
      </c>
      <c r="D1301" t="s">
        <v>2024</v>
      </c>
      <c r="E1301" t="s">
        <v>2029</v>
      </c>
      <c r="F1301" t="s">
        <v>2032</v>
      </c>
      <c r="G1301" t="s">
        <v>2037</v>
      </c>
      <c r="H1301" t="s">
        <v>2038</v>
      </c>
      <c r="I1301">
        <v>2</v>
      </c>
      <c r="J1301">
        <v>5</v>
      </c>
      <c r="K1301">
        <v>3</v>
      </c>
      <c r="L1301" t="s">
        <v>2041</v>
      </c>
      <c r="M1301">
        <v>181</v>
      </c>
      <c r="N1301">
        <v>3231</v>
      </c>
      <c r="O1301">
        <v>11715</v>
      </c>
      <c r="P1301" s="13">
        <f t="shared" si="140"/>
        <v>0</v>
      </c>
      <c r="Q1301" t="str">
        <f t="shared" si="141"/>
        <v>No</v>
      </c>
      <c r="R1301" t="str" cm="1">
        <f t="array" ref="R1301">_xlfn.IFS(K1301=0,"On Time",K1301&lt;=2,"Minor",K1301&lt;=5,"Major",K1301&gt;5,"Severe")</f>
        <v>Major</v>
      </c>
      <c r="S1301">
        <f t="shared" si="142"/>
        <v>3905</v>
      </c>
      <c r="T1301">
        <f t="shared" si="143"/>
        <v>1077</v>
      </c>
      <c r="U1301">
        <f t="shared" si="144"/>
        <v>2024</v>
      </c>
      <c r="V1301">
        <f t="shared" si="145"/>
        <v>12</v>
      </c>
      <c r="W1301" s="11">
        <f t="shared" si="146"/>
        <v>1</v>
      </c>
    </row>
    <row r="1302" spans="1:23">
      <c r="A1302" t="s">
        <v>1315</v>
      </c>
      <c r="B1302" s="4">
        <v>45478</v>
      </c>
      <c r="C1302" t="s">
        <v>2017</v>
      </c>
      <c r="D1302" t="s">
        <v>2022</v>
      </c>
      <c r="E1302" t="s">
        <v>2027</v>
      </c>
      <c r="F1302" t="s">
        <v>2030</v>
      </c>
      <c r="G1302" t="s">
        <v>2035</v>
      </c>
      <c r="H1302" t="s">
        <v>2040</v>
      </c>
      <c r="I1302">
        <v>2</v>
      </c>
      <c r="J1302">
        <v>10</v>
      </c>
      <c r="K1302">
        <v>8</v>
      </c>
      <c r="L1302" t="s">
        <v>2041</v>
      </c>
      <c r="M1302">
        <v>157</v>
      </c>
      <c r="N1302">
        <v>7096</v>
      </c>
      <c r="O1302">
        <v>33624</v>
      </c>
      <c r="P1302" s="13">
        <f t="shared" si="140"/>
        <v>0</v>
      </c>
      <c r="Q1302" t="str">
        <f t="shared" si="141"/>
        <v>No</v>
      </c>
      <c r="R1302" t="str" cm="1">
        <f t="array" ref="R1302">_xlfn.IFS(K1302=0,"On Time",K1302&lt;=2,"Minor",K1302&lt;=5,"Major",K1302&gt;5,"Severe")</f>
        <v>Severe</v>
      </c>
      <c r="S1302">
        <f t="shared" si="142"/>
        <v>4203</v>
      </c>
      <c r="T1302">
        <f t="shared" si="143"/>
        <v>887</v>
      </c>
      <c r="U1302">
        <f t="shared" si="144"/>
        <v>2024</v>
      </c>
      <c r="V1302">
        <f t="shared" si="145"/>
        <v>7</v>
      </c>
      <c r="W1302" s="11">
        <f t="shared" si="146"/>
        <v>1</v>
      </c>
    </row>
    <row r="1303" spans="1:23">
      <c r="A1303" t="s">
        <v>1316</v>
      </c>
      <c r="B1303" s="4">
        <v>45465</v>
      </c>
      <c r="C1303" t="s">
        <v>2018</v>
      </c>
      <c r="D1303" t="s">
        <v>2024</v>
      </c>
      <c r="E1303" t="s">
        <v>2028</v>
      </c>
      <c r="F1303" t="s">
        <v>2031</v>
      </c>
      <c r="G1303" t="s">
        <v>2033</v>
      </c>
      <c r="H1303" t="s">
        <v>2038</v>
      </c>
      <c r="I1303">
        <v>2</v>
      </c>
      <c r="J1303">
        <v>3</v>
      </c>
      <c r="K1303">
        <v>1</v>
      </c>
      <c r="L1303" t="s">
        <v>2041</v>
      </c>
      <c r="M1303">
        <v>153</v>
      </c>
      <c r="N1303">
        <v>921</v>
      </c>
      <c r="O1303">
        <v>1718</v>
      </c>
      <c r="P1303" s="13">
        <f t="shared" si="140"/>
        <v>0</v>
      </c>
      <c r="Q1303" t="str">
        <f t="shared" si="141"/>
        <v>No</v>
      </c>
      <c r="R1303" t="str" cm="1">
        <f t="array" ref="R1303">_xlfn.IFS(K1303=0,"On Time",K1303&lt;=2,"Minor",K1303&lt;=5,"Major",K1303&gt;5,"Severe")</f>
        <v>Minor</v>
      </c>
      <c r="S1303">
        <f t="shared" si="142"/>
        <v>1718</v>
      </c>
      <c r="T1303">
        <f t="shared" si="143"/>
        <v>921</v>
      </c>
      <c r="U1303">
        <f t="shared" si="144"/>
        <v>2024</v>
      </c>
      <c r="V1303">
        <f t="shared" si="145"/>
        <v>6</v>
      </c>
      <c r="W1303" s="11">
        <f t="shared" si="146"/>
        <v>1</v>
      </c>
    </row>
    <row r="1304" spans="1:23">
      <c r="A1304" t="s">
        <v>1317</v>
      </c>
      <c r="B1304" s="4">
        <v>45574</v>
      </c>
      <c r="C1304" t="s">
        <v>2015</v>
      </c>
      <c r="D1304" t="s">
        <v>2020</v>
      </c>
      <c r="E1304" t="s">
        <v>2029</v>
      </c>
      <c r="F1304" t="s">
        <v>2031</v>
      </c>
      <c r="G1304" t="s">
        <v>2034</v>
      </c>
      <c r="H1304" t="s">
        <v>2039</v>
      </c>
      <c r="I1304">
        <v>1</v>
      </c>
      <c r="J1304">
        <v>4</v>
      </c>
      <c r="K1304">
        <v>3</v>
      </c>
      <c r="L1304" t="s">
        <v>2041</v>
      </c>
      <c r="M1304">
        <v>394</v>
      </c>
      <c r="N1304">
        <v>4836</v>
      </c>
      <c r="O1304">
        <v>11382</v>
      </c>
      <c r="P1304" s="13">
        <f t="shared" si="140"/>
        <v>0</v>
      </c>
      <c r="Q1304" t="str">
        <f t="shared" si="141"/>
        <v>No</v>
      </c>
      <c r="R1304" t="str" cm="1">
        <f t="array" ref="R1304">_xlfn.IFS(K1304=0,"On Time",K1304&lt;=2,"Minor",K1304&lt;=5,"Major",K1304&gt;5,"Severe")</f>
        <v>Major</v>
      </c>
      <c r="S1304">
        <f t="shared" si="142"/>
        <v>3794</v>
      </c>
      <c r="T1304">
        <f t="shared" si="143"/>
        <v>1612</v>
      </c>
      <c r="U1304">
        <f t="shared" si="144"/>
        <v>2024</v>
      </c>
      <c r="V1304">
        <f t="shared" si="145"/>
        <v>10</v>
      </c>
      <c r="W1304" s="11">
        <f t="shared" si="146"/>
        <v>1</v>
      </c>
    </row>
    <row r="1305" spans="1:23">
      <c r="A1305" t="s">
        <v>1318</v>
      </c>
      <c r="B1305" s="4">
        <v>45395</v>
      </c>
      <c r="C1305" t="s">
        <v>2017</v>
      </c>
      <c r="D1305" t="s">
        <v>2023</v>
      </c>
      <c r="E1305" t="s">
        <v>2029</v>
      </c>
      <c r="F1305" t="s">
        <v>2031</v>
      </c>
      <c r="G1305" t="s">
        <v>2033</v>
      </c>
      <c r="H1305" t="s">
        <v>2038</v>
      </c>
      <c r="I1305">
        <v>2</v>
      </c>
      <c r="J1305">
        <v>6</v>
      </c>
      <c r="K1305">
        <v>4</v>
      </c>
      <c r="L1305" t="s">
        <v>2041</v>
      </c>
      <c r="M1305">
        <v>84</v>
      </c>
      <c r="N1305">
        <v>7668</v>
      </c>
      <c r="O1305">
        <v>18916</v>
      </c>
      <c r="P1305" s="13">
        <f t="shared" si="140"/>
        <v>0</v>
      </c>
      <c r="Q1305" t="str">
        <f t="shared" si="141"/>
        <v>No</v>
      </c>
      <c r="R1305" t="str" cm="1">
        <f t="array" ref="R1305">_xlfn.IFS(K1305=0,"On Time",K1305&lt;=2,"Minor",K1305&lt;=5,"Major",K1305&gt;5,"Severe")</f>
        <v>Major</v>
      </c>
      <c r="S1305">
        <f t="shared" si="142"/>
        <v>4729</v>
      </c>
      <c r="T1305">
        <f t="shared" si="143"/>
        <v>1917</v>
      </c>
      <c r="U1305">
        <f t="shared" si="144"/>
        <v>2024</v>
      </c>
      <c r="V1305">
        <f t="shared" si="145"/>
        <v>4</v>
      </c>
      <c r="W1305" s="11">
        <f t="shared" si="146"/>
        <v>1</v>
      </c>
    </row>
    <row r="1306" spans="1:23">
      <c r="A1306" t="s">
        <v>1319</v>
      </c>
      <c r="B1306" s="4">
        <v>45293</v>
      </c>
      <c r="C1306" t="s">
        <v>2016</v>
      </c>
      <c r="D1306" t="s">
        <v>2025</v>
      </c>
      <c r="E1306" t="s">
        <v>2029</v>
      </c>
      <c r="F1306" t="s">
        <v>2031</v>
      </c>
      <c r="G1306" t="s">
        <v>2035</v>
      </c>
      <c r="H1306" t="s">
        <v>2038</v>
      </c>
      <c r="I1306">
        <v>2</v>
      </c>
      <c r="J1306">
        <v>5</v>
      </c>
      <c r="K1306">
        <v>3</v>
      </c>
      <c r="L1306" t="s">
        <v>2041</v>
      </c>
      <c r="M1306">
        <v>186</v>
      </c>
      <c r="N1306">
        <v>4962</v>
      </c>
      <c r="O1306">
        <v>8025</v>
      </c>
      <c r="P1306" s="13">
        <f t="shared" si="140"/>
        <v>0</v>
      </c>
      <c r="Q1306" t="str">
        <f t="shared" si="141"/>
        <v>No</v>
      </c>
      <c r="R1306" t="str" cm="1">
        <f t="array" ref="R1306">_xlfn.IFS(K1306=0,"On Time",K1306&lt;=2,"Minor",K1306&lt;=5,"Major",K1306&gt;5,"Severe")</f>
        <v>Major</v>
      </c>
      <c r="S1306">
        <f t="shared" si="142"/>
        <v>2675</v>
      </c>
      <c r="T1306">
        <f t="shared" si="143"/>
        <v>1654</v>
      </c>
      <c r="U1306">
        <f t="shared" si="144"/>
        <v>2024</v>
      </c>
      <c r="V1306">
        <f t="shared" si="145"/>
        <v>1</v>
      </c>
      <c r="W1306" s="11">
        <f t="shared" si="146"/>
        <v>1</v>
      </c>
    </row>
    <row r="1307" spans="1:23">
      <c r="A1307" t="s">
        <v>1320</v>
      </c>
      <c r="B1307" s="4">
        <v>45639</v>
      </c>
      <c r="C1307" t="s">
        <v>2016</v>
      </c>
      <c r="D1307" t="s">
        <v>2021</v>
      </c>
      <c r="E1307" t="s">
        <v>2029</v>
      </c>
      <c r="F1307" t="s">
        <v>2032</v>
      </c>
      <c r="G1307" t="s">
        <v>2036</v>
      </c>
      <c r="H1307" t="s">
        <v>2038</v>
      </c>
      <c r="I1307">
        <v>3</v>
      </c>
      <c r="J1307">
        <v>5</v>
      </c>
      <c r="K1307">
        <v>2</v>
      </c>
      <c r="L1307" t="s">
        <v>2041</v>
      </c>
      <c r="M1307">
        <v>237</v>
      </c>
      <c r="N1307">
        <v>4638</v>
      </c>
      <c r="O1307">
        <v>6844</v>
      </c>
      <c r="P1307" s="13">
        <f t="shared" si="140"/>
        <v>0</v>
      </c>
      <c r="Q1307" t="str">
        <f t="shared" si="141"/>
        <v>No</v>
      </c>
      <c r="R1307" t="str" cm="1">
        <f t="array" ref="R1307">_xlfn.IFS(K1307=0,"On Time",K1307&lt;=2,"Minor",K1307&lt;=5,"Major",K1307&gt;5,"Severe")</f>
        <v>Minor</v>
      </c>
      <c r="S1307">
        <f t="shared" si="142"/>
        <v>3422</v>
      </c>
      <c r="T1307">
        <f t="shared" si="143"/>
        <v>2319</v>
      </c>
      <c r="U1307">
        <f t="shared" si="144"/>
        <v>2024</v>
      </c>
      <c r="V1307">
        <f t="shared" si="145"/>
        <v>12</v>
      </c>
      <c r="W1307" s="11">
        <f t="shared" si="146"/>
        <v>1</v>
      </c>
    </row>
    <row r="1308" spans="1:23">
      <c r="A1308" t="s">
        <v>1321</v>
      </c>
      <c r="B1308" s="4">
        <v>45338</v>
      </c>
      <c r="C1308" t="s">
        <v>2015</v>
      </c>
      <c r="D1308" t="s">
        <v>2020</v>
      </c>
      <c r="E1308" t="s">
        <v>2029</v>
      </c>
      <c r="F1308" t="s">
        <v>2031</v>
      </c>
      <c r="G1308" t="s">
        <v>2037</v>
      </c>
      <c r="H1308" t="s">
        <v>2040</v>
      </c>
      <c r="I1308">
        <v>2</v>
      </c>
      <c r="J1308">
        <v>6</v>
      </c>
      <c r="K1308">
        <v>4</v>
      </c>
      <c r="L1308" t="s">
        <v>2041</v>
      </c>
      <c r="M1308">
        <v>488</v>
      </c>
      <c r="N1308">
        <v>6116</v>
      </c>
      <c r="O1308">
        <v>7152</v>
      </c>
      <c r="P1308" s="13">
        <f t="shared" si="140"/>
        <v>0</v>
      </c>
      <c r="Q1308" t="str">
        <f t="shared" si="141"/>
        <v>No</v>
      </c>
      <c r="R1308" t="str" cm="1">
        <f t="array" ref="R1308">_xlfn.IFS(K1308=0,"On Time",K1308&lt;=2,"Minor",K1308&lt;=5,"Major",K1308&gt;5,"Severe")</f>
        <v>Major</v>
      </c>
      <c r="S1308">
        <f t="shared" si="142"/>
        <v>1788</v>
      </c>
      <c r="T1308">
        <f t="shared" si="143"/>
        <v>1529</v>
      </c>
      <c r="U1308">
        <f t="shared" si="144"/>
        <v>2024</v>
      </c>
      <c r="V1308">
        <f t="shared" si="145"/>
        <v>2</v>
      </c>
      <c r="W1308" s="11">
        <f t="shared" si="146"/>
        <v>1</v>
      </c>
    </row>
    <row r="1309" spans="1:23">
      <c r="A1309" t="s">
        <v>1322</v>
      </c>
      <c r="B1309" s="4">
        <v>45652</v>
      </c>
      <c r="C1309" t="s">
        <v>2016</v>
      </c>
      <c r="D1309" t="s">
        <v>2025</v>
      </c>
      <c r="E1309" t="s">
        <v>2027</v>
      </c>
      <c r="F1309" t="s">
        <v>2031</v>
      </c>
      <c r="G1309" t="s">
        <v>2037</v>
      </c>
      <c r="H1309" t="s">
        <v>2040</v>
      </c>
      <c r="I1309">
        <v>5</v>
      </c>
      <c r="J1309">
        <v>9</v>
      </c>
      <c r="K1309">
        <v>4</v>
      </c>
      <c r="L1309" t="s">
        <v>2041</v>
      </c>
      <c r="M1309">
        <v>446</v>
      </c>
      <c r="N1309">
        <v>5160</v>
      </c>
      <c r="O1309">
        <v>16900</v>
      </c>
      <c r="P1309" s="13">
        <f t="shared" si="140"/>
        <v>0</v>
      </c>
      <c r="Q1309" t="str">
        <f t="shared" si="141"/>
        <v>No</v>
      </c>
      <c r="R1309" t="str" cm="1">
        <f t="array" ref="R1309">_xlfn.IFS(K1309=0,"On Time",K1309&lt;=2,"Minor",K1309&lt;=5,"Major",K1309&gt;5,"Severe")</f>
        <v>Major</v>
      </c>
      <c r="S1309">
        <f t="shared" si="142"/>
        <v>4225</v>
      </c>
      <c r="T1309">
        <f t="shared" si="143"/>
        <v>1290</v>
      </c>
      <c r="U1309">
        <f t="shared" si="144"/>
        <v>2024</v>
      </c>
      <c r="V1309">
        <f t="shared" si="145"/>
        <v>12</v>
      </c>
      <c r="W1309" s="11">
        <f t="shared" si="146"/>
        <v>1</v>
      </c>
    </row>
    <row r="1310" spans="1:23">
      <c r="A1310" t="s">
        <v>1323</v>
      </c>
      <c r="B1310" s="4">
        <v>45379</v>
      </c>
      <c r="C1310" t="s">
        <v>2018</v>
      </c>
      <c r="D1310" t="s">
        <v>2024</v>
      </c>
      <c r="E1310" t="s">
        <v>2028</v>
      </c>
      <c r="F1310" t="s">
        <v>2030</v>
      </c>
      <c r="G1310" t="s">
        <v>2036</v>
      </c>
      <c r="H1310" t="s">
        <v>2038</v>
      </c>
      <c r="I1310">
        <v>3</v>
      </c>
      <c r="J1310">
        <v>7</v>
      </c>
      <c r="K1310">
        <v>4</v>
      </c>
      <c r="L1310" t="s">
        <v>2041</v>
      </c>
      <c r="M1310">
        <v>423</v>
      </c>
      <c r="N1310">
        <v>8540</v>
      </c>
      <c r="O1310">
        <v>13320</v>
      </c>
      <c r="P1310" s="13">
        <f t="shared" si="140"/>
        <v>0</v>
      </c>
      <c r="Q1310" t="str">
        <f t="shared" si="141"/>
        <v>No</v>
      </c>
      <c r="R1310" t="str" cm="1">
        <f t="array" ref="R1310">_xlfn.IFS(K1310=0,"On Time",K1310&lt;=2,"Minor",K1310&lt;=5,"Major",K1310&gt;5,"Severe")</f>
        <v>Major</v>
      </c>
      <c r="S1310">
        <f t="shared" si="142"/>
        <v>3330</v>
      </c>
      <c r="T1310">
        <f t="shared" si="143"/>
        <v>2135</v>
      </c>
      <c r="U1310">
        <f t="shared" si="144"/>
        <v>2024</v>
      </c>
      <c r="V1310">
        <f t="shared" si="145"/>
        <v>3</v>
      </c>
      <c r="W1310" s="11">
        <f t="shared" si="146"/>
        <v>1</v>
      </c>
    </row>
    <row r="1311" spans="1:23">
      <c r="A1311" t="s">
        <v>1324</v>
      </c>
      <c r="B1311" s="4">
        <v>45651</v>
      </c>
      <c r="C1311" t="s">
        <v>2017</v>
      </c>
      <c r="D1311" t="s">
        <v>2022</v>
      </c>
      <c r="E1311" t="s">
        <v>2029</v>
      </c>
      <c r="F1311" t="s">
        <v>2032</v>
      </c>
      <c r="G1311" t="s">
        <v>2037</v>
      </c>
      <c r="H1311" t="s">
        <v>2040</v>
      </c>
      <c r="I1311">
        <v>1</v>
      </c>
      <c r="J1311">
        <v>9</v>
      </c>
      <c r="K1311">
        <v>8</v>
      </c>
      <c r="L1311" t="s">
        <v>2041</v>
      </c>
      <c r="M1311">
        <v>294</v>
      </c>
      <c r="N1311">
        <v>16792</v>
      </c>
      <c r="O1311">
        <v>20960</v>
      </c>
      <c r="P1311" s="13">
        <f t="shared" si="140"/>
        <v>0</v>
      </c>
      <c r="Q1311" t="str">
        <f t="shared" si="141"/>
        <v>No</v>
      </c>
      <c r="R1311" t="str" cm="1">
        <f t="array" ref="R1311">_xlfn.IFS(K1311=0,"On Time",K1311&lt;=2,"Minor",K1311&lt;=5,"Major",K1311&gt;5,"Severe")</f>
        <v>Severe</v>
      </c>
      <c r="S1311">
        <f t="shared" si="142"/>
        <v>2620</v>
      </c>
      <c r="T1311">
        <f t="shared" si="143"/>
        <v>2099</v>
      </c>
      <c r="U1311">
        <f t="shared" si="144"/>
        <v>2024</v>
      </c>
      <c r="V1311">
        <f t="shared" si="145"/>
        <v>12</v>
      </c>
      <c r="W1311" s="11">
        <f t="shared" si="146"/>
        <v>1</v>
      </c>
    </row>
    <row r="1312" spans="1:23">
      <c r="A1312" t="s">
        <v>1325</v>
      </c>
      <c r="B1312" s="4">
        <v>45317</v>
      </c>
      <c r="C1312" t="s">
        <v>2015</v>
      </c>
      <c r="D1312" t="s">
        <v>2020</v>
      </c>
      <c r="E1312" t="s">
        <v>2028</v>
      </c>
      <c r="F1312" t="s">
        <v>2031</v>
      </c>
      <c r="G1312" t="s">
        <v>2033</v>
      </c>
      <c r="H1312" t="s">
        <v>2039</v>
      </c>
      <c r="I1312">
        <v>5</v>
      </c>
      <c r="J1312">
        <v>6</v>
      </c>
      <c r="K1312">
        <v>1</v>
      </c>
      <c r="L1312" t="s">
        <v>2041</v>
      </c>
      <c r="M1312">
        <v>368</v>
      </c>
      <c r="N1312">
        <v>2231</v>
      </c>
      <c r="O1312">
        <v>1984</v>
      </c>
      <c r="P1312" s="13">
        <f t="shared" si="140"/>
        <v>0</v>
      </c>
      <c r="Q1312" t="str">
        <f t="shared" si="141"/>
        <v>No</v>
      </c>
      <c r="R1312" t="str" cm="1">
        <f t="array" ref="R1312">_xlfn.IFS(K1312=0,"On Time",K1312&lt;=2,"Minor",K1312&lt;=5,"Major",K1312&gt;5,"Severe")</f>
        <v>Minor</v>
      </c>
      <c r="S1312">
        <f t="shared" si="142"/>
        <v>1984</v>
      </c>
      <c r="T1312">
        <f t="shared" si="143"/>
        <v>2231</v>
      </c>
      <c r="U1312">
        <f t="shared" si="144"/>
        <v>2024</v>
      </c>
      <c r="V1312">
        <f t="shared" si="145"/>
        <v>1</v>
      </c>
      <c r="W1312" s="11">
        <f t="shared" si="146"/>
        <v>1</v>
      </c>
    </row>
    <row r="1313" spans="1:23">
      <c r="A1313" t="s">
        <v>1326</v>
      </c>
      <c r="B1313" s="4">
        <v>45632</v>
      </c>
      <c r="C1313" t="s">
        <v>2017</v>
      </c>
      <c r="D1313" t="s">
        <v>2022</v>
      </c>
      <c r="E1313" t="s">
        <v>2027</v>
      </c>
      <c r="F1313" t="s">
        <v>2030</v>
      </c>
      <c r="G1313" t="s">
        <v>2037</v>
      </c>
      <c r="H1313" t="s">
        <v>2040</v>
      </c>
      <c r="I1313">
        <v>1</v>
      </c>
      <c r="J1313">
        <v>8</v>
      </c>
      <c r="K1313">
        <v>7</v>
      </c>
      <c r="L1313" t="s">
        <v>2041</v>
      </c>
      <c r="M1313">
        <v>103</v>
      </c>
      <c r="N1313">
        <v>16317</v>
      </c>
      <c r="O1313">
        <v>32466</v>
      </c>
      <c r="P1313" s="13">
        <f t="shared" si="140"/>
        <v>0</v>
      </c>
      <c r="Q1313" t="str">
        <f t="shared" si="141"/>
        <v>No</v>
      </c>
      <c r="R1313" t="str" cm="1">
        <f t="array" ref="R1313">_xlfn.IFS(K1313=0,"On Time",K1313&lt;=2,"Minor",K1313&lt;=5,"Major",K1313&gt;5,"Severe")</f>
        <v>Severe</v>
      </c>
      <c r="S1313">
        <f t="shared" si="142"/>
        <v>4638</v>
      </c>
      <c r="T1313">
        <f t="shared" si="143"/>
        <v>2331</v>
      </c>
      <c r="U1313">
        <f t="shared" si="144"/>
        <v>2024</v>
      </c>
      <c r="V1313">
        <f t="shared" si="145"/>
        <v>12</v>
      </c>
      <c r="W1313" s="11">
        <f t="shared" si="146"/>
        <v>1</v>
      </c>
    </row>
    <row r="1314" spans="1:23">
      <c r="A1314" t="s">
        <v>1327</v>
      </c>
      <c r="B1314" s="4">
        <v>45294</v>
      </c>
      <c r="C1314" t="s">
        <v>2016</v>
      </c>
      <c r="D1314" t="s">
        <v>2021</v>
      </c>
      <c r="E1314" t="s">
        <v>2029</v>
      </c>
      <c r="F1314" t="s">
        <v>2030</v>
      </c>
      <c r="G1314" t="s">
        <v>2035</v>
      </c>
      <c r="H1314" t="s">
        <v>2038</v>
      </c>
      <c r="I1314">
        <v>1</v>
      </c>
      <c r="J1314">
        <v>4</v>
      </c>
      <c r="K1314">
        <v>3</v>
      </c>
      <c r="L1314" t="s">
        <v>2041</v>
      </c>
      <c r="M1314">
        <v>225</v>
      </c>
      <c r="N1314">
        <v>6855</v>
      </c>
      <c r="O1314">
        <v>11352</v>
      </c>
      <c r="P1314" s="13">
        <f t="shared" si="140"/>
        <v>0</v>
      </c>
      <c r="Q1314" t="str">
        <f t="shared" si="141"/>
        <v>No</v>
      </c>
      <c r="R1314" t="str" cm="1">
        <f t="array" ref="R1314">_xlfn.IFS(K1314=0,"On Time",K1314&lt;=2,"Minor",K1314&lt;=5,"Major",K1314&gt;5,"Severe")</f>
        <v>Major</v>
      </c>
      <c r="S1314">
        <f t="shared" si="142"/>
        <v>3784</v>
      </c>
      <c r="T1314">
        <f t="shared" si="143"/>
        <v>2285</v>
      </c>
      <c r="U1314">
        <f t="shared" si="144"/>
        <v>2024</v>
      </c>
      <c r="V1314">
        <f t="shared" si="145"/>
        <v>1</v>
      </c>
      <c r="W1314" s="11">
        <f t="shared" si="146"/>
        <v>1</v>
      </c>
    </row>
    <row r="1315" spans="1:23">
      <c r="A1315" t="s">
        <v>1328</v>
      </c>
      <c r="B1315" s="4">
        <v>45498</v>
      </c>
      <c r="C1315" t="s">
        <v>2018</v>
      </c>
      <c r="D1315" t="s">
        <v>2024</v>
      </c>
      <c r="E1315" t="s">
        <v>2029</v>
      </c>
      <c r="F1315" t="s">
        <v>2032</v>
      </c>
      <c r="G1315" t="s">
        <v>2036</v>
      </c>
      <c r="H1315" t="s">
        <v>2039</v>
      </c>
      <c r="I1315">
        <v>5</v>
      </c>
      <c r="J1315">
        <v>11</v>
      </c>
      <c r="K1315">
        <v>6</v>
      </c>
      <c r="L1315" t="s">
        <v>2041</v>
      </c>
      <c r="M1315">
        <v>466</v>
      </c>
      <c r="N1315">
        <v>8670</v>
      </c>
      <c r="O1315">
        <v>23808</v>
      </c>
      <c r="P1315" s="13">
        <f t="shared" si="140"/>
        <v>0</v>
      </c>
      <c r="Q1315" t="str">
        <f t="shared" si="141"/>
        <v>No</v>
      </c>
      <c r="R1315" t="str" cm="1">
        <f t="array" ref="R1315">_xlfn.IFS(K1315=0,"On Time",K1315&lt;=2,"Minor",K1315&lt;=5,"Major",K1315&gt;5,"Severe")</f>
        <v>Severe</v>
      </c>
      <c r="S1315">
        <f t="shared" si="142"/>
        <v>3968</v>
      </c>
      <c r="T1315">
        <f t="shared" si="143"/>
        <v>1445</v>
      </c>
      <c r="U1315">
        <f t="shared" si="144"/>
        <v>2024</v>
      </c>
      <c r="V1315">
        <f t="shared" si="145"/>
        <v>7</v>
      </c>
      <c r="W1315" s="11">
        <f t="shared" si="146"/>
        <v>1</v>
      </c>
    </row>
    <row r="1316" spans="1:23">
      <c r="A1316" t="s">
        <v>1329</v>
      </c>
      <c r="B1316" s="4">
        <v>45339</v>
      </c>
      <c r="C1316" t="s">
        <v>2017</v>
      </c>
      <c r="D1316" t="s">
        <v>2022</v>
      </c>
      <c r="E1316" t="s">
        <v>2029</v>
      </c>
      <c r="F1316" t="s">
        <v>2031</v>
      </c>
      <c r="G1316" t="s">
        <v>2035</v>
      </c>
      <c r="H1316" t="s">
        <v>2038</v>
      </c>
      <c r="I1316">
        <v>3</v>
      </c>
      <c r="J1316">
        <v>6</v>
      </c>
      <c r="K1316">
        <v>3</v>
      </c>
      <c r="L1316" t="s">
        <v>2041</v>
      </c>
      <c r="M1316">
        <v>456</v>
      </c>
      <c r="N1316">
        <v>3504</v>
      </c>
      <c r="O1316">
        <v>12204</v>
      </c>
      <c r="P1316" s="13">
        <f t="shared" si="140"/>
        <v>0</v>
      </c>
      <c r="Q1316" t="str">
        <f t="shared" si="141"/>
        <v>No</v>
      </c>
      <c r="R1316" t="str" cm="1">
        <f t="array" ref="R1316">_xlfn.IFS(K1316=0,"On Time",K1316&lt;=2,"Minor",K1316&lt;=5,"Major",K1316&gt;5,"Severe")</f>
        <v>Major</v>
      </c>
      <c r="S1316">
        <f t="shared" si="142"/>
        <v>4068</v>
      </c>
      <c r="T1316">
        <f t="shared" si="143"/>
        <v>1168</v>
      </c>
      <c r="U1316">
        <f t="shared" si="144"/>
        <v>2024</v>
      </c>
      <c r="V1316">
        <f t="shared" si="145"/>
        <v>2</v>
      </c>
      <c r="W1316" s="11">
        <f t="shared" si="146"/>
        <v>1</v>
      </c>
    </row>
    <row r="1317" spans="1:23">
      <c r="A1317" t="s">
        <v>1330</v>
      </c>
      <c r="B1317" s="4">
        <v>45493</v>
      </c>
      <c r="C1317" t="s">
        <v>2018</v>
      </c>
      <c r="D1317" t="s">
        <v>2026</v>
      </c>
      <c r="E1317" t="s">
        <v>2029</v>
      </c>
      <c r="F1317" t="s">
        <v>2030</v>
      </c>
      <c r="G1317" t="s">
        <v>2036</v>
      </c>
      <c r="H1317" t="s">
        <v>2038</v>
      </c>
      <c r="I1317">
        <v>3</v>
      </c>
      <c r="J1317">
        <v>3</v>
      </c>
      <c r="K1317">
        <v>0</v>
      </c>
      <c r="L1317" t="s">
        <v>2042</v>
      </c>
      <c r="M1317">
        <v>244</v>
      </c>
      <c r="N1317">
        <v>0</v>
      </c>
      <c r="O1317">
        <v>0</v>
      </c>
      <c r="P1317" s="13">
        <f t="shared" si="140"/>
        <v>1</v>
      </c>
      <c r="Q1317" t="str">
        <f t="shared" si="141"/>
        <v>No</v>
      </c>
      <c r="R1317" t="str" cm="1">
        <f t="array" ref="R1317">_xlfn.IFS(K1317=0,"On Time",K1317&lt;=2,"Minor",K1317&lt;=5,"Major",K1317&gt;5,"Severe")</f>
        <v>On Time</v>
      </c>
      <c r="S1317">
        <f t="shared" si="142"/>
        <v>0</v>
      </c>
      <c r="T1317">
        <f t="shared" si="143"/>
        <v>0</v>
      </c>
      <c r="U1317">
        <f t="shared" si="144"/>
        <v>2024</v>
      </c>
      <c r="V1317">
        <f t="shared" si="145"/>
        <v>7</v>
      </c>
      <c r="W1317" s="11">
        <f t="shared" si="146"/>
        <v>0</v>
      </c>
    </row>
    <row r="1318" spans="1:23">
      <c r="A1318" t="s">
        <v>1331</v>
      </c>
      <c r="B1318" s="4">
        <v>45601</v>
      </c>
      <c r="C1318" t="s">
        <v>2018</v>
      </c>
      <c r="D1318" t="s">
        <v>2026</v>
      </c>
      <c r="E1318" t="s">
        <v>2029</v>
      </c>
      <c r="F1318" t="s">
        <v>2031</v>
      </c>
      <c r="G1318" t="s">
        <v>2035</v>
      </c>
      <c r="H1318" t="s">
        <v>2040</v>
      </c>
      <c r="I1318">
        <v>3</v>
      </c>
      <c r="J1318">
        <v>7</v>
      </c>
      <c r="K1318">
        <v>4</v>
      </c>
      <c r="L1318" t="s">
        <v>2041</v>
      </c>
      <c r="M1318">
        <v>372</v>
      </c>
      <c r="N1318">
        <v>3904</v>
      </c>
      <c r="O1318">
        <v>12272</v>
      </c>
      <c r="P1318" s="13">
        <f t="shared" si="140"/>
        <v>0</v>
      </c>
      <c r="Q1318" t="str">
        <f t="shared" si="141"/>
        <v>No</v>
      </c>
      <c r="R1318" t="str" cm="1">
        <f t="array" ref="R1318">_xlfn.IFS(K1318=0,"On Time",K1318&lt;=2,"Minor",K1318&lt;=5,"Major",K1318&gt;5,"Severe")</f>
        <v>Major</v>
      </c>
      <c r="S1318">
        <f t="shared" si="142"/>
        <v>3068</v>
      </c>
      <c r="T1318">
        <f t="shared" si="143"/>
        <v>976</v>
      </c>
      <c r="U1318">
        <f t="shared" si="144"/>
        <v>2024</v>
      </c>
      <c r="V1318">
        <f t="shared" si="145"/>
        <v>11</v>
      </c>
      <c r="W1318" s="11">
        <f t="shared" si="146"/>
        <v>1</v>
      </c>
    </row>
    <row r="1319" spans="1:23">
      <c r="A1319" t="s">
        <v>1332</v>
      </c>
      <c r="B1319" s="4">
        <v>45473</v>
      </c>
      <c r="C1319" t="s">
        <v>2016</v>
      </c>
      <c r="D1319" t="s">
        <v>2021</v>
      </c>
      <c r="E1319" t="s">
        <v>2029</v>
      </c>
      <c r="F1319" t="s">
        <v>2031</v>
      </c>
      <c r="G1319" t="s">
        <v>2036</v>
      </c>
      <c r="H1319" t="s">
        <v>2039</v>
      </c>
      <c r="I1319">
        <v>1</v>
      </c>
      <c r="J1319">
        <v>6</v>
      </c>
      <c r="K1319">
        <v>5</v>
      </c>
      <c r="L1319" t="s">
        <v>2041</v>
      </c>
      <c r="M1319">
        <v>174</v>
      </c>
      <c r="N1319">
        <v>4595</v>
      </c>
      <c r="O1319">
        <v>12690</v>
      </c>
      <c r="P1319" s="13">
        <f t="shared" si="140"/>
        <v>0</v>
      </c>
      <c r="Q1319" t="str">
        <f t="shared" si="141"/>
        <v>No</v>
      </c>
      <c r="R1319" t="str" cm="1">
        <f t="array" ref="R1319">_xlfn.IFS(K1319=0,"On Time",K1319&lt;=2,"Minor",K1319&lt;=5,"Major",K1319&gt;5,"Severe")</f>
        <v>Major</v>
      </c>
      <c r="S1319">
        <f t="shared" si="142"/>
        <v>2538</v>
      </c>
      <c r="T1319">
        <f t="shared" si="143"/>
        <v>919</v>
      </c>
      <c r="U1319">
        <f t="shared" si="144"/>
        <v>2024</v>
      </c>
      <c r="V1319">
        <f t="shared" si="145"/>
        <v>6</v>
      </c>
      <c r="W1319" s="11">
        <f t="shared" si="146"/>
        <v>1</v>
      </c>
    </row>
    <row r="1320" spans="1:23">
      <c r="A1320" t="s">
        <v>1333</v>
      </c>
      <c r="B1320" s="4">
        <v>45332</v>
      </c>
      <c r="C1320" t="s">
        <v>2018</v>
      </c>
      <c r="D1320" t="s">
        <v>2026</v>
      </c>
      <c r="E1320" t="s">
        <v>2027</v>
      </c>
      <c r="F1320" t="s">
        <v>2031</v>
      </c>
      <c r="G1320" t="s">
        <v>2035</v>
      </c>
      <c r="H1320" t="s">
        <v>2040</v>
      </c>
      <c r="I1320">
        <v>1</v>
      </c>
      <c r="J1320">
        <v>6</v>
      </c>
      <c r="K1320">
        <v>5</v>
      </c>
      <c r="L1320" t="s">
        <v>2041</v>
      </c>
      <c r="M1320">
        <v>166</v>
      </c>
      <c r="N1320">
        <v>4540</v>
      </c>
      <c r="O1320">
        <v>8700</v>
      </c>
      <c r="P1320" s="13">
        <f t="shared" si="140"/>
        <v>0</v>
      </c>
      <c r="Q1320" t="str">
        <f t="shared" si="141"/>
        <v>No</v>
      </c>
      <c r="R1320" t="str" cm="1">
        <f t="array" ref="R1320">_xlfn.IFS(K1320=0,"On Time",K1320&lt;=2,"Minor",K1320&lt;=5,"Major",K1320&gt;5,"Severe")</f>
        <v>Major</v>
      </c>
      <c r="S1320">
        <f t="shared" si="142"/>
        <v>1740</v>
      </c>
      <c r="T1320">
        <f t="shared" si="143"/>
        <v>908</v>
      </c>
      <c r="U1320">
        <f t="shared" si="144"/>
        <v>2024</v>
      </c>
      <c r="V1320">
        <f t="shared" si="145"/>
        <v>2</v>
      </c>
      <c r="W1320" s="11">
        <f t="shared" si="146"/>
        <v>1</v>
      </c>
    </row>
    <row r="1321" spans="1:23">
      <c r="A1321" t="s">
        <v>1334</v>
      </c>
      <c r="B1321" s="4">
        <v>45554</v>
      </c>
      <c r="C1321" t="s">
        <v>2015</v>
      </c>
      <c r="D1321" t="s">
        <v>2020</v>
      </c>
      <c r="E1321" t="s">
        <v>2029</v>
      </c>
      <c r="F1321" t="s">
        <v>2031</v>
      </c>
      <c r="G1321" t="s">
        <v>2036</v>
      </c>
      <c r="H1321" t="s">
        <v>2038</v>
      </c>
      <c r="I1321">
        <v>2</v>
      </c>
      <c r="J1321">
        <v>5</v>
      </c>
      <c r="K1321">
        <v>3</v>
      </c>
      <c r="L1321" t="s">
        <v>2041</v>
      </c>
      <c r="M1321">
        <v>214</v>
      </c>
      <c r="N1321">
        <v>5139</v>
      </c>
      <c r="O1321">
        <v>6828</v>
      </c>
      <c r="P1321" s="13">
        <f t="shared" si="140"/>
        <v>0</v>
      </c>
      <c r="Q1321" t="str">
        <f t="shared" si="141"/>
        <v>No</v>
      </c>
      <c r="R1321" t="str" cm="1">
        <f t="array" ref="R1321">_xlfn.IFS(K1321=0,"On Time",K1321&lt;=2,"Minor",K1321&lt;=5,"Major",K1321&gt;5,"Severe")</f>
        <v>Major</v>
      </c>
      <c r="S1321">
        <f t="shared" si="142"/>
        <v>2276</v>
      </c>
      <c r="T1321">
        <f t="shared" si="143"/>
        <v>1713</v>
      </c>
      <c r="U1321">
        <f t="shared" si="144"/>
        <v>2024</v>
      </c>
      <c r="V1321">
        <f t="shared" si="145"/>
        <v>9</v>
      </c>
      <c r="W1321" s="11">
        <f t="shared" si="146"/>
        <v>1</v>
      </c>
    </row>
    <row r="1322" spans="1:23">
      <c r="A1322" t="s">
        <v>1335</v>
      </c>
      <c r="B1322" s="4">
        <v>45315</v>
      </c>
      <c r="C1322" t="s">
        <v>2017</v>
      </c>
      <c r="D1322" t="s">
        <v>2023</v>
      </c>
      <c r="E1322" t="s">
        <v>2027</v>
      </c>
      <c r="F1322" t="s">
        <v>2031</v>
      </c>
      <c r="G1322" t="s">
        <v>2035</v>
      </c>
      <c r="H1322" t="s">
        <v>2038</v>
      </c>
      <c r="I1322">
        <v>2</v>
      </c>
      <c r="J1322">
        <v>6</v>
      </c>
      <c r="K1322">
        <v>4</v>
      </c>
      <c r="L1322" t="s">
        <v>2041</v>
      </c>
      <c r="M1322">
        <v>112</v>
      </c>
      <c r="N1322">
        <v>5516</v>
      </c>
      <c r="O1322">
        <v>12288</v>
      </c>
      <c r="P1322" s="13">
        <f t="shared" si="140"/>
        <v>0</v>
      </c>
      <c r="Q1322" t="str">
        <f t="shared" si="141"/>
        <v>No</v>
      </c>
      <c r="R1322" t="str" cm="1">
        <f t="array" ref="R1322">_xlfn.IFS(K1322=0,"On Time",K1322&lt;=2,"Minor",K1322&lt;=5,"Major",K1322&gt;5,"Severe")</f>
        <v>Major</v>
      </c>
      <c r="S1322">
        <f t="shared" si="142"/>
        <v>3072</v>
      </c>
      <c r="T1322">
        <f t="shared" si="143"/>
        <v>1379</v>
      </c>
      <c r="U1322">
        <f t="shared" si="144"/>
        <v>2024</v>
      </c>
      <c r="V1322">
        <f t="shared" si="145"/>
        <v>1</v>
      </c>
      <c r="W1322" s="11">
        <f t="shared" si="146"/>
        <v>1</v>
      </c>
    </row>
    <row r="1323" spans="1:23">
      <c r="A1323" t="s">
        <v>1336</v>
      </c>
      <c r="B1323" s="4">
        <v>45624</v>
      </c>
      <c r="C1323" t="s">
        <v>2016</v>
      </c>
      <c r="D1323" t="s">
        <v>2021</v>
      </c>
      <c r="E1323" t="s">
        <v>2027</v>
      </c>
      <c r="F1323" t="s">
        <v>2031</v>
      </c>
      <c r="G1323" t="s">
        <v>2036</v>
      </c>
      <c r="H1323" t="s">
        <v>2039</v>
      </c>
      <c r="I1323">
        <v>3</v>
      </c>
      <c r="J1323">
        <v>6</v>
      </c>
      <c r="K1323">
        <v>3</v>
      </c>
      <c r="L1323" t="s">
        <v>2041</v>
      </c>
      <c r="M1323">
        <v>93</v>
      </c>
      <c r="N1323">
        <v>5088</v>
      </c>
      <c r="O1323">
        <v>5598</v>
      </c>
      <c r="P1323" s="13">
        <f t="shared" si="140"/>
        <v>0</v>
      </c>
      <c r="Q1323" t="str">
        <f t="shared" si="141"/>
        <v>No</v>
      </c>
      <c r="R1323" t="str" cm="1">
        <f t="array" ref="R1323">_xlfn.IFS(K1323=0,"On Time",K1323&lt;=2,"Minor",K1323&lt;=5,"Major",K1323&gt;5,"Severe")</f>
        <v>Major</v>
      </c>
      <c r="S1323">
        <f t="shared" si="142"/>
        <v>1866</v>
      </c>
      <c r="T1323">
        <f t="shared" si="143"/>
        <v>1696</v>
      </c>
      <c r="U1323">
        <f t="shared" si="144"/>
        <v>2024</v>
      </c>
      <c r="V1323">
        <f t="shared" si="145"/>
        <v>11</v>
      </c>
      <c r="W1323" s="11">
        <f t="shared" si="146"/>
        <v>1</v>
      </c>
    </row>
    <row r="1324" spans="1:23">
      <c r="A1324" t="s">
        <v>1337</v>
      </c>
      <c r="B1324" s="4">
        <v>45563</v>
      </c>
      <c r="C1324" t="s">
        <v>2017</v>
      </c>
      <c r="D1324" t="s">
        <v>2022</v>
      </c>
      <c r="E1324" t="s">
        <v>2028</v>
      </c>
      <c r="F1324" t="s">
        <v>2031</v>
      </c>
      <c r="G1324" t="s">
        <v>2037</v>
      </c>
      <c r="H1324" t="s">
        <v>2038</v>
      </c>
      <c r="I1324">
        <v>2</v>
      </c>
      <c r="J1324">
        <v>4</v>
      </c>
      <c r="K1324">
        <v>2</v>
      </c>
      <c r="L1324" t="s">
        <v>2041</v>
      </c>
      <c r="M1324">
        <v>85</v>
      </c>
      <c r="N1324">
        <v>2968</v>
      </c>
      <c r="O1324">
        <v>3326</v>
      </c>
      <c r="P1324" s="13">
        <f t="shared" si="140"/>
        <v>0</v>
      </c>
      <c r="Q1324" t="str">
        <f t="shared" si="141"/>
        <v>No</v>
      </c>
      <c r="R1324" t="str" cm="1">
        <f t="array" ref="R1324">_xlfn.IFS(K1324=0,"On Time",K1324&lt;=2,"Minor",K1324&lt;=5,"Major",K1324&gt;5,"Severe")</f>
        <v>Minor</v>
      </c>
      <c r="S1324">
        <f t="shared" si="142"/>
        <v>1663</v>
      </c>
      <c r="T1324">
        <f t="shared" si="143"/>
        <v>1484</v>
      </c>
      <c r="U1324">
        <f t="shared" si="144"/>
        <v>2024</v>
      </c>
      <c r="V1324">
        <f t="shared" si="145"/>
        <v>9</v>
      </c>
      <c r="W1324" s="11">
        <f t="shared" si="146"/>
        <v>1</v>
      </c>
    </row>
    <row r="1325" spans="1:23">
      <c r="A1325" t="s">
        <v>1338</v>
      </c>
      <c r="B1325" s="4">
        <v>45540</v>
      </c>
      <c r="C1325" t="s">
        <v>2015</v>
      </c>
      <c r="D1325" t="s">
        <v>2020</v>
      </c>
      <c r="E1325" t="s">
        <v>2029</v>
      </c>
      <c r="F1325" t="s">
        <v>2031</v>
      </c>
      <c r="G1325" t="s">
        <v>2035</v>
      </c>
      <c r="H1325" t="s">
        <v>2039</v>
      </c>
      <c r="I1325">
        <v>3</v>
      </c>
      <c r="J1325">
        <v>8</v>
      </c>
      <c r="K1325">
        <v>5</v>
      </c>
      <c r="L1325" t="s">
        <v>2041</v>
      </c>
      <c r="M1325">
        <v>413</v>
      </c>
      <c r="N1325">
        <v>5060</v>
      </c>
      <c r="O1325">
        <v>13255</v>
      </c>
      <c r="P1325" s="13">
        <f t="shared" si="140"/>
        <v>0</v>
      </c>
      <c r="Q1325" t="str">
        <f t="shared" si="141"/>
        <v>No</v>
      </c>
      <c r="R1325" t="str" cm="1">
        <f t="array" ref="R1325">_xlfn.IFS(K1325=0,"On Time",K1325&lt;=2,"Minor",K1325&lt;=5,"Major",K1325&gt;5,"Severe")</f>
        <v>Major</v>
      </c>
      <c r="S1325">
        <f t="shared" si="142"/>
        <v>2651</v>
      </c>
      <c r="T1325">
        <f t="shared" si="143"/>
        <v>1012</v>
      </c>
      <c r="U1325">
        <f t="shared" si="144"/>
        <v>2024</v>
      </c>
      <c r="V1325">
        <f t="shared" si="145"/>
        <v>9</v>
      </c>
      <c r="W1325" s="11">
        <f t="shared" si="146"/>
        <v>1</v>
      </c>
    </row>
    <row r="1326" spans="1:23">
      <c r="A1326" t="s">
        <v>1339</v>
      </c>
      <c r="B1326" s="4">
        <v>45383</v>
      </c>
      <c r="C1326" t="s">
        <v>2018</v>
      </c>
      <c r="D1326" t="s">
        <v>2026</v>
      </c>
      <c r="E1326" t="s">
        <v>2027</v>
      </c>
      <c r="F1326" t="s">
        <v>2031</v>
      </c>
      <c r="G1326" t="s">
        <v>2035</v>
      </c>
      <c r="H1326" t="s">
        <v>2040</v>
      </c>
      <c r="I1326">
        <v>5</v>
      </c>
      <c r="J1326">
        <v>9</v>
      </c>
      <c r="K1326">
        <v>4</v>
      </c>
      <c r="L1326" t="s">
        <v>2041</v>
      </c>
      <c r="M1326">
        <v>419</v>
      </c>
      <c r="N1326">
        <v>9000</v>
      </c>
      <c r="O1326">
        <v>14720</v>
      </c>
      <c r="P1326" s="13">
        <f t="shared" si="140"/>
        <v>0</v>
      </c>
      <c r="Q1326" t="str">
        <f t="shared" si="141"/>
        <v>No</v>
      </c>
      <c r="R1326" t="str" cm="1">
        <f t="array" ref="R1326">_xlfn.IFS(K1326=0,"On Time",K1326&lt;=2,"Minor",K1326&lt;=5,"Major",K1326&gt;5,"Severe")</f>
        <v>Major</v>
      </c>
      <c r="S1326">
        <f t="shared" si="142"/>
        <v>3680</v>
      </c>
      <c r="T1326">
        <f t="shared" si="143"/>
        <v>2250</v>
      </c>
      <c r="U1326">
        <f t="shared" si="144"/>
        <v>2024</v>
      </c>
      <c r="V1326">
        <f t="shared" si="145"/>
        <v>4</v>
      </c>
      <c r="W1326" s="11">
        <f t="shared" si="146"/>
        <v>1</v>
      </c>
    </row>
    <row r="1327" spans="1:23">
      <c r="A1327" t="s">
        <v>1340</v>
      </c>
      <c r="B1327" s="4">
        <v>45318</v>
      </c>
      <c r="C1327" t="s">
        <v>2017</v>
      </c>
      <c r="D1327" t="s">
        <v>2022</v>
      </c>
      <c r="E1327" t="s">
        <v>2028</v>
      </c>
      <c r="F1327" t="s">
        <v>2031</v>
      </c>
      <c r="G1327" t="s">
        <v>2037</v>
      </c>
      <c r="H1327" t="s">
        <v>2040</v>
      </c>
      <c r="I1327">
        <v>5</v>
      </c>
      <c r="J1327">
        <v>8</v>
      </c>
      <c r="K1327">
        <v>3</v>
      </c>
      <c r="L1327" t="s">
        <v>2041</v>
      </c>
      <c r="M1327">
        <v>123</v>
      </c>
      <c r="N1327">
        <v>3300</v>
      </c>
      <c r="O1327">
        <v>11073</v>
      </c>
      <c r="P1327" s="13">
        <f t="shared" si="140"/>
        <v>0</v>
      </c>
      <c r="Q1327" t="str">
        <f t="shared" si="141"/>
        <v>No</v>
      </c>
      <c r="R1327" t="str" cm="1">
        <f t="array" ref="R1327">_xlfn.IFS(K1327=0,"On Time",K1327&lt;=2,"Minor",K1327&lt;=5,"Major",K1327&gt;5,"Severe")</f>
        <v>Major</v>
      </c>
      <c r="S1327">
        <f t="shared" si="142"/>
        <v>3691</v>
      </c>
      <c r="T1327">
        <f t="shared" si="143"/>
        <v>1100</v>
      </c>
      <c r="U1327">
        <f t="shared" si="144"/>
        <v>2024</v>
      </c>
      <c r="V1327">
        <f t="shared" si="145"/>
        <v>1</v>
      </c>
      <c r="W1327" s="11">
        <f t="shared" si="146"/>
        <v>1</v>
      </c>
    </row>
    <row r="1328" spans="1:23">
      <c r="A1328" t="s">
        <v>1341</v>
      </c>
      <c r="B1328" s="4">
        <v>45612</v>
      </c>
      <c r="C1328" t="s">
        <v>2015</v>
      </c>
      <c r="D1328" t="s">
        <v>2019</v>
      </c>
      <c r="E1328" t="s">
        <v>2028</v>
      </c>
      <c r="F1328" t="s">
        <v>2031</v>
      </c>
      <c r="G1328" t="s">
        <v>2033</v>
      </c>
      <c r="H1328" t="s">
        <v>2038</v>
      </c>
      <c r="I1328">
        <v>1</v>
      </c>
      <c r="J1328">
        <v>5</v>
      </c>
      <c r="K1328">
        <v>4</v>
      </c>
      <c r="L1328" t="s">
        <v>2041</v>
      </c>
      <c r="M1328">
        <v>282</v>
      </c>
      <c r="N1328">
        <v>4856</v>
      </c>
      <c r="O1328">
        <v>7112</v>
      </c>
      <c r="P1328" s="13">
        <f t="shared" si="140"/>
        <v>0</v>
      </c>
      <c r="Q1328" t="str">
        <f t="shared" si="141"/>
        <v>No</v>
      </c>
      <c r="R1328" t="str" cm="1">
        <f t="array" ref="R1328">_xlfn.IFS(K1328=0,"On Time",K1328&lt;=2,"Minor",K1328&lt;=5,"Major",K1328&gt;5,"Severe")</f>
        <v>Major</v>
      </c>
      <c r="S1328">
        <f t="shared" si="142"/>
        <v>1778</v>
      </c>
      <c r="T1328">
        <f t="shared" si="143"/>
        <v>1214</v>
      </c>
      <c r="U1328">
        <f t="shared" si="144"/>
        <v>2024</v>
      </c>
      <c r="V1328">
        <f t="shared" si="145"/>
        <v>11</v>
      </c>
      <c r="W1328" s="11">
        <f t="shared" si="146"/>
        <v>1</v>
      </c>
    </row>
    <row r="1329" spans="1:23">
      <c r="A1329" t="s">
        <v>1342</v>
      </c>
      <c r="B1329" s="4">
        <v>45324</v>
      </c>
      <c r="C1329" t="s">
        <v>2017</v>
      </c>
      <c r="D1329" t="s">
        <v>2022</v>
      </c>
      <c r="E1329" t="s">
        <v>2029</v>
      </c>
      <c r="F1329" t="s">
        <v>2031</v>
      </c>
      <c r="G1329" t="s">
        <v>2033</v>
      </c>
      <c r="H1329" t="s">
        <v>2038</v>
      </c>
      <c r="I1329">
        <v>1</v>
      </c>
      <c r="J1329">
        <v>3</v>
      </c>
      <c r="K1329">
        <v>2</v>
      </c>
      <c r="L1329" t="s">
        <v>2041</v>
      </c>
      <c r="M1329">
        <v>236</v>
      </c>
      <c r="N1329">
        <v>3652</v>
      </c>
      <c r="O1329">
        <v>8390</v>
      </c>
      <c r="P1329" s="13">
        <f t="shared" si="140"/>
        <v>0</v>
      </c>
      <c r="Q1329" t="str">
        <f t="shared" si="141"/>
        <v>No</v>
      </c>
      <c r="R1329" t="str" cm="1">
        <f t="array" ref="R1329">_xlfn.IFS(K1329=0,"On Time",K1329&lt;=2,"Minor",K1329&lt;=5,"Major",K1329&gt;5,"Severe")</f>
        <v>Minor</v>
      </c>
      <c r="S1329">
        <f t="shared" si="142"/>
        <v>4195</v>
      </c>
      <c r="T1329">
        <f t="shared" si="143"/>
        <v>1826</v>
      </c>
      <c r="U1329">
        <f t="shared" si="144"/>
        <v>2024</v>
      </c>
      <c r="V1329">
        <f t="shared" si="145"/>
        <v>2</v>
      </c>
      <c r="W1329" s="11">
        <f t="shared" si="146"/>
        <v>1</v>
      </c>
    </row>
    <row r="1330" spans="1:23">
      <c r="A1330" t="s">
        <v>1343</v>
      </c>
      <c r="B1330" s="4">
        <v>45497</v>
      </c>
      <c r="C1330" t="s">
        <v>2015</v>
      </c>
      <c r="D1330" t="s">
        <v>2019</v>
      </c>
      <c r="E1330" t="s">
        <v>2027</v>
      </c>
      <c r="F1330" t="s">
        <v>2032</v>
      </c>
      <c r="G1330" t="s">
        <v>2035</v>
      </c>
      <c r="H1330" t="s">
        <v>2038</v>
      </c>
      <c r="I1330">
        <v>1</v>
      </c>
      <c r="J1330">
        <v>5</v>
      </c>
      <c r="K1330">
        <v>4</v>
      </c>
      <c r="L1330" t="s">
        <v>2041</v>
      </c>
      <c r="M1330">
        <v>85</v>
      </c>
      <c r="N1330">
        <v>3260</v>
      </c>
      <c r="O1330">
        <v>14716</v>
      </c>
      <c r="P1330" s="13">
        <f t="shared" si="140"/>
        <v>0</v>
      </c>
      <c r="Q1330" t="str">
        <f t="shared" si="141"/>
        <v>No</v>
      </c>
      <c r="R1330" t="str" cm="1">
        <f t="array" ref="R1330">_xlfn.IFS(K1330=0,"On Time",K1330&lt;=2,"Minor",K1330&lt;=5,"Major",K1330&gt;5,"Severe")</f>
        <v>Major</v>
      </c>
      <c r="S1330">
        <f t="shared" si="142"/>
        <v>3679</v>
      </c>
      <c r="T1330">
        <f t="shared" si="143"/>
        <v>815</v>
      </c>
      <c r="U1330">
        <f t="shared" si="144"/>
        <v>2024</v>
      </c>
      <c r="V1330">
        <f t="shared" si="145"/>
        <v>7</v>
      </c>
      <c r="W1330" s="11">
        <f t="shared" si="146"/>
        <v>1</v>
      </c>
    </row>
    <row r="1331" spans="1:23">
      <c r="A1331" t="s">
        <v>1344</v>
      </c>
      <c r="B1331" s="4">
        <v>45504</v>
      </c>
      <c r="C1331" t="s">
        <v>2016</v>
      </c>
      <c r="D1331" t="s">
        <v>2025</v>
      </c>
      <c r="E1331" t="s">
        <v>2028</v>
      </c>
      <c r="F1331" t="s">
        <v>2031</v>
      </c>
      <c r="G1331" t="s">
        <v>2034</v>
      </c>
      <c r="H1331" t="s">
        <v>2038</v>
      </c>
      <c r="I1331">
        <v>3</v>
      </c>
      <c r="J1331">
        <v>7</v>
      </c>
      <c r="K1331">
        <v>4</v>
      </c>
      <c r="L1331" t="s">
        <v>2041</v>
      </c>
      <c r="M1331">
        <v>162</v>
      </c>
      <c r="N1331">
        <v>6428</v>
      </c>
      <c r="O1331">
        <v>6216</v>
      </c>
      <c r="P1331" s="13">
        <f t="shared" si="140"/>
        <v>0</v>
      </c>
      <c r="Q1331" t="str">
        <f t="shared" si="141"/>
        <v>No</v>
      </c>
      <c r="R1331" t="str" cm="1">
        <f t="array" ref="R1331">_xlfn.IFS(K1331=0,"On Time",K1331&lt;=2,"Minor",K1331&lt;=5,"Major",K1331&gt;5,"Severe")</f>
        <v>Major</v>
      </c>
      <c r="S1331">
        <f t="shared" si="142"/>
        <v>1554</v>
      </c>
      <c r="T1331">
        <f t="shared" si="143"/>
        <v>1607</v>
      </c>
      <c r="U1331">
        <f t="shared" si="144"/>
        <v>2024</v>
      </c>
      <c r="V1331">
        <f t="shared" si="145"/>
        <v>7</v>
      </c>
      <c r="W1331" s="11">
        <f t="shared" si="146"/>
        <v>1</v>
      </c>
    </row>
    <row r="1332" spans="1:23">
      <c r="A1332" t="s">
        <v>1345</v>
      </c>
      <c r="B1332" s="4">
        <v>45646</v>
      </c>
      <c r="C1332" t="s">
        <v>2017</v>
      </c>
      <c r="D1332" t="s">
        <v>2022</v>
      </c>
      <c r="E1332" t="s">
        <v>2027</v>
      </c>
      <c r="F1332" t="s">
        <v>2031</v>
      </c>
      <c r="G1332" t="s">
        <v>2037</v>
      </c>
      <c r="H1332" t="s">
        <v>2038</v>
      </c>
      <c r="I1332">
        <v>2</v>
      </c>
      <c r="J1332">
        <v>5</v>
      </c>
      <c r="K1332">
        <v>3</v>
      </c>
      <c r="L1332" t="s">
        <v>2041</v>
      </c>
      <c r="M1332">
        <v>297</v>
      </c>
      <c r="N1332">
        <v>3039</v>
      </c>
      <c r="O1332">
        <v>14775</v>
      </c>
      <c r="P1332" s="13">
        <f t="shared" si="140"/>
        <v>0</v>
      </c>
      <c r="Q1332" t="str">
        <f t="shared" si="141"/>
        <v>No</v>
      </c>
      <c r="R1332" t="str" cm="1">
        <f t="array" ref="R1332">_xlfn.IFS(K1332=0,"On Time",K1332&lt;=2,"Minor",K1332&lt;=5,"Major",K1332&gt;5,"Severe")</f>
        <v>Major</v>
      </c>
      <c r="S1332">
        <f t="shared" si="142"/>
        <v>4925</v>
      </c>
      <c r="T1332">
        <f t="shared" si="143"/>
        <v>1013</v>
      </c>
      <c r="U1332">
        <f t="shared" si="144"/>
        <v>2024</v>
      </c>
      <c r="V1332">
        <f t="shared" si="145"/>
        <v>12</v>
      </c>
      <c r="W1332" s="11">
        <f t="shared" si="146"/>
        <v>1</v>
      </c>
    </row>
    <row r="1333" spans="1:23">
      <c r="A1333" t="s">
        <v>1346</v>
      </c>
      <c r="B1333" s="4">
        <v>45551</v>
      </c>
      <c r="C1333" t="s">
        <v>2015</v>
      </c>
      <c r="D1333" t="s">
        <v>2019</v>
      </c>
      <c r="E1333" t="s">
        <v>2029</v>
      </c>
      <c r="F1333" t="s">
        <v>2031</v>
      </c>
      <c r="G1333" t="s">
        <v>2033</v>
      </c>
      <c r="H1333" t="s">
        <v>2038</v>
      </c>
      <c r="I1333">
        <v>1</v>
      </c>
      <c r="J1333">
        <v>6</v>
      </c>
      <c r="K1333">
        <v>5</v>
      </c>
      <c r="L1333" t="s">
        <v>2041</v>
      </c>
      <c r="M1333">
        <v>216</v>
      </c>
      <c r="N1333">
        <v>11665</v>
      </c>
      <c r="O1333">
        <v>15690</v>
      </c>
      <c r="P1333" s="13">
        <f t="shared" si="140"/>
        <v>0</v>
      </c>
      <c r="Q1333" t="str">
        <f t="shared" si="141"/>
        <v>No</v>
      </c>
      <c r="R1333" t="str" cm="1">
        <f t="array" ref="R1333">_xlfn.IFS(K1333=0,"On Time",K1333&lt;=2,"Minor",K1333&lt;=5,"Major",K1333&gt;5,"Severe")</f>
        <v>Major</v>
      </c>
      <c r="S1333">
        <f t="shared" si="142"/>
        <v>3138</v>
      </c>
      <c r="T1333">
        <f t="shared" si="143"/>
        <v>2333</v>
      </c>
      <c r="U1333">
        <f t="shared" si="144"/>
        <v>2024</v>
      </c>
      <c r="V1333">
        <f t="shared" si="145"/>
        <v>9</v>
      </c>
      <c r="W1333" s="11">
        <f t="shared" si="146"/>
        <v>1</v>
      </c>
    </row>
    <row r="1334" spans="1:23">
      <c r="A1334" t="s">
        <v>1347</v>
      </c>
      <c r="B1334" s="4">
        <v>45573</v>
      </c>
      <c r="C1334" t="s">
        <v>2016</v>
      </c>
      <c r="D1334" t="s">
        <v>2025</v>
      </c>
      <c r="E1334" t="s">
        <v>2027</v>
      </c>
      <c r="F1334" t="s">
        <v>2030</v>
      </c>
      <c r="G1334" t="s">
        <v>2037</v>
      </c>
      <c r="H1334" t="s">
        <v>2038</v>
      </c>
      <c r="I1334">
        <v>2</v>
      </c>
      <c r="J1334">
        <v>4</v>
      </c>
      <c r="K1334">
        <v>2</v>
      </c>
      <c r="L1334" t="s">
        <v>2041</v>
      </c>
      <c r="M1334">
        <v>113</v>
      </c>
      <c r="N1334">
        <v>3702</v>
      </c>
      <c r="O1334">
        <v>7878</v>
      </c>
      <c r="P1334" s="13">
        <f t="shared" si="140"/>
        <v>0</v>
      </c>
      <c r="Q1334" t="str">
        <f t="shared" si="141"/>
        <v>No</v>
      </c>
      <c r="R1334" t="str" cm="1">
        <f t="array" ref="R1334">_xlfn.IFS(K1334=0,"On Time",K1334&lt;=2,"Minor",K1334&lt;=5,"Major",K1334&gt;5,"Severe")</f>
        <v>Minor</v>
      </c>
      <c r="S1334">
        <f t="shared" si="142"/>
        <v>3939</v>
      </c>
      <c r="T1334">
        <f t="shared" si="143"/>
        <v>1851</v>
      </c>
      <c r="U1334">
        <f t="shared" si="144"/>
        <v>2024</v>
      </c>
      <c r="V1334">
        <f t="shared" si="145"/>
        <v>10</v>
      </c>
      <c r="W1334" s="11">
        <f t="shared" si="146"/>
        <v>1</v>
      </c>
    </row>
    <row r="1335" spans="1:23">
      <c r="A1335" t="s">
        <v>1348</v>
      </c>
      <c r="B1335" s="4">
        <v>45548</v>
      </c>
      <c r="C1335" t="s">
        <v>2016</v>
      </c>
      <c r="D1335" t="s">
        <v>2021</v>
      </c>
      <c r="E1335" t="s">
        <v>2028</v>
      </c>
      <c r="F1335" t="s">
        <v>2031</v>
      </c>
      <c r="G1335" t="s">
        <v>2037</v>
      </c>
      <c r="H1335" t="s">
        <v>2038</v>
      </c>
      <c r="I1335">
        <v>1</v>
      </c>
      <c r="J1335">
        <v>2</v>
      </c>
      <c r="K1335">
        <v>1</v>
      </c>
      <c r="L1335" t="s">
        <v>2041</v>
      </c>
      <c r="M1335">
        <v>181</v>
      </c>
      <c r="N1335">
        <v>851</v>
      </c>
      <c r="O1335">
        <v>3906</v>
      </c>
      <c r="P1335" s="13">
        <f t="shared" si="140"/>
        <v>0</v>
      </c>
      <c r="Q1335" t="str">
        <f t="shared" si="141"/>
        <v>No</v>
      </c>
      <c r="R1335" t="str" cm="1">
        <f t="array" ref="R1335">_xlfn.IFS(K1335=0,"On Time",K1335&lt;=2,"Minor",K1335&lt;=5,"Major",K1335&gt;5,"Severe")</f>
        <v>Minor</v>
      </c>
      <c r="S1335">
        <f t="shared" si="142"/>
        <v>3906</v>
      </c>
      <c r="T1335">
        <f t="shared" si="143"/>
        <v>851</v>
      </c>
      <c r="U1335">
        <f t="shared" si="144"/>
        <v>2024</v>
      </c>
      <c r="V1335">
        <f t="shared" si="145"/>
        <v>9</v>
      </c>
      <c r="W1335" s="11">
        <f t="shared" si="146"/>
        <v>1</v>
      </c>
    </row>
    <row r="1336" spans="1:23">
      <c r="A1336" t="s">
        <v>1349</v>
      </c>
      <c r="B1336" s="4">
        <v>45393</v>
      </c>
      <c r="C1336" t="s">
        <v>2015</v>
      </c>
      <c r="D1336" t="s">
        <v>2019</v>
      </c>
      <c r="E1336" t="s">
        <v>2029</v>
      </c>
      <c r="F1336" t="s">
        <v>2031</v>
      </c>
      <c r="G1336" t="s">
        <v>2034</v>
      </c>
      <c r="H1336" t="s">
        <v>2038</v>
      </c>
      <c r="I1336">
        <v>5</v>
      </c>
      <c r="J1336">
        <v>9</v>
      </c>
      <c r="K1336">
        <v>4</v>
      </c>
      <c r="L1336" t="s">
        <v>2041</v>
      </c>
      <c r="M1336">
        <v>234</v>
      </c>
      <c r="N1336">
        <v>8224</v>
      </c>
      <c r="O1336">
        <v>17508</v>
      </c>
      <c r="P1336" s="13">
        <f t="shared" si="140"/>
        <v>0</v>
      </c>
      <c r="Q1336" t="str">
        <f t="shared" si="141"/>
        <v>No</v>
      </c>
      <c r="R1336" t="str" cm="1">
        <f t="array" ref="R1336">_xlfn.IFS(K1336=0,"On Time",K1336&lt;=2,"Minor",K1336&lt;=5,"Major",K1336&gt;5,"Severe")</f>
        <v>Major</v>
      </c>
      <c r="S1336">
        <f t="shared" si="142"/>
        <v>4377</v>
      </c>
      <c r="T1336">
        <f t="shared" si="143"/>
        <v>2056</v>
      </c>
      <c r="U1336">
        <f t="shared" si="144"/>
        <v>2024</v>
      </c>
      <c r="V1336">
        <f t="shared" si="145"/>
        <v>4</v>
      </c>
      <c r="W1336" s="11">
        <f t="shared" si="146"/>
        <v>1</v>
      </c>
    </row>
    <row r="1337" spans="1:23">
      <c r="A1337" t="s">
        <v>1350</v>
      </c>
      <c r="B1337" s="4">
        <v>45484</v>
      </c>
      <c r="C1337" t="s">
        <v>2016</v>
      </c>
      <c r="D1337" t="s">
        <v>2021</v>
      </c>
      <c r="E1337" t="s">
        <v>2029</v>
      </c>
      <c r="F1337" t="s">
        <v>2031</v>
      </c>
      <c r="G1337" t="s">
        <v>2033</v>
      </c>
      <c r="H1337" t="s">
        <v>2038</v>
      </c>
      <c r="I1337">
        <v>2</v>
      </c>
      <c r="J1337">
        <v>2</v>
      </c>
      <c r="K1337">
        <v>0</v>
      </c>
      <c r="L1337" t="s">
        <v>2042</v>
      </c>
      <c r="M1337">
        <v>182</v>
      </c>
      <c r="N1337">
        <v>0</v>
      </c>
      <c r="O1337">
        <v>0</v>
      </c>
      <c r="P1337" s="13">
        <f t="shared" si="140"/>
        <v>1</v>
      </c>
      <c r="Q1337" t="str">
        <f t="shared" si="141"/>
        <v>No</v>
      </c>
      <c r="R1337" t="str" cm="1">
        <f t="array" ref="R1337">_xlfn.IFS(K1337=0,"On Time",K1337&lt;=2,"Minor",K1337&lt;=5,"Major",K1337&gt;5,"Severe")</f>
        <v>On Time</v>
      </c>
      <c r="S1337">
        <f t="shared" si="142"/>
        <v>0</v>
      </c>
      <c r="T1337">
        <f t="shared" si="143"/>
        <v>0</v>
      </c>
      <c r="U1337">
        <f t="shared" si="144"/>
        <v>2024</v>
      </c>
      <c r="V1337">
        <f t="shared" si="145"/>
        <v>7</v>
      </c>
      <c r="W1337" s="11">
        <f t="shared" si="146"/>
        <v>0</v>
      </c>
    </row>
    <row r="1338" spans="1:23">
      <c r="A1338" t="s">
        <v>1351</v>
      </c>
      <c r="B1338" s="4">
        <v>45474</v>
      </c>
      <c r="C1338" t="s">
        <v>2017</v>
      </c>
      <c r="D1338" t="s">
        <v>2022</v>
      </c>
      <c r="E1338" t="s">
        <v>2028</v>
      </c>
      <c r="F1338" t="s">
        <v>2030</v>
      </c>
      <c r="G1338" t="s">
        <v>2036</v>
      </c>
      <c r="H1338" t="s">
        <v>2038</v>
      </c>
      <c r="I1338">
        <v>3</v>
      </c>
      <c r="J1338">
        <v>4</v>
      </c>
      <c r="K1338">
        <v>1</v>
      </c>
      <c r="L1338" t="s">
        <v>2041</v>
      </c>
      <c r="M1338">
        <v>125</v>
      </c>
      <c r="N1338">
        <v>1926</v>
      </c>
      <c r="O1338">
        <v>4037</v>
      </c>
      <c r="P1338" s="13">
        <f t="shared" si="140"/>
        <v>0</v>
      </c>
      <c r="Q1338" t="str">
        <f t="shared" si="141"/>
        <v>No</v>
      </c>
      <c r="R1338" t="str" cm="1">
        <f t="array" ref="R1338">_xlfn.IFS(K1338=0,"On Time",K1338&lt;=2,"Minor",K1338&lt;=5,"Major",K1338&gt;5,"Severe")</f>
        <v>Minor</v>
      </c>
      <c r="S1338">
        <f t="shared" si="142"/>
        <v>4037</v>
      </c>
      <c r="T1338">
        <f t="shared" si="143"/>
        <v>1926</v>
      </c>
      <c r="U1338">
        <f t="shared" si="144"/>
        <v>2024</v>
      </c>
      <c r="V1338">
        <f t="shared" si="145"/>
        <v>7</v>
      </c>
      <c r="W1338" s="11">
        <f t="shared" si="146"/>
        <v>1</v>
      </c>
    </row>
    <row r="1339" spans="1:23">
      <c r="A1339" t="s">
        <v>1352</v>
      </c>
      <c r="B1339" s="4">
        <v>45446</v>
      </c>
      <c r="C1339" t="s">
        <v>2017</v>
      </c>
      <c r="D1339" t="s">
        <v>2023</v>
      </c>
      <c r="E1339" t="s">
        <v>2028</v>
      </c>
      <c r="F1339" t="s">
        <v>2031</v>
      </c>
      <c r="G1339" t="s">
        <v>2034</v>
      </c>
      <c r="H1339" t="s">
        <v>2040</v>
      </c>
      <c r="I1339">
        <v>2</v>
      </c>
      <c r="J1339">
        <v>6</v>
      </c>
      <c r="K1339">
        <v>4</v>
      </c>
      <c r="L1339" t="s">
        <v>2041</v>
      </c>
      <c r="M1339">
        <v>93</v>
      </c>
      <c r="N1339">
        <v>6104</v>
      </c>
      <c r="O1339">
        <v>17236</v>
      </c>
      <c r="P1339" s="13">
        <f t="shared" si="140"/>
        <v>0</v>
      </c>
      <c r="Q1339" t="str">
        <f t="shared" si="141"/>
        <v>No</v>
      </c>
      <c r="R1339" t="str" cm="1">
        <f t="array" ref="R1339">_xlfn.IFS(K1339=0,"On Time",K1339&lt;=2,"Minor",K1339&lt;=5,"Major",K1339&gt;5,"Severe")</f>
        <v>Major</v>
      </c>
      <c r="S1339">
        <f t="shared" si="142"/>
        <v>4309</v>
      </c>
      <c r="T1339">
        <f t="shared" si="143"/>
        <v>1526</v>
      </c>
      <c r="U1339">
        <f t="shared" si="144"/>
        <v>2024</v>
      </c>
      <c r="V1339">
        <f t="shared" si="145"/>
        <v>6</v>
      </c>
      <c r="W1339" s="11">
        <f t="shared" si="146"/>
        <v>1</v>
      </c>
    </row>
    <row r="1340" spans="1:23">
      <c r="A1340" t="s">
        <v>1353</v>
      </c>
      <c r="B1340" s="4">
        <v>45333</v>
      </c>
      <c r="C1340" t="s">
        <v>2015</v>
      </c>
      <c r="D1340" t="s">
        <v>2020</v>
      </c>
      <c r="E1340" t="s">
        <v>2029</v>
      </c>
      <c r="F1340" t="s">
        <v>2030</v>
      </c>
      <c r="G1340" t="s">
        <v>2034</v>
      </c>
      <c r="H1340" t="s">
        <v>2039</v>
      </c>
      <c r="I1340">
        <v>1</v>
      </c>
      <c r="J1340">
        <v>2</v>
      </c>
      <c r="K1340">
        <v>1</v>
      </c>
      <c r="L1340" t="s">
        <v>2041</v>
      </c>
      <c r="M1340">
        <v>197</v>
      </c>
      <c r="N1340">
        <v>1402</v>
      </c>
      <c r="O1340">
        <v>3039</v>
      </c>
      <c r="P1340" s="13">
        <f t="shared" si="140"/>
        <v>0</v>
      </c>
      <c r="Q1340" t="str">
        <f t="shared" si="141"/>
        <v>No</v>
      </c>
      <c r="R1340" t="str" cm="1">
        <f t="array" ref="R1340">_xlfn.IFS(K1340=0,"On Time",K1340&lt;=2,"Minor",K1340&lt;=5,"Major",K1340&gt;5,"Severe")</f>
        <v>Minor</v>
      </c>
      <c r="S1340">
        <f t="shared" si="142"/>
        <v>3039</v>
      </c>
      <c r="T1340">
        <f t="shared" si="143"/>
        <v>1402</v>
      </c>
      <c r="U1340">
        <f t="shared" si="144"/>
        <v>2024</v>
      </c>
      <c r="V1340">
        <f t="shared" si="145"/>
        <v>2</v>
      </c>
      <c r="W1340" s="11">
        <f t="shared" si="146"/>
        <v>1</v>
      </c>
    </row>
    <row r="1341" spans="1:23">
      <c r="A1341" t="s">
        <v>1354</v>
      </c>
      <c r="B1341" s="4">
        <v>45473</v>
      </c>
      <c r="C1341" t="s">
        <v>2016</v>
      </c>
      <c r="D1341" t="s">
        <v>2021</v>
      </c>
      <c r="E1341" t="s">
        <v>2028</v>
      </c>
      <c r="F1341" t="s">
        <v>2031</v>
      </c>
      <c r="G1341" t="s">
        <v>2034</v>
      </c>
      <c r="H1341" t="s">
        <v>2038</v>
      </c>
      <c r="I1341">
        <v>1</v>
      </c>
      <c r="J1341">
        <v>3</v>
      </c>
      <c r="K1341">
        <v>2</v>
      </c>
      <c r="L1341" t="s">
        <v>2041</v>
      </c>
      <c r="M1341">
        <v>186</v>
      </c>
      <c r="N1341">
        <v>2462</v>
      </c>
      <c r="O1341">
        <v>8664</v>
      </c>
      <c r="P1341" s="13">
        <f t="shared" si="140"/>
        <v>0</v>
      </c>
      <c r="Q1341" t="str">
        <f t="shared" si="141"/>
        <v>No</v>
      </c>
      <c r="R1341" t="str" cm="1">
        <f t="array" ref="R1341">_xlfn.IFS(K1341=0,"On Time",K1341&lt;=2,"Minor",K1341&lt;=5,"Major",K1341&gt;5,"Severe")</f>
        <v>Minor</v>
      </c>
      <c r="S1341">
        <f t="shared" si="142"/>
        <v>4332</v>
      </c>
      <c r="T1341">
        <f t="shared" si="143"/>
        <v>1231</v>
      </c>
      <c r="U1341">
        <f t="shared" si="144"/>
        <v>2024</v>
      </c>
      <c r="V1341">
        <f t="shared" si="145"/>
        <v>6</v>
      </c>
      <c r="W1341" s="11">
        <f t="shared" si="146"/>
        <v>1</v>
      </c>
    </row>
    <row r="1342" spans="1:23">
      <c r="A1342" t="s">
        <v>1355</v>
      </c>
      <c r="B1342" s="4">
        <v>45549</v>
      </c>
      <c r="C1342" t="s">
        <v>2018</v>
      </c>
      <c r="D1342" t="s">
        <v>2024</v>
      </c>
      <c r="E1342" t="s">
        <v>2028</v>
      </c>
      <c r="F1342" t="s">
        <v>2031</v>
      </c>
      <c r="G1342" t="s">
        <v>2037</v>
      </c>
      <c r="H1342" t="s">
        <v>2038</v>
      </c>
      <c r="I1342">
        <v>2</v>
      </c>
      <c r="J1342">
        <v>2</v>
      </c>
      <c r="K1342">
        <v>0</v>
      </c>
      <c r="L1342" t="s">
        <v>2042</v>
      </c>
      <c r="M1342">
        <v>407</v>
      </c>
      <c r="N1342">
        <v>0</v>
      </c>
      <c r="O1342">
        <v>0</v>
      </c>
      <c r="P1342" s="13">
        <f t="shared" si="140"/>
        <v>1</v>
      </c>
      <c r="Q1342" t="str">
        <f t="shared" si="141"/>
        <v>No</v>
      </c>
      <c r="R1342" t="str" cm="1">
        <f t="array" ref="R1342">_xlfn.IFS(K1342=0,"On Time",K1342&lt;=2,"Minor",K1342&lt;=5,"Major",K1342&gt;5,"Severe")</f>
        <v>On Time</v>
      </c>
      <c r="S1342">
        <f t="shared" si="142"/>
        <v>0</v>
      </c>
      <c r="T1342">
        <f t="shared" si="143"/>
        <v>0</v>
      </c>
      <c r="U1342">
        <f t="shared" si="144"/>
        <v>2024</v>
      </c>
      <c r="V1342">
        <f t="shared" si="145"/>
        <v>9</v>
      </c>
      <c r="W1342" s="11">
        <f t="shared" si="146"/>
        <v>0</v>
      </c>
    </row>
    <row r="1343" spans="1:23">
      <c r="A1343" t="s">
        <v>1356</v>
      </c>
      <c r="B1343" s="4">
        <v>45652</v>
      </c>
      <c r="C1343" t="s">
        <v>2016</v>
      </c>
      <c r="D1343" t="s">
        <v>2025</v>
      </c>
      <c r="E1343" t="s">
        <v>2029</v>
      </c>
      <c r="F1343" t="s">
        <v>2031</v>
      </c>
      <c r="G1343" t="s">
        <v>2036</v>
      </c>
      <c r="H1343" t="s">
        <v>2038</v>
      </c>
      <c r="I1343">
        <v>1</v>
      </c>
      <c r="J1343">
        <v>5</v>
      </c>
      <c r="K1343">
        <v>4</v>
      </c>
      <c r="L1343" t="s">
        <v>2041</v>
      </c>
      <c r="M1343">
        <v>318</v>
      </c>
      <c r="N1343">
        <v>9032</v>
      </c>
      <c r="O1343">
        <v>8756</v>
      </c>
      <c r="P1343" s="13">
        <f t="shared" si="140"/>
        <v>0</v>
      </c>
      <c r="Q1343" t="str">
        <f t="shared" si="141"/>
        <v>No</v>
      </c>
      <c r="R1343" t="str" cm="1">
        <f t="array" ref="R1343">_xlfn.IFS(K1343=0,"On Time",K1343&lt;=2,"Minor",K1343&lt;=5,"Major",K1343&gt;5,"Severe")</f>
        <v>Major</v>
      </c>
      <c r="S1343">
        <f t="shared" si="142"/>
        <v>2189</v>
      </c>
      <c r="T1343">
        <f t="shared" si="143"/>
        <v>2258</v>
      </c>
      <c r="U1343">
        <f t="shared" si="144"/>
        <v>2024</v>
      </c>
      <c r="V1343">
        <f t="shared" si="145"/>
        <v>12</v>
      </c>
      <c r="W1343" s="11">
        <f t="shared" si="146"/>
        <v>1</v>
      </c>
    </row>
    <row r="1344" spans="1:23">
      <c r="A1344" t="s">
        <v>1357</v>
      </c>
      <c r="B1344" s="4">
        <v>45442</v>
      </c>
      <c r="C1344" t="s">
        <v>2017</v>
      </c>
      <c r="D1344" t="s">
        <v>2022</v>
      </c>
      <c r="E1344" t="s">
        <v>2027</v>
      </c>
      <c r="F1344" t="s">
        <v>2031</v>
      </c>
      <c r="G1344" t="s">
        <v>2037</v>
      </c>
      <c r="H1344" t="s">
        <v>2039</v>
      </c>
      <c r="I1344">
        <v>2</v>
      </c>
      <c r="J1344">
        <v>4</v>
      </c>
      <c r="K1344">
        <v>2</v>
      </c>
      <c r="L1344" t="s">
        <v>2041</v>
      </c>
      <c r="M1344">
        <v>296</v>
      </c>
      <c r="N1344">
        <v>2168</v>
      </c>
      <c r="O1344">
        <v>8986</v>
      </c>
      <c r="P1344" s="13">
        <f t="shared" si="140"/>
        <v>0</v>
      </c>
      <c r="Q1344" t="str">
        <f t="shared" si="141"/>
        <v>No</v>
      </c>
      <c r="R1344" t="str" cm="1">
        <f t="array" ref="R1344">_xlfn.IFS(K1344=0,"On Time",K1344&lt;=2,"Minor",K1344&lt;=5,"Major",K1344&gt;5,"Severe")</f>
        <v>Minor</v>
      </c>
      <c r="S1344">
        <f t="shared" si="142"/>
        <v>4493</v>
      </c>
      <c r="T1344">
        <f t="shared" si="143"/>
        <v>1084</v>
      </c>
      <c r="U1344">
        <f t="shared" si="144"/>
        <v>2024</v>
      </c>
      <c r="V1344">
        <f t="shared" si="145"/>
        <v>5</v>
      </c>
      <c r="W1344" s="11">
        <f t="shared" si="146"/>
        <v>1</v>
      </c>
    </row>
    <row r="1345" spans="1:23">
      <c r="A1345" t="s">
        <v>1358</v>
      </c>
      <c r="B1345" s="4">
        <v>45640</v>
      </c>
      <c r="C1345" t="s">
        <v>2017</v>
      </c>
      <c r="D1345" t="s">
        <v>2023</v>
      </c>
      <c r="E1345" t="s">
        <v>2027</v>
      </c>
      <c r="F1345" t="s">
        <v>2032</v>
      </c>
      <c r="G1345" t="s">
        <v>2035</v>
      </c>
      <c r="H1345" t="s">
        <v>2039</v>
      </c>
      <c r="I1345">
        <v>3</v>
      </c>
      <c r="J1345">
        <v>7</v>
      </c>
      <c r="K1345">
        <v>4</v>
      </c>
      <c r="L1345" t="s">
        <v>2041</v>
      </c>
      <c r="M1345">
        <v>490</v>
      </c>
      <c r="N1345">
        <v>9476</v>
      </c>
      <c r="O1345">
        <v>7988</v>
      </c>
      <c r="P1345" s="13">
        <f t="shared" si="140"/>
        <v>0</v>
      </c>
      <c r="Q1345" t="str">
        <f t="shared" si="141"/>
        <v>No</v>
      </c>
      <c r="R1345" t="str" cm="1">
        <f t="array" ref="R1345">_xlfn.IFS(K1345=0,"On Time",K1345&lt;=2,"Minor",K1345&lt;=5,"Major",K1345&gt;5,"Severe")</f>
        <v>Major</v>
      </c>
      <c r="S1345">
        <f t="shared" si="142"/>
        <v>1997</v>
      </c>
      <c r="T1345">
        <f t="shared" si="143"/>
        <v>2369</v>
      </c>
      <c r="U1345">
        <f t="shared" si="144"/>
        <v>2024</v>
      </c>
      <c r="V1345">
        <f t="shared" si="145"/>
        <v>12</v>
      </c>
      <c r="W1345" s="11">
        <f t="shared" si="146"/>
        <v>1</v>
      </c>
    </row>
    <row r="1346" spans="1:23">
      <c r="A1346" t="s">
        <v>1359</v>
      </c>
      <c r="B1346" s="4">
        <v>45364</v>
      </c>
      <c r="C1346" t="s">
        <v>2017</v>
      </c>
      <c r="D1346" t="s">
        <v>2023</v>
      </c>
      <c r="E1346" t="s">
        <v>2027</v>
      </c>
      <c r="F1346" t="s">
        <v>2031</v>
      </c>
      <c r="G1346" t="s">
        <v>2035</v>
      </c>
      <c r="H1346" t="s">
        <v>2039</v>
      </c>
      <c r="I1346">
        <v>2</v>
      </c>
      <c r="J1346">
        <v>3</v>
      </c>
      <c r="K1346">
        <v>1</v>
      </c>
      <c r="L1346" t="s">
        <v>2041</v>
      </c>
      <c r="M1346">
        <v>389</v>
      </c>
      <c r="N1346">
        <v>1566</v>
      </c>
      <c r="O1346">
        <v>2088</v>
      </c>
      <c r="P1346" s="13">
        <f t="shared" si="140"/>
        <v>0</v>
      </c>
      <c r="Q1346" t="str">
        <f t="shared" si="141"/>
        <v>No</v>
      </c>
      <c r="R1346" t="str" cm="1">
        <f t="array" ref="R1346">_xlfn.IFS(K1346=0,"On Time",K1346&lt;=2,"Minor",K1346&lt;=5,"Major",K1346&gt;5,"Severe")</f>
        <v>Minor</v>
      </c>
      <c r="S1346">
        <f t="shared" si="142"/>
        <v>2088</v>
      </c>
      <c r="T1346">
        <f t="shared" si="143"/>
        <v>1566</v>
      </c>
      <c r="U1346">
        <f t="shared" si="144"/>
        <v>2024</v>
      </c>
      <c r="V1346">
        <f t="shared" si="145"/>
        <v>3</v>
      </c>
      <c r="W1346" s="11">
        <f t="shared" si="146"/>
        <v>1</v>
      </c>
    </row>
    <row r="1347" spans="1:23">
      <c r="A1347" t="s">
        <v>1360</v>
      </c>
      <c r="B1347" s="4">
        <v>45530</v>
      </c>
      <c r="C1347" t="s">
        <v>2018</v>
      </c>
      <c r="D1347" t="s">
        <v>2026</v>
      </c>
      <c r="E1347" t="s">
        <v>2029</v>
      </c>
      <c r="F1347" t="s">
        <v>2031</v>
      </c>
      <c r="G1347" t="s">
        <v>2035</v>
      </c>
      <c r="H1347" t="s">
        <v>2039</v>
      </c>
      <c r="I1347">
        <v>2</v>
      </c>
      <c r="J1347">
        <v>5</v>
      </c>
      <c r="K1347">
        <v>3</v>
      </c>
      <c r="L1347" t="s">
        <v>2041</v>
      </c>
      <c r="M1347">
        <v>129</v>
      </c>
      <c r="N1347">
        <v>7185</v>
      </c>
      <c r="O1347">
        <v>12534</v>
      </c>
      <c r="P1347" s="13">
        <f t="shared" ref="P1347:P1410" si="147">IF(L1347="Yes",0,1)</f>
        <v>0</v>
      </c>
      <c r="Q1347" t="str">
        <f t="shared" ref="Q1347:Q1410" si="148">IF(K1347&gt;J1347,"Yes","No")</f>
        <v>No</v>
      </c>
      <c r="R1347" t="str" cm="1">
        <f t="array" ref="R1347">_xlfn.IFS(K1347=0,"On Time",K1347&lt;=2,"Minor",K1347&lt;=5,"Major",K1347&gt;5,"Severe")</f>
        <v>Major</v>
      </c>
      <c r="S1347">
        <f t="shared" ref="S1347:S1410" si="149">IFERROR(O1347/K1347,0)</f>
        <v>4178</v>
      </c>
      <c r="T1347">
        <f t="shared" ref="T1347:T1410" si="150">IFERROR(N1347/K1347,0)</f>
        <v>2395</v>
      </c>
      <c r="U1347">
        <f t="shared" ref="U1347:U1410" si="151">YEAR(B1347)</f>
        <v>2024</v>
      </c>
      <c r="V1347">
        <f t="shared" ref="V1347:V1410" si="152">MONTH(B1347)</f>
        <v>8</v>
      </c>
      <c r="W1347" s="11">
        <f t="shared" ref="W1347:W1410" si="153">IF(L1347="Yes",1,0)</f>
        <v>1</v>
      </c>
    </row>
    <row r="1348" spans="1:23">
      <c r="A1348" t="s">
        <v>1361</v>
      </c>
      <c r="B1348" s="4">
        <v>45600</v>
      </c>
      <c r="C1348" t="s">
        <v>2017</v>
      </c>
      <c r="D1348" t="s">
        <v>2023</v>
      </c>
      <c r="E1348" t="s">
        <v>2029</v>
      </c>
      <c r="F1348" t="s">
        <v>2031</v>
      </c>
      <c r="G1348" t="s">
        <v>2037</v>
      </c>
      <c r="H1348" t="s">
        <v>2038</v>
      </c>
      <c r="I1348">
        <v>1</v>
      </c>
      <c r="J1348">
        <v>1</v>
      </c>
      <c r="K1348">
        <v>0</v>
      </c>
      <c r="L1348" t="s">
        <v>2042</v>
      </c>
      <c r="M1348">
        <v>176</v>
      </c>
      <c r="N1348">
        <v>0</v>
      </c>
      <c r="O1348">
        <v>0</v>
      </c>
      <c r="P1348" s="13">
        <f t="shared" si="147"/>
        <v>1</v>
      </c>
      <c r="Q1348" t="str">
        <f t="shared" si="148"/>
        <v>No</v>
      </c>
      <c r="R1348" t="str" cm="1">
        <f t="array" ref="R1348">_xlfn.IFS(K1348=0,"On Time",K1348&lt;=2,"Minor",K1348&lt;=5,"Major",K1348&gt;5,"Severe")</f>
        <v>On Time</v>
      </c>
      <c r="S1348">
        <f t="shared" si="149"/>
        <v>0</v>
      </c>
      <c r="T1348">
        <f t="shared" si="150"/>
        <v>0</v>
      </c>
      <c r="U1348">
        <f t="shared" si="151"/>
        <v>2024</v>
      </c>
      <c r="V1348">
        <f t="shared" si="152"/>
        <v>11</v>
      </c>
      <c r="W1348" s="11">
        <f t="shared" si="153"/>
        <v>0</v>
      </c>
    </row>
    <row r="1349" spans="1:23">
      <c r="A1349" t="s">
        <v>1362</v>
      </c>
      <c r="B1349" s="4">
        <v>45353</v>
      </c>
      <c r="C1349" t="s">
        <v>2015</v>
      </c>
      <c r="D1349" t="s">
        <v>2020</v>
      </c>
      <c r="E1349" t="s">
        <v>2028</v>
      </c>
      <c r="F1349" t="s">
        <v>2031</v>
      </c>
      <c r="G1349" t="s">
        <v>2037</v>
      </c>
      <c r="H1349" t="s">
        <v>2038</v>
      </c>
      <c r="I1349">
        <v>5</v>
      </c>
      <c r="J1349">
        <v>5</v>
      </c>
      <c r="K1349">
        <v>0</v>
      </c>
      <c r="L1349" t="s">
        <v>2042</v>
      </c>
      <c r="M1349">
        <v>438</v>
      </c>
      <c r="N1349">
        <v>0</v>
      </c>
      <c r="O1349">
        <v>0</v>
      </c>
      <c r="P1349" s="13">
        <f t="shared" si="147"/>
        <v>1</v>
      </c>
      <c r="Q1349" t="str">
        <f t="shared" si="148"/>
        <v>No</v>
      </c>
      <c r="R1349" t="str" cm="1">
        <f t="array" ref="R1349">_xlfn.IFS(K1349=0,"On Time",K1349&lt;=2,"Minor",K1349&lt;=5,"Major",K1349&gt;5,"Severe")</f>
        <v>On Time</v>
      </c>
      <c r="S1349">
        <f t="shared" si="149"/>
        <v>0</v>
      </c>
      <c r="T1349">
        <f t="shared" si="150"/>
        <v>0</v>
      </c>
      <c r="U1349">
        <f t="shared" si="151"/>
        <v>2024</v>
      </c>
      <c r="V1349">
        <f t="shared" si="152"/>
        <v>3</v>
      </c>
      <c r="W1349" s="11">
        <f t="shared" si="153"/>
        <v>0</v>
      </c>
    </row>
    <row r="1350" spans="1:23">
      <c r="A1350" t="s">
        <v>1363</v>
      </c>
      <c r="B1350" s="4">
        <v>45333</v>
      </c>
      <c r="C1350" t="s">
        <v>2017</v>
      </c>
      <c r="D1350" t="s">
        <v>2023</v>
      </c>
      <c r="E1350" t="s">
        <v>2028</v>
      </c>
      <c r="F1350" t="s">
        <v>2032</v>
      </c>
      <c r="G1350" t="s">
        <v>2034</v>
      </c>
      <c r="H1350" t="s">
        <v>2040</v>
      </c>
      <c r="I1350">
        <v>1</v>
      </c>
      <c r="J1350">
        <v>8</v>
      </c>
      <c r="K1350">
        <v>7</v>
      </c>
      <c r="L1350" t="s">
        <v>2041</v>
      </c>
      <c r="M1350">
        <v>370</v>
      </c>
      <c r="N1350">
        <v>11837</v>
      </c>
      <c r="O1350">
        <v>17927</v>
      </c>
      <c r="P1350" s="13">
        <f t="shared" si="147"/>
        <v>0</v>
      </c>
      <c r="Q1350" t="str">
        <f t="shared" si="148"/>
        <v>No</v>
      </c>
      <c r="R1350" t="str" cm="1">
        <f t="array" ref="R1350">_xlfn.IFS(K1350=0,"On Time",K1350&lt;=2,"Minor",K1350&lt;=5,"Major",K1350&gt;5,"Severe")</f>
        <v>Severe</v>
      </c>
      <c r="S1350">
        <f t="shared" si="149"/>
        <v>2561</v>
      </c>
      <c r="T1350">
        <f t="shared" si="150"/>
        <v>1691</v>
      </c>
      <c r="U1350">
        <f t="shared" si="151"/>
        <v>2024</v>
      </c>
      <c r="V1350">
        <f t="shared" si="152"/>
        <v>2</v>
      </c>
      <c r="W1350" s="11">
        <f t="shared" si="153"/>
        <v>1</v>
      </c>
    </row>
    <row r="1351" spans="1:23">
      <c r="A1351" t="s">
        <v>1364</v>
      </c>
      <c r="B1351" s="4">
        <v>45645</v>
      </c>
      <c r="C1351" t="s">
        <v>2016</v>
      </c>
      <c r="D1351" t="s">
        <v>2021</v>
      </c>
      <c r="E1351" t="s">
        <v>2028</v>
      </c>
      <c r="F1351" t="s">
        <v>2031</v>
      </c>
      <c r="G1351" t="s">
        <v>2037</v>
      </c>
      <c r="H1351" t="s">
        <v>2040</v>
      </c>
      <c r="I1351">
        <v>2</v>
      </c>
      <c r="J1351">
        <v>7</v>
      </c>
      <c r="K1351">
        <v>5</v>
      </c>
      <c r="L1351" t="s">
        <v>2041</v>
      </c>
      <c r="M1351">
        <v>257</v>
      </c>
      <c r="N1351">
        <v>6565</v>
      </c>
      <c r="O1351">
        <v>21220</v>
      </c>
      <c r="P1351" s="13">
        <f t="shared" si="147"/>
        <v>0</v>
      </c>
      <c r="Q1351" t="str">
        <f t="shared" si="148"/>
        <v>No</v>
      </c>
      <c r="R1351" t="str" cm="1">
        <f t="array" ref="R1351">_xlfn.IFS(K1351=0,"On Time",K1351&lt;=2,"Minor",K1351&lt;=5,"Major",K1351&gt;5,"Severe")</f>
        <v>Major</v>
      </c>
      <c r="S1351">
        <f t="shared" si="149"/>
        <v>4244</v>
      </c>
      <c r="T1351">
        <f t="shared" si="150"/>
        <v>1313</v>
      </c>
      <c r="U1351">
        <f t="shared" si="151"/>
        <v>2024</v>
      </c>
      <c r="V1351">
        <f t="shared" si="152"/>
        <v>12</v>
      </c>
      <c r="W1351" s="11">
        <f t="shared" si="153"/>
        <v>1</v>
      </c>
    </row>
    <row r="1352" spans="1:23">
      <c r="A1352" t="s">
        <v>1365</v>
      </c>
      <c r="B1352" s="4">
        <v>45562</v>
      </c>
      <c r="C1352" t="s">
        <v>2016</v>
      </c>
      <c r="D1352" t="s">
        <v>2025</v>
      </c>
      <c r="E1352" t="s">
        <v>2028</v>
      </c>
      <c r="F1352" t="s">
        <v>2031</v>
      </c>
      <c r="G1352" t="s">
        <v>2034</v>
      </c>
      <c r="H1352" t="s">
        <v>2038</v>
      </c>
      <c r="I1352">
        <v>2</v>
      </c>
      <c r="J1352">
        <v>4</v>
      </c>
      <c r="K1352">
        <v>2</v>
      </c>
      <c r="L1352" t="s">
        <v>2041</v>
      </c>
      <c r="M1352">
        <v>205</v>
      </c>
      <c r="N1352">
        <v>4490</v>
      </c>
      <c r="O1352">
        <v>4714</v>
      </c>
      <c r="P1352" s="13">
        <f t="shared" si="147"/>
        <v>0</v>
      </c>
      <c r="Q1352" t="str">
        <f t="shared" si="148"/>
        <v>No</v>
      </c>
      <c r="R1352" t="str" cm="1">
        <f t="array" ref="R1352">_xlfn.IFS(K1352=0,"On Time",K1352&lt;=2,"Minor",K1352&lt;=5,"Major",K1352&gt;5,"Severe")</f>
        <v>Minor</v>
      </c>
      <c r="S1352">
        <f t="shared" si="149"/>
        <v>2357</v>
      </c>
      <c r="T1352">
        <f t="shared" si="150"/>
        <v>2245</v>
      </c>
      <c r="U1352">
        <f t="shared" si="151"/>
        <v>2024</v>
      </c>
      <c r="V1352">
        <f t="shared" si="152"/>
        <v>9</v>
      </c>
      <c r="W1352" s="11">
        <f t="shared" si="153"/>
        <v>1</v>
      </c>
    </row>
    <row r="1353" spans="1:23">
      <c r="A1353" t="s">
        <v>1366</v>
      </c>
      <c r="B1353" s="4">
        <v>45383</v>
      </c>
      <c r="C1353" t="s">
        <v>2017</v>
      </c>
      <c r="D1353" t="s">
        <v>2022</v>
      </c>
      <c r="E1353" t="s">
        <v>2029</v>
      </c>
      <c r="F1353" t="s">
        <v>2030</v>
      </c>
      <c r="G1353" t="s">
        <v>2036</v>
      </c>
      <c r="H1353" t="s">
        <v>2039</v>
      </c>
      <c r="I1353">
        <v>5</v>
      </c>
      <c r="J1353">
        <v>10</v>
      </c>
      <c r="K1353">
        <v>5</v>
      </c>
      <c r="L1353" t="s">
        <v>2041</v>
      </c>
      <c r="M1353">
        <v>230</v>
      </c>
      <c r="N1353">
        <v>7790</v>
      </c>
      <c r="O1353">
        <v>23590</v>
      </c>
      <c r="P1353" s="13">
        <f t="shared" si="147"/>
        <v>0</v>
      </c>
      <c r="Q1353" t="str">
        <f t="shared" si="148"/>
        <v>No</v>
      </c>
      <c r="R1353" t="str" cm="1">
        <f t="array" ref="R1353">_xlfn.IFS(K1353=0,"On Time",K1353&lt;=2,"Minor",K1353&lt;=5,"Major",K1353&gt;5,"Severe")</f>
        <v>Major</v>
      </c>
      <c r="S1353">
        <f t="shared" si="149"/>
        <v>4718</v>
      </c>
      <c r="T1353">
        <f t="shared" si="150"/>
        <v>1558</v>
      </c>
      <c r="U1353">
        <f t="shared" si="151"/>
        <v>2024</v>
      </c>
      <c r="V1353">
        <f t="shared" si="152"/>
        <v>4</v>
      </c>
      <c r="W1353" s="11">
        <f t="shared" si="153"/>
        <v>1</v>
      </c>
    </row>
    <row r="1354" spans="1:23">
      <c r="A1354" t="s">
        <v>1367</v>
      </c>
      <c r="B1354" s="4">
        <v>45459</v>
      </c>
      <c r="C1354" t="s">
        <v>2016</v>
      </c>
      <c r="D1354" t="s">
        <v>2021</v>
      </c>
      <c r="E1354" t="s">
        <v>2028</v>
      </c>
      <c r="F1354" t="s">
        <v>2032</v>
      </c>
      <c r="G1354" t="s">
        <v>2033</v>
      </c>
      <c r="H1354" t="s">
        <v>2038</v>
      </c>
      <c r="I1354">
        <v>1</v>
      </c>
      <c r="J1354">
        <v>3</v>
      </c>
      <c r="K1354">
        <v>2</v>
      </c>
      <c r="L1354" t="s">
        <v>2041</v>
      </c>
      <c r="M1354">
        <v>403</v>
      </c>
      <c r="N1354">
        <v>3832</v>
      </c>
      <c r="O1354">
        <v>3960</v>
      </c>
      <c r="P1354" s="13">
        <f t="shared" si="147"/>
        <v>0</v>
      </c>
      <c r="Q1354" t="str">
        <f t="shared" si="148"/>
        <v>No</v>
      </c>
      <c r="R1354" t="str" cm="1">
        <f t="array" ref="R1354">_xlfn.IFS(K1354=0,"On Time",K1354&lt;=2,"Minor",K1354&lt;=5,"Major",K1354&gt;5,"Severe")</f>
        <v>Minor</v>
      </c>
      <c r="S1354">
        <f t="shared" si="149"/>
        <v>1980</v>
      </c>
      <c r="T1354">
        <f t="shared" si="150"/>
        <v>1916</v>
      </c>
      <c r="U1354">
        <f t="shared" si="151"/>
        <v>2024</v>
      </c>
      <c r="V1354">
        <f t="shared" si="152"/>
        <v>6</v>
      </c>
      <c r="W1354" s="11">
        <f t="shared" si="153"/>
        <v>1</v>
      </c>
    </row>
    <row r="1355" spans="1:23">
      <c r="A1355" t="s">
        <v>1368</v>
      </c>
      <c r="B1355" s="4">
        <v>45349</v>
      </c>
      <c r="C1355" t="s">
        <v>2018</v>
      </c>
      <c r="D1355" t="s">
        <v>2024</v>
      </c>
      <c r="E1355" t="s">
        <v>2027</v>
      </c>
      <c r="F1355" t="s">
        <v>2032</v>
      </c>
      <c r="G1355" t="s">
        <v>2037</v>
      </c>
      <c r="H1355" t="s">
        <v>2038</v>
      </c>
      <c r="I1355">
        <v>2</v>
      </c>
      <c r="J1355">
        <v>4</v>
      </c>
      <c r="K1355">
        <v>2</v>
      </c>
      <c r="L1355" t="s">
        <v>2041</v>
      </c>
      <c r="M1355">
        <v>177</v>
      </c>
      <c r="N1355">
        <v>3412</v>
      </c>
      <c r="O1355">
        <v>4526</v>
      </c>
      <c r="P1355" s="13">
        <f t="shared" si="147"/>
        <v>0</v>
      </c>
      <c r="Q1355" t="str">
        <f t="shared" si="148"/>
        <v>No</v>
      </c>
      <c r="R1355" t="str" cm="1">
        <f t="array" ref="R1355">_xlfn.IFS(K1355=0,"On Time",K1355&lt;=2,"Minor",K1355&lt;=5,"Major",K1355&gt;5,"Severe")</f>
        <v>Minor</v>
      </c>
      <c r="S1355">
        <f t="shared" si="149"/>
        <v>2263</v>
      </c>
      <c r="T1355">
        <f t="shared" si="150"/>
        <v>1706</v>
      </c>
      <c r="U1355">
        <f t="shared" si="151"/>
        <v>2024</v>
      </c>
      <c r="V1355">
        <f t="shared" si="152"/>
        <v>2</v>
      </c>
      <c r="W1355" s="11">
        <f t="shared" si="153"/>
        <v>1</v>
      </c>
    </row>
    <row r="1356" spans="1:23">
      <c r="A1356" t="s">
        <v>1369</v>
      </c>
      <c r="B1356" s="4">
        <v>45594</v>
      </c>
      <c r="C1356" t="s">
        <v>2018</v>
      </c>
      <c r="D1356" t="s">
        <v>2024</v>
      </c>
      <c r="E1356" t="s">
        <v>2029</v>
      </c>
      <c r="F1356" t="s">
        <v>2031</v>
      </c>
      <c r="G1356" t="s">
        <v>2033</v>
      </c>
      <c r="H1356" t="s">
        <v>2040</v>
      </c>
      <c r="I1356">
        <v>1</v>
      </c>
      <c r="J1356">
        <v>5</v>
      </c>
      <c r="K1356">
        <v>4</v>
      </c>
      <c r="L1356" t="s">
        <v>2041</v>
      </c>
      <c r="M1356">
        <v>208</v>
      </c>
      <c r="N1356">
        <v>7924</v>
      </c>
      <c r="O1356">
        <v>9948</v>
      </c>
      <c r="P1356" s="13">
        <f t="shared" si="147"/>
        <v>0</v>
      </c>
      <c r="Q1356" t="str">
        <f t="shared" si="148"/>
        <v>No</v>
      </c>
      <c r="R1356" t="str" cm="1">
        <f t="array" ref="R1356">_xlfn.IFS(K1356=0,"On Time",K1356&lt;=2,"Minor",K1356&lt;=5,"Major",K1356&gt;5,"Severe")</f>
        <v>Major</v>
      </c>
      <c r="S1356">
        <f t="shared" si="149"/>
        <v>2487</v>
      </c>
      <c r="T1356">
        <f t="shared" si="150"/>
        <v>1981</v>
      </c>
      <c r="U1356">
        <f t="shared" si="151"/>
        <v>2024</v>
      </c>
      <c r="V1356">
        <f t="shared" si="152"/>
        <v>10</v>
      </c>
      <c r="W1356" s="11">
        <f t="shared" si="153"/>
        <v>1</v>
      </c>
    </row>
    <row r="1357" spans="1:23">
      <c r="A1357" t="s">
        <v>1370</v>
      </c>
      <c r="B1357" s="4">
        <v>45545</v>
      </c>
      <c r="C1357" t="s">
        <v>2016</v>
      </c>
      <c r="D1357" t="s">
        <v>2025</v>
      </c>
      <c r="E1357" t="s">
        <v>2027</v>
      </c>
      <c r="F1357" t="s">
        <v>2030</v>
      </c>
      <c r="G1357" t="s">
        <v>2034</v>
      </c>
      <c r="H1357" t="s">
        <v>2040</v>
      </c>
      <c r="I1357">
        <v>1</v>
      </c>
      <c r="J1357">
        <v>6</v>
      </c>
      <c r="K1357">
        <v>5</v>
      </c>
      <c r="L1357" t="s">
        <v>2041</v>
      </c>
      <c r="M1357">
        <v>261</v>
      </c>
      <c r="N1357">
        <v>9370</v>
      </c>
      <c r="O1357">
        <v>18000</v>
      </c>
      <c r="P1357" s="13">
        <f t="shared" si="147"/>
        <v>0</v>
      </c>
      <c r="Q1357" t="str">
        <f t="shared" si="148"/>
        <v>No</v>
      </c>
      <c r="R1357" t="str" cm="1">
        <f t="array" ref="R1357">_xlfn.IFS(K1357=0,"On Time",K1357&lt;=2,"Minor",K1357&lt;=5,"Major",K1357&gt;5,"Severe")</f>
        <v>Major</v>
      </c>
      <c r="S1357">
        <f t="shared" si="149"/>
        <v>3600</v>
      </c>
      <c r="T1357">
        <f t="shared" si="150"/>
        <v>1874</v>
      </c>
      <c r="U1357">
        <f t="shared" si="151"/>
        <v>2024</v>
      </c>
      <c r="V1357">
        <f t="shared" si="152"/>
        <v>9</v>
      </c>
      <c r="W1357" s="11">
        <f t="shared" si="153"/>
        <v>1</v>
      </c>
    </row>
    <row r="1358" spans="1:23">
      <c r="A1358" t="s">
        <v>1371</v>
      </c>
      <c r="B1358" s="4">
        <v>45517</v>
      </c>
      <c r="C1358" t="s">
        <v>2017</v>
      </c>
      <c r="D1358" t="s">
        <v>2022</v>
      </c>
      <c r="E1358" t="s">
        <v>2027</v>
      </c>
      <c r="F1358" t="s">
        <v>2030</v>
      </c>
      <c r="G1358" t="s">
        <v>2033</v>
      </c>
      <c r="H1358" t="s">
        <v>2040</v>
      </c>
      <c r="I1358">
        <v>1</v>
      </c>
      <c r="J1358">
        <v>6</v>
      </c>
      <c r="K1358">
        <v>5</v>
      </c>
      <c r="L1358" t="s">
        <v>2041</v>
      </c>
      <c r="M1358">
        <v>470</v>
      </c>
      <c r="N1358">
        <v>12135</v>
      </c>
      <c r="O1358">
        <v>12715</v>
      </c>
      <c r="P1358" s="13">
        <f t="shared" si="147"/>
        <v>0</v>
      </c>
      <c r="Q1358" t="str">
        <f t="shared" si="148"/>
        <v>No</v>
      </c>
      <c r="R1358" t="str" cm="1">
        <f t="array" ref="R1358">_xlfn.IFS(K1358=0,"On Time",K1358&lt;=2,"Minor",K1358&lt;=5,"Major",K1358&gt;5,"Severe")</f>
        <v>Major</v>
      </c>
      <c r="S1358">
        <f t="shared" si="149"/>
        <v>2543</v>
      </c>
      <c r="T1358">
        <f t="shared" si="150"/>
        <v>2427</v>
      </c>
      <c r="U1358">
        <f t="shared" si="151"/>
        <v>2024</v>
      </c>
      <c r="V1358">
        <f t="shared" si="152"/>
        <v>8</v>
      </c>
      <c r="W1358" s="11">
        <f t="shared" si="153"/>
        <v>1</v>
      </c>
    </row>
    <row r="1359" spans="1:23">
      <c r="A1359" t="s">
        <v>1372</v>
      </c>
      <c r="B1359" s="4">
        <v>45493</v>
      </c>
      <c r="C1359" t="s">
        <v>2016</v>
      </c>
      <c r="D1359" t="s">
        <v>2025</v>
      </c>
      <c r="E1359" t="s">
        <v>2027</v>
      </c>
      <c r="F1359" t="s">
        <v>2030</v>
      </c>
      <c r="G1359" t="s">
        <v>2036</v>
      </c>
      <c r="H1359" t="s">
        <v>2040</v>
      </c>
      <c r="I1359">
        <v>5</v>
      </c>
      <c r="J1359">
        <v>10</v>
      </c>
      <c r="K1359">
        <v>5</v>
      </c>
      <c r="L1359" t="s">
        <v>2041</v>
      </c>
      <c r="M1359">
        <v>436</v>
      </c>
      <c r="N1359">
        <v>6580</v>
      </c>
      <c r="O1359">
        <v>13205</v>
      </c>
      <c r="P1359" s="13">
        <f t="shared" si="147"/>
        <v>0</v>
      </c>
      <c r="Q1359" t="str">
        <f t="shared" si="148"/>
        <v>No</v>
      </c>
      <c r="R1359" t="str" cm="1">
        <f t="array" ref="R1359">_xlfn.IFS(K1359=0,"On Time",K1359&lt;=2,"Minor",K1359&lt;=5,"Major",K1359&gt;5,"Severe")</f>
        <v>Major</v>
      </c>
      <c r="S1359">
        <f t="shared" si="149"/>
        <v>2641</v>
      </c>
      <c r="T1359">
        <f t="shared" si="150"/>
        <v>1316</v>
      </c>
      <c r="U1359">
        <f t="shared" si="151"/>
        <v>2024</v>
      </c>
      <c r="V1359">
        <f t="shared" si="152"/>
        <v>7</v>
      </c>
      <c r="W1359" s="11">
        <f t="shared" si="153"/>
        <v>1</v>
      </c>
    </row>
    <row r="1360" spans="1:23">
      <c r="A1360" t="s">
        <v>1373</v>
      </c>
      <c r="B1360" s="4">
        <v>45581</v>
      </c>
      <c r="C1360" t="s">
        <v>2017</v>
      </c>
      <c r="D1360" t="s">
        <v>2023</v>
      </c>
      <c r="E1360" t="s">
        <v>2027</v>
      </c>
      <c r="F1360" t="s">
        <v>2030</v>
      </c>
      <c r="G1360" t="s">
        <v>2034</v>
      </c>
      <c r="H1360" t="s">
        <v>2038</v>
      </c>
      <c r="I1360">
        <v>2</v>
      </c>
      <c r="J1360">
        <v>5</v>
      </c>
      <c r="K1360">
        <v>3</v>
      </c>
      <c r="L1360" t="s">
        <v>2041</v>
      </c>
      <c r="M1360">
        <v>373</v>
      </c>
      <c r="N1360">
        <v>5478</v>
      </c>
      <c r="O1360">
        <v>11097</v>
      </c>
      <c r="P1360" s="13">
        <f t="shared" si="147"/>
        <v>0</v>
      </c>
      <c r="Q1360" t="str">
        <f t="shared" si="148"/>
        <v>No</v>
      </c>
      <c r="R1360" t="str" cm="1">
        <f t="array" ref="R1360">_xlfn.IFS(K1360=0,"On Time",K1360&lt;=2,"Minor",K1360&lt;=5,"Major",K1360&gt;5,"Severe")</f>
        <v>Major</v>
      </c>
      <c r="S1360">
        <f t="shared" si="149"/>
        <v>3699</v>
      </c>
      <c r="T1360">
        <f t="shared" si="150"/>
        <v>1826</v>
      </c>
      <c r="U1360">
        <f t="shared" si="151"/>
        <v>2024</v>
      </c>
      <c r="V1360">
        <f t="shared" si="152"/>
        <v>10</v>
      </c>
      <c r="W1360" s="11">
        <f t="shared" si="153"/>
        <v>1</v>
      </c>
    </row>
    <row r="1361" spans="1:23">
      <c r="A1361" t="s">
        <v>1374</v>
      </c>
      <c r="B1361" s="4">
        <v>45608</v>
      </c>
      <c r="C1361" t="s">
        <v>2015</v>
      </c>
      <c r="D1361" t="s">
        <v>2020</v>
      </c>
      <c r="E1361" t="s">
        <v>2029</v>
      </c>
      <c r="F1361" t="s">
        <v>2030</v>
      </c>
      <c r="G1361" t="s">
        <v>2037</v>
      </c>
      <c r="H1361" t="s">
        <v>2038</v>
      </c>
      <c r="I1361">
        <v>3</v>
      </c>
      <c r="J1361">
        <v>6</v>
      </c>
      <c r="K1361">
        <v>3</v>
      </c>
      <c r="L1361" t="s">
        <v>2041</v>
      </c>
      <c r="M1361">
        <v>266</v>
      </c>
      <c r="N1361">
        <v>5664</v>
      </c>
      <c r="O1361">
        <v>6774</v>
      </c>
      <c r="P1361" s="13">
        <f t="shared" si="147"/>
        <v>0</v>
      </c>
      <c r="Q1361" t="str">
        <f t="shared" si="148"/>
        <v>No</v>
      </c>
      <c r="R1361" t="str" cm="1">
        <f t="array" ref="R1361">_xlfn.IFS(K1361=0,"On Time",K1361&lt;=2,"Minor",K1361&lt;=5,"Major",K1361&gt;5,"Severe")</f>
        <v>Major</v>
      </c>
      <c r="S1361">
        <f t="shared" si="149"/>
        <v>2258</v>
      </c>
      <c r="T1361">
        <f t="shared" si="150"/>
        <v>1888</v>
      </c>
      <c r="U1361">
        <f t="shared" si="151"/>
        <v>2024</v>
      </c>
      <c r="V1361">
        <f t="shared" si="152"/>
        <v>11</v>
      </c>
      <c r="W1361" s="11">
        <f t="shared" si="153"/>
        <v>1</v>
      </c>
    </row>
    <row r="1362" spans="1:23">
      <c r="A1362" t="s">
        <v>1375</v>
      </c>
      <c r="B1362" s="4">
        <v>45413</v>
      </c>
      <c r="C1362" t="s">
        <v>2018</v>
      </c>
      <c r="D1362" t="s">
        <v>2026</v>
      </c>
      <c r="E1362" t="s">
        <v>2027</v>
      </c>
      <c r="F1362" t="s">
        <v>2031</v>
      </c>
      <c r="G1362" t="s">
        <v>2037</v>
      </c>
      <c r="H1362" t="s">
        <v>2039</v>
      </c>
      <c r="I1362">
        <v>3</v>
      </c>
      <c r="J1362">
        <v>6</v>
      </c>
      <c r="K1362">
        <v>3</v>
      </c>
      <c r="L1362" t="s">
        <v>2041</v>
      </c>
      <c r="M1362">
        <v>447</v>
      </c>
      <c r="N1362">
        <v>5616</v>
      </c>
      <c r="O1362">
        <v>5700</v>
      </c>
      <c r="P1362" s="13">
        <f t="shared" si="147"/>
        <v>0</v>
      </c>
      <c r="Q1362" t="str">
        <f t="shared" si="148"/>
        <v>No</v>
      </c>
      <c r="R1362" t="str" cm="1">
        <f t="array" ref="R1362">_xlfn.IFS(K1362=0,"On Time",K1362&lt;=2,"Minor",K1362&lt;=5,"Major",K1362&gt;5,"Severe")</f>
        <v>Major</v>
      </c>
      <c r="S1362">
        <f t="shared" si="149"/>
        <v>1900</v>
      </c>
      <c r="T1362">
        <f t="shared" si="150"/>
        <v>1872</v>
      </c>
      <c r="U1362">
        <f t="shared" si="151"/>
        <v>2024</v>
      </c>
      <c r="V1362">
        <f t="shared" si="152"/>
        <v>5</v>
      </c>
      <c r="W1362" s="11">
        <f t="shared" si="153"/>
        <v>1</v>
      </c>
    </row>
    <row r="1363" spans="1:23">
      <c r="A1363" t="s">
        <v>1376</v>
      </c>
      <c r="B1363" s="4">
        <v>45314</v>
      </c>
      <c r="C1363" t="s">
        <v>2017</v>
      </c>
      <c r="D1363" t="s">
        <v>2023</v>
      </c>
      <c r="E1363" t="s">
        <v>2027</v>
      </c>
      <c r="F1363" t="s">
        <v>2030</v>
      </c>
      <c r="G1363" t="s">
        <v>2035</v>
      </c>
      <c r="H1363" t="s">
        <v>2038</v>
      </c>
      <c r="I1363">
        <v>2</v>
      </c>
      <c r="J1363">
        <v>7</v>
      </c>
      <c r="K1363">
        <v>5</v>
      </c>
      <c r="L1363" t="s">
        <v>2041</v>
      </c>
      <c r="M1363">
        <v>353</v>
      </c>
      <c r="N1363">
        <v>8100</v>
      </c>
      <c r="O1363">
        <v>24600</v>
      </c>
      <c r="P1363" s="13">
        <f t="shared" si="147"/>
        <v>0</v>
      </c>
      <c r="Q1363" t="str">
        <f t="shared" si="148"/>
        <v>No</v>
      </c>
      <c r="R1363" t="str" cm="1">
        <f t="array" ref="R1363">_xlfn.IFS(K1363=0,"On Time",K1363&lt;=2,"Minor",K1363&lt;=5,"Major",K1363&gt;5,"Severe")</f>
        <v>Major</v>
      </c>
      <c r="S1363">
        <f t="shared" si="149"/>
        <v>4920</v>
      </c>
      <c r="T1363">
        <f t="shared" si="150"/>
        <v>1620</v>
      </c>
      <c r="U1363">
        <f t="shared" si="151"/>
        <v>2024</v>
      </c>
      <c r="V1363">
        <f t="shared" si="152"/>
        <v>1</v>
      </c>
      <c r="W1363" s="11">
        <f t="shared" si="153"/>
        <v>1</v>
      </c>
    </row>
    <row r="1364" spans="1:23">
      <c r="A1364" t="s">
        <v>1377</v>
      </c>
      <c r="B1364" s="4">
        <v>45329</v>
      </c>
      <c r="C1364" t="s">
        <v>2018</v>
      </c>
      <c r="D1364" t="s">
        <v>2026</v>
      </c>
      <c r="E1364" t="s">
        <v>2029</v>
      </c>
      <c r="F1364" t="s">
        <v>2030</v>
      </c>
      <c r="G1364" t="s">
        <v>2034</v>
      </c>
      <c r="H1364" t="s">
        <v>2039</v>
      </c>
      <c r="I1364">
        <v>5</v>
      </c>
      <c r="J1364">
        <v>5</v>
      </c>
      <c r="K1364">
        <v>0</v>
      </c>
      <c r="L1364" t="s">
        <v>2042</v>
      </c>
      <c r="M1364">
        <v>421</v>
      </c>
      <c r="N1364">
        <v>0</v>
      </c>
      <c r="O1364">
        <v>0</v>
      </c>
      <c r="P1364" s="13">
        <f t="shared" si="147"/>
        <v>1</v>
      </c>
      <c r="Q1364" t="str">
        <f t="shared" si="148"/>
        <v>No</v>
      </c>
      <c r="R1364" t="str" cm="1">
        <f t="array" ref="R1364">_xlfn.IFS(K1364=0,"On Time",K1364&lt;=2,"Minor",K1364&lt;=5,"Major",K1364&gt;5,"Severe")</f>
        <v>On Time</v>
      </c>
      <c r="S1364">
        <f t="shared" si="149"/>
        <v>0</v>
      </c>
      <c r="T1364">
        <f t="shared" si="150"/>
        <v>0</v>
      </c>
      <c r="U1364">
        <f t="shared" si="151"/>
        <v>2024</v>
      </c>
      <c r="V1364">
        <f t="shared" si="152"/>
        <v>2</v>
      </c>
      <c r="W1364" s="11">
        <f t="shared" si="153"/>
        <v>0</v>
      </c>
    </row>
    <row r="1365" spans="1:23">
      <c r="A1365" t="s">
        <v>1378</v>
      </c>
      <c r="B1365" s="4">
        <v>45486</v>
      </c>
      <c r="C1365" t="s">
        <v>2018</v>
      </c>
      <c r="D1365" t="s">
        <v>2026</v>
      </c>
      <c r="E1365" t="s">
        <v>2028</v>
      </c>
      <c r="F1365" t="s">
        <v>2032</v>
      </c>
      <c r="G1365" t="s">
        <v>2037</v>
      </c>
      <c r="H1365" t="s">
        <v>2040</v>
      </c>
      <c r="I1365">
        <v>2</v>
      </c>
      <c r="J1365">
        <v>8</v>
      </c>
      <c r="K1365">
        <v>6</v>
      </c>
      <c r="L1365" t="s">
        <v>2041</v>
      </c>
      <c r="M1365">
        <v>257</v>
      </c>
      <c r="N1365">
        <v>6138</v>
      </c>
      <c r="O1365">
        <v>24792</v>
      </c>
      <c r="P1365" s="13">
        <f t="shared" si="147"/>
        <v>0</v>
      </c>
      <c r="Q1365" t="str">
        <f t="shared" si="148"/>
        <v>No</v>
      </c>
      <c r="R1365" t="str" cm="1">
        <f t="array" ref="R1365">_xlfn.IFS(K1365=0,"On Time",K1365&lt;=2,"Minor",K1365&lt;=5,"Major",K1365&gt;5,"Severe")</f>
        <v>Severe</v>
      </c>
      <c r="S1365">
        <f t="shared" si="149"/>
        <v>4132</v>
      </c>
      <c r="T1365">
        <f t="shared" si="150"/>
        <v>1023</v>
      </c>
      <c r="U1365">
        <f t="shared" si="151"/>
        <v>2024</v>
      </c>
      <c r="V1365">
        <f t="shared" si="152"/>
        <v>7</v>
      </c>
      <c r="W1365" s="11">
        <f t="shared" si="153"/>
        <v>1</v>
      </c>
    </row>
    <row r="1366" spans="1:23">
      <c r="A1366" t="s">
        <v>1379</v>
      </c>
      <c r="B1366" s="4">
        <v>45371</v>
      </c>
      <c r="C1366" t="s">
        <v>2016</v>
      </c>
      <c r="D1366" t="s">
        <v>2021</v>
      </c>
      <c r="E1366" t="s">
        <v>2029</v>
      </c>
      <c r="F1366" t="s">
        <v>2032</v>
      </c>
      <c r="G1366" t="s">
        <v>2034</v>
      </c>
      <c r="H1366" t="s">
        <v>2039</v>
      </c>
      <c r="I1366">
        <v>2</v>
      </c>
      <c r="J1366">
        <v>8</v>
      </c>
      <c r="K1366">
        <v>6</v>
      </c>
      <c r="L1366" t="s">
        <v>2041</v>
      </c>
      <c r="M1366">
        <v>321</v>
      </c>
      <c r="N1366">
        <v>10470</v>
      </c>
      <c r="O1366">
        <v>23496</v>
      </c>
      <c r="P1366" s="13">
        <f t="shared" si="147"/>
        <v>0</v>
      </c>
      <c r="Q1366" t="str">
        <f t="shared" si="148"/>
        <v>No</v>
      </c>
      <c r="R1366" t="str" cm="1">
        <f t="array" ref="R1366">_xlfn.IFS(K1366=0,"On Time",K1366&lt;=2,"Minor",K1366&lt;=5,"Major",K1366&gt;5,"Severe")</f>
        <v>Severe</v>
      </c>
      <c r="S1366">
        <f t="shared" si="149"/>
        <v>3916</v>
      </c>
      <c r="T1366">
        <f t="shared" si="150"/>
        <v>1745</v>
      </c>
      <c r="U1366">
        <f t="shared" si="151"/>
        <v>2024</v>
      </c>
      <c r="V1366">
        <f t="shared" si="152"/>
        <v>3</v>
      </c>
      <c r="W1366" s="11">
        <f t="shared" si="153"/>
        <v>1</v>
      </c>
    </row>
    <row r="1367" spans="1:23">
      <c r="A1367" t="s">
        <v>1380</v>
      </c>
      <c r="B1367" s="4">
        <v>45639</v>
      </c>
      <c r="C1367" t="s">
        <v>2016</v>
      </c>
      <c r="D1367" t="s">
        <v>2021</v>
      </c>
      <c r="E1367" t="s">
        <v>2027</v>
      </c>
      <c r="F1367" t="s">
        <v>2032</v>
      </c>
      <c r="G1367" t="s">
        <v>2033</v>
      </c>
      <c r="H1367" t="s">
        <v>2039</v>
      </c>
      <c r="I1367">
        <v>3</v>
      </c>
      <c r="J1367">
        <v>10</v>
      </c>
      <c r="K1367">
        <v>7</v>
      </c>
      <c r="L1367" t="s">
        <v>2041</v>
      </c>
      <c r="M1367">
        <v>227</v>
      </c>
      <c r="N1367">
        <v>16660</v>
      </c>
      <c r="O1367">
        <v>23842</v>
      </c>
      <c r="P1367" s="13">
        <f t="shared" si="147"/>
        <v>0</v>
      </c>
      <c r="Q1367" t="str">
        <f t="shared" si="148"/>
        <v>No</v>
      </c>
      <c r="R1367" t="str" cm="1">
        <f t="array" ref="R1367">_xlfn.IFS(K1367=0,"On Time",K1367&lt;=2,"Minor",K1367&lt;=5,"Major",K1367&gt;5,"Severe")</f>
        <v>Severe</v>
      </c>
      <c r="S1367">
        <f t="shared" si="149"/>
        <v>3406</v>
      </c>
      <c r="T1367">
        <f t="shared" si="150"/>
        <v>2380</v>
      </c>
      <c r="U1367">
        <f t="shared" si="151"/>
        <v>2024</v>
      </c>
      <c r="V1367">
        <f t="shared" si="152"/>
        <v>12</v>
      </c>
      <c r="W1367" s="11">
        <f t="shared" si="153"/>
        <v>1</v>
      </c>
    </row>
    <row r="1368" spans="1:23">
      <c r="A1368" t="s">
        <v>1381</v>
      </c>
      <c r="B1368" s="4">
        <v>45548</v>
      </c>
      <c r="C1368" t="s">
        <v>2016</v>
      </c>
      <c r="D1368" t="s">
        <v>2025</v>
      </c>
      <c r="E1368" t="s">
        <v>2028</v>
      </c>
      <c r="F1368" t="s">
        <v>2031</v>
      </c>
      <c r="G1368" t="s">
        <v>2035</v>
      </c>
      <c r="H1368" t="s">
        <v>2038</v>
      </c>
      <c r="I1368">
        <v>2</v>
      </c>
      <c r="J1368">
        <v>2</v>
      </c>
      <c r="K1368">
        <v>0</v>
      </c>
      <c r="L1368" t="s">
        <v>2042</v>
      </c>
      <c r="M1368">
        <v>428</v>
      </c>
      <c r="N1368">
        <v>0</v>
      </c>
      <c r="O1368">
        <v>0</v>
      </c>
      <c r="P1368" s="13">
        <f t="shared" si="147"/>
        <v>1</v>
      </c>
      <c r="Q1368" t="str">
        <f t="shared" si="148"/>
        <v>No</v>
      </c>
      <c r="R1368" t="str" cm="1">
        <f t="array" ref="R1368">_xlfn.IFS(K1368=0,"On Time",K1368&lt;=2,"Minor",K1368&lt;=5,"Major",K1368&gt;5,"Severe")</f>
        <v>On Time</v>
      </c>
      <c r="S1368">
        <f t="shared" si="149"/>
        <v>0</v>
      </c>
      <c r="T1368">
        <f t="shared" si="150"/>
        <v>0</v>
      </c>
      <c r="U1368">
        <f t="shared" si="151"/>
        <v>2024</v>
      </c>
      <c r="V1368">
        <f t="shared" si="152"/>
        <v>9</v>
      </c>
      <c r="W1368" s="11">
        <f t="shared" si="153"/>
        <v>0</v>
      </c>
    </row>
    <row r="1369" spans="1:23">
      <c r="A1369" t="s">
        <v>1382</v>
      </c>
      <c r="B1369" s="4">
        <v>45372</v>
      </c>
      <c r="C1369" t="s">
        <v>2016</v>
      </c>
      <c r="D1369" t="s">
        <v>2021</v>
      </c>
      <c r="E1369" t="s">
        <v>2029</v>
      </c>
      <c r="F1369" t="s">
        <v>2030</v>
      </c>
      <c r="G1369" t="s">
        <v>2035</v>
      </c>
      <c r="H1369" t="s">
        <v>2039</v>
      </c>
      <c r="I1369">
        <v>1</v>
      </c>
      <c r="J1369">
        <v>4</v>
      </c>
      <c r="K1369">
        <v>3</v>
      </c>
      <c r="L1369" t="s">
        <v>2041</v>
      </c>
      <c r="M1369">
        <v>176</v>
      </c>
      <c r="N1369">
        <v>2748</v>
      </c>
      <c r="O1369">
        <v>6435</v>
      </c>
      <c r="P1369" s="13">
        <f t="shared" si="147"/>
        <v>0</v>
      </c>
      <c r="Q1369" t="str">
        <f t="shared" si="148"/>
        <v>No</v>
      </c>
      <c r="R1369" t="str" cm="1">
        <f t="array" ref="R1369">_xlfn.IFS(K1369=0,"On Time",K1369&lt;=2,"Minor",K1369&lt;=5,"Major",K1369&gt;5,"Severe")</f>
        <v>Major</v>
      </c>
      <c r="S1369">
        <f t="shared" si="149"/>
        <v>2145</v>
      </c>
      <c r="T1369">
        <f t="shared" si="150"/>
        <v>916</v>
      </c>
      <c r="U1369">
        <f t="shared" si="151"/>
        <v>2024</v>
      </c>
      <c r="V1369">
        <f t="shared" si="152"/>
        <v>3</v>
      </c>
      <c r="W1369" s="11">
        <f t="shared" si="153"/>
        <v>1</v>
      </c>
    </row>
    <row r="1370" spans="1:23">
      <c r="A1370" t="s">
        <v>1383</v>
      </c>
      <c r="B1370" s="4">
        <v>45591</v>
      </c>
      <c r="C1370" t="s">
        <v>2018</v>
      </c>
      <c r="D1370" t="s">
        <v>2024</v>
      </c>
      <c r="E1370" t="s">
        <v>2027</v>
      </c>
      <c r="F1370" t="s">
        <v>2031</v>
      </c>
      <c r="G1370" t="s">
        <v>2037</v>
      </c>
      <c r="H1370" t="s">
        <v>2039</v>
      </c>
      <c r="I1370">
        <v>2</v>
      </c>
      <c r="J1370">
        <v>3</v>
      </c>
      <c r="K1370">
        <v>1</v>
      </c>
      <c r="L1370" t="s">
        <v>2041</v>
      </c>
      <c r="M1370">
        <v>189</v>
      </c>
      <c r="N1370">
        <v>2298</v>
      </c>
      <c r="O1370">
        <v>2939</v>
      </c>
      <c r="P1370" s="13">
        <f t="shared" si="147"/>
        <v>0</v>
      </c>
      <c r="Q1370" t="str">
        <f t="shared" si="148"/>
        <v>No</v>
      </c>
      <c r="R1370" t="str" cm="1">
        <f t="array" ref="R1370">_xlfn.IFS(K1370=0,"On Time",K1370&lt;=2,"Minor",K1370&lt;=5,"Major",K1370&gt;5,"Severe")</f>
        <v>Minor</v>
      </c>
      <c r="S1370">
        <f t="shared" si="149"/>
        <v>2939</v>
      </c>
      <c r="T1370">
        <f t="shared" si="150"/>
        <v>2298</v>
      </c>
      <c r="U1370">
        <f t="shared" si="151"/>
        <v>2024</v>
      </c>
      <c r="V1370">
        <f t="shared" si="152"/>
        <v>10</v>
      </c>
      <c r="W1370" s="11">
        <f t="shared" si="153"/>
        <v>1</v>
      </c>
    </row>
    <row r="1371" spans="1:23">
      <c r="A1371" t="s">
        <v>1384</v>
      </c>
      <c r="B1371" s="4">
        <v>45455</v>
      </c>
      <c r="C1371" t="s">
        <v>2015</v>
      </c>
      <c r="D1371" t="s">
        <v>2020</v>
      </c>
      <c r="E1371" t="s">
        <v>2029</v>
      </c>
      <c r="F1371" t="s">
        <v>2031</v>
      </c>
      <c r="G1371" t="s">
        <v>2035</v>
      </c>
      <c r="H1371" t="s">
        <v>2039</v>
      </c>
      <c r="I1371">
        <v>1</v>
      </c>
      <c r="J1371">
        <v>4</v>
      </c>
      <c r="K1371">
        <v>3</v>
      </c>
      <c r="L1371" t="s">
        <v>2041</v>
      </c>
      <c r="M1371">
        <v>408</v>
      </c>
      <c r="N1371">
        <v>3117</v>
      </c>
      <c r="O1371">
        <v>14067</v>
      </c>
      <c r="P1371" s="13">
        <f t="shared" si="147"/>
        <v>0</v>
      </c>
      <c r="Q1371" t="str">
        <f t="shared" si="148"/>
        <v>No</v>
      </c>
      <c r="R1371" t="str" cm="1">
        <f t="array" ref="R1371">_xlfn.IFS(K1371=0,"On Time",K1371&lt;=2,"Minor",K1371&lt;=5,"Major",K1371&gt;5,"Severe")</f>
        <v>Major</v>
      </c>
      <c r="S1371">
        <f t="shared" si="149"/>
        <v>4689</v>
      </c>
      <c r="T1371">
        <f t="shared" si="150"/>
        <v>1039</v>
      </c>
      <c r="U1371">
        <f t="shared" si="151"/>
        <v>2024</v>
      </c>
      <c r="V1371">
        <f t="shared" si="152"/>
        <v>6</v>
      </c>
      <c r="W1371" s="11">
        <f t="shared" si="153"/>
        <v>1</v>
      </c>
    </row>
    <row r="1372" spans="1:23">
      <c r="A1372" t="s">
        <v>1385</v>
      </c>
      <c r="B1372" s="4">
        <v>45595</v>
      </c>
      <c r="C1372" t="s">
        <v>2018</v>
      </c>
      <c r="D1372" t="s">
        <v>2024</v>
      </c>
      <c r="E1372" t="s">
        <v>2029</v>
      </c>
      <c r="F1372" t="s">
        <v>2031</v>
      </c>
      <c r="G1372" t="s">
        <v>2036</v>
      </c>
      <c r="H1372" t="s">
        <v>2039</v>
      </c>
      <c r="I1372">
        <v>3</v>
      </c>
      <c r="J1372">
        <v>5</v>
      </c>
      <c r="K1372">
        <v>2</v>
      </c>
      <c r="L1372" t="s">
        <v>2041</v>
      </c>
      <c r="M1372">
        <v>330</v>
      </c>
      <c r="N1372">
        <v>4832</v>
      </c>
      <c r="O1372">
        <v>5362</v>
      </c>
      <c r="P1372" s="13">
        <f t="shared" si="147"/>
        <v>0</v>
      </c>
      <c r="Q1372" t="str">
        <f t="shared" si="148"/>
        <v>No</v>
      </c>
      <c r="R1372" t="str" cm="1">
        <f t="array" ref="R1372">_xlfn.IFS(K1372=0,"On Time",K1372&lt;=2,"Minor",K1372&lt;=5,"Major",K1372&gt;5,"Severe")</f>
        <v>Minor</v>
      </c>
      <c r="S1372">
        <f t="shared" si="149"/>
        <v>2681</v>
      </c>
      <c r="T1372">
        <f t="shared" si="150"/>
        <v>2416</v>
      </c>
      <c r="U1372">
        <f t="shared" si="151"/>
        <v>2024</v>
      </c>
      <c r="V1372">
        <f t="shared" si="152"/>
        <v>10</v>
      </c>
      <c r="W1372" s="11">
        <f t="shared" si="153"/>
        <v>1</v>
      </c>
    </row>
    <row r="1373" spans="1:23">
      <c r="A1373" t="s">
        <v>1386</v>
      </c>
      <c r="B1373" s="4">
        <v>45483</v>
      </c>
      <c r="C1373" t="s">
        <v>2016</v>
      </c>
      <c r="D1373" t="s">
        <v>2025</v>
      </c>
      <c r="E1373" t="s">
        <v>2029</v>
      </c>
      <c r="F1373" t="s">
        <v>2030</v>
      </c>
      <c r="G1373" t="s">
        <v>2033</v>
      </c>
      <c r="H1373" t="s">
        <v>2039</v>
      </c>
      <c r="I1373">
        <v>2</v>
      </c>
      <c r="J1373">
        <v>3</v>
      </c>
      <c r="K1373">
        <v>1</v>
      </c>
      <c r="L1373" t="s">
        <v>2041</v>
      </c>
      <c r="M1373">
        <v>405</v>
      </c>
      <c r="N1373">
        <v>863</v>
      </c>
      <c r="O1373">
        <v>3730</v>
      </c>
      <c r="P1373" s="13">
        <f t="shared" si="147"/>
        <v>0</v>
      </c>
      <c r="Q1373" t="str">
        <f t="shared" si="148"/>
        <v>No</v>
      </c>
      <c r="R1373" t="str" cm="1">
        <f t="array" ref="R1373">_xlfn.IFS(K1373=0,"On Time",K1373&lt;=2,"Minor",K1373&lt;=5,"Major",K1373&gt;5,"Severe")</f>
        <v>Minor</v>
      </c>
      <c r="S1373">
        <f t="shared" si="149"/>
        <v>3730</v>
      </c>
      <c r="T1373">
        <f t="shared" si="150"/>
        <v>863</v>
      </c>
      <c r="U1373">
        <f t="shared" si="151"/>
        <v>2024</v>
      </c>
      <c r="V1373">
        <f t="shared" si="152"/>
        <v>7</v>
      </c>
      <c r="W1373" s="11">
        <f t="shared" si="153"/>
        <v>1</v>
      </c>
    </row>
    <row r="1374" spans="1:23">
      <c r="A1374" t="s">
        <v>1387</v>
      </c>
      <c r="B1374" s="4">
        <v>45497</v>
      </c>
      <c r="C1374" t="s">
        <v>2018</v>
      </c>
      <c r="D1374" t="s">
        <v>2026</v>
      </c>
      <c r="E1374" t="s">
        <v>2029</v>
      </c>
      <c r="F1374" t="s">
        <v>2031</v>
      </c>
      <c r="G1374" t="s">
        <v>2035</v>
      </c>
      <c r="H1374" t="s">
        <v>2039</v>
      </c>
      <c r="I1374">
        <v>2</v>
      </c>
      <c r="J1374">
        <v>4</v>
      </c>
      <c r="K1374">
        <v>2</v>
      </c>
      <c r="L1374" t="s">
        <v>2041</v>
      </c>
      <c r="M1374">
        <v>201</v>
      </c>
      <c r="N1374">
        <v>2818</v>
      </c>
      <c r="O1374">
        <v>6044</v>
      </c>
      <c r="P1374" s="13">
        <f t="shared" si="147"/>
        <v>0</v>
      </c>
      <c r="Q1374" t="str">
        <f t="shared" si="148"/>
        <v>No</v>
      </c>
      <c r="R1374" t="str" cm="1">
        <f t="array" ref="R1374">_xlfn.IFS(K1374=0,"On Time",K1374&lt;=2,"Minor",K1374&lt;=5,"Major",K1374&gt;5,"Severe")</f>
        <v>Minor</v>
      </c>
      <c r="S1374">
        <f t="shared" si="149"/>
        <v>3022</v>
      </c>
      <c r="T1374">
        <f t="shared" si="150"/>
        <v>1409</v>
      </c>
      <c r="U1374">
        <f t="shared" si="151"/>
        <v>2024</v>
      </c>
      <c r="V1374">
        <f t="shared" si="152"/>
        <v>7</v>
      </c>
      <c r="W1374" s="11">
        <f t="shared" si="153"/>
        <v>1</v>
      </c>
    </row>
    <row r="1375" spans="1:23">
      <c r="A1375" t="s">
        <v>1388</v>
      </c>
      <c r="B1375" s="4">
        <v>45588</v>
      </c>
      <c r="C1375" t="s">
        <v>2016</v>
      </c>
      <c r="D1375" t="s">
        <v>2025</v>
      </c>
      <c r="E1375" t="s">
        <v>2029</v>
      </c>
      <c r="F1375" t="s">
        <v>2031</v>
      </c>
      <c r="G1375" t="s">
        <v>2036</v>
      </c>
      <c r="H1375" t="s">
        <v>2039</v>
      </c>
      <c r="I1375">
        <v>2</v>
      </c>
      <c r="J1375">
        <v>6</v>
      </c>
      <c r="K1375">
        <v>4</v>
      </c>
      <c r="L1375" t="s">
        <v>2041</v>
      </c>
      <c r="M1375">
        <v>271</v>
      </c>
      <c r="N1375">
        <v>6564</v>
      </c>
      <c r="O1375">
        <v>7256</v>
      </c>
      <c r="P1375" s="13">
        <f t="shared" si="147"/>
        <v>0</v>
      </c>
      <c r="Q1375" t="str">
        <f t="shared" si="148"/>
        <v>No</v>
      </c>
      <c r="R1375" t="str" cm="1">
        <f t="array" ref="R1375">_xlfn.IFS(K1375=0,"On Time",K1375&lt;=2,"Minor",K1375&lt;=5,"Major",K1375&gt;5,"Severe")</f>
        <v>Major</v>
      </c>
      <c r="S1375">
        <f t="shared" si="149"/>
        <v>1814</v>
      </c>
      <c r="T1375">
        <f t="shared" si="150"/>
        <v>1641</v>
      </c>
      <c r="U1375">
        <f t="shared" si="151"/>
        <v>2024</v>
      </c>
      <c r="V1375">
        <f t="shared" si="152"/>
        <v>10</v>
      </c>
      <c r="W1375" s="11">
        <f t="shared" si="153"/>
        <v>1</v>
      </c>
    </row>
    <row r="1376" spans="1:23">
      <c r="A1376" t="s">
        <v>1389</v>
      </c>
      <c r="B1376" s="4">
        <v>45436</v>
      </c>
      <c r="C1376" t="s">
        <v>2016</v>
      </c>
      <c r="D1376" t="s">
        <v>2025</v>
      </c>
      <c r="E1376" t="s">
        <v>2027</v>
      </c>
      <c r="F1376" t="s">
        <v>2030</v>
      </c>
      <c r="G1376" t="s">
        <v>2034</v>
      </c>
      <c r="H1376" t="s">
        <v>2038</v>
      </c>
      <c r="I1376">
        <v>2</v>
      </c>
      <c r="J1376">
        <v>7</v>
      </c>
      <c r="K1376">
        <v>5</v>
      </c>
      <c r="L1376" t="s">
        <v>2041</v>
      </c>
      <c r="M1376">
        <v>477</v>
      </c>
      <c r="N1376">
        <v>10200</v>
      </c>
      <c r="O1376">
        <v>12020</v>
      </c>
      <c r="P1376" s="13">
        <f t="shared" si="147"/>
        <v>0</v>
      </c>
      <c r="Q1376" t="str">
        <f t="shared" si="148"/>
        <v>No</v>
      </c>
      <c r="R1376" t="str" cm="1">
        <f t="array" ref="R1376">_xlfn.IFS(K1376=0,"On Time",K1376&lt;=2,"Minor",K1376&lt;=5,"Major",K1376&gt;5,"Severe")</f>
        <v>Major</v>
      </c>
      <c r="S1376">
        <f t="shared" si="149"/>
        <v>2404</v>
      </c>
      <c r="T1376">
        <f t="shared" si="150"/>
        <v>2040</v>
      </c>
      <c r="U1376">
        <f t="shared" si="151"/>
        <v>2024</v>
      </c>
      <c r="V1376">
        <f t="shared" si="152"/>
        <v>5</v>
      </c>
      <c r="W1376" s="11">
        <f t="shared" si="153"/>
        <v>1</v>
      </c>
    </row>
    <row r="1377" spans="1:23">
      <c r="A1377" t="s">
        <v>1390</v>
      </c>
      <c r="B1377" s="4">
        <v>45640</v>
      </c>
      <c r="C1377" t="s">
        <v>2015</v>
      </c>
      <c r="D1377" t="s">
        <v>2019</v>
      </c>
      <c r="E1377" t="s">
        <v>2029</v>
      </c>
      <c r="F1377" t="s">
        <v>2031</v>
      </c>
      <c r="G1377" t="s">
        <v>2034</v>
      </c>
      <c r="H1377" t="s">
        <v>2040</v>
      </c>
      <c r="I1377">
        <v>2</v>
      </c>
      <c r="J1377">
        <v>7</v>
      </c>
      <c r="K1377">
        <v>5</v>
      </c>
      <c r="L1377" t="s">
        <v>2041</v>
      </c>
      <c r="M1377">
        <v>165</v>
      </c>
      <c r="N1377">
        <v>9650</v>
      </c>
      <c r="O1377">
        <v>11520</v>
      </c>
      <c r="P1377" s="13">
        <f t="shared" si="147"/>
        <v>0</v>
      </c>
      <c r="Q1377" t="str">
        <f t="shared" si="148"/>
        <v>No</v>
      </c>
      <c r="R1377" t="str" cm="1">
        <f t="array" ref="R1377">_xlfn.IFS(K1377=0,"On Time",K1377&lt;=2,"Minor",K1377&lt;=5,"Major",K1377&gt;5,"Severe")</f>
        <v>Major</v>
      </c>
      <c r="S1377">
        <f t="shared" si="149"/>
        <v>2304</v>
      </c>
      <c r="T1377">
        <f t="shared" si="150"/>
        <v>1930</v>
      </c>
      <c r="U1377">
        <f t="shared" si="151"/>
        <v>2024</v>
      </c>
      <c r="V1377">
        <f t="shared" si="152"/>
        <v>12</v>
      </c>
      <c r="W1377" s="11">
        <f t="shared" si="153"/>
        <v>1</v>
      </c>
    </row>
    <row r="1378" spans="1:23">
      <c r="A1378" t="s">
        <v>1391</v>
      </c>
      <c r="B1378" s="4">
        <v>45318</v>
      </c>
      <c r="C1378" t="s">
        <v>2018</v>
      </c>
      <c r="D1378" t="s">
        <v>2026</v>
      </c>
      <c r="E1378" t="s">
        <v>2029</v>
      </c>
      <c r="F1378" t="s">
        <v>2030</v>
      </c>
      <c r="G1378" t="s">
        <v>2035</v>
      </c>
      <c r="H1378" t="s">
        <v>2038</v>
      </c>
      <c r="I1378">
        <v>2</v>
      </c>
      <c r="J1378">
        <v>4</v>
      </c>
      <c r="K1378">
        <v>2</v>
      </c>
      <c r="L1378" t="s">
        <v>2041</v>
      </c>
      <c r="M1378">
        <v>419</v>
      </c>
      <c r="N1378">
        <v>2318</v>
      </c>
      <c r="O1378">
        <v>4810</v>
      </c>
      <c r="P1378" s="13">
        <f t="shared" si="147"/>
        <v>0</v>
      </c>
      <c r="Q1378" t="str">
        <f t="shared" si="148"/>
        <v>No</v>
      </c>
      <c r="R1378" t="str" cm="1">
        <f t="array" ref="R1378">_xlfn.IFS(K1378=0,"On Time",K1378&lt;=2,"Minor",K1378&lt;=5,"Major",K1378&gt;5,"Severe")</f>
        <v>Minor</v>
      </c>
      <c r="S1378">
        <f t="shared" si="149"/>
        <v>2405</v>
      </c>
      <c r="T1378">
        <f t="shared" si="150"/>
        <v>1159</v>
      </c>
      <c r="U1378">
        <f t="shared" si="151"/>
        <v>2024</v>
      </c>
      <c r="V1378">
        <f t="shared" si="152"/>
        <v>1</v>
      </c>
      <c r="W1378" s="11">
        <f t="shared" si="153"/>
        <v>1</v>
      </c>
    </row>
    <row r="1379" spans="1:23">
      <c r="A1379" t="s">
        <v>1392</v>
      </c>
      <c r="B1379" s="4">
        <v>45450</v>
      </c>
      <c r="C1379" t="s">
        <v>2018</v>
      </c>
      <c r="D1379" t="s">
        <v>2024</v>
      </c>
      <c r="E1379" t="s">
        <v>2028</v>
      </c>
      <c r="F1379" t="s">
        <v>2031</v>
      </c>
      <c r="G1379" t="s">
        <v>2037</v>
      </c>
      <c r="H1379" t="s">
        <v>2038</v>
      </c>
      <c r="I1379">
        <v>1</v>
      </c>
      <c r="J1379">
        <v>6</v>
      </c>
      <c r="K1379">
        <v>5</v>
      </c>
      <c r="L1379" t="s">
        <v>2041</v>
      </c>
      <c r="M1379">
        <v>474</v>
      </c>
      <c r="N1379">
        <v>9115</v>
      </c>
      <c r="O1379">
        <v>12340</v>
      </c>
      <c r="P1379" s="13">
        <f t="shared" si="147"/>
        <v>0</v>
      </c>
      <c r="Q1379" t="str">
        <f t="shared" si="148"/>
        <v>No</v>
      </c>
      <c r="R1379" t="str" cm="1">
        <f t="array" ref="R1379">_xlfn.IFS(K1379=0,"On Time",K1379&lt;=2,"Minor",K1379&lt;=5,"Major",K1379&gt;5,"Severe")</f>
        <v>Major</v>
      </c>
      <c r="S1379">
        <f t="shared" si="149"/>
        <v>2468</v>
      </c>
      <c r="T1379">
        <f t="shared" si="150"/>
        <v>1823</v>
      </c>
      <c r="U1379">
        <f t="shared" si="151"/>
        <v>2024</v>
      </c>
      <c r="V1379">
        <f t="shared" si="152"/>
        <v>6</v>
      </c>
      <c r="W1379" s="11">
        <f t="shared" si="153"/>
        <v>1</v>
      </c>
    </row>
    <row r="1380" spans="1:23">
      <c r="A1380" t="s">
        <v>1393</v>
      </c>
      <c r="B1380" s="4">
        <v>45353</v>
      </c>
      <c r="C1380" t="s">
        <v>2017</v>
      </c>
      <c r="D1380" t="s">
        <v>2022</v>
      </c>
      <c r="E1380" t="s">
        <v>2028</v>
      </c>
      <c r="F1380" t="s">
        <v>2032</v>
      </c>
      <c r="G1380" t="s">
        <v>2037</v>
      </c>
      <c r="H1380" t="s">
        <v>2040</v>
      </c>
      <c r="I1380">
        <v>3</v>
      </c>
      <c r="J1380">
        <v>8</v>
      </c>
      <c r="K1380">
        <v>5</v>
      </c>
      <c r="L1380" t="s">
        <v>2041</v>
      </c>
      <c r="M1380">
        <v>219</v>
      </c>
      <c r="N1380">
        <v>10135</v>
      </c>
      <c r="O1380">
        <v>10850</v>
      </c>
      <c r="P1380" s="13">
        <f t="shared" si="147"/>
        <v>0</v>
      </c>
      <c r="Q1380" t="str">
        <f t="shared" si="148"/>
        <v>No</v>
      </c>
      <c r="R1380" t="str" cm="1">
        <f t="array" ref="R1380">_xlfn.IFS(K1380=0,"On Time",K1380&lt;=2,"Minor",K1380&lt;=5,"Major",K1380&gt;5,"Severe")</f>
        <v>Major</v>
      </c>
      <c r="S1380">
        <f t="shared" si="149"/>
        <v>2170</v>
      </c>
      <c r="T1380">
        <f t="shared" si="150"/>
        <v>2027</v>
      </c>
      <c r="U1380">
        <f t="shared" si="151"/>
        <v>2024</v>
      </c>
      <c r="V1380">
        <f t="shared" si="152"/>
        <v>3</v>
      </c>
      <c r="W1380" s="11">
        <f t="shared" si="153"/>
        <v>1</v>
      </c>
    </row>
    <row r="1381" spans="1:23">
      <c r="A1381" t="s">
        <v>1394</v>
      </c>
      <c r="B1381" s="4">
        <v>45515</v>
      </c>
      <c r="C1381" t="s">
        <v>2016</v>
      </c>
      <c r="D1381" t="s">
        <v>2021</v>
      </c>
      <c r="E1381" t="s">
        <v>2029</v>
      </c>
      <c r="F1381" t="s">
        <v>2032</v>
      </c>
      <c r="G1381" t="s">
        <v>2036</v>
      </c>
      <c r="H1381" t="s">
        <v>2040</v>
      </c>
      <c r="I1381">
        <v>5</v>
      </c>
      <c r="J1381">
        <v>9</v>
      </c>
      <c r="K1381">
        <v>4</v>
      </c>
      <c r="L1381" t="s">
        <v>2041</v>
      </c>
      <c r="M1381">
        <v>490</v>
      </c>
      <c r="N1381">
        <v>7432</v>
      </c>
      <c r="O1381">
        <v>7520</v>
      </c>
      <c r="P1381" s="13">
        <f t="shared" si="147"/>
        <v>0</v>
      </c>
      <c r="Q1381" t="str">
        <f t="shared" si="148"/>
        <v>No</v>
      </c>
      <c r="R1381" t="str" cm="1">
        <f t="array" ref="R1381">_xlfn.IFS(K1381=0,"On Time",K1381&lt;=2,"Minor",K1381&lt;=5,"Major",K1381&gt;5,"Severe")</f>
        <v>Major</v>
      </c>
      <c r="S1381">
        <f t="shared" si="149"/>
        <v>1880</v>
      </c>
      <c r="T1381">
        <f t="shared" si="150"/>
        <v>1858</v>
      </c>
      <c r="U1381">
        <f t="shared" si="151"/>
        <v>2024</v>
      </c>
      <c r="V1381">
        <f t="shared" si="152"/>
        <v>8</v>
      </c>
      <c r="W1381" s="11">
        <f t="shared" si="153"/>
        <v>1</v>
      </c>
    </row>
    <row r="1382" spans="1:23">
      <c r="A1382" t="s">
        <v>1395</v>
      </c>
      <c r="B1382" s="4">
        <v>45489</v>
      </c>
      <c r="C1382" t="s">
        <v>2016</v>
      </c>
      <c r="D1382" t="s">
        <v>2025</v>
      </c>
      <c r="E1382" t="s">
        <v>2028</v>
      </c>
      <c r="F1382" t="s">
        <v>2031</v>
      </c>
      <c r="G1382" t="s">
        <v>2037</v>
      </c>
      <c r="H1382" t="s">
        <v>2039</v>
      </c>
      <c r="I1382">
        <v>2</v>
      </c>
      <c r="J1382">
        <v>3</v>
      </c>
      <c r="K1382">
        <v>1</v>
      </c>
      <c r="L1382" t="s">
        <v>2041</v>
      </c>
      <c r="M1382">
        <v>289</v>
      </c>
      <c r="N1382">
        <v>1702</v>
      </c>
      <c r="O1382">
        <v>4069</v>
      </c>
      <c r="P1382" s="13">
        <f t="shared" si="147"/>
        <v>0</v>
      </c>
      <c r="Q1382" t="str">
        <f t="shared" si="148"/>
        <v>No</v>
      </c>
      <c r="R1382" t="str" cm="1">
        <f t="array" ref="R1382">_xlfn.IFS(K1382=0,"On Time",K1382&lt;=2,"Minor",K1382&lt;=5,"Major",K1382&gt;5,"Severe")</f>
        <v>Minor</v>
      </c>
      <c r="S1382">
        <f t="shared" si="149"/>
        <v>4069</v>
      </c>
      <c r="T1382">
        <f t="shared" si="150"/>
        <v>1702</v>
      </c>
      <c r="U1382">
        <f t="shared" si="151"/>
        <v>2024</v>
      </c>
      <c r="V1382">
        <f t="shared" si="152"/>
        <v>7</v>
      </c>
      <c r="W1382" s="11">
        <f t="shared" si="153"/>
        <v>1</v>
      </c>
    </row>
    <row r="1383" spans="1:23">
      <c r="A1383" t="s">
        <v>1396</v>
      </c>
      <c r="B1383" s="4">
        <v>45646</v>
      </c>
      <c r="C1383" t="s">
        <v>2015</v>
      </c>
      <c r="D1383" t="s">
        <v>2019</v>
      </c>
      <c r="E1383" t="s">
        <v>2028</v>
      </c>
      <c r="F1383" t="s">
        <v>2030</v>
      </c>
      <c r="G1383" t="s">
        <v>2037</v>
      </c>
      <c r="H1383" t="s">
        <v>2039</v>
      </c>
      <c r="I1383">
        <v>3</v>
      </c>
      <c r="J1383">
        <v>3</v>
      </c>
      <c r="K1383">
        <v>0</v>
      </c>
      <c r="L1383" t="s">
        <v>2042</v>
      </c>
      <c r="M1383">
        <v>315</v>
      </c>
      <c r="N1383">
        <v>0</v>
      </c>
      <c r="O1383">
        <v>0</v>
      </c>
      <c r="P1383" s="13">
        <f t="shared" si="147"/>
        <v>1</v>
      </c>
      <c r="Q1383" t="str">
        <f t="shared" si="148"/>
        <v>No</v>
      </c>
      <c r="R1383" t="str" cm="1">
        <f t="array" ref="R1383">_xlfn.IFS(K1383=0,"On Time",K1383&lt;=2,"Minor",K1383&lt;=5,"Major",K1383&gt;5,"Severe")</f>
        <v>On Time</v>
      </c>
      <c r="S1383">
        <f t="shared" si="149"/>
        <v>0</v>
      </c>
      <c r="T1383">
        <f t="shared" si="150"/>
        <v>0</v>
      </c>
      <c r="U1383">
        <f t="shared" si="151"/>
        <v>2024</v>
      </c>
      <c r="V1383">
        <f t="shared" si="152"/>
        <v>12</v>
      </c>
      <c r="W1383" s="11">
        <f t="shared" si="153"/>
        <v>0</v>
      </c>
    </row>
    <row r="1384" spans="1:23">
      <c r="A1384" t="s">
        <v>1397</v>
      </c>
      <c r="B1384" s="4">
        <v>45608</v>
      </c>
      <c r="C1384" t="s">
        <v>2016</v>
      </c>
      <c r="D1384" t="s">
        <v>2021</v>
      </c>
      <c r="E1384" t="s">
        <v>2027</v>
      </c>
      <c r="F1384" t="s">
        <v>2032</v>
      </c>
      <c r="G1384" t="s">
        <v>2034</v>
      </c>
      <c r="H1384" t="s">
        <v>2038</v>
      </c>
      <c r="I1384">
        <v>1</v>
      </c>
      <c r="J1384">
        <v>5</v>
      </c>
      <c r="K1384">
        <v>4</v>
      </c>
      <c r="L1384" t="s">
        <v>2041</v>
      </c>
      <c r="M1384">
        <v>423</v>
      </c>
      <c r="N1384">
        <v>6692</v>
      </c>
      <c r="O1384">
        <v>9828</v>
      </c>
      <c r="P1384" s="13">
        <f t="shared" si="147"/>
        <v>0</v>
      </c>
      <c r="Q1384" t="str">
        <f t="shared" si="148"/>
        <v>No</v>
      </c>
      <c r="R1384" t="str" cm="1">
        <f t="array" ref="R1384">_xlfn.IFS(K1384=0,"On Time",K1384&lt;=2,"Minor",K1384&lt;=5,"Major",K1384&gt;5,"Severe")</f>
        <v>Major</v>
      </c>
      <c r="S1384">
        <f t="shared" si="149"/>
        <v>2457</v>
      </c>
      <c r="T1384">
        <f t="shared" si="150"/>
        <v>1673</v>
      </c>
      <c r="U1384">
        <f t="shared" si="151"/>
        <v>2024</v>
      </c>
      <c r="V1384">
        <f t="shared" si="152"/>
        <v>11</v>
      </c>
      <c r="W1384" s="11">
        <f t="shared" si="153"/>
        <v>1</v>
      </c>
    </row>
    <row r="1385" spans="1:23">
      <c r="A1385" t="s">
        <v>1398</v>
      </c>
      <c r="B1385" s="4">
        <v>45510</v>
      </c>
      <c r="C1385" t="s">
        <v>2017</v>
      </c>
      <c r="D1385" t="s">
        <v>2023</v>
      </c>
      <c r="E1385" t="s">
        <v>2029</v>
      </c>
      <c r="F1385" t="s">
        <v>2030</v>
      </c>
      <c r="G1385" t="s">
        <v>2035</v>
      </c>
      <c r="H1385" t="s">
        <v>2038</v>
      </c>
      <c r="I1385">
        <v>2</v>
      </c>
      <c r="J1385">
        <v>5</v>
      </c>
      <c r="K1385">
        <v>3</v>
      </c>
      <c r="L1385" t="s">
        <v>2041</v>
      </c>
      <c r="M1385">
        <v>245</v>
      </c>
      <c r="N1385">
        <v>3123</v>
      </c>
      <c r="O1385">
        <v>6360</v>
      </c>
      <c r="P1385" s="13">
        <f t="shared" si="147"/>
        <v>0</v>
      </c>
      <c r="Q1385" t="str">
        <f t="shared" si="148"/>
        <v>No</v>
      </c>
      <c r="R1385" t="str" cm="1">
        <f t="array" ref="R1385">_xlfn.IFS(K1385=0,"On Time",K1385&lt;=2,"Minor",K1385&lt;=5,"Major",K1385&gt;5,"Severe")</f>
        <v>Major</v>
      </c>
      <c r="S1385">
        <f t="shared" si="149"/>
        <v>2120</v>
      </c>
      <c r="T1385">
        <f t="shared" si="150"/>
        <v>1041</v>
      </c>
      <c r="U1385">
        <f t="shared" si="151"/>
        <v>2024</v>
      </c>
      <c r="V1385">
        <f t="shared" si="152"/>
        <v>8</v>
      </c>
      <c r="W1385" s="11">
        <f t="shared" si="153"/>
        <v>1</v>
      </c>
    </row>
    <row r="1386" spans="1:23">
      <c r="A1386" t="s">
        <v>1399</v>
      </c>
      <c r="B1386" s="4">
        <v>45323</v>
      </c>
      <c r="C1386" t="s">
        <v>2017</v>
      </c>
      <c r="D1386" t="s">
        <v>2023</v>
      </c>
      <c r="E1386" t="s">
        <v>2029</v>
      </c>
      <c r="F1386" t="s">
        <v>2031</v>
      </c>
      <c r="G1386" t="s">
        <v>2037</v>
      </c>
      <c r="H1386" t="s">
        <v>2040</v>
      </c>
      <c r="I1386">
        <v>3</v>
      </c>
      <c r="J1386">
        <v>10</v>
      </c>
      <c r="K1386">
        <v>7</v>
      </c>
      <c r="L1386" t="s">
        <v>2041</v>
      </c>
      <c r="M1386">
        <v>125</v>
      </c>
      <c r="N1386">
        <v>15281</v>
      </c>
      <c r="O1386">
        <v>31304</v>
      </c>
      <c r="P1386" s="13">
        <f t="shared" si="147"/>
        <v>0</v>
      </c>
      <c r="Q1386" t="str">
        <f t="shared" si="148"/>
        <v>No</v>
      </c>
      <c r="R1386" t="str" cm="1">
        <f t="array" ref="R1386">_xlfn.IFS(K1386=0,"On Time",K1386&lt;=2,"Minor",K1386&lt;=5,"Major",K1386&gt;5,"Severe")</f>
        <v>Severe</v>
      </c>
      <c r="S1386">
        <f t="shared" si="149"/>
        <v>4472</v>
      </c>
      <c r="T1386">
        <f t="shared" si="150"/>
        <v>2183</v>
      </c>
      <c r="U1386">
        <f t="shared" si="151"/>
        <v>2024</v>
      </c>
      <c r="V1386">
        <f t="shared" si="152"/>
        <v>2</v>
      </c>
      <c r="W1386" s="11">
        <f t="shared" si="153"/>
        <v>1</v>
      </c>
    </row>
    <row r="1387" spans="1:23">
      <c r="A1387" t="s">
        <v>1400</v>
      </c>
      <c r="B1387" s="4">
        <v>45390</v>
      </c>
      <c r="C1387" t="s">
        <v>2015</v>
      </c>
      <c r="D1387" t="s">
        <v>2020</v>
      </c>
      <c r="E1387" t="s">
        <v>2029</v>
      </c>
      <c r="F1387" t="s">
        <v>2030</v>
      </c>
      <c r="G1387" t="s">
        <v>2037</v>
      </c>
      <c r="H1387" t="s">
        <v>2038</v>
      </c>
      <c r="I1387">
        <v>2</v>
      </c>
      <c r="J1387">
        <v>7</v>
      </c>
      <c r="K1387">
        <v>5</v>
      </c>
      <c r="L1387" t="s">
        <v>2041</v>
      </c>
      <c r="M1387">
        <v>102</v>
      </c>
      <c r="N1387">
        <v>10175</v>
      </c>
      <c r="O1387">
        <v>11800</v>
      </c>
      <c r="P1387" s="13">
        <f t="shared" si="147"/>
        <v>0</v>
      </c>
      <c r="Q1387" t="str">
        <f t="shared" si="148"/>
        <v>No</v>
      </c>
      <c r="R1387" t="str" cm="1">
        <f t="array" ref="R1387">_xlfn.IFS(K1387=0,"On Time",K1387&lt;=2,"Minor",K1387&lt;=5,"Major",K1387&gt;5,"Severe")</f>
        <v>Major</v>
      </c>
      <c r="S1387">
        <f t="shared" si="149"/>
        <v>2360</v>
      </c>
      <c r="T1387">
        <f t="shared" si="150"/>
        <v>2035</v>
      </c>
      <c r="U1387">
        <f t="shared" si="151"/>
        <v>2024</v>
      </c>
      <c r="V1387">
        <f t="shared" si="152"/>
        <v>4</v>
      </c>
      <c r="W1387" s="11">
        <f t="shared" si="153"/>
        <v>1</v>
      </c>
    </row>
    <row r="1388" spans="1:23">
      <c r="A1388" t="s">
        <v>1401</v>
      </c>
      <c r="B1388" s="4">
        <v>45354</v>
      </c>
      <c r="C1388" t="s">
        <v>2018</v>
      </c>
      <c r="D1388" t="s">
        <v>2024</v>
      </c>
      <c r="E1388" t="s">
        <v>2029</v>
      </c>
      <c r="F1388" t="s">
        <v>2031</v>
      </c>
      <c r="G1388" t="s">
        <v>2033</v>
      </c>
      <c r="H1388" t="s">
        <v>2038</v>
      </c>
      <c r="I1388">
        <v>2</v>
      </c>
      <c r="J1388">
        <v>4</v>
      </c>
      <c r="K1388">
        <v>2</v>
      </c>
      <c r="L1388" t="s">
        <v>2041</v>
      </c>
      <c r="M1388">
        <v>245</v>
      </c>
      <c r="N1388">
        <v>2588</v>
      </c>
      <c r="O1388">
        <v>3470</v>
      </c>
      <c r="P1388" s="13">
        <f t="shared" si="147"/>
        <v>0</v>
      </c>
      <c r="Q1388" t="str">
        <f t="shared" si="148"/>
        <v>No</v>
      </c>
      <c r="R1388" t="str" cm="1">
        <f t="array" ref="R1388">_xlfn.IFS(K1388=0,"On Time",K1388&lt;=2,"Minor",K1388&lt;=5,"Major",K1388&gt;5,"Severe")</f>
        <v>Minor</v>
      </c>
      <c r="S1388">
        <f t="shared" si="149"/>
        <v>1735</v>
      </c>
      <c r="T1388">
        <f t="shared" si="150"/>
        <v>1294</v>
      </c>
      <c r="U1388">
        <f t="shared" si="151"/>
        <v>2024</v>
      </c>
      <c r="V1388">
        <f t="shared" si="152"/>
        <v>3</v>
      </c>
      <c r="W1388" s="11">
        <f t="shared" si="153"/>
        <v>1</v>
      </c>
    </row>
    <row r="1389" spans="1:23">
      <c r="A1389" t="s">
        <v>1402</v>
      </c>
      <c r="B1389" s="4">
        <v>45309</v>
      </c>
      <c r="C1389" t="s">
        <v>2018</v>
      </c>
      <c r="D1389" t="s">
        <v>2024</v>
      </c>
      <c r="E1389" t="s">
        <v>2028</v>
      </c>
      <c r="F1389" t="s">
        <v>2030</v>
      </c>
      <c r="G1389" t="s">
        <v>2035</v>
      </c>
      <c r="H1389" t="s">
        <v>2039</v>
      </c>
      <c r="I1389">
        <v>2</v>
      </c>
      <c r="J1389">
        <v>3</v>
      </c>
      <c r="K1389">
        <v>1</v>
      </c>
      <c r="L1389" t="s">
        <v>2041</v>
      </c>
      <c r="M1389">
        <v>258</v>
      </c>
      <c r="N1389">
        <v>1146</v>
      </c>
      <c r="O1389">
        <v>2705</v>
      </c>
      <c r="P1389" s="13">
        <f t="shared" si="147"/>
        <v>0</v>
      </c>
      <c r="Q1389" t="str">
        <f t="shared" si="148"/>
        <v>No</v>
      </c>
      <c r="R1389" t="str" cm="1">
        <f t="array" ref="R1389">_xlfn.IFS(K1389=0,"On Time",K1389&lt;=2,"Minor",K1389&lt;=5,"Major",K1389&gt;5,"Severe")</f>
        <v>Minor</v>
      </c>
      <c r="S1389">
        <f t="shared" si="149"/>
        <v>2705</v>
      </c>
      <c r="T1389">
        <f t="shared" si="150"/>
        <v>1146</v>
      </c>
      <c r="U1389">
        <f t="shared" si="151"/>
        <v>2024</v>
      </c>
      <c r="V1389">
        <f t="shared" si="152"/>
        <v>1</v>
      </c>
      <c r="W1389" s="11">
        <f t="shared" si="153"/>
        <v>1</v>
      </c>
    </row>
    <row r="1390" spans="1:23">
      <c r="A1390" t="s">
        <v>1403</v>
      </c>
      <c r="B1390" s="4">
        <v>45482</v>
      </c>
      <c r="C1390" t="s">
        <v>2018</v>
      </c>
      <c r="D1390" t="s">
        <v>2024</v>
      </c>
      <c r="E1390" t="s">
        <v>2029</v>
      </c>
      <c r="F1390" t="s">
        <v>2031</v>
      </c>
      <c r="G1390" t="s">
        <v>2034</v>
      </c>
      <c r="H1390" t="s">
        <v>2038</v>
      </c>
      <c r="I1390">
        <v>3</v>
      </c>
      <c r="J1390">
        <v>3</v>
      </c>
      <c r="K1390">
        <v>0</v>
      </c>
      <c r="L1390" t="s">
        <v>2042</v>
      </c>
      <c r="M1390">
        <v>162</v>
      </c>
      <c r="N1390">
        <v>0</v>
      </c>
      <c r="O1390">
        <v>0</v>
      </c>
      <c r="P1390" s="13">
        <f t="shared" si="147"/>
        <v>1</v>
      </c>
      <c r="Q1390" t="str">
        <f t="shared" si="148"/>
        <v>No</v>
      </c>
      <c r="R1390" t="str" cm="1">
        <f t="array" ref="R1390">_xlfn.IFS(K1390=0,"On Time",K1390&lt;=2,"Minor",K1390&lt;=5,"Major",K1390&gt;5,"Severe")</f>
        <v>On Time</v>
      </c>
      <c r="S1390">
        <f t="shared" si="149"/>
        <v>0</v>
      </c>
      <c r="T1390">
        <f t="shared" si="150"/>
        <v>0</v>
      </c>
      <c r="U1390">
        <f t="shared" si="151"/>
        <v>2024</v>
      </c>
      <c r="V1390">
        <f t="shared" si="152"/>
        <v>7</v>
      </c>
      <c r="W1390" s="11">
        <f t="shared" si="153"/>
        <v>0</v>
      </c>
    </row>
    <row r="1391" spans="1:23">
      <c r="A1391" t="s">
        <v>1404</v>
      </c>
      <c r="B1391" s="4">
        <v>45484</v>
      </c>
      <c r="C1391" t="s">
        <v>2015</v>
      </c>
      <c r="D1391" t="s">
        <v>2020</v>
      </c>
      <c r="E1391" t="s">
        <v>2029</v>
      </c>
      <c r="F1391" t="s">
        <v>2032</v>
      </c>
      <c r="G1391" t="s">
        <v>2035</v>
      </c>
      <c r="H1391" t="s">
        <v>2040</v>
      </c>
      <c r="I1391">
        <v>2</v>
      </c>
      <c r="J1391">
        <v>10</v>
      </c>
      <c r="K1391">
        <v>8</v>
      </c>
      <c r="L1391" t="s">
        <v>2041</v>
      </c>
      <c r="M1391">
        <v>238</v>
      </c>
      <c r="N1391">
        <v>19984</v>
      </c>
      <c r="O1391">
        <v>29256</v>
      </c>
      <c r="P1391" s="13">
        <f t="shared" si="147"/>
        <v>0</v>
      </c>
      <c r="Q1391" t="str">
        <f t="shared" si="148"/>
        <v>No</v>
      </c>
      <c r="R1391" t="str" cm="1">
        <f t="array" ref="R1391">_xlfn.IFS(K1391=0,"On Time",K1391&lt;=2,"Minor",K1391&lt;=5,"Major",K1391&gt;5,"Severe")</f>
        <v>Severe</v>
      </c>
      <c r="S1391">
        <f t="shared" si="149"/>
        <v>3657</v>
      </c>
      <c r="T1391">
        <f t="shared" si="150"/>
        <v>2498</v>
      </c>
      <c r="U1391">
        <f t="shared" si="151"/>
        <v>2024</v>
      </c>
      <c r="V1391">
        <f t="shared" si="152"/>
        <v>7</v>
      </c>
      <c r="W1391" s="11">
        <f t="shared" si="153"/>
        <v>1</v>
      </c>
    </row>
    <row r="1392" spans="1:23">
      <c r="A1392" t="s">
        <v>1405</v>
      </c>
      <c r="B1392" s="4">
        <v>45601</v>
      </c>
      <c r="C1392" t="s">
        <v>2016</v>
      </c>
      <c r="D1392" t="s">
        <v>2021</v>
      </c>
      <c r="E1392" t="s">
        <v>2027</v>
      </c>
      <c r="F1392" t="s">
        <v>2031</v>
      </c>
      <c r="G1392" t="s">
        <v>2034</v>
      </c>
      <c r="H1392" t="s">
        <v>2038</v>
      </c>
      <c r="I1392">
        <v>3</v>
      </c>
      <c r="J1392">
        <v>5</v>
      </c>
      <c r="K1392">
        <v>2</v>
      </c>
      <c r="L1392" t="s">
        <v>2041</v>
      </c>
      <c r="M1392">
        <v>52</v>
      </c>
      <c r="N1392">
        <v>4354</v>
      </c>
      <c r="O1392">
        <v>3864</v>
      </c>
      <c r="P1392" s="13">
        <f t="shared" si="147"/>
        <v>0</v>
      </c>
      <c r="Q1392" t="str">
        <f t="shared" si="148"/>
        <v>No</v>
      </c>
      <c r="R1392" t="str" cm="1">
        <f t="array" ref="R1392">_xlfn.IFS(K1392=0,"On Time",K1392&lt;=2,"Minor",K1392&lt;=5,"Major",K1392&gt;5,"Severe")</f>
        <v>Minor</v>
      </c>
      <c r="S1392">
        <f t="shared" si="149"/>
        <v>1932</v>
      </c>
      <c r="T1392">
        <f t="shared" si="150"/>
        <v>2177</v>
      </c>
      <c r="U1392">
        <f t="shared" si="151"/>
        <v>2024</v>
      </c>
      <c r="V1392">
        <f t="shared" si="152"/>
        <v>11</v>
      </c>
      <c r="W1392" s="11">
        <f t="shared" si="153"/>
        <v>1</v>
      </c>
    </row>
    <row r="1393" spans="1:23">
      <c r="A1393" t="s">
        <v>1406</v>
      </c>
      <c r="B1393" s="4">
        <v>45519</v>
      </c>
      <c r="C1393" t="s">
        <v>2016</v>
      </c>
      <c r="D1393" t="s">
        <v>2021</v>
      </c>
      <c r="E1393" t="s">
        <v>2029</v>
      </c>
      <c r="F1393" t="s">
        <v>2032</v>
      </c>
      <c r="G1393" t="s">
        <v>2037</v>
      </c>
      <c r="H1393" t="s">
        <v>2038</v>
      </c>
      <c r="I1393">
        <v>2</v>
      </c>
      <c r="J1393">
        <v>5</v>
      </c>
      <c r="K1393">
        <v>3</v>
      </c>
      <c r="L1393" t="s">
        <v>2041</v>
      </c>
      <c r="M1393">
        <v>149</v>
      </c>
      <c r="N1393">
        <v>3612</v>
      </c>
      <c r="O1393">
        <v>13677</v>
      </c>
      <c r="P1393" s="13">
        <f t="shared" si="147"/>
        <v>0</v>
      </c>
      <c r="Q1393" t="str">
        <f t="shared" si="148"/>
        <v>No</v>
      </c>
      <c r="R1393" t="str" cm="1">
        <f t="array" ref="R1393">_xlfn.IFS(K1393=0,"On Time",K1393&lt;=2,"Minor",K1393&lt;=5,"Major",K1393&gt;5,"Severe")</f>
        <v>Major</v>
      </c>
      <c r="S1393">
        <f t="shared" si="149"/>
        <v>4559</v>
      </c>
      <c r="T1393">
        <f t="shared" si="150"/>
        <v>1204</v>
      </c>
      <c r="U1393">
        <f t="shared" si="151"/>
        <v>2024</v>
      </c>
      <c r="V1393">
        <f t="shared" si="152"/>
        <v>8</v>
      </c>
      <c r="W1393" s="11">
        <f t="shared" si="153"/>
        <v>1</v>
      </c>
    </row>
    <row r="1394" spans="1:23">
      <c r="A1394" t="s">
        <v>1407</v>
      </c>
      <c r="B1394" s="4">
        <v>45429</v>
      </c>
      <c r="C1394" t="s">
        <v>2015</v>
      </c>
      <c r="D1394" t="s">
        <v>2020</v>
      </c>
      <c r="E1394" t="s">
        <v>2029</v>
      </c>
      <c r="F1394" t="s">
        <v>2030</v>
      </c>
      <c r="G1394" t="s">
        <v>2033</v>
      </c>
      <c r="H1394" t="s">
        <v>2039</v>
      </c>
      <c r="I1394">
        <v>1</v>
      </c>
      <c r="J1394">
        <v>6</v>
      </c>
      <c r="K1394">
        <v>5</v>
      </c>
      <c r="L1394" t="s">
        <v>2041</v>
      </c>
      <c r="M1394">
        <v>186</v>
      </c>
      <c r="N1394">
        <v>8040</v>
      </c>
      <c r="O1394">
        <v>9910</v>
      </c>
      <c r="P1394" s="13">
        <f t="shared" si="147"/>
        <v>0</v>
      </c>
      <c r="Q1394" t="str">
        <f t="shared" si="148"/>
        <v>No</v>
      </c>
      <c r="R1394" t="str" cm="1">
        <f t="array" ref="R1394">_xlfn.IFS(K1394=0,"On Time",K1394&lt;=2,"Minor",K1394&lt;=5,"Major",K1394&gt;5,"Severe")</f>
        <v>Major</v>
      </c>
      <c r="S1394">
        <f t="shared" si="149"/>
        <v>1982</v>
      </c>
      <c r="T1394">
        <f t="shared" si="150"/>
        <v>1608</v>
      </c>
      <c r="U1394">
        <f t="shared" si="151"/>
        <v>2024</v>
      </c>
      <c r="V1394">
        <f t="shared" si="152"/>
        <v>5</v>
      </c>
      <c r="W1394" s="11">
        <f t="shared" si="153"/>
        <v>1</v>
      </c>
    </row>
    <row r="1395" spans="1:23">
      <c r="A1395" t="s">
        <v>1408</v>
      </c>
      <c r="B1395" s="4">
        <v>45547</v>
      </c>
      <c r="C1395" t="s">
        <v>2015</v>
      </c>
      <c r="D1395" t="s">
        <v>2019</v>
      </c>
      <c r="E1395" t="s">
        <v>2029</v>
      </c>
      <c r="F1395" t="s">
        <v>2032</v>
      </c>
      <c r="G1395" t="s">
        <v>2033</v>
      </c>
      <c r="H1395" t="s">
        <v>2038</v>
      </c>
      <c r="I1395">
        <v>2</v>
      </c>
      <c r="J1395">
        <v>4</v>
      </c>
      <c r="K1395">
        <v>2</v>
      </c>
      <c r="L1395" t="s">
        <v>2041</v>
      </c>
      <c r="M1395">
        <v>158</v>
      </c>
      <c r="N1395">
        <v>2874</v>
      </c>
      <c r="O1395">
        <v>9306</v>
      </c>
      <c r="P1395" s="13">
        <f t="shared" si="147"/>
        <v>0</v>
      </c>
      <c r="Q1395" t="str">
        <f t="shared" si="148"/>
        <v>No</v>
      </c>
      <c r="R1395" t="str" cm="1">
        <f t="array" ref="R1395">_xlfn.IFS(K1395=0,"On Time",K1395&lt;=2,"Minor",K1395&lt;=5,"Major",K1395&gt;5,"Severe")</f>
        <v>Minor</v>
      </c>
      <c r="S1395">
        <f t="shared" si="149"/>
        <v>4653</v>
      </c>
      <c r="T1395">
        <f t="shared" si="150"/>
        <v>1437</v>
      </c>
      <c r="U1395">
        <f t="shared" si="151"/>
        <v>2024</v>
      </c>
      <c r="V1395">
        <f t="shared" si="152"/>
        <v>9</v>
      </c>
      <c r="W1395" s="11">
        <f t="shared" si="153"/>
        <v>1</v>
      </c>
    </row>
    <row r="1396" spans="1:23">
      <c r="A1396" t="s">
        <v>1409</v>
      </c>
      <c r="B1396" s="4">
        <v>45623</v>
      </c>
      <c r="C1396" t="s">
        <v>2015</v>
      </c>
      <c r="D1396" t="s">
        <v>2020</v>
      </c>
      <c r="E1396" t="s">
        <v>2029</v>
      </c>
      <c r="F1396" t="s">
        <v>2032</v>
      </c>
      <c r="G1396" t="s">
        <v>2033</v>
      </c>
      <c r="H1396" t="s">
        <v>2040</v>
      </c>
      <c r="I1396">
        <v>2</v>
      </c>
      <c r="J1396">
        <v>11</v>
      </c>
      <c r="K1396">
        <v>9</v>
      </c>
      <c r="L1396" t="s">
        <v>2041</v>
      </c>
      <c r="M1396">
        <v>128</v>
      </c>
      <c r="N1396">
        <v>16497</v>
      </c>
      <c r="O1396">
        <v>41211</v>
      </c>
      <c r="P1396" s="13">
        <f t="shared" si="147"/>
        <v>0</v>
      </c>
      <c r="Q1396" t="str">
        <f t="shared" si="148"/>
        <v>No</v>
      </c>
      <c r="R1396" t="str" cm="1">
        <f t="array" ref="R1396">_xlfn.IFS(K1396=0,"On Time",K1396&lt;=2,"Minor",K1396&lt;=5,"Major",K1396&gt;5,"Severe")</f>
        <v>Severe</v>
      </c>
      <c r="S1396">
        <f t="shared" si="149"/>
        <v>4579</v>
      </c>
      <c r="T1396">
        <f t="shared" si="150"/>
        <v>1833</v>
      </c>
      <c r="U1396">
        <f t="shared" si="151"/>
        <v>2024</v>
      </c>
      <c r="V1396">
        <f t="shared" si="152"/>
        <v>11</v>
      </c>
      <c r="W1396" s="11">
        <f t="shared" si="153"/>
        <v>1</v>
      </c>
    </row>
    <row r="1397" spans="1:23">
      <c r="A1397" t="s">
        <v>1410</v>
      </c>
      <c r="B1397" s="4">
        <v>45352</v>
      </c>
      <c r="C1397" t="s">
        <v>2017</v>
      </c>
      <c r="D1397" t="s">
        <v>2022</v>
      </c>
      <c r="E1397" t="s">
        <v>2028</v>
      </c>
      <c r="F1397" t="s">
        <v>2032</v>
      </c>
      <c r="G1397" t="s">
        <v>2033</v>
      </c>
      <c r="H1397" t="s">
        <v>2039</v>
      </c>
      <c r="I1397">
        <v>1</v>
      </c>
      <c r="J1397">
        <v>3</v>
      </c>
      <c r="K1397">
        <v>2</v>
      </c>
      <c r="L1397" t="s">
        <v>2041</v>
      </c>
      <c r="M1397">
        <v>60</v>
      </c>
      <c r="N1397">
        <v>2686</v>
      </c>
      <c r="O1397">
        <v>7444</v>
      </c>
      <c r="P1397" s="13">
        <f t="shared" si="147"/>
        <v>0</v>
      </c>
      <c r="Q1397" t="str">
        <f t="shared" si="148"/>
        <v>No</v>
      </c>
      <c r="R1397" t="str" cm="1">
        <f t="array" ref="R1397">_xlfn.IFS(K1397=0,"On Time",K1397&lt;=2,"Minor",K1397&lt;=5,"Major",K1397&gt;5,"Severe")</f>
        <v>Minor</v>
      </c>
      <c r="S1397">
        <f t="shared" si="149"/>
        <v>3722</v>
      </c>
      <c r="T1397">
        <f t="shared" si="150"/>
        <v>1343</v>
      </c>
      <c r="U1397">
        <f t="shared" si="151"/>
        <v>2024</v>
      </c>
      <c r="V1397">
        <f t="shared" si="152"/>
        <v>3</v>
      </c>
      <c r="W1397" s="11">
        <f t="shared" si="153"/>
        <v>1</v>
      </c>
    </row>
    <row r="1398" spans="1:23">
      <c r="A1398" t="s">
        <v>1411</v>
      </c>
      <c r="B1398" s="4">
        <v>45364</v>
      </c>
      <c r="C1398" t="s">
        <v>2015</v>
      </c>
      <c r="D1398" t="s">
        <v>2019</v>
      </c>
      <c r="E1398" t="s">
        <v>2029</v>
      </c>
      <c r="F1398" t="s">
        <v>2030</v>
      </c>
      <c r="G1398" t="s">
        <v>2037</v>
      </c>
      <c r="H1398" t="s">
        <v>2039</v>
      </c>
      <c r="I1398">
        <v>1</v>
      </c>
      <c r="J1398">
        <v>5</v>
      </c>
      <c r="K1398">
        <v>4</v>
      </c>
      <c r="L1398" t="s">
        <v>2041</v>
      </c>
      <c r="M1398">
        <v>152</v>
      </c>
      <c r="N1398">
        <v>5920</v>
      </c>
      <c r="O1398">
        <v>9472</v>
      </c>
      <c r="P1398" s="13">
        <f t="shared" si="147"/>
        <v>0</v>
      </c>
      <c r="Q1398" t="str">
        <f t="shared" si="148"/>
        <v>No</v>
      </c>
      <c r="R1398" t="str" cm="1">
        <f t="array" ref="R1398">_xlfn.IFS(K1398=0,"On Time",K1398&lt;=2,"Minor",K1398&lt;=5,"Major",K1398&gt;5,"Severe")</f>
        <v>Major</v>
      </c>
      <c r="S1398">
        <f t="shared" si="149"/>
        <v>2368</v>
      </c>
      <c r="T1398">
        <f t="shared" si="150"/>
        <v>1480</v>
      </c>
      <c r="U1398">
        <f t="shared" si="151"/>
        <v>2024</v>
      </c>
      <c r="V1398">
        <f t="shared" si="152"/>
        <v>3</v>
      </c>
      <c r="W1398" s="11">
        <f t="shared" si="153"/>
        <v>1</v>
      </c>
    </row>
    <row r="1399" spans="1:23">
      <c r="A1399" t="s">
        <v>1412</v>
      </c>
      <c r="B1399" s="4">
        <v>45480</v>
      </c>
      <c r="C1399" t="s">
        <v>2015</v>
      </c>
      <c r="D1399" t="s">
        <v>2020</v>
      </c>
      <c r="E1399" t="s">
        <v>2028</v>
      </c>
      <c r="F1399" t="s">
        <v>2031</v>
      </c>
      <c r="G1399" t="s">
        <v>2033</v>
      </c>
      <c r="H1399" t="s">
        <v>2039</v>
      </c>
      <c r="I1399">
        <v>2</v>
      </c>
      <c r="J1399">
        <v>6</v>
      </c>
      <c r="K1399">
        <v>4</v>
      </c>
      <c r="L1399" t="s">
        <v>2041</v>
      </c>
      <c r="M1399">
        <v>434</v>
      </c>
      <c r="N1399">
        <v>7868</v>
      </c>
      <c r="O1399">
        <v>10844</v>
      </c>
      <c r="P1399" s="13">
        <f t="shared" si="147"/>
        <v>0</v>
      </c>
      <c r="Q1399" t="str">
        <f t="shared" si="148"/>
        <v>No</v>
      </c>
      <c r="R1399" t="str" cm="1">
        <f t="array" ref="R1399">_xlfn.IFS(K1399=0,"On Time",K1399&lt;=2,"Minor",K1399&lt;=5,"Major",K1399&gt;5,"Severe")</f>
        <v>Major</v>
      </c>
      <c r="S1399">
        <f t="shared" si="149"/>
        <v>2711</v>
      </c>
      <c r="T1399">
        <f t="shared" si="150"/>
        <v>1967</v>
      </c>
      <c r="U1399">
        <f t="shared" si="151"/>
        <v>2024</v>
      </c>
      <c r="V1399">
        <f t="shared" si="152"/>
        <v>7</v>
      </c>
      <c r="W1399" s="11">
        <f t="shared" si="153"/>
        <v>1</v>
      </c>
    </row>
    <row r="1400" spans="1:23">
      <c r="A1400" t="s">
        <v>1413</v>
      </c>
      <c r="B1400" s="4">
        <v>45455</v>
      </c>
      <c r="C1400" t="s">
        <v>2017</v>
      </c>
      <c r="D1400" t="s">
        <v>2023</v>
      </c>
      <c r="E1400" t="s">
        <v>2029</v>
      </c>
      <c r="F1400" t="s">
        <v>2030</v>
      </c>
      <c r="G1400" t="s">
        <v>2033</v>
      </c>
      <c r="H1400" t="s">
        <v>2040</v>
      </c>
      <c r="I1400">
        <v>1</v>
      </c>
      <c r="J1400">
        <v>4</v>
      </c>
      <c r="K1400">
        <v>3</v>
      </c>
      <c r="L1400" t="s">
        <v>2041</v>
      </c>
      <c r="M1400">
        <v>252</v>
      </c>
      <c r="N1400">
        <v>4719</v>
      </c>
      <c r="O1400">
        <v>10047</v>
      </c>
      <c r="P1400" s="13">
        <f t="shared" si="147"/>
        <v>0</v>
      </c>
      <c r="Q1400" t="str">
        <f t="shared" si="148"/>
        <v>No</v>
      </c>
      <c r="R1400" t="str" cm="1">
        <f t="array" ref="R1400">_xlfn.IFS(K1400=0,"On Time",K1400&lt;=2,"Minor",K1400&lt;=5,"Major",K1400&gt;5,"Severe")</f>
        <v>Major</v>
      </c>
      <c r="S1400">
        <f t="shared" si="149"/>
        <v>3349</v>
      </c>
      <c r="T1400">
        <f t="shared" si="150"/>
        <v>1573</v>
      </c>
      <c r="U1400">
        <f t="shared" si="151"/>
        <v>2024</v>
      </c>
      <c r="V1400">
        <f t="shared" si="152"/>
        <v>6</v>
      </c>
      <c r="W1400" s="11">
        <f t="shared" si="153"/>
        <v>1</v>
      </c>
    </row>
    <row r="1401" spans="1:23">
      <c r="A1401" t="s">
        <v>1414</v>
      </c>
      <c r="B1401" s="4">
        <v>45385</v>
      </c>
      <c r="C1401" t="s">
        <v>2015</v>
      </c>
      <c r="D1401" t="s">
        <v>2019</v>
      </c>
      <c r="E1401" t="s">
        <v>2029</v>
      </c>
      <c r="F1401" t="s">
        <v>2030</v>
      </c>
      <c r="G1401" t="s">
        <v>2037</v>
      </c>
      <c r="H1401" t="s">
        <v>2039</v>
      </c>
      <c r="I1401">
        <v>3</v>
      </c>
      <c r="J1401">
        <v>7</v>
      </c>
      <c r="K1401">
        <v>4</v>
      </c>
      <c r="L1401" t="s">
        <v>2041</v>
      </c>
      <c r="M1401">
        <v>128</v>
      </c>
      <c r="N1401">
        <v>8308</v>
      </c>
      <c r="O1401">
        <v>19580</v>
      </c>
      <c r="P1401" s="13">
        <f t="shared" si="147"/>
        <v>0</v>
      </c>
      <c r="Q1401" t="str">
        <f t="shared" si="148"/>
        <v>No</v>
      </c>
      <c r="R1401" t="str" cm="1">
        <f t="array" ref="R1401">_xlfn.IFS(K1401=0,"On Time",K1401&lt;=2,"Minor",K1401&lt;=5,"Major",K1401&gt;5,"Severe")</f>
        <v>Major</v>
      </c>
      <c r="S1401">
        <f t="shared" si="149"/>
        <v>4895</v>
      </c>
      <c r="T1401">
        <f t="shared" si="150"/>
        <v>2077</v>
      </c>
      <c r="U1401">
        <f t="shared" si="151"/>
        <v>2024</v>
      </c>
      <c r="V1401">
        <f t="shared" si="152"/>
        <v>4</v>
      </c>
      <c r="W1401" s="11">
        <f t="shared" si="153"/>
        <v>1</v>
      </c>
    </row>
    <row r="1402" spans="1:23">
      <c r="A1402" t="s">
        <v>1415</v>
      </c>
      <c r="B1402" s="4">
        <v>45538</v>
      </c>
      <c r="C1402" t="s">
        <v>2018</v>
      </c>
      <c r="D1402" t="s">
        <v>2024</v>
      </c>
      <c r="E1402" t="s">
        <v>2029</v>
      </c>
      <c r="F1402" t="s">
        <v>2032</v>
      </c>
      <c r="G1402" t="s">
        <v>2037</v>
      </c>
      <c r="H1402" t="s">
        <v>2040</v>
      </c>
      <c r="I1402">
        <v>5</v>
      </c>
      <c r="J1402">
        <v>11</v>
      </c>
      <c r="K1402">
        <v>6</v>
      </c>
      <c r="L1402" t="s">
        <v>2041</v>
      </c>
      <c r="M1402">
        <v>430</v>
      </c>
      <c r="N1402">
        <v>6234</v>
      </c>
      <c r="O1402">
        <v>12726</v>
      </c>
      <c r="P1402" s="13">
        <f t="shared" si="147"/>
        <v>0</v>
      </c>
      <c r="Q1402" t="str">
        <f t="shared" si="148"/>
        <v>No</v>
      </c>
      <c r="R1402" t="str" cm="1">
        <f t="array" ref="R1402">_xlfn.IFS(K1402=0,"On Time",K1402&lt;=2,"Minor",K1402&lt;=5,"Major",K1402&gt;5,"Severe")</f>
        <v>Severe</v>
      </c>
      <c r="S1402">
        <f t="shared" si="149"/>
        <v>2121</v>
      </c>
      <c r="T1402">
        <f t="shared" si="150"/>
        <v>1039</v>
      </c>
      <c r="U1402">
        <f t="shared" si="151"/>
        <v>2024</v>
      </c>
      <c r="V1402">
        <f t="shared" si="152"/>
        <v>9</v>
      </c>
      <c r="W1402" s="11">
        <f t="shared" si="153"/>
        <v>1</v>
      </c>
    </row>
    <row r="1403" spans="1:23">
      <c r="A1403" t="s">
        <v>1416</v>
      </c>
      <c r="B1403" s="4">
        <v>45620</v>
      </c>
      <c r="C1403" t="s">
        <v>2016</v>
      </c>
      <c r="D1403" t="s">
        <v>2025</v>
      </c>
      <c r="E1403" t="s">
        <v>2028</v>
      </c>
      <c r="F1403" t="s">
        <v>2030</v>
      </c>
      <c r="G1403" t="s">
        <v>2037</v>
      </c>
      <c r="H1403" t="s">
        <v>2040</v>
      </c>
      <c r="I1403">
        <v>2</v>
      </c>
      <c r="J1403">
        <v>5</v>
      </c>
      <c r="K1403">
        <v>3</v>
      </c>
      <c r="L1403" t="s">
        <v>2041</v>
      </c>
      <c r="M1403">
        <v>141</v>
      </c>
      <c r="N1403">
        <v>4113</v>
      </c>
      <c r="O1403">
        <v>9846</v>
      </c>
      <c r="P1403" s="13">
        <f t="shared" si="147"/>
        <v>0</v>
      </c>
      <c r="Q1403" t="str">
        <f t="shared" si="148"/>
        <v>No</v>
      </c>
      <c r="R1403" t="str" cm="1">
        <f t="array" ref="R1403">_xlfn.IFS(K1403=0,"On Time",K1403&lt;=2,"Minor",K1403&lt;=5,"Major",K1403&gt;5,"Severe")</f>
        <v>Major</v>
      </c>
      <c r="S1403">
        <f t="shared" si="149"/>
        <v>3282</v>
      </c>
      <c r="T1403">
        <f t="shared" si="150"/>
        <v>1371</v>
      </c>
      <c r="U1403">
        <f t="shared" si="151"/>
        <v>2024</v>
      </c>
      <c r="V1403">
        <f t="shared" si="152"/>
        <v>11</v>
      </c>
      <c r="W1403" s="11">
        <f t="shared" si="153"/>
        <v>1</v>
      </c>
    </row>
    <row r="1404" spans="1:23">
      <c r="A1404" t="s">
        <v>1417</v>
      </c>
      <c r="B1404" s="4">
        <v>45578</v>
      </c>
      <c r="C1404" t="s">
        <v>2016</v>
      </c>
      <c r="D1404" t="s">
        <v>2025</v>
      </c>
      <c r="E1404" t="s">
        <v>2029</v>
      </c>
      <c r="F1404" t="s">
        <v>2031</v>
      </c>
      <c r="G1404" t="s">
        <v>2033</v>
      </c>
      <c r="H1404" t="s">
        <v>2038</v>
      </c>
      <c r="I1404">
        <v>5</v>
      </c>
      <c r="J1404">
        <v>6</v>
      </c>
      <c r="K1404">
        <v>1</v>
      </c>
      <c r="L1404" t="s">
        <v>2041</v>
      </c>
      <c r="M1404">
        <v>178</v>
      </c>
      <c r="N1404">
        <v>1763</v>
      </c>
      <c r="O1404">
        <v>2403</v>
      </c>
      <c r="P1404" s="13">
        <f t="shared" si="147"/>
        <v>0</v>
      </c>
      <c r="Q1404" t="str">
        <f t="shared" si="148"/>
        <v>No</v>
      </c>
      <c r="R1404" t="str" cm="1">
        <f t="array" ref="R1404">_xlfn.IFS(K1404=0,"On Time",K1404&lt;=2,"Minor",K1404&lt;=5,"Major",K1404&gt;5,"Severe")</f>
        <v>Minor</v>
      </c>
      <c r="S1404">
        <f t="shared" si="149"/>
        <v>2403</v>
      </c>
      <c r="T1404">
        <f t="shared" si="150"/>
        <v>1763</v>
      </c>
      <c r="U1404">
        <f t="shared" si="151"/>
        <v>2024</v>
      </c>
      <c r="V1404">
        <f t="shared" si="152"/>
        <v>10</v>
      </c>
      <c r="W1404" s="11">
        <f t="shared" si="153"/>
        <v>1</v>
      </c>
    </row>
    <row r="1405" spans="1:23">
      <c r="A1405" t="s">
        <v>1418</v>
      </c>
      <c r="B1405" s="4">
        <v>45438</v>
      </c>
      <c r="C1405" t="s">
        <v>2016</v>
      </c>
      <c r="D1405" t="s">
        <v>2021</v>
      </c>
      <c r="E1405" t="s">
        <v>2028</v>
      </c>
      <c r="F1405" t="s">
        <v>2031</v>
      </c>
      <c r="G1405" t="s">
        <v>2034</v>
      </c>
      <c r="H1405" t="s">
        <v>2040</v>
      </c>
      <c r="I1405">
        <v>2</v>
      </c>
      <c r="J1405">
        <v>9</v>
      </c>
      <c r="K1405">
        <v>7</v>
      </c>
      <c r="L1405" t="s">
        <v>2041</v>
      </c>
      <c r="M1405">
        <v>452</v>
      </c>
      <c r="N1405">
        <v>7196</v>
      </c>
      <c r="O1405">
        <v>34853</v>
      </c>
      <c r="P1405" s="13">
        <f t="shared" si="147"/>
        <v>0</v>
      </c>
      <c r="Q1405" t="str">
        <f t="shared" si="148"/>
        <v>No</v>
      </c>
      <c r="R1405" t="str" cm="1">
        <f t="array" ref="R1405">_xlfn.IFS(K1405=0,"On Time",K1405&lt;=2,"Minor",K1405&lt;=5,"Major",K1405&gt;5,"Severe")</f>
        <v>Severe</v>
      </c>
      <c r="S1405">
        <f t="shared" si="149"/>
        <v>4979</v>
      </c>
      <c r="T1405">
        <f t="shared" si="150"/>
        <v>1028</v>
      </c>
      <c r="U1405">
        <f t="shared" si="151"/>
        <v>2024</v>
      </c>
      <c r="V1405">
        <f t="shared" si="152"/>
        <v>5</v>
      </c>
      <c r="W1405" s="11">
        <f t="shared" si="153"/>
        <v>1</v>
      </c>
    </row>
    <row r="1406" spans="1:23">
      <c r="A1406" t="s">
        <v>1419</v>
      </c>
      <c r="B1406" s="4">
        <v>45435</v>
      </c>
      <c r="C1406" t="s">
        <v>2018</v>
      </c>
      <c r="D1406" t="s">
        <v>2024</v>
      </c>
      <c r="E1406" t="s">
        <v>2029</v>
      </c>
      <c r="F1406" t="s">
        <v>2030</v>
      </c>
      <c r="G1406" t="s">
        <v>2036</v>
      </c>
      <c r="H1406" t="s">
        <v>2038</v>
      </c>
      <c r="I1406">
        <v>1</v>
      </c>
      <c r="J1406">
        <v>2</v>
      </c>
      <c r="K1406">
        <v>1</v>
      </c>
      <c r="L1406" t="s">
        <v>2041</v>
      </c>
      <c r="M1406">
        <v>335</v>
      </c>
      <c r="N1406">
        <v>1301</v>
      </c>
      <c r="O1406">
        <v>3600</v>
      </c>
      <c r="P1406" s="13">
        <f t="shared" si="147"/>
        <v>0</v>
      </c>
      <c r="Q1406" t="str">
        <f t="shared" si="148"/>
        <v>No</v>
      </c>
      <c r="R1406" t="str" cm="1">
        <f t="array" ref="R1406">_xlfn.IFS(K1406=0,"On Time",K1406&lt;=2,"Minor",K1406&lt;=5,"Major",K1406&gt;5,"Severe")</f>
        <v>Minor</v>
      </c>
      <c r="S1406">
        <f t="shared" si="149"/>
        <v>3600</v>
      </c>
      <c r="T1406">
        <f t="shared" si="150"/>
        <v>1301</v>
      </c>
      <c r="U1406">
        <f t="shared" si="151"/>
        <v>2024</v>
      </c>
      <c r="V1406">
        <f t="shared" si="152"/>
        <v>5</v>
      </c>
      <c r="W1406" s="11">
        <f t="shared" si="153"/>
        <v>1</v>
      </c>
    </row>
    <row r="1407" spans="1:23">
      <c r="A1407" t="s">
        <v>1420</v>
      </c>
      <c r="B1407" s="4">
        <v>45391</v>
      </c>
      <c r="C1407" t="s">
        <v>2017</v>
      </c>
      <c r="D1407" t="s">
        <v>2022</v>
      </c>
      <c r="E1407" t="s">
        <v>2029</v>
      </c>
      <c r="F1407" t="s">
        <v>2030</v>
      </c>
      <c r="G1407" t="s">
        <v>2034</v>
      </c>
      <c r="H1407" t="s">
        <v>2038</v>
      </c>
      <c r="I1407">
        <v>1</v>
      </c>
      <c r="J1407">
        <v>5</v>
      </c>
      <c r="K1407">
        <v>4</v>
      </c>
      <c r="L1407" t="s">
        <v>2041</v>
      </c>
      <c r="M1407">
        <v>373</v>
      </c>
      <c r="N1407">
        <v>9292</v>
      </c>
      <c r="O1407">
        <v>15140</v>
      </c>
      <c r="P1407" s="13">
        <f t="shared" si="147"/>
        <v>0</v>
      </c>
      <c r="Q1407" t="str">
        <f t="shared" si="148"/>
        <v>No</v>
      </c>
      <c r="R1407" t="str" cm="1">
        <f t="array" ref="R1407">_xlfn.IFS(K1407=0,"On Time",K1407&lt;=2,"Minor",K1407&lt;=5,"Major",K1407&gt;5,"Severe")</f>
        <v>Major</v>
      </c>
      <c r="S1407">
        <f t="shared" si="149"/>
        <v>3785</v>
      </c>
      <c r="T1407">
        <f t="shared" si="150"/>
        <v>2323</v>
      </c>
      <c r="U1407">
        <f t="shared" si="151"/>
        <v>2024</v>
      </c>
      <c r="V1407">
        <f t="shared" si="152"/>
        <v>4</v>
      </c>
      <c r="W1407" s="11">
        <f t="shared" si="153"/>
        <v>1</v>
      </c>
    </row>
    <row r="1408" spans="1:23">
      <c r="A1408" t="s">
        <v>1421</v>
      </c>
      <c r="B1408" s="4">
        <v>45321</v>
      </c>
      <c r="C1408" t="s">
        <v>2015</v>
      </c>
      <c r="D1408" t="s">
        <v>2019</v>
      </c>
      <c r="E1408" t="s">
        <v>2029</v>
      </c>
      <c r="F1408" t="s">
        <v>2031</v>
      </c>
      <c r="G1408" t="s">
        <v>2036</v>
      </c>
      <c r="H1408" t="s">
        <v>2039</v>
      </c>
      <c r="I1408">
        <v>2</v>
      </c>
      <c r="J1408">
        <v>7</v>
      </c>
      <c r="K1408">
        <v>5</v>
      </c>
      <c r="L1408" t="s">
        <v>2041</v>
      </c>
      <c r="M1408">
        <v>166</v>
      </c>
      <c r="N1408">
        <v>6585</v>
      </c>
      <c r="O1408">
        <v>10150</v>
      </c>
      <c r="P1408" s="13">
        <f t="shared" si="147"/>
        <v>0</v>
      </c>
      <c r="Q1408" t="str">
        <f t="shared" si="148"/>
        <v>No</v>
      </c>
      <c r="R1408" t="str" cm="1">
        <f t="array" ref="R1408">_xlfn.IFS(K1408=0,"On Time",K1408&lt;=2,"Minor",K1408&lt;=5,"Major",K1408&gt;5,"Severe")</f>
        <v>Major</v>
      </c>
      <c r="S1408">
        <f t="shared" si="149"/>
        <v>2030</v>
      </c>
      <c r="T1408">
        <f t="shared" si="150"/>
        <v>1317</v>
      </c>
      <c r="U1408">
        <f t="shared" si="151"/>
        <v>2024</v>
      </c>
      <c r="V1408">
        <f t="shared" si="152"/>
        <v>1</v>
      </c>
      <c r="W1408" s="11">
        <f t="shared" si="153"/>
        <v>1</v>
      </c>
    </row>
    <row r="1409" spans="1:23">
      <c r="A1409" t="s">
        <v>1422</v>
      </c>
      <c r="B1409" s="4">
        <v>45527</v>
      </c>
      <c r="C1409" t="s">
        <v>2017</v>
      </c>
      <c r="D1409" t="s">
        <v>2022</v>
      </c>
      <c r="E1409" t="s">
        <v>2027</v>
      </c>
      <c r="F1409" t="s">
        <v>2032</v>
      </c>
      <c r="G1409" t="s">
        <v>2035</v>
      </c>
      <c r="H1409" t="s">
        <v>2040</v>
      </c>
      <c r="I1409">
        <v>3</v>
      </c>
      <c r="J1409">
        <v>7</v>
      </c>
      <c r="K1409">
        <v>4</v>
      </c>
      <c r="L1409" t="s">
        <v>2041</v>
      </c>
      <c r="M1409">
        <v>368</v>
      </c>
      <c r="N1409">
        <v>6956</v>
      </c>
      <c r="O1409">
        <v>15116</v>
      </c>
      <c r="P1409" s="13">
        <f t="shared" si="147"/>
        <v>0</v>
      </c>
      <c r="Q1409" t="str">
        <f t="shared" si="148"/>
        <v>No</v>
      </c>
      <c r="R1409" t="str" cm="1">
        <f t="array" ref="R1409">_xlfn.IFS(K1409=0,"On Time",K1409&lt;=2,"Minor",K1409&lt;=5,"Major",K1409&gt;5,"Severe")</f>
        <v>Major</v>
      </c>
      <c r="S1409">
        <f t="shared" si="149"/>
        <v>3779</v>
      </c>
      <c r="T1409">
        <f t="shared" si="150"/>
        <v>1739</v>
      </c>
      <c r="U1409">
        <f t="shared" si="151"/>
        <v>2024</v>
      </c>
      <c r="V1409">
        <f t="shared" si="152"/>
        <v>8</v>
      </c>
      <c r="W1409" s="11">
        <f t="shared" si="153"/>
        <v>1</v>
      </c>
    </row>
    <row r="1410" spans="1:23">
      <c r="A1410" t="s">
        <v>1423</v>
      </c>
      <c r="B1410" s="4">
        <v>45322</v>
      </c>
      <c r="C1410" t="s">
        <v>2018</v>
      </c>
      <c r="D1410" t="s">
        <v>2024</v>
      </c>
      <c r="E1410" t="s">
        <v>2029</v>
      </c>
      <c r="F1410" t="s">
        <v>2031</v>
      </c>
      <c r="G1410" t="s">
        <v>2035</v>
      </c>
      <c r="H1410" t="s">
        <v>2040</v>
      </c>
      <c r="I1410">
        <v>3</v>
      </c>
      <c r="J1410">
        <v>6</v>
      </c>
      <c r="K1410">
        <v>3</v>
      </c>
      <c r="L1410" t="s">
        <v>2041</v>
      </c>
      <c r="M1410">
        <v>390</v>
      </c>
      <c r="N1410">
        <v>5142</v>
      </c>
      <c r="O1410">
        <v>9339</v>
      </c>
      <c r="P1410" s="13">
        <f t="shared" si="147"/>
        <v>0</v>
      </c>
      <c r="Q1410" t="str">
        <f t="shared" si="148"/>
        <v>No</v>
      </c>
      <c r="R1410" t="str" cm="1">
        <f t="array" ref="R1410">_xlfn.IFS(K1410=0,"On Time",K1410&lt;=2,"Minor",K1410&lt;=5,"Major",K1410&gt;5,"Severe")</f>
        <v>Major</v>
      </c>
      <c r="S1410">
        <f t="shared" si="149"/>
        <v>3113</v>
      </c>
      <c r="T1410">
        <f t="shared" si="150"/>
        <v>1714</v>
      </c>
      <c r="U1410">
        <f t="shared" si="151"/>
        <v>2024</v>
      </c>
      <c r="V1410">
        <f t="shared" si="152"/>
        <v>1</v>
      </c>
      <c r="W1410" s="11">
        <f t="shared" si="153"/>
        <v>1</v>
      </c>
    </row>
    <row r="1411" spans="1:23">
      <c r="A1411" t="s">
        <v>1424</v>
      </c>
      <c r="B1411" s="4">
        <v>45569</v>
      </c>
      <c r="C1411" t="s">
        <v>2015</v>
      </c>
      <c r="D1411" t="s">
        <v>2019</v>
      </c>
      <c r="E1411" t="s">
        <v>2027</v>
      </c>
      <c r="F1411" t="s">
        <v>2031</v>
      </c>
      <c r="G1411" t="s">
        <v>2035</v>
      </c>
      <c r="H1411" t="s">
        <v>2039</v>
      </c>
      <c r="I1411">
        <v>2</v>
      </c>
      <c r="J1411">
        <v>2</v>
      </c>
      <c r="K1411">
        <v>0</v>
      </c>
      <c r="L1411" t="s">
        <v>2042</v>
      </c>
      <c r="M1411">
        <v>97</v>
      </c>
      <c r="N1411">
        <v>0</v>
      </c>
      <c r="O1411">
        <v>0</v>
      </c>
      <c r="P1411" s="13">
        <f t="shared" ref="P1411:P1474" si="154">IF(L1411="Yes",0,1)</f>
        <v>1</v>
      </c>
      <c r="Q1411" t="str">
        <f t="shared" ref="Q1411:Q1474" si="155">IF(K1411&gt;J1411,"Yes","No")</f>
        <v>No</v>
      </c>
      <c r="R1411" t="str" cm="1">
        <f t="array" ref="R1411">_xlfn.IFS(K1411=0,"On Time",K1411&lt;=2,"Minor",K1411&lt;=5,"Major",K1411&gt;5,"Severe")</f>
        <v>On Time</v>
      </c>
      <c r="S1411">
        <f t="shared" ref="S1411:S1474" si="156">IFERROR(O1411/K1411,0)</f>
        <v>0</v>
      </c>
      <c r="T1411">
        <f t="shared" ref="T1411:T1474" si="157">IFERROR(N1411/K1411,0)</f>
        <v>0</v>
      </c>
      <c r="U1411">
        <f t="shared" ref="U1411:U1474" si="158">YEAR(B1411)</f>
        <v>2024</v>
      </c>
      <c r="V1411">
        <f t="shared" ref="V1411:V1474" si="159">MONTH(B1411)</f>
        <v>10</v>
      </c>
      <c r="W1411" s="11">
        <f t="shared" ref="W1411:W1474" si="160">IF(L1411="Yes",1,0)</f>
        <v>0</v>
      </c>
    </row>
    <row r="1412" spans="1:23">
      <c r="A1412" t="s">
        <v>1425</v>
      </c>
      <c r="B1412" s="4">
        <v>45450</v>
      </c>
      <c r="C1412" t="s">
        <v>2015</v>
      </c>
      <c r="D1412" t="s">
        <v>2019</v>
      </c>
      <c r="E1412" t="s">
        <v>2028</v>
      </c>
      <c r="F1412" t="s">
        <v>2032</v>
      </c>
      <c r="G1412" t="s">
        <v>2036</v>
      </c>
      <c r="H1412" t="s">
        <v>2038</v>
      </c>
      <c r="I1412">
        <v>3</v>
      </c>
      <c r="J1412">
        <v>8</v>
      </c>
      <c r="K1412">
        <v>5</v>
      </c>
      <c r="L1412" t="s">
        <v>2041</v>
      </c>
      <c r="M1412">
        <v>385</v>
      </c>
      <c r="N1412">
        <v>10450</v>
      </c>
      <c r="O1412">
        <v>23545</v>
      </c>
      <c r="P1412" s="13">
        <f t="shared" si="154"/>
        <v>0</v>
      </c>
      <c r="Q1412" t="str">
        <f t="shared" si="155"/>
        <v>No</v>
      </c>
      <c r="R1412" t="str" cm="1">
        <f t="array" ref="R1412">_xlfn.IFS(K1412=0,"On Time",K1412&lt;=2,"Minor",K1412&lt;=5,"Major",K1412&gt;5,"Severe")</f>
        <v>Major</v>
      </c>
      <c r="S1412">
        <f t="shared" si="156"/>
        <v>4709</v>
      </c>
      <c r="T1412">
        <f t="shared" si="157"/>
        <v>2090</v>
      </c>
      <c r="U1412">
        <f t="shared" si="158"/>
        <v>2024</v>
      </c>
      <c r="V1412">
        <f t="shared" si="159"/>
        <v>6</v>
      </c>
      <c r="W1412" s="11">
        <f t="shared" si="160"/>
        <v>1</v>
      </c>
    </row>
    <row r="1413" spans="1:23">
      <c r="A1413" t="s">
        <v>1426</v>
      </c>
      <c r="B1413" s="4">
        <v>45504</v>
      </c>
      <c r="C1413" t="s">
        <v>2015</v>
      </c>
      <c r="D1413" t="s">
        <v>2020</v>
      </c>
      <c r="E1413" t="s">
        <v>2029</v>
      </c>
      <c r="F1413" t="s">
        <v>2030</v>
      </c>
      <c r="G1413" t="s">
        <v>2037</v>
      </c>
      <c r="H1413" t="s">
        <v>2039</v>
      </c>
      <c r="I1413">
        <v>2</v>
      </c>
      <c r="J1413">
        <v>7</v>
      </c>
      <c r="K1413">
        <v>5</v>
      </c>
      <c r="L1413" t="s">
        <v>2041</v>
      </c>
      <c r="M1413">
        <v>367</v>
      </c>
      <c r="N1413">
        <v>7820</v>
      </c>
      <c r="O1413">
        <v>24675</v>
      </c>
      <c r="P1413" s="13">
        <f t="shared" si="154"/>
        <v>0</v>
      </c>
      <c r="Q1413" t="str">
        <f t="shared" si="155"/>
        <v>No</v>
      </c>
      <c r="R1413" t="str" cm="1">
        <f t="array" ref="R1413">_xlfn.IFS(K1413=0,"On Time",K1413&lt;=2,"Minor",K1413&lt;=5,"Major",K1413&gt;5,"Severe")</f>
        <v>Major</v>
      </c>
      <c r="S1413">
        <f t="shared" si="156"/>
        <v>4935</v>
      </c>
      <c r="T1413">
        <f t="shared" si="157"/>
        <v>1564</v>
      </c>
      <c r="U1413">
        <f t="shared" si="158"/>
        <v>2024</v>
      </c>
      <c r="V1413">
        <f t="shared" si="159"/>
        <v>7</v>
      </c>
      <c r="W1413" s="11">
        <f t="shared" si="160"/>
        <v>1</v>
      </c>
    </row>
    <row r="1414" spans="1:23">
      <c r="A1414" t="s">
        <v>1427</v>
      </c>
      <c r="B1414" s="4">
        <v>45645</v>
      </c>
      <c r="C1414" t="s">
        <v>2018</v>
      </c>
      <c r="D1414" t="s">
        <v>2026</v>
      </c>
      <c r="E1414" t="s">
        <v>2027</v>
      </c>
      <c r="F1414" t="s">
        <v>2032</v>
      </c>
      <c r="G1414" t="s">
        <v>2033</v>
      </c>
      <c r="H1414" t="s">
        <v>2038</v>
      </c>
      <c r="I1414">
        <v>2</v>
      </c>
      <c r="J1414">
        <v>7</v>
      </c>
      <c r="K1414">
        <v>5</v>
      </c>
      <c r="L1414" t="s">
        <v>2041</v>
      </c>
      <c r="M1414">
        <v>259</v>
      </c>
      <c r="N1414">
        <v>12095</v>
      </c>
      <c r="O1414">
        <v>18295</v>
      </c>
      <c r="P1414" s="13">
        <f t="shared" si="154"/>
        <v>0</v>
      </c>
      <c r="Q1414" t="str">
        <f t="shared" si="155"/>
        <v>No</v>
      </c>
      <c r="R1414" t="str" cm="1">
        <f t="array" ref="R1414">_xlfn.IFS(K1414=0,"On Time",K1414&lt;=2,"Minor",K1414&lt;=5,"Major",K1414&gt;5,"Severe")</f>
        <v>Major</v>
      </c>
      <c r="S1414">
        <f t="shared" si="156"/>
        <v>3659</v>
      </c>
      <c r="T1414">
        <f t="shared" si="157"/>
        <v>2419</v>
      </c>
      <c r="U1414">
        <f t="shared" si="158"/>
        <v>2024</v>
      </c>
      <c r="V1414">
        <f t="shared" si="159"/>
        <v>12</v>
      </c>
      <c r="W1414" s="11">
        <f t="shared" si="160"/>
        <v>1</v>
      </c>
    </row>
    <row r="1415" spans="1:23">
      <c r="A1415" t="s">
        <v>1428</v>
      </c>
      <c r="B1415" s="4">
        <v>45643</v>
      </c>
      <c r="C1415" t="s">
        <v>2016</v>
      </c>
      <c r="D1415" t="s">
        <v>2025</v>
      </c>
      <c r="E1415" t="s">
        <v>2027</v>
      </c>
      <c r="F1415" t="s">
        <v>2031</v>
      </c>
      <c r="G1415" t="s">
        <v>2036</v>
      </c>
      <c r="H1415" t="s">
        <v>2040</v>
      </c>
      <c r="I1415">
        <v>5</v>
      </c>
      <c r="J1415">
        <v>11</v>
      </c>
      <c r="K1415">
        <v>6</v>
      </c>
      <c r="L1415" t="s">
        <v>2041</v>
      </c>
      <c r="M1415">
        <v>416</v>
      </c>
      <c r="N1415">
        <v>11952</v>
      </c>
      <c r="O1415">
        <v>12948</v>
      </c>
      <c r="P1415" s="13">
        <f t="shared" si="154"/>
        <v>0</v>
      </c>
      <c r="Q1415" t="str">
        <f t="shared" si="155"/>
        <v>No</v>
      </c>
      <c r="R1415" t="str" cm="1">
        <f t="array" ref="R1415">_xlfn.IFS(K1415=0,"On Time",K1415&lt;=2,"Minor",K1415&lt;=5,"Major",K1415&gt;5,"Severe")</f>
        <v>Severe</v>
      </c>
      <c r="S1415">
        <f t="shared" si="156"/>
        <v>2158</v>
      </c>
      <c r="T1415">
        <f t="shared" si="157"/>
        <v>1992</v>
      </c>
      <c r="U1415">
        <f t="shared" si="158"/>
        <v>2024</v>
      </c>
      <c r="V1415">
        <f t="shared" si="159"/>
        <v>12</v>
      </c>
      <c r="W1415" s="11">
        <f t="shared" si="160"/>
        <v>1</v>
      </c>
    </row>
    <row r="1416" spans="1:23">
      <c r="A1416" t="s">
        <v>1429</v>
      </c>
      <c r="B1416" s="4">
        <v>45319</v>
      </c>
      <c r="C1416" t="s">
        <v>2015</v>
      </c>
      <c r="D1416" t="s">
        <v>2020</v>
      </c>
      <c r="E1416" t="s">
        <v>2029</v>
      </c>
      <c r="F1416" t="s">
        <v>2030</v>
      </c>
      <c r="G1416" t="s">
        <v>2037</v>
      </c>
      <c r="H1416" t="s">
        <v>2040</v>
      </c>
      <c r="I1416">
        <v>2</v>
      </c>
      <c r="J1416">
        <v>4</v>
      </c>
      <c r="K1416">
        <v>2</v>
      </c>
      <c r="L1416" t="s">
        <v>2041</v>
      </c>
      <c r="M1416">
        <v>193</v>
      </c>
      <c r="N1416">
        <v>4906</v>
      </c>
      <c r="O1416">
        <v>9792</v>
      </c>
      <c r="P1416" s="13">
        <f t="shared" si="154"/>
        <v>0</v>
      </c>
      <c r="Q1416" t="str">
        <f t="shared" si="155"/>
        <v>No</v>
      </c>
      <c r="R1416" t="str" cm="1">
        <f t="array" ref="R1416">_xlfn.IFS(K1416=0,"On Time",K1416&lt;=2,"Minor",K1416&lt;=5,"Major",K1416&gt;5,"Severe")</f>
        <v>Minor</v>
      </c>
      <c r="S1416">
        <f t="shared" si="156"/>
        <v>4896</v>
      </c>
      <c r="T1416">
        <f t="shared" si="157"/>
        <v>2453</v>
      </c>
      <c r="U1416">
        <f t="shared" si="158"/>
        <v>2024</v>
      </c>
      <c r="V1416">
        <f t="shared" si="159"/>
        <v>1</v>
      </c>
      <c r="W1416" s="11">
        <f t="shared" si="160"/>
        <v>1</v>
      </c>
    </row>
    <row r="1417" spans="1:23">
      <c r="A1417" t="s">
        <v>1430</v>
      </c>
      <c r="B1417" s="4">
        <v>45336</v>
      </c>
      <c r="C1417" t="s">
        <v>2016</v>
      </c>
      <c r="D1417" t="s">
        <v>2021</v>
      </c>
      <c r="E1417" t="s">
        <v>2027</v>
      </c>
      <c r="F1417" t="s">
        <v>2031</v>
      </c>
      <c r="G1417" t="s">
        <v>2035</v>
      </c>
      <c r="H1417" t="s">
        <v>2040</v>
      </c>
      <c r="I1417">
        <v>2</v>
      </c>
      <c r="J1417">
        <v>9</v>
      </c>
      <c r="K1417">
        <v>7</v>
      </c>
      <c r="L1417" t="s">
        <v>2041</v>
      </c>
      <c r="M1417">
        <v>240</v>
      </c>
      <c r="N1417">
        <v>8750</v>
      </c>
      <c r="O1417">
        <v>20461</v>
      </c>
      <c r="P1417" s="13">
        <f t="shared" si="154"/>
        <v>0</v>
      </c>
      <c r="Q1417" t="str">
        <f t="shared" si="155"/>
        <v>No</v>
      </c>
      <c r="R1417" t="str" cm="1">
        <f t="array" ref="R1417">_xlfn.IFS(K1417=0,"On Time",K1417&lt;=2,"Minor",K1417&lt;=5,"Major",K1417&gt;5,"Severe")</f>
        <v>Severe</v>
      </c>
      <c r="S1417">
        <f t="shared" si="156"/>
        <v>2923</v>
      </c>
      <c r="T1417">
        <f t="shared" si="157"/>
        <v>1250</v>
      </c>
      <c r="U1417">
        <f t="shared" si="158"/>
        <v>2024</v>
      </c>
      <c r="V1417">
        <f t="shared" si="159"/>
        <v>2</v>
      </c>
      <c r="W1417" s="11">
        <f t="shared" si="160"/>
        <v>1</v>
      </c>
    </row>
    <row r="1418" spans="1:23">
      <c r="A1418" t="s">
        <v>1431</v>
      </c>
      <c r="B1418" s="4">
        <v>45587</v>
      </c>
      <c r="C1418" t="s">
        <v>2016</v>
      </c>
      <c r="D1418" t="s">
        <v>2021</v>
      </c>
      <c r="E1418" t="s">
        <v>2029</v>
      </c>
      <c r="F1418" t="s">
        <v>2031</v>
      </c>
      <c r="G1418" t="s">
        <v>2037</v>
      </c>
      <c r="H1418" t="s">
        <v>2038</v>
      </c>
      <c r="I1418">
        <v>3</v>
      </c>
      <c r="J1418">
        <v>7</v>
      </c>
      <c r="K1418">
        <v>4</v>
      </c>
      <c r="L1418" t="s">
        <v>2041</v>
      </c>
      <c r="M1418">
        <v>445</v>
      </c>
      <c r="N1418">
        <v>3892</v>
      </c>
      <c r="O1418">
        <v>11644</v>
      </c>
      <c r="P1418" s="13">
        <f t="shared" si="154"/>
        <v>0</v>
      </c>
      <c r="Q1418" t="str">
        <f t="shared" si="155"/>
        <v>No</v>
      </c>
      <c r="R1418" t="str" cm="1">
        <f t="array" ref="R1418">_xlfn.IFS(K1418=0,"On Time",K1418&lt;=2,"Minor",K1418&lt;=5,"Major",K1418&gt;5,"Severe")</f>
        <v>Major</v>
      </c>
      <c r="S1418">
        <f t="shared" si="156"/>
        <v>2911</v>
      </c>
      <c r="T1418">
        <f t="shared" si="157"/>
        <v>973</v>
      </c>
      <c r="U1418">
        <f t="shared" si="158"/>
        <v>2024</v>
      </c>
      <c r="V1418">
        <f t="shared" si="159"/>
        <v>10</v>
      </c>
      <c r="W1418" s="11">
        <f t="shared" si="160"/>
        <v>1</v>
      </c>
    </row>
    <row r="1419" spans="1:23">
      <c r="A1419" t="s">
        <v>1432</v>
      </c>
      <c r="B1419" s="4">
        <v>45588</v>
      </c>
      <c r="C1419" t="s">
        <v>2016</v>
      </c>
      <c r="D1419" t="s">
        <v>2021</v>
      </c>
      <c r="E1419" t="s">
        <v>2029</v>
      </c>
      <c r="F1419" t="s">
        <v>2032</v>
      </c>
      <c r="G1419" t="s">
        <v>2033</v>
      </c>
      <c r="H1419" t="s">
        <v>2039</v>
      </c>
      <c r="I1419">
        <v>3</v>
      </c>
      <c r="J1419">
        <v>7</v>
      </c>
      <c r="K1419">
        <v>4</v>
      </c>
      <c r="L1419" t="s">
        <v>2041</v>
      </c>
      <c r="M1419">
        <v>390</v>
      </c>
      <c r="N1419">
        <v>9728</v>
      </c>
      <c r="O1419">
        <v>15576</v>
      </c>
      <c r="P1419" s="13">
        <f t="shared" si="154"/>
        <v>0</v>
      </c>
      <c r="Q1419" t="str">
        <f t="shared" si="155"/>
        <v>No</v>
      </c>
      <c r="R1419" t="str" cm="1">
        <f t="array" ref="R1419">_xlfn.IFS(K1419=0,"On Time",K1419&lt;=2,"Minor",K1419&lt;=5,"Major",K1419&gt;5,"Severe")</f>
        <v>Major</v>
      </c>
      <c r="S1419">
        <f t="shared" si="156"/>
        <v>3894</v>
      </c>
      <c r="T1419">
        <f t="shared" si="157"/>
        <v>2432</v>
      </c>
      <c r="U1419">
        <f t="shared" si="158"/>
        <v>2024</v>
      </c>
      <c r="V1419">
        <f t="shared" si="159"/>
        <v>10</v>
      </c>
      <c r="W1419" s="11">
        <f t="shared" si="160"/>
        <v>1</v>
      </c>
    </row>
    <row r="1420" spans="1:23">
      <c r="A1420" t="s">
        <v>1433</v>
      </c>
      <c r="B1420" s="4">
        <v>45376</v>
      </c>
      <c r="C1420" t="s">
        <v>2016</v>
      </c>
      <c r="D1420" t="s">
        <v>2025</v>
      </c>
      <c r="E1420" t="s">
        <v>2028</v>
      </c>
      <c r="F1420" t="s">
        <v>2031</v>
      </c>
      <c r="G1420" t="s">
        <v>2034</v>
      </c>
      <c r="H1420" t="s">
        <v>2038</v>
      </c>
      <c r="I1420">
        <v>2</v>
      </c>
      <c r="J1420">
        <v>6</v>
      </c>
      <c r="K1420">
        <v>4</v>
      </c>
      <c r="L1420" t="s">
        <v>2041</v>
      </c>
      <c r="M1420">
        <v>156</v>
      </c>
      <c r="N1420">
        <v>7700</v>
      </c>
      <c r="O1420">
        <v>9808</v>
      </c>
      <c r="P1420" s="13">
        <f t="shared" si="154"/>
        <v>0</v>
      </c>
      <c r="Q1420" t="str">
        <f t="shared" si="155"/>
        <v>No</v>
      </c>
      <c r="R1420" t="str" cm="1">
        <f t="array" ref="R1420">_xlfn.IFS(K1420=0,"On Time",K1420&lt;=2,"Minor",K1420&lt;=5,"Major",K1420&gt;5,"Severe")</f>
        <v>Major</v>
      </c>
      <c r="S1420">
        <f t="shared" si="156"/>
        <v>2452</v>
      </c>
      <c r="T1420">
        <f t="shared" si="157"/>
        <v>1925</v>
      </c>
      <c r="U1420">
        <f t="shared" si="158"/>
        <v>2024</v>
      </c>
      <c r="V1420">
        <f t="shared" si="159"/>
        <v>3</v>
      </c>
      <c r="W1420" s="11">
        <f t="shared" si="160"/>
        <v>1</v>
      </c>
    </row>
    <row r="1421" spans="1:23">
      <c r="A1421" t="s">
        <v>1434</v>
      </c>
      <c r="B1421" s="4">
        <v>45549</v>
      </c>
      <c r="C1421" t="s">
        <v>2015</v>
      </c>
      <c r="D1421" t="s">
        <v>2019</v>
      </c>
      <c r="E1421" t="s">
        <v>2027</v>
      </c>
      <c r="F1421" t="s">
        <v>2031</v>
      </c>
      <c r="G1421" t="s">
        <v>2034</v>
      </c>
      <c r="H1421" t="s">
        <v>2038</v>
      </c>
      <c r="I1421">
        <v>1</v>
      </c>
      <c r="J1421">
        <v>2</v>
      </c>
      <c r="K1421">
        <v>1</v>
      </c>
      <c r="L1421" t="s">
        <v>2041</v>
      </c>
      <c r="M1421">
        <v>479</v>
      </c>
      <c r="N1421">
        <v>1805</v>
      </c>
      <c r="O1421">
        <v>1695</v>
      </c>
      <c r="P1421" s="13">
        <f t="shared" si="154"/>
        <v>0</v>
      </c>
      <c r="Q1421" t="str">
        <f t="shared" si="155"/>
        <v>No</v>
      </c>
      <c r="R1421" t="str" cm="1">
        <f t="array" ref="R1421">_xlfn.IFS(K1421=0,"On Time",K1421&lt;=2,"Minor",K1421&lt;=5,"Major",K1421&gt;5,"Severe")</f>
        <v>Minor</v>
      </c>
      <c r="S1421">
        <f t="shared" si="156"/>
        <v>1695</v>
      </c>
      <c r="T1421">
        <f t="shared" si="157"/>
        <v>1805</v>
      </c>
      <c r="U1421">
        <f t="shared" si="158"/>
        <v>2024</v>
      </c>
      <c r="V1421">
        <f t="shared" si="159"/>
        <v>9</v>
      </c>
      <c r="W1421" s="11">
        <f t="shared" si="160"/>
        <v>1</v>
      </c>
    </row>
    <row r="1422" spans="1:23">
      <c r="A1422" t="s">
        <v>1435</v>
      </c>
      <c r="B1422" s="4">
        <v>45443</v>
      </c>
      <c r="C1422" t="s">
        <v>2017</v>
      </c>
      <c r="D1422" t="s">
        <v>2023</v>
      </c>
      <c r="E1422" t="s">
        <v>2028</v>
      </c>
      <c r="F1422" t="s">
        <v>2032</v>
      </c>
      <c r="G1422" t="s">
        <v>2036</v>
      </c>
      <c r="H1422" t="s">
        <v>2038</v>
      </c>
      <c r="I1422">
        <v>5</v>
      </c>
      <c r="J1422">
        <v>8</v>
      </c>
      <c r="K1422">
        <v>3</v>
      </c>
      <c r="L1422" t="s">
        <v>2041</v>
      </c>
      <c r="M1422">
        <v>279</v>
      </c>
      <c r="N1422">
        <v>3789</v>
      </c>
      <c r="O1422">
        <v>11922</v>
      </c>
      <c r="P1422" s="13">
        <f t="shared" si="154"/>
        <v>0</v>
      </c>
      <c r="Q1422" t="str">
        <f t="shared" si="155"/>
        <v>No</v>
      </c>
      <c r="R1422" t="str" cm="1">
        <f t="array" ref="R1422">_xlfn.IFS(K1422=0,"On Time",K1422&lt;=2,"Minor",K1422&lt;=5,"Major",K1422&gt;5,"Severe")</f>
        <v>Major</v>
      </c>
      <c r="S1422">
        <f t="shared" si="156"/>
        <v>3974</v>
      </c>
      <c r="T1422">
        <f t="shared" si="157"/>
        <v>1263</v>
      </c>
      <c r="U1422">
        <f t="shared" si="158"/>
        <v>2024</v>
      </c>
      <c r="V1422">
        <f t="shared" si="159"/>
        <v>5</v>
      </c>
      <c r="W1422" s="11">
        <f t="shared" si="160"/>
        <v>1</v>
      </c>
    </row>
    <row r="1423" spans="1:23">
      <c r="A1423" t="s">
        <v>1436</v>
      </c>
      <c r="B1423" s="4">
        <v>45528</v>
      </c>
      <c r="C1423" t="s">
        <v>2016</v>
      </c>
      <c r="D1423" t="s">
        <v>2021</v>
      </c>
      <c r="E1423" t="s">
        <v>2027</v>
      </c>
      <c r="F1423" t="s">
        <v>2030</v>
      </c>
      <c r="G1423" t="s">
        <v>2033</v>
      </c>
      <c r="H1423" t="s">
        <v>2040</v>
      </c>
      <c r="I1423">
        <v>2</v>
      </c>
      <c r="J1423">
        <v>8</v>
      </c>
      <c r="K1423">
        <v>6</v>
      </c>
      <c r="L1423" t="s">
        <v>2041</v>
      </c>
      <c r="M1423">
        <v>74</v>
      </c>
      <c r="N1423">
        <v>10986</v>
      </c>
      <c r="O1423">
        <v>21870</v>
      </c>
      <c r="P1423" s="13">
        <f t="shared" si="154"/>
        <v>0</v>
      </c>
      <c r="Q1423" t="str">
        <f t="shared" si="155"/>
        <v>No</v>
      </c>
      <c r="R1423" t="str" cm="1">
        <f t="array" ref="R1423">_xlfn.IFS(K1423=0,"On Time",K1423&lt;=2,"Minor",K1423&lt;=5,"Major",K1423&gt;5,"Severe")</f>
        <v>Severe</v>
      </c>
      <c r="S1423">
        <f t="shared" si="156"/>
        <v>3645</v>
      </c>
      <c r="T1423">
        <f t="shared" si="157"/>
        <v>1831</v>
      </c>
      <c r="U1423">
        <f t="shared" si="158"/>
        <v>2024</v>
      </c>
      <c r="V1423">
        <f t="shared" si="159"/>
        <v>8</v>
      </c>
      <c r="W1423" s="11">
        <f t="shared" si="160"/>
        <v>1</v>
      </c>
    </row>
    <row r="1424" spans="1:23">
      <c r="A1424" t="s">
        <v>1437</v>
      </c>
      <c r="B1424" s="4">
        <v>45398</v>
      </c>
      <c r="C1424" t="s">
        <v>2016</v>
      </c>
      <c r="D1424" t="s">
        <v>2021</v>
      </c>
      <c r="E1424" t="s">
        <v>2028</v>
      </c>
      <c r="F1424" t="s">
        <v>2032</v>
      </c>
      <c r="G1424" t="s">
        <v>2037</v>
      </c>
      <c r="H1424" t="s">
        <v>2038</v>
      </c>
      <c r="I1424">
        <v>1</v>
      </c>
      <c r="J1424">
        <v>3</v>
      </c>
      <c r="K1424">
        <v>2</v>
      </c>
      <c r="L1424" t="s">
        <v>2041</v>
      </c>
      <c r="M1424">
        <v>429</v>
      </c>
      <c r="N1424">
        <v>2826</v>
      </c>
      <c r="O1424">
        <v>9744</v>
      </c>
      <c r="P1424" s="13">
        <f t="shared" si="154"/>
        <v>0</v>
      </c>
      <c r="Q1424" t="str">
        <f t="shared" si="155"/>
        <v>No</v>
      </c>
      <c r="R1424" t="str" cm="1">
        <f t="array" ref="R1424">_xlfn.IFS(K1424=0,"On Time",K1424&lt;=2,"Minor",K1424&lt;=5,"Major",K1424&gt;5,"Severe")</f>
        <v>Minor</v>
      </c>
      <c r="S1424">
        <f t="shared" si="156"/>
        <v>4872</v>
      </c>
      <c r="T1424">
        <f t="shared" si="157"/>
        <v>1413</v>
      </c>
      <c r="U1424">
        <f t="shared" si="158"/>
        <v>2024</v>
      </c>
      <c r="V1424">
        <f t="shared" si="159"/>
        <v>4</v>
      </c>
      <c r="W1424" s="11">
        <f t="shared" si="160"/>
        <v>1</v>
      </c>
    </row>
    <row r="1425" spans="1:23">
      <c r="A1425" t="s">
        <v>1438</v>
      </c>
      <c r="B1425" s="4">
        <v>45376</v>
      </c>
      <c r="C1425" t="s">
        <v>2018</v>
      </c>
      <c r="D1425" t="s">
        <v>2024</v>
      </c>
      <c r="E1425" t="s">
        <v>2028</v>
      </c>
      <c r="F1425" t="s">
        <v>2031</v>
      </c>
      <c r="G1425" t="s">
        <v>2037</v>
      </c>
      <c r="H1425" t="s">
        <v>2038</v>
      </c>
      <c r="I1425">
        <v>3</v>
      </c>
      <c r="J1425">
        <v>7</v>
      </c>
      <c r="K1425">
        <v>4</v>
      </c>
      <c r="L1425" t="s">
        <v>2041</v>
      </c>
      <c r="M1425">
        <v>60</v>
      </c>
      <c r="N1425">
        <v>8696</v>
      </c>
      <c r="O1425">
        <v>8920</v>
      </c>
      <c r="P1425" s="13">
        <f t="shared" si="154"/>
        <v>0</v>
      </c>
      <c r="Q1425" t="str">
        <f t="shared" si="155"/>
        <v>No</v>
      </c>
      <c r="R1425" t="str" cm="1">
        <f t="array" ref="R1425">_xlfn.IFS(K1425=0,"On Time",K1425&lt;=2,"Minor",K1425&lt;=5,"Major",K1425&gt;5,"Severe")</f>
        <v>Major</v>
      </c>
      <c r="S1425">
        <f t="shared" si="156"/>
        <v>2230</v>
      </c>
      <c r="T1425">
        <f t="shared" si="157"/>
        <v>2174</v>
      </c>
      <c r="U1425">
        <f t="shared" si="158"/>
        <v>2024</v>
      </c>
      <c r="V1425">
        <f t="shared" si="159"/>
        <v>3</v>
      </c>
      <c r="W1425" s="11">
        <f t="shared" si="160"/>
        <v>1</v>
      </c>
    </row>
    <row r="1426" spans="1:23">
      <c r="A1426" t="s">
        <v>1439</v>
      </c>
      <c r="B1426" s="4">
        <v>45542</v>
      </c>
      <c r="C1426" t="s">
        <v>2018</v>
      </c>
      <c r="D1426" t="s">
        <v>2024</v>
      </c>
      <c r="E1426" t="s">
        <v>2027</v>
      </c>
      <c r="F1426" t="s">
        <v>2031</v>
      </c>
      <c r="G1426" t="s">
        <v>2037</v>
      </c>
      <c r="H1426" t="s">
        <v>2039</v>
      </c>
      <c r="I1426">
        <v>5</v>
      </c>
      <c r="J1426">
        <v>7</v>
      </c>
      <c r="K1426">
        <v>2</v>
      </c>
      <c r="L1426" t="s">
        <v>2041</v>
      </c>
      <c r="M1426">
        <v>425</v>
      </c>
      <c r="N1426">
        <v>2528</v>
      </c>
      <c r="O1426">
        <v>9202</v>
      </c>
      <c r="P1426" s="13">
        <f t="shared" si="154"/>
        <v>0</v>
      </c>
      <c r="Q1426" t="str">
        <f t="shared" si="155"/>
        <v>No</v>
      </c>
      <c r="R1426" t="str" cm="1">
        <f t="array" ref="R1426">_xlfn.IFS(K1426=0,"On Time",K1426&lt;=2,"Minor",K1426&lt;=5,"Major",K1426&gt;5,"Severe")</f>
        <v>Minor</v>
      </c>
      <c r="S1426">
        <f t="shared" si="156"/>
        <v>4601</v>
      </c>
      <c r="T1426">
        <f t="shared" si="157"/>
        <v>1264</v>
      </c>
      <c r="U1426">
        <f t="shared" si="158"/>
        <v>2024</v>
      </c>
      <c r="V1426">
        <f t="shared" si="159"/>
        <v>9</v>
      </c>
      <c r="W1426" s="11">
        <f t="shared" si="160"/>
        <v>1</v>
      </c>
    </row>
    <row r="1427" spans="1:23">
      <c r="A1427" t="s">
        <v>1440</v>
      </c>
      <c r="B1427" s="4">
        <v>45338</v>
      </c>
      <c r="C1427" t="s">
        <v>2016</v>
      </c>
      <c r="D1427" t="s">
        <v>2021</v>
      </c>
      <c r="E1427" t="s">
        <v>2029</v>
      </c>
      <c r="F1427" t="s">
        <v>2030</v>
      </c>
      <c r="G1427" t="s">
        <v>2036</v>
      </c>
      <c r="H1427" t="s">
        <v>2040</v>
      </c>
      <c r="I1427">
        <v>2</v>
      </c>
      <c r="J1427">
        <v>4</v>
      </c>
      <c r="K1427">
        <v>2</v>
      </c>
      <c r="L1427" t="s">
        <v>2041</v>
      </c>
      <c r="M1427">
        <v>254</v>
      </c>
      <c r="N1427">
        <v>2064</v>
      </c>
      <c r="O1427">
        <v>6280</v>
      </c>
      <c r="P1427" s="13">
        <f t="shared" si="154"/>
        <v>0</v>
      </c>
      <c r="Q1427" t="str">
        <f t="shared" si="155"/>
        <v>No</v>
      </c>
      <c r="R1427" t="str" cm="1">
        <f t="array" ref="R1427">_xlfn.IFS(K1427=0,"On Time",K1427&lt;=2,"Minor",K1427&lt;=5,"Major",K1427&gt;5,"Severe")</f>
        <v>Minor</v>
      </c>
      <c r="S1427">
        <f t="shared" si="156"/>
        <v>3140</v>
      </c>
      <c r="T1427">
        <f t="shared" si="157"/>
        <v>1032</v>
      </c>
      <c r="U1427">
        <f t="shared" si="158"/>
        <v>2024</v>
      </c>
      <c r="V1427">
        <f t="shared" si="159"/>
        <v>2</v>
      </c>
      <c r="W1427" s="11">
        <f t="shared" si="160"/>
        <v>1</v>
      </c>
    </row>
    <row r="1428" spans="1:23">
      <c r="A1428" t="s">
        <v>1441</v>
      </c>
      <c r="B1428" s="4">
        <v>45293</v>
      </c>
      <c r="C1428" t="s">
        <v>2017</v>
      </c>
      <c r="D1428" t="s">
        <v>2022</v>
      </c>
      <c r="E1428" t="s">
        <v>2029</v>
      </c>
      <c r="F1428" t="s">
        <v>2030</v>
      </c>
      <c r="G1428" t="s">
        <v>2036</v>
      </c>
      <c r="H1428" t="s">
        <v>2038</v>
      </c>
      <c r="I1428">
        <v>3</v>
      </c>
      <c r="J1428">
        <v>5</v>
      </c>
      <c r="K1428">
        <v>2</v>
      </c>
      <c r="L1428" t="s">
        <v>2041</v>
      </c>
      <c r="M1428">
        <v>417</v>
      </c>
      <c r="N1428">
        <v>1710</v>
      </c>
      <c r="O1428">
        <v>5084</v>
      </c>
      <c r="P1428" s="13">
        <f t="shared" si="154"/>
        <v>0</v>
      </c>
      <c r="Q1428" t="str">
        <f t="shared" si="155"/>
        <v>No</v>
      </c>
      <c r="R1428" t="str" cm="1">
        <f t="array" ref="R1428">_xlfn.IFS(K1428=0,"On Time",K1428&lt;=2,"Minor",K1428&lt;=5,"Major",K1428&gt;5,"Severe")</f>
        <v>Minor</v>
      </c>
      <c r="S1428">
        <f t="shared" si="156"/>
        <v>2542</v>
      </c>
      <c r="T1428">
        <f t="shared" si="157"/>
        <v>855</v>
      </c>
      <c r="U1428">
        <f t="shared" si="158"/>
        <v>2024</v>
      </c>
      <c r="V1428">
        <f t="shared" si="159"/>
        <v>1</v>
      </c>
      <c r="W1428" s="11">
        <f t="shared" si="160"/>
        <v>1</v>
      </c>
    </row>
    <row r="1429" spans="1:23">
      <c r="A1429" t="s">
        <v>1442</v>
      </c>
      <c r="B1429" s="4">
        <v>45591</v>
      </c>
      <c r="C1429" t="s">
        <v>2016</v>
      </c>
      <c r="D1429" t="s">
        <v>2021</v>
      </c>
      <c r="E1429" t="s">
        <v>2029</v>
      </c>
      <c r="F1429" t="s">
        <v>2030</v>
      </c>
      <c r="G1429" t="s">
        <v>2033</v>
      </c>
      <c r="H1429" t="s">
        <v>2039</v>
      </c>
      <c r="I1429">
        <v>2</v>
      </c>
      <c r="J1429">
        <v>3</v>
      </c>
      <c r="K1429">
        <v>1</v>
      </c>
      <c r="L1429" t="s">
        <v>2041</v>
      </c>
      <c r="M1429">
        <v>114</v>
      </c>
      <c r="N1429">
        <v>2290</v>
      </c>
      <c r="O1429">
        <v>2133</v>
      </c>
      <c r="P1429" s="13">
        <f t="shared" si="154"/>
        <v>0</v>
      </c>
      <c r="Q1429" t="str">
        <f t="shared" si="155"/>
        <v>No</v>
      </c>
      <c r="R1429" t="str" cm="1">
        <f t="array" ref="R1429">_xlfn.IFS(K1429=0,"On Time",K1429&lt;=2,"Minor",K1429&lt;=5,"Major",K1429&gt;5,"Severe")</f>
        <v>Minor</v>
      </c>
      <c r="S1429">
        <f t="shared" si="156"/>
        <v>2133</v>
      </c>
      <c r="T1429">
        <f t="shared" si="157"/>
        <v>2290</v>
      </c>
      <c r="U1429">
        <f t="shared" si="158"/>
        <v>2024</v>
      </c>
      <c r="V1429">
        <f t="shared" si="159"/>
        <v>10</v>
      </c>
      <c r="W1429" s="11">
        <f t="shared" si="160"/>
        <v>1</v>
      </c>
    </row>
    <row r="1430" spans="1:23">
      <c r="A1430" t="s">
        <v>1443</v>
      </c>
      <c r="B1430" s="4">
        <v>45325</v>
      </c>
      <c r="C1430" t="s">
        <v>2017</v>
      </c>
      <c r="D1430" t="s">
        <v>2023</v>
      </c>
      <c r="E1430" t="s">
        <v>2027</v>
      </c>
      <c r="F1430" t="s">
        <v>2031</v>
      </c>
      <c r="G1430" t="s">
        <v>2037</v>
      </c>
      <c r="H1430" t="s">
        <v>2040</v>
      </c>
      <c r="I1430">
        <v>1</v>
      </c>
      <c r="J1430">
        <v>6</v>
      </c>
      <c r="K1430">
        <v>5</v>
      </c>
      <c r="L1430" t="s">
        <v>2041</v>
      </c>
      <c r="M1430">
        <v>280</v>
      </c>
      <c r="N1430">
        <v>8085</v>
      </c>
      <c r="O1430">
        <v>13015</v>
      </c>
      <c r="P1430" s="13">
        <f t="shared" si="154"/>
        <v>0</v>
      </c>
      <c r="Q1430" t="str">
        <f t="shared" si="155"/>
        <v>No</v>
      </c>
      <c r="R1430" t="str" cm="1">
        <f t="array" ref="R1430">_xlfn.IFS(K1430=0,"On Time",K1430&lt;=2,"Minor",K1430&lt;=5,"Major",K1430&gt;5,"Severe")</f>
        <v>Major</v>
      </c>
      <c r="S1430">
        <f t="shared" si="156"/>
        <v>2603</v>
      </c>
      <c r="T1430">
        <f t="shared" si="157"/>
        <v>1617</v>
      </c>
      <c r="U1430">
        <f t="shared" si="158"/>
        <v>2024</v>
      </c>
      <c r="V1430">
        <f t="shared" si="159"/>
        <v>2</v>
      </c>
      <c r="W1430" s="11">
        <f t="shared" si="160"/>
        <v>1</v>
      </c>
    </row>
    <row r="1431" spans="1:23">
      <c r="A1431" t="s">
        <v>1444</v>
      </c>
      <c r="B1431" s="4">
        <v>45551</v>
      </c>
      <c r="C1431" t="s">
        <v>2016</v>
      </c>
      <c r="D1431" t="s">
        <v>2025</v>
      </c>
      <c r="E1431" t="s">
        <v>2027</v>
      </c>
      <c r="F1431" t="s">
        <v>2031</v>
      </c>
      <c r="G1431" t="s">
        <v>2037</v>
      </c>
      <c r="H1431" t="s">
        <v>2039</v>
      </c>
      <c r="I1431">
        <v>2</v>
      </c>
      <c r="J1431">
        <v>5</v>
      </c>
      <c r="K1431">
        <v>3</v>
      </c>
      <c r="L1431" t="s">
        <v>2041</v>
      </c>
      <c r="M1431">
        <v>373</v>
      </c>
      <c r="N1431">
        <v>2604</v>
      </c>
      <c r="O1431">
        <v>6306</v>
      </c>
      <c r="P1431" s="13">
        <f t="shared" si="154"/>
        <v>0</v>
      </c>
      <c r="Q1431" t="str">
        <f t="shared" si="155"/>
        <v>No</v>
      </c>
      <c r="R1431" t="str" cm="1">
        <f t="array" ref="R1431">_xlfn.IFS(K1431=0,"On Time",K1431&lt;=2,"Minor",K1431&lt;=5,"Major",K1431&gt;5,"Severe")</f>
        <v>Major</v>
      </c>
      <c r="S1431">
        <f t="shared" si="156"/>
        <v>2102</v>
      </c>
      <c r="T1431">
        <f t="shared" si="157"/>
        <v>868</v>
      </c>
      <c r="U1431">
        <f t="shared" si="158"/>
        <v>2024</v>
      </c>
      <c r="V1431">
        <f t="shared" si="159"/>
        <v>9</v>
      </c>
      <c r="W1431" s="11">
        <f t="shared" si="160"/>
        <v>1</v>
      </c>
    </row>
    <row r="1432" spans="1:23">
      <c r="A1432" t="s">
        <v>1445</v>
      </c>
      <c r="B1432" s="4">
        <v>45634</v>
      </c>
      <c r="C1432" t="s">
        <v>2017</v>
      </c>
      <c r="D1432" t="s">
        <v>2022</v>
      </c>
      <c r="E1432" t="s">
        <v>2029</v>
      </c>
      <c r="F1432" t="s">
        <v>2031</v>
      </c>
      <c r="G1432" t="s">
        <v>2033</v>
      </c>
      <c r="H1432" t="s">
        <v>2038</v>
      </c>
      <c r="I1432">
        <v>5</v>
      </c>
      <c r="J1432">
        <v>6</v>
      </c>
      <c r="K1432">
        <v>1</v>
      </c>
      <c r="L1432" t="s">
        <v>2041</v>
      </c>
      <c r="M1432">
        <v>57</v>
      </c>
      <c r="N1432">
        <v>1786</v>
      </c>
      <c r="O1432">
        <v>1805</v>
      </c>
      <c r="P1432" s="13">
        <f t="shared" si="154"/>
        <v>0</v>
      </c>
      <c r="Q1432" t="str">
        <f t="shared" si="155"/>
        <v>No</v>
      </c>
      <c r="R1432" t="str" cm="1">
        <f t="array" ref="R1432">_xlfn.IFS(K1432=0,"On Time",K1432&lt;=2,"Minor",K1432&lt;=5,"Major",K1432&gt;5,"Severe")</f>
        <v>Minor</v>
      </c>
      <c r="S1432">
        <f t="shared" si="156"/>
        <v>1805</v>
      </c>
      <c r="T1432">
        <f t="shared" si="157"/>
        <v>1786</v>
      </c>
      <c r="U1432">
        <f t="shared" si="158"/>
        <v>2024</v>
      </c>
      <c r="V1432">
        <f t="shared" si="159"/>
        <v>12</v>
      </c>
      <c r="W1432" s="11">
        <f t="shared" si="160"/>
        <v>1</v>
      </c>
    </row>
    <row r="1433" spans="1:23">
      <c r="A1433" t="s">
        <v>1446</v>
      </c>
      <c r="B1433" s="4">
        <v>45463</v>
      </c>
      <c r="C1433" t="s">
        <v>2016</v>
      </c>
      <c r="D1433" t="s">
        <v>2021</v>
      </c>
      <c r="E1433" t="s">
        <v>2029</v>
      </c>
      <c r="F1433" t="s">
        <v>2030</v>
      </c>
      <c r="G1433" t="s">
        <v>2034</v>
      </c>
      <c r="H1433" t="s">
        <v>2039</v>
      </c>
      <c r="I1433">
        <v>2</v>
      </c>
      <c r="J1433">
        <v>3</v>
      </c>
      <c r="K1433">
        <v>1</v>
      </c>
      <c r="L1433" t="s">
        <v>2041</v>
      </c>
      <c r="M1433">
        <v>193</v>
      </c>
      <c r="N1433">
        <v>1866</v>
      </c>
      <c r="O1433">
        <v>2690</v>
      </c>
      <c r="P1433" s="13">
        <f t="shared" si="154"/>
        <v>0</v>
      </c>
      <c r="Q1433" t="str">
        <f t="shared" si="155"/>
        <v>No</v>
      </c>
      <c r="R1433" t="str" cm="1">
        <f t="array" ref="R1433">_xlfn.IFS(K1433=0,"On Time",K1433&lt;=2,"Minor",K1433&lt;=5,"Major",K1433&gt;5,"Severe")</f>
        <v>Minor</v>
      </c>
      <c r="S1433">
        <f t="shared" si="156"/>
        <v>2690</v>
      </c>
      <c r="T1433">
        <f t="shared" si="157"/>
        <v>1866</v>
      </c>
      <c r="U1433">
        <f t="shared" si="158"/>
        <v>2024</v>
      </c>
      <c r="V1433">
        <f t="shared" si="159"/>
        <v>6</v>
      </c>
      <c r="W1433" s="11">
        <f t="shared" si="160"/>
        <v>1</v>
      </c>
    </row>
    <row r="1434" spans="1:23">
      <c r="A1434" t="s">
        <v>1447</v>
      </c>
      <c r="B1434" s="4">
        <v>45347</v>
      </c>
      <c r="C1434" t="s">
        <v>2016</v>
      </c>
      <c r="D1434" t="s">
        <v>2021</v>
      </c>
      <c r="E1434" t="s">
        <v>2028</v>
      </c>
      <c r="F1434" t="s">
        <v>2030</v>
      </c>
      <c r="G1434" t="s">
        <v>2036</v>
      </c>
      <c r="H1434" t="s">
        <v>2038</v>
      </c>
      <c r="I1434">
        <v>1</v>
      </c>
      <c r="J1434">
        <v>2</v>
      </c>
      <c r="K1434">
        <v>1</v>
      </c>
      <c r="L1434" t="s">
        <v>2041</v>
      </c>
      <c r="M1434">
        <v>99</v>
      </c>
      <c r="N1434">
        <v>1213</v>
      </c>
      <c r="O1434">
        <v>2759</v>
      </c>
      <c r="P1434" s="13">
        <f t="shared" si="154"/>
        <v>0</v>
      </c>
      <c r="Q1434" t="str">
        <f t="shared" si="155"/>
        <v>No</v>
      </c>
      <c r="R1434" t="str" cm="1">
        <f t="array" ref="R1434">_xlfn.IFS(K1434=0,"On Time",K1434&lt;=2,"Minor",K1434&lt;=5,"Major",K1434&gt;5,"Severe")</f>
        <v>Minor</v>
      </c>
      <c r="S1434">
        <f t="shared" si="156"/>
        <v>2759</v>
      </c>
      <c r="T1434">
        <f t="shared" si="157"/>
        <v>1213</v>
      </c>
      <c r="U1434">
        <f t="shared" si="158"/>
        <v>2024</v>
      </c>
      <c r="V1434">
        <f t="shared" si="159"/>
        <v>2</v>
      </c>
      <c r="W1434" s="11">
        <f t="shared" si="160"/>
        <v>1</v>
      </c>
    </row>
    <row r="1435" spans="1:23">
      <c r="A1435" t="s">
        <v>1448</v>
      </c>
      <c r="B1435" s="4">
        <v>45511</v>
      </c>
      <c r="C1435" t="s">
        <v>2015</v>
      </c>
      <c r="D1435" t="s">
        <v>2019</v>
      </c>
      <c r="E1435" t="s">
        <v>2027</v>
      </c>
      <c r="F1435" t="s">
        <v>2031</v>
      </c>
      <c r="G1435" t="s">
        <v>2036</v>
      </c>
      <c r="H1435" t="s">
        <v>2038</v>
      </c>
      <c r="I1435">
        <v>2</v>
      </c>
      <c r="J1435">
        <v>5</v>
      </c>
      <c r="K1435">
        <v>3</v>
      </c>
      <c r="L1435" t="s">
        <v>2041</v>
      </c>
      <c r="M1435">
        <v>414</v>
      </c>
      <c r="N1435">
        <v>2607</v>
      </c>
      <c r="O1435">
        <v>6768</v>
      </c>
      <c r="P1435" s="13">
        <f t="shared" si="154"/>
        <v>0</v>
      </c>
      <c r="Q1435" t="str">
        <f t="shared" si="155"/>
        <v>No</v>
      </c>
      <c r="R1435" t="str" cm="1">
        <f t="array" ref="R1435">_xlfn.IFS(K1435=0,"On Time",K1435&lt;=2,"Minor",K1435&lt;=5,"Major",K1435&gt;5,"Severe")</f>
        <v>Major</v>
      </c>
      <c r="S1435">
        <f t="shared" si="156"/>
        <v>2256</v>
      </c>
      <c r="T1435">
        <f t="shared" si="157"/>
        <v>869</v>
      </c>
      <c r="U1435">
        <f t="shared" si="158"/>
        <v>2024</v>
      </c>
      <c r="V1435">
        <f t="shared" si="159"/>
        <v>8</v>
      </c>
      <c r="W1435" s="11">
        <f t="shared" si="160"/>
        <v>1</v>
      </c>
    </row>
    <row r="1436" spans="1:23">
      <c r="A1436" t="s">
        <v>1449</v>
      </c>
      <c r="B1436" s="4">
        <v>45515</v>
      </c>
      <c r="C1436" t="s">
        <v>2015</v>
      </c>
      <c r="D1436" t="s">
        <v>2020</v>
      </c>
      <c r="E1436" t="s">
        <v>2029</v>
      </c>
      <c r="F1436" t="s">
        <v>2032</v>
      </c>
      <c r="G1436" t="s">
        <v>2037</v>
      </c>
      <c r="H1436" t="s">
        <v>2039</v>
      </c>
      <c r="I1436">
        <v>2</v>
      </c>
      <c r="J1436">
        <v>4</v>
      </c>
      <c r="K1436">
        <v>2</v>
      </c>
      <c r="L1436" t="s">
        <v>2041</v>
      </c>
      <c r="M1436">
        <v>311</v>
      </c>
      <c r="N1436">
        <v>4522</v>
      </c>
      <c r="O1436">
        <v>9880</v>
      </c>
      <c r="P1436" s="13">
        <f t="shared" si="154"/>
        <v>0</v>
      </c>
      <c r="Q1436" t="str">
        <f t="shared" si="155"/>
        <v>No</v>
      </c>
      <c r="R1436" t="str" cm="1">
        <f t="array" ref="R1436">_xlfn.IFS(K1436=0,"On Time",K1436&lt;=2,"Minor",K1436&lt;=5,"Major",K1436&gt;5,"Severe")</f>
        <v>Minor</v>
      </c>
      <c r="S1436">
        <f t="shared" si="156"/>
        <v>4940</v>
      </c>
      <c r="T1436">
        <f t="shared" si="157"/>
        <v>2261</v>
      </c>
      <c r="U1436">
        <f t="shared" si="158"/>
        <v>2024</v>
      </c>
      <c r="V1436">
        <f t="shared" si="159"/>
        <v>8</v>
      </c>
      <c r="W1436" s="11">
        <f t="shared" si="160"/>
        <v>1</v>
      </c>
    </row>
    <row r="1437" spans="1:23">
      <c r="A1437" t="s">
        <v>1450</v>
      </c>
      <c r="B1437" s="4">
        <v>45533</v>
      </c>
      <c r="C1437" t="s">
        <v>2016</v>
      </c>
      <c r="D1437" t="s">
        <v>2021</v>
      </c>
      <c r="E1437" t="s">
        <v>2027</v>
      </c>
      <c r="F1437" t="s">
        <v>2031</v>
      </c>
      <c r="G1437" t="s">
        <v>2033</v>
      </c>
      <c r="H1437" t="s">
        <v>2040</v>
      </c>
      <c r="I1437">
        <v>1</v>
      </c>
      <c r="J1437">
        <v>6</v>
      </c>
      <c r="K1437">
        <v>5</v>
      </c>
      <c r="L1437" t="s">
        <v>2041</v>
      </c>
      <c r="M1437">
        <v>365</v>
      </c>
      <c r="N1437">
        <v>7040</v>
      </c>
      <c r="O1437">
        <v>24740</v>
      </c>
      <c r="P1437" s="13">
        <f t="shared" si="154"/>
        <v>0</v>
      </c>
      <c r="Q1437" t="str">
        <f t="shared" si="155"/>
        <v>No</v>
      </c>
      <c r="R1437" t="str" cm="1">
        <f t="array" ref="R1437">_xlfn.IFS(K1437=0,"On Time",K1437&lt;=2,"Minor",K1437&lt;=5,"Major",K1437&gt;5,"Severe")</f>
        <v>Major</v>
      </c>
      <c r="S1437">
        <f t="shared" si="156"/>
        <v>4948</v>
      </c>
      <c r="T1437">
        <f t="shared" si="157"/>
        <v>1408</v>
      </c>
      <c r="U1437">
        <f t="shared" si="158"/>
        <v>2024</v>
      </c>
      <c r="V1437">
        <f t="shared" si="159"/>
        <v>8</v>
      </c>
      <c r="W1437" s="11">
        <f t="shared" si="160"/>
        <v>1</v>
      </c>
    </row>
    <row r="1438" spans="1:23">
      <c r="A1438" t="s">
        <v>1451</v>
      </c>
      <c r="B1438" s="4">
        <v>45421</v>
      </c>
      <c r="C1438" t="s">
        <v>2018</v>
      </c>
      <c r="D1438" t="s">
        <v>2026</v>
      </c>
      <c r="E1438" t="s">
        <v>2029</v>
      </c>
      <c r="F1438" t="s">
        <v>2032</v>
      </c>
      <c r="G1438" t="s">
        <v>2035</v>
      </c>
      <c r="H1438" t="s">
        <v>2039</v>
      </c>
      <c r="I1438">
        <v>2</v>
      </c>
      <c r="J1438">
        <v>5</v>
      </c>
      <c r="K1438">
        <v>3</v>
      </c>
      <c r="L1438" t="s">
        <v>2041</v>
      </c>
      <c r="M1438">
        <v>95</v>
      </c>
      <c r="N1438">
        <v>3111</v>
      </c>
      <c r="O1438">
        <v>5427</v>
      </c>
      <c r="P1438" s="13">
        <f t="shared" si="154"/>
        <v>0</v>
      </c>
      <c r="Q1438" t="str">
        <f t="shared" si="155"/>
        <v>No</v>
      </c>
      <c r="R1438" t="str" cm="1">
        <f t="array" ref="R1438">_xlfn.IFS(K1438=0,"On Time",K1438&lt;=2,"Minor",K1438&lt;=5,"Major",K1438&gt;5,"Severe")</f>
        <v>Major</v>
      </c>
      <c r="S1438">
        <f t="shared" si="156"/>
        <v>1809</v>
      </c>
      <c r="T1438">
        <f t="shared" si="157"/>
        <v>1037</v>
      </c>
      <c r="U1438">
        <f t="shared" si="158"/>
        <v>2024</v>
      </c>
      <c r="V1438">
        <f t="shared" si="159"/>
        <v>5</v>
      </c>
      <c r="W1438" s="11">
        <f t="shared" si="160"/>
        <v>1</v>
      </c>
    </row>
    <row r="1439" spans="1:23">
      <c r="A1439" t="s">
        <v>1452</v>
      </c>
      <c r="B1439" s="4">
        <v>45478</v>
      </c>
      <c r="C1439" t="s">
        <v>2015</v>
      </c>
      <c r="D1439" t="s">
        <v>2020</v>
      </c>
      <c r="E1439" t="s">
        <v>2029</v>
      </c>
      <c r="F1439" t="s">
        <v>2030</v>
      </c>
      <c r="G1439" t="s">
        <v>2033</v>
      </c>
      <c r="H1439" t="s">
        <v>2040</v>
      </c>
      <c r="I1439">
        <v>3</v>
      </c>
      <c r="J1439">
        <v>6</v>
      </c>
      <c r="K1439">
        <v>3</v>
      </c>
      <c r="L1439" t="s">
        <v>2041</v>
      </c>
      <c r="M1439">
        <v>310</v>
      </c>
      <c r="N1439">
        <v>3903</v>
      </c>
      <c r="O1439">
        <v>6249</v>
      </c>
      <c r="P1439" s="13">
        <f t="shared" si="154"/>
        <v>0</v>
      </c>
      <c r="Q1439" t="str">
        <f t="shared" si="155"/>
        <v>No</v>
      </c>
      <c r="R1439" t="str" cm="1">
        <f t="array" ref="R1439">_xlfn.IFS(K1439=0,"On Time",K1439&lt;=2,"Minor",K1439&lt;=5,"Major",K1439&gt;5,"Severe")</f>
        <v>Major</v>
      </c>
      <c r="S1439">
        <f t="shared" si="156"/>
        <v>2083</v>
      </c>
      <c r="T1439">
        <f t="shared" si="157"/>
        <v>1301</v>
      </c>
      <c r="U1439">
        <f t="shared" si="158"/>
        <v>2024</v>
      </c>
      <c r="V1439">
        <f t="shared" si="159"/>
        <v>7</v>
      </c>
      <c r="W1439" s="11">
        <f t="shared" si="160"/>
        <v>1</v>
      </c>
    </row>
    <row r="1440" spans="1:23">
      <c r="A1440" t="s">
        <v>1453</v>
      </c>
      <c r="B1440" s="4">
        <v>45521</v>
      </c>
      <c r="C1440" t="s">
        <v>2017</v>
      </c>
      <c r="D1440" t="s">
        <v>2023</v>
      </c>
      <c r="E1440" t="s">
        <v>2028</v>
      </c>
      <c r="F1440" t="s">
        <v>2031</v>
      </c>
      <c r="G1440" t="s">
        <v>2034</v>
      </c>
      <c r="H1440" t="s">
        <v>2039</v>
      </c>
      <c r="I1440">
        <v>2</v>
      </c>
      <c r="J1440">
        <v>5</v>
      </c>
      <c r="K1440">
        <v>3</v>
      </c>
      <c r="L1440" t="s">
        <v>2041</v>
      </c>
      <c r="M1440">
        <v>116</v>
      </c>
      <c r="N1440">
        <v>2730</v>
      </c>
      <c r="O1440">
        <v>11691</v>
      </c>
      <c r="P1440" s="13">
        <f t="shared" si="154"/>
        <v>0</v>
      </c>
      <c r="Q1440" t="str">
        <f t="shared" si="155"/>
        <v>No</v>
      </c>
      <c r="R1440" t="str" cm="1">
        <f t="array" ref="R1440">_xlfn.IFS(K1440=0,"On Time",K1440&lt;=2,"Minor",K1440&lt;=5,"Major",K1440&gt;5,"Severe")</f>
        <v>Major</v>
      </c>
      <c r="S1440">
        <f t="shared" si="156"/>
        <v>3897</v>
      </c>
      <c r="T1440">
        <f t="shared" si="157"/>
        <v>910</v>
      </c>
      <c r="U1440">
        <f t="shared" si="158"/>
        <v>2024</v>
      </c>
      <c r="V1440">
        <f t="shared" si="159"/>
        <v>8</v>
      </c>
      <c r="W1440" s="11">
        <f t="shared" si="160"/>
        <v>1</v>
      </c>
    </row>
    <row r="1441" spans="1:23">
      <c r="A1441" t="s">
        <v>1454</v>
      </c>
      <c r="B1441" s="4">
        <v>45530</v>
      </c>
      <c r="C1441" t="s">
        <v>2016</v>
      </c>
      <c r="D1441" t="s">
        <v>2025</v>
      </c>
      <c r="E1441" t="s">
        <v>2029</v>
      </c>
      <c r="F1441" t="s">
        <v>2032</v>
      </c>
      <c r="G1441" t="s">
        <v>2033</v>
      </c>
      <c r="H1441" t="s">
        <v>2038</v>
      </c>
      <c r="I1441">
        <v>2</v>
      </c>
      <c r="J1441">
        <v>9</v>
      </c>
      <c r="K1441">
        <v>7</v>
      </c>
      <c r="L1441" t="s">
        <v>2041</v>
      </c>
      <c r="M1441">
        <v>461</v>
      </c>
      <c r="N1441">
        <v>11921</v>
      </c>
      <c r="O1441">
        <v>22715</v>
      </c>
      <c r="P1441" s="13">
        <f t="shared" si="154"/>
        <v>0</v>
      </c>
      <c r="Q1441" t="str">
        <f t="shared" si="155"/>
        <v>No</v>
      </c>
      <c r="R1441" t="str" cm="1">
        <f t="array" ref="R1441">_xlfn.IFS(K1441=0,"On Time",K1441&lt;=2,"Minor",K1441&lt;=5,"Major",K1441&gt;5,"Severe")</f>
        <v>Severe</v>
      </c>
      <c r="S1441">
        <f t="shared" si="156"/>
        <v>3245</v>
      </c>
      <c r="T1441">
        <f t="shared" si="157"/>
        <v>1703</v>
      </c>
      <c r="U1441">
        <f t="shared" si="158"/>
        <v>2024</v>
      </c>
      <c r="V1441">
        <f t="shared" si="159"/>
        <v>8</v>
      </c>
      <c r="W1441" s="11">
        <f t="shared" si="160"/>
        <v>1</v>
      </c>
    </row>
    <row r="1442" spans="1:23">
      <c r="A1442" t="s">
        <v>1455</v>
      </c>
      <c r="B1442" s="4">
        <v>45368</v>
      </c>
      <c r="C1442" t="s">
        <v>2015</v>
      </c>
      <c r="D1442" t="s">
        <v>2019</v>
      </c>
      <c r="E1442" t="s">
        <v>2027</v>
      </c>
      <c r="F1442" t="s">
        <v>2030</v>
      </c>
      <c r="G1442" t="s">
        <v>2035</v>
      </c>
      <c r="H1442" t="s">
        <v>2038</v>
      </c>
      <c r="I1442">
        <v>2</v>
      </c>
      <c r="J1442">
        <v>5</v>
      </c>
      <c r="K1442">
        <v>3</v>
      </c>
      <c r="L1442" t="s">
        <v>2041</v>
      </c>
      <c r="M1442">
        <v>73</v>
      </c>
      <c r="N1442">
        <v>2928</v>
      </c>
      <c r="O1442">
        <v>11910</v>
      </c>
      <c r="P1442" s="13">
        <f t="shared" si="154"/>
        <v>0</v>
      </c>
      <c r="Q1442" t="str">
        <f t="shared" si="155"/>
        <v>No</v>
      </c>
      <c r="R1442" t="str" cm="1">
        <f t="array" ref="R1442">_xlfn.IFS(K1442=0,"On Time",K1442&lt;=2,"Minor",K1442&lt;=5,"Major",K1442&gt;5,"Severe")</f>
        <v>Major</v>
      </c>
      <c r="S1442">
        <f t="shared" si="156"/>
        <v>3970</v>
      </c>
      <c r="T1442">
        <f t="shared" si="157"/>
        <v>976</v>
      </c>
      <c r="U1442">
        <f t="shared" si="158"/>
        <v>2024</v>
      </c>
      <c r="V1442">
        <f t="shared" si="159"/>
        <v>3</v>
      </c>
      <c r="W1442" s="11">
        <f t="shared" si="160"/>
        <v>1</v>
      </c>
    </row>
    <row r="1443" spans="1:23">
      <c r="A1443" t="s">
        <v>1456</v>
      </c>
      <c r="B1443" s="4">
        <v>45478</v>
      </c>
      <c r="C1443" t="s">
        <v>2016</v>
      </c>
      <c r="D1443" t="s">
        <v>2021</v>
      </c>
      <c r="E1443" t="s">
        <v>2028</v>
      </c>
      <c r="F1443" t="s">
        <v>2031</v>
      </c>
      <c r="G1443" t="s">
        <v>2033</v>
      </c>
      <c r="H1443" t="s">
        <v>2040</v>
      </c>
      <c r="I1443">
        <v>3</v>
      </c>
      <c r="J1443">
        <v>7</v>
      </c>
      <c r="K1443">
        <v>4</v>
      </c>
      <c r="L1443" t="s">
        <v>2041</v>
      </c>
      <c r="M1443">
        <v>118</v>
      </c>
      <c r="N1443">
        <v>5112</v>
      </c>
      <c r="O1443">
        <v>19560</v>
      </c>
      <c r="P1443" s="13">
        <f t="shared" si="154"/>
        <v>0</v>
      </c>
      <c r="Q1443" t="str">
        <f t="shared" si="155"/>
        <v>No</v>
      </c>
      <c r="R1443" t="str" cm="1">
        <f t="array" ref="R1443">_xlfn.IFS(K1443=0,"On Time",K1443&lt;=2,"Minor",K1443&lt;=5,"Major",K1443&gt;5,"Severe")</f>
        <v>Major</v>
      </c>
      <c r="S1443">
        <f t="shared" si="156"/>
        <v>4890</v>
      </c>
      <c r="T1443">
        <f t="shared" si="157"/>
        <v>1278</v>
      </c>
      <c r="U1443">
        <f t="shared" si="158"/>
        <v>2024</v>
      </c>
      <c r="V1443">
        <f t="shared" si="159"/>
        <v>7</v>
      </c>
      <c r="W1443" s="11">
        <f t="shared" si="160"/>
        <v>1</v>
      </c>
    </row>
    <row r="1444" spans="1:23">
      <c r="A1444" t="s">
        <v>1457</v>
      </c>
      <c r="B1444" s="4">
        <v>45357</v>
      </c>
      <c r="C1444" t="s">
        <v>2018</v>
      </c>
      <c r="D1444" t="s">
        <v>2024</v>
      </c>
      <c r="E1444" t="s">
        <v>2028</v>
      </c>
      <c r="F1444" t="s">
        <v>2031</v>
      </c>
      <c r="G1444" t="s">
        <v>2033</v>
      </c>
      <c r="H1444" t="s">
        <v>2039</v>
      </c>
      <c r="I1444">
        <v>2</v>
      </c>
      <c r="J1444">
        <v>7</v>
      </c>
      <c r="K1444">
        <v>5</v>
      </c>
      <c r="L1444" t="s">
        <v>2041</v>
      </c>
      <c r="M1444">
        <v>257</v>
      </c>
      <c r="N1444">
        <v>10515</v>
      </c>
      <c r="O1444">
        <v>16055</v>
      </c>
      <c r="P1444" s="13">
        <f t="shared" si="154"/>
        <v>0</v>
      </c>
      <c r="Q1444" t="str">
        <f t="shared" si="155"/>
        <v>No</v>
      </c>
      <c r="R1444" t="str" cm="1">
        <f t="array" ref="R1444">_xlfn.IFS(K1444=0,"On Time",K1444&lt;=2,"Minor",K1444&lt;=5,"Major",K1444&gt;5,"Severe")</f>
        <v>Major</v>
      </c>
      <c r="S1444">
        <f t="shared" si="156"/>
        <v>3211</v>
      </c>
      <c r="T1444">
        <f t="shared" si="157"/>
        <v>2103</v>
      </c>
      <c r="U1444">
        <f t="shared" si="158"/>
        <v>2024</v>
      </c>
      <c r="V1444">
        <f t="shared" si="159"/>
        <v>3</v>
      </c>
      <c r="W1444" s="11">
        <f t="shared" si="160"/>
        <v>1</v>
      </c>
    </row>
    <row r="1445" spans="1:23">
      <c r="A1445" t="s">
        <v>1458</v>
      </c>
      <c r="B1445" s="4">
        <v>45403</v>
      </c>
      <c r="C1445" t="s">
        <v>2017</v>
      </c>
      <c r="D1445" t="s">
        <v>2023</v>
      </c>
      <c r="E1445" t="s">
        <v>2028</v>
      </c>
      <c r="F1445" t="s">
        <v>2031</v>
      </c>
      <c r="G1445" t="s">
        <v>2036</v>
      </c>
      <c r="H1445" t="s">
        <v>2038</v>
      </c>
      <c r="I1445">
        <v>2</v>
      </c>
      <c r="J1445">
        <v>5</v>
      </c>
      <c r="K1445">
        <v>3</v>
      </c>
      <c r="L1445" t="s">
        <v>2041</v>
      </c>
      <c r="M1445">
        <v>325</v>
      </c>
      <c r="N1445">
        <v>4074</v>
      </c>
      <c r="O1445">
        <v>12054</v>
      </c>
      <c r="P1445" s="13">
        <f t="shared" si="154"/>
        <v>0</v>
      </c>
      <c r="Q1445" t="str">
        <f t="shared" si="155"/>
        <v>No</v>
      </c>
      <c r="R1445" t="str" cm="1">
        <f t="array" ref="R1445">_xlfn.IFS(K1445=0,"On Time",K1445&lt;=2,"Minor",K1445&lt;=5,"Major",K1445&gt;5,"Severe")</f>
        <v>Major</v>
      </c>
      <c r="S1445">
        <f t="shared" si="156"/>
        <v>4018</v>
      </c>
      <c r="T1445">
        <f t="shared" si="157"/>
        <v>1358</v>
      </c>
      <c r="U1445">
        <f t="shared" si="158"/>
        <v>2024</v>
      </c>
      <c r="V1445">
        <f t="shared" si="159"/>
        <v>4</v>
      </c>
      <c r="W1445" s="11">
        <f t="shared" si="160"/>
        <v>1</v>
      </c>
    </row>
    <row r="1446" spans="1:23">
      <c r="A1446" t="s">
        <v>1459</v>
      </c>
      <c r="B1446" s="4">
        <v>45297</v>
      </c>
      <c r="C1446" t="s">
        <v>2015</v>
      </c>
      <c r="D1446" t="s">
        <v>2020</v>
      </c>
      <c r="E1446" t="s">
        <v>2029</v>
      </c>
      <c r="F1446" t="s">
        <v>2032</v>
      </c>
      <c r="G1446" t="s">
        <v>2036</v>
      </c>
      <c r="H1446" t="s">
        <v>2038</v>
      </c>
      <c r="I1446">
        <v>3</v>
      </c>
      <c r="J1446">
        <v>4</v>
      </c>
      <c r="K1446">
        <v>1</v>
      </c>
      <c r="L1446" t="s">
        <v>2041</v>
      </c>
      <c r="M1446">
        <v>370</v>
      </c>
      <c r="N1446">
        <v>1100</v>
      </c>
      <c r="O1446">
        <v>4236</v>
      </c>
      <c r="P1446" s="13">
        <f t="shared" si="154"/>
        <v>0</v>
      </c>
      <c r="Q1446" t="str">
        <f t="shared" si="155"/>
        <v>No</v>
      </c>
      <c r="R1446" t="str" cm="1">
        <f t="array" ref="R1446">_xlfn.IFS(K1446=0,"On Time",K1446&lt;=2,"Minor",K1446&lt;=5,"Major",K1446&gt;5,"Severe")</f>
        <v>Minor</v>
      </c>
      <c r="S1446">
        <f t="shared" si="156"/>
        <v>4236</v>
      </c>
      <c r="T1446">
        <f t="shared" si="157"/>
        <v>1100</v>
      </c>
      <c r="U1446">
        <f t="shared" si="158"/>
        <v>2024</v>
      </c>
      <c r="V1446">
        <f t="shared" si="159"/>
        <v>1</v>
      </c>
      <c r="W1446" s="11">
        <f t="shared" si="160"/>
        <v>1</v>
      </c>
    </row>
    <row r="1447" spans="1:23">
      <c r="A1447" t="s">
        <v>1460</v>
      </c>
      <c r="B1447" s="4">
        <v>45656</v>
      </c>
      <c r="C1447" t="s">
        <v>2017</v>
      </c>
      <c r="D1447" t="s">
        <v>2022</v>
      </c>
      <c r="E1447" t="s">
        <v>2028</v>
      </c>
      <c r="F1447" t="s">
        <v>2030</v>
      </c>
      <c r="G1447" t="s">
        <v>2034</v>
      </c>
      <c r="H1447" t="s">
        <v>2038</v>
      </c>
      <c r="I1447">
        <v>2</v>
      </c>
      <c r="J1447">
        <v>3</v>
      </c>
      <c r="K1447">
        <v>1</v>
      </c>
      <c r="L1447" t="s">
        <v>2041</v>
      </c>
      <c r="M1447">
        <v>172</v>
      </c>
      <c r="N1447">
        <v>1124</v>
      </c>
      <c r="O1447">
        <v>2815</v>
      </c>
      <c r="P1447" s="13">
        <f t="shared" si="154"/>
        <v>0</v>
      </c>
      <c r="Q1447" t="str">
        <f t="shared" si="155"/>
        <v>No</v>
      </c>
      <c r="R1447" t="str" cm="1">
        <f t="array" ref="R1447">_xlfn.IFS(K1447=0,"On Time",K1447&lt;=2,"Minor",K1447&lt;=5,"Major",K1447&gt;5,"Severe")</f>
        <v>Minor</v>
      </c>
      <c r="S1447">
        <f t="shared" si="156"/>
        <v>2815</v>
      </c>
      <c r="T1447">
        <f t="shared" si="157"/>
        <v>1124</v>
      </c>
      <c r="U1447">
        <f t="shared" si="158"/>
        <v>2024</v>
      </c>
      <c r="V1447">
        <f t="shared" si="159"/>
        <v>12</v>
      </c>
      <c r="W1447" s="11">
        <f t="shared" si="160"/>
        <v>1</v>
      </c>
    </row>
    <row r="1448" spans="1:23">
      <c r="A1448" t="s">
        <v>1461</v>
      </c>
      <c r="B1448" s="4">
        <v>45589</v>
      </c>
      <c r="C1448" t="s">
        <v>2015</v>
      </c>
      <c r="D1448" t="s">
        <v>2020</v>
      </c>
      <c r="E1448" t="s">
        <v>2027</v>
      </c>
      <c r="F1448" t="s">
        <v>2031</v>
      </c>
      <c r="G1448" t="s">
        <v>2036</v>
      </c>
      <c r="H1448" t="s">
        <v>2039</v>
      </c>
      <c r="I1448">
        <v>1</v>
      </c>
      <c r="J1448">
        <v>1</v>
      </c>
      <c r="K1448">
        <v>0</v>
      </c>
      <c r="L1448" t="s">
        <v>2042</v>
      </c>
      <c r="M1448">
        <v>70</v>
      </c>
      <c r="N1448">
        <v>0</v>
      </c>
      <c r="O1448">
        <v>0</v>
      </c>
      <c r="P1448" s="13">
        <f t="shared" si="154"/>
        <v>1</v>
      </c>
      <c r="Q1448" t="str">
        <f t="shared" si="155"/>
        <v>No</v>
      </c>
      <c r="R1448" t="str" cm="1">
        <f t="array" ref="R1448">_xlfn.IFS(K1448=0,"On Time",K1448&lt;=2,"Minor",K1448&lt;=5,"Major",K1448&gt;5,"Severe")</f>
        <v>On Time</v>
      </c>
      <c r="S1448">
        <f t="shared" si="156"/>
        <v>0</v>
      </c>
      <c r="T1448">
        <f t="shared" si="157"/>
        <v>0</v>
      </c>
      <c r="U1448">
        <f t="shared" si="158"/>
        <v>2024</v>
      </c>
      <c r="V1448">
        <f t="shared" si="159"/>
        <v>10</v>
      </c>
      <c r="W1448" s="11">
        <f t="shared" si="160"/>
        <v>0</v>
      </c>
    </row>
    <row r="1449" spans="1:23">
      <c r="A1449" t="s">
        <v>1462</v>
      </c>
      <c r="B1449" s="4">
        <v>45414</v>
      </c>
      <c r="C1449" t="s">
        <v>2017</v>
      </c>
      <c r="D1449" t="s">
        <v>2023</v>
      </c>
      <c r="E1449" t="s">
        <v>2029</v>
      </c>
      <c r="F1449" t="s">
        <v>2031</v>
      </c>
      <c r="G1449" t="s">
        <v>2033</v>
      </c>
      <c r="H1449" t="s">
        <v>2038</v>
      </c>
      <c r="I1449">
        <v>2</v>
      </c>
      <c r="J1449">
        <v>4</v>
      </c>
      <c r="K1449">
        <v>2</v>
      </c>
      <c r="L1449" t="s">
        <v>2041</v>
      </c>
      <c r="M1449">
        <v>346</v>
      </c>
      <c r="N1449">
        <v>2934</v>
      </c>
      <c r="O1449">
        <v>6330</v>
      </c>
      <c r="P1449" s="13">
        <f t="shared" si="154"/>
        <v>0</v>
      </c>
      <c r="Q1449" t="str">
        <f t="shared" si="155"/>
        <v>No</v>
      </c>
      <c r="R1449" t="str" cm="1">
        <f t="array" ref="R1449">_xlfn.IFS(K1449=0,"On Time",K1449&lt;=2,"Minor",K1449&lt;=5,"Major",K1449&gt;5,"Severe")</f>
        <v>Minor</v>
      </c>
      <c r="S1449">
        <f t="shared" si="156"/>
        <v>3165</v>
      </c>
      <c r="T1449">
        <f t="shared" si="157"/>
        <v>1467</v>
      </c>
      <c r="U1449">
        <f t="shared" si="158"/>
        <v>2024</v>
      </c>
      <c r="V1449">
        <f t="shared" si="159"/>
        <v>5</v>
      </c>
      <c r="W1449" s="11">
        <f t="shared" si="160"/>
        <v>1</v>
      </c>
    </row>
    <row r="1450" spans="1:23">
      <c r="A1450" t="s">
        <v>1463</v>
      </c>
      <c r="B1450" s="4">
        <v>45465</v>
      </c>
      <c r="C1450" t="s">
        <v>2016</v>
      </c>
      <c r="D1450" t="s">
        <v>2021</v>
      </c>
      <c r="E1450" t="s">
        <v>2027</v>
      </c>
      <c r="F1450" t="s">
        <v>2031</v>
      </c>
      <c r="G1450" t="s">
        <v>2036</v>
      </c>
      <c r="H1450" t="s">
        <v>2039</v>
      </c>
      <c r="I1450">
        <v>1</v>
      </c>
      <c r="J1450">
        <v>6</v>
      </c>
      <c r="K1450">
        <v>5</v>
      </c>
      <c r="L1450" t="s">
        <v>2041</v>
      </c>
      <c r="M1450">
        <v>117</v>
      </c>
      <c r="N1450">
        <v>11885</v>
      </c>
      <c r="O1450">
        <v>8695</v>
      </c>
      <c r="P1450" s="13">
        <f t="shared" si="154"/>
        <v>0</v>
      </c>
      <c r="Q1450" t="str">
        <f t="shared" si="155"/>
        <v>No</v>
      </c>
      <c r="R1450" t="str" cm="1">
        <f t="array" ref="R1450">_xlfn.IFS(K1450=0,"On Time",K1450&lt;=2,"Minor",K1450&lt;=5,"Major",K1450&gt;5,"Severe")</f>
        <v>Major</v>
      </c>
      <c r="S1450">
        <f t="shared" si="156"/>
        <v>1739</v>
      </c>
      <c r="T1450">
        <f t="shared" si="157"/>
        <v>2377</v>
      </c>
      <c r="U1450">
        <f t="shared" si="158"/>
        <v>2024</v>
      </c>
      <c r="V1450">
        <f t="shared" si="159"/>
        <v>6</v>
      </c>
      <c r="W1450" s="11">
        <f t="shared" si="160"/>
        <v>1</v>
      </c>
    </row>
    <row r="1451" spans="1:23">
      <c r="A1451" t="s">
        <v>1464</v>
      </c>
      <c r="B1451" s="4">
        <v>45653</v>
      </c>
      <c r="C1451" t="s">
        <v>2015</v>
      </c>
      <c r="D1451" t="s">
        <v>2020</v>
      </c>
      <c r="E1451" t="s">
        <v>2027</v>
      </c>
      <c r="F1451" t="s">
        <v>2030</v>
      </c>
      <c r="G1451" t="s">
        <v>2036</v>
      </c>
      <c r="H1451" t="s">
        <v>2039</v>
      </c>
      <c r="I1451">
        <v>2</v>
      </c>
      <c r="J1451">
        <v>7</v>
      </c>
      <c r="K1451">
        <v>5</v>
      </c>
      <c r="L1451" t="s">
        <v>2041</v>
      </c>
      <c r="M1451">
        <v>391</v>
      </c>
      <c r="N1451">
        <v>4890</v>
      </c>
      <c r="O1451">
        <v>23280</v>
      </c>
      <c r="P1451" s="13">
        <f t="shared" si="154"/>
        <v>0</v>
      </c>
      <c r="Q1451" t="str">
        <f t="shared" si="155"/>
        <v>No</v>
      </c>
      <c r="R1451" t="str" cm="1">
        <f t="array" ref="R1451">_xlfn.IFS(K1451=0,"On Time",K1451&lt;=2,"Minor",K1451&lt;=5,"Major",K1451&gt;5,"Severe")</f>
        <v>Major</v>
      </c>
      <c r="S1451">
        <f t="shared" si="156"/>
        <v>4656</v>
      </c>
      <c r="T1451">
        <f t="shared" si="157"/>
        <v>978</v>
      </c>
      <c r="U1451">
        <f t="shared" si="158"/>
        <v>2024</v>
      </c>
      <c r="V1451">
        <f t="shared" si="159"/>
        <v>12</v>
      </c>
      <c r="W1451" s="11">
        <f t="shared" si="160"/>
        <v>1</v>
      </c>
    </row>
    <row r="1452" spans="1:23">
      <c r="A1452" t="s">
        <v>1465</v>
      </c>
      <c r="B1452" s="4">
        <v>45609</v>
      </c>
      <c r="C1452" t="s">
        <v>2016</v>
      </c>
      <c r="D1452" t="s">
        <v>2021</v>
      </c>
      <c r="E1452" t="s">
        <v>2028</v>
      </c>
      <c r="F1452" t="s">
        <v>2030</v>
      </c>
      <c r="G1452" t="s">
        <v>2037</v>
      </c>
      <c r="H1452" t="s">
        <v>2039</v>
      </c>
      <c r="I1452">
        <v>3</v>
      </c>
      <c r="J1452">
        <v>7</v>
      </c>
      <c r="K1452">
        <v>4</v>
      </c>
      <c r="L1452" t="s">
        <v>2041</v>
      </c>
      <c r="M1452">
        <v>135</v>
      </c>
      <c r="N1452">
        <v>7728</v>
      </c>
      <c r="O1452">
        <v>19692</v>
      </c>
      <c r="P1452" s="13">
        <f t="shared" si="154"/>
        <v>0</v>
      </c>
      <c r="Q1452" t="str">
        <f t="shared" si="155"/>
        <v>No</v>
      </c>
      <c r="R1452" t="str" cm="1">
        <f t="array" ref="R1452">_xlfn.IFS(K1452=0,"On Time",K1452&lt;=2,"Minor",K1452&lt;=5,"Major",K1452&gt;5,"Severe")</f>
        <v>Major</v>
      </c>
      <c r="S1452">
        <f t="shared" si="156"/>
        <v>4923</v>
      </c>
      <c r="T1452">
        <f t="shared" si="157"/>
        <v>1932</v>
      </c>
      <c r="U1452">
        <f t="shared" si="158"/>
        <v>2024</v>
      </c>
      <c r="V1452">
        <f t="shared" si="159"/>
        <v>11</v>
      </c>
      <c r="W1452" s="11">
        <f t="shared" si="160"/>
        <v>1</v>
      </c>
    </row>
    <row r="1453" spans="1:23">
      <c r="A1453" t="s">
        <v>1466</v>
      </c>
      <c r="B1453" s="4">
        <v>45640</v>
      </c>
      <c r="C1453" t="s">
        <v>2017</v>
      </c>
      <c r="D1453" t="s">
        <v>2022</v>
      </c>
      <c r="E1453" t="s">
        <v>2027</v>
      </c>
      <c r="F1453" t="s">
        <v>2030</v>
      </c>
      <c r="G1453" t="s">
        <v>2033</v>
      </c>
      <c r="H1453" t="s">
        <v>2039</v>
      </c>
      <c r="I1453">
        <v>1</v>
      </c>
      <c r="J1453">
        <v>2</v>
      </c>
      <c r="K1453">
        <v>1</v>
      </c>
      <c r="L1453" t="s">
        <v>2041</v>
      </c>
      <c r="M1453">
        <v>286</v>
      </c>
      <c r="N1453">
        <v>1692</v>
      </c>
      <c r="O1453">
        <v>4101</v>
      </c>
      <c r="P1453" s="13">
        <f t="shared" si="154"/>
        <v>0</v>
      </c>
      <c r="Q1453" t="str">
        <f t="shared" si="155"/>
        <v>No</v>
      </c>
      <c r="R1453" t="str" cm="1">
        <f t="array" ref="R1453">_xlfn.IFS(K1453=0,"On Time",K1453&lt;=2,"Minor",K1453&lt;=5,"Major",K1453&gt;5,"Severe")</f>
        <v>Minor</v>
      </c>
      <c r="S1453">
        <f t="shared" si="156"/>
        <v>4101</v>
      </c>
      <c r="T1453">
        <f t="shared" si="157"/>
        <v>1692</v>
      </c>
      <c r="U1453">
        <f t="shared" si="158"/>
        <v>2024</v>
      </c>
      <c r="V1453">
        <f t="shared" si="159"/>
        <v>12</v>
      </c>
      <c r="W1453" s="11">
        <f t="shared" si="160"/>
        <v>1</v>
      </c>
    </row>
    <row r="1454" spans="1:23">
      <c r="A1454" t="s">
        <v>1467</v>
      </c>
      <c r="B1454" s="4">
        <v>45500</v>
      </c>
      <c r="C1454" t="s">
        <v>2018</v>
      </c>
      <c r="D1454" t="s">
        <v>2026</v>
      </c>
      <c r="E1454" t="s">
        <v>2027</v>
      </c>
      <c r="F1454" t="s">
        <v>2032</v>
      </c>
      <c r="G1454" t="s">
        <v>2033</v>
      </c>
      <c r="H1454" t="s">
        <v>2038</v>
      </c>
      <c r="I1454">
        <v>1</v>
      </c>
      <c r="J1454">
        <v>8</v>
      </c>
      <c r="K1454">
        <v>7</v>
      </c>
      <c r="L1454" t="s">
        <v>2041</v>
      </c>
      <c r="M1454">
        <v>387</v>
      </c>
      <c r="N1454">
        <v>11627</v>
      </c>
      <c r="O1454">
        <v>28105</v>
      </c>
      <c r="P1454" s="13">
        <f t="shared" si="154"/>
        <v>0</v>
      </c>
      <c r="Q1454" t="str">
        <f t="shared" si="155"/>
        <v>No</v>
      </c>
      <c r="R1454" t="str" cm="1">
        <f t="array" ref="R1454">_xlfn.IFS(K1454=0,"On Time",K1454&lt;=2,"Minor",K1454&lt;=5,"Major",K1454&gt;5,"Severe")</f>
        <v>Severe</v>
      </c>
      <c r="S1454">
        <f t="shared" si="156"/>
        <v>4015</v>
      </c>
      <c r="T1454">
        <f t="shared" si="157"/>
        <v>1661</v>
      </c>
      <c r="U1454">
        <f t="shared" si="158"/>
        <v>2024</v>
      </c>
      <c r="V1454">
        <f t="shared" si="159"/>
        <v>7</v>
      </c>
      <c r="W1454" s="11">
        <f t="shared" si="160"/>
        <v>1</v>
      </c>
    </row>
    <row r="1455" spans="1:23">
      <c r="A1455" t="s">
        <v>1468</v>
      </c>
      <c r="B1455" s="4">
        <v>45513</v>
      </c>
      <c r="C1455" t="s">
        <v>2016</v>
      </c>
      <c r="D1455" t="s">
        <v>2021</v>
      </c>
      <c r="E1455" t="s">
        <v>2029</v>
      </c>
      <c r="F1455" t="s">
        <v>2030</v>
      </c>
      <c r="G1455" t="s">
        <v>2037</v>
      </c>
      <c r="H1455" t="s">
        <v>2038</v>
      </c>
      <c r="I1455">
        <v>5</v>
      </c>
      <c r="J1455">
        <v>6</v>
      </c>
      <c r="K1455">
        <v>1</v>
      </c>
      <c r="L1455" t="s">
        <v>2041</v>
      </c>
      <c r="M1455">
        <v>192</v>
      </c>
      <c r="N1455">
        <v>843</v>
      </c>
      <c r="O1455">
        <v>3270</v>
      </c>
      <c r="P1455" s="13">
        <f t="shared" si="154"/>
        <v>0</v>
      </c>
      <c r="Q1455" t="str">
        <f t="shared" si="155"/>
        <v>No</v>
      </c>
      <c r="R1455" t="str" cm="1">
        <f t="array" ref="R1455">_xlfn.IFS(K1455=0,"On Time",K1455&lt;=2,"Minor",K1455&lt;=5,"Major",K1455&gt;5,"Severe")</f>
        <v>Minor</v>
      </c>
      <c r="S1455">
        <f t="shared" si="156"/>
        <v>3270</v>
      </c>
      <c r="T1455">
        <f t="shared" si="157"/>
        <v>843</v>
      </c>
      <c r="U1455">
        <f t="shared" si="158"/>
        <v>2024</v>
      </c>
      <c r="V1455">
        <f t="shared" si="159"/>
        <v>8</v>
      </c>
      <c r="W1455" s="11">
        <f t="shared" si="160"/>
        <v>1</v>
      </c>
    </row>
    <row r="1456" spans="1:23">
      <c r="A1456" t="s">
        <v>1469</v>
      </c>
      <c r="B1456" s="4">
        <v>45531</v>
      </c>
      <c r="C1456" t="s">
        <v>2016</v>
      </c>
      <c r="D1456" t="s">
        <v>2025</v>
      </c>
      <c r="E1456" t="s">
        <v>2028</v>
      </c>
      <c r="F1456" t="s">
        <v>2032</v>
      </c>
      <c r="G1456" t="s">
        <v>2037</v>
      </c>
      <c r="H1456" t="s">
        <v>2038</v>
      </c>
      <c r="I1456">
        <v>3</v>
      </c>
      <c r="J1456">
        <v>9</v>
      </c>
      <c r="K1456">
        <v>6</v>
      </c>
      <c r="L1456" t="s">
        <v>2041</v>
      </c>
      <c r="M1456">
        <v>181</v>
      </c>
      <c r="N1456">
        <v>8238</v>
      </c>
      <c r="O1456">
        <v>21174</v>
      </c>
      <c r="P1456" s="13">
        <f t="shared" si="154"/>
        <v>0</v>
      </c>
      <c r="Q1456" t="str">
        <f t="shared" si="155"/>
        <v>No</v>
      </c>
      <c r="R1456" t="str" cm="1">
        <f t="array" ref="R1456">_xlfn.IFS(K1456=0,"On Time",K1456&lt;=2,"Minor",K1456&lt;=5,"Major",K1456&gt;5,"Severe")</f>
        <v>Severe</v>
      </c>
      <c r="S1456">
        <f t="shared" si="156"/>
        <v>3529</v>
      </c>
      <c r="T1456">
        <f t="shared" si="157"/>
        <v>1373</v>
      </c>
      <c r="U1456">
        <f t="shared" si="158"/>
        <v>2024</v>
      </c>
      <c r="V1456">
        <f t="shared" si="159"/>
        <v>8</v>
      </c>
      <c r="W1456" s="11">
        <f t="shared" si="160"/>
        <v>1</v>
      </c>
    </row>
    <row r="1457" spans="1:23">
      <c r="A1457" t="s">
        <v>1470</v>
      </c>
      <c r="B1457" s="4">
        <v>45566</v>
      </c>
      <c r="C1457" t="s">
        <v>2016</v>
      </c>
      <c r="D1457" t="s">
        <v>2025</v>
      </c>
      <c r="E1457" t="s">
        <v>2029</v>
      </c>
      <c r="F1457" t="s">
        <v>2031</v>
      </c>
      <c r="G1457" t="s">
        <v>2033</v>
      </c>
      <c r="H1457" t="s">
        <v>2038</v>
      </c>
      <c r="I1457">
        <v>1</v>
      </c>
      <c r="J1457">
        <v>2</v>
      </c>
      <c r="K1457">
        <v>1</v>
      </c>
      <c r="L1457" t="s">
        <v>2041</v>
      </c>
      <c r="M1457">
        <v>180</v>
      </c>
      <c r="N1457">
        <v>1924</v>
      </c>
      <c r="O1457">
        <v>3094</v>
      </c>
      <c r="P1457" s="13">
        <f t="shared" si="154"/>
        <v>0</v>
      </c>
      <c r="Q1457" t="str">
        <f t="shared" si="155"/>
        <v>No</v>
      </c>
      <c r="R1457" t="str" cm="1">
        <f t="array" ref="R1457">_xlfn.IFS(K1457=0,"On Time",K1457&lt;=2,"Minor",K1457&lt;=5,"Major",K1457&gt;5,"Severe")</f>
        <v>Minor</v>
      </c>
      <c r="S1457">
        <f t="shared" si="156"/>
        <v>3094</v>
      </c>
      <c r="T1457">
        <f t="shared" si="157"/>
        <v>1924</v>
      </c>
      <c r="U1457">
        <f t="shared" si="158"/>
        <v>2024</v>
      </c>
      <c r="V1457">
        <f t="shared" si="159"/>
        <v>10</v>
      </c>
      <c r="W1457" s="11">
        <f t="shared" si="160"/>
        <v>1</v>
      </c>
    </row>
    <row r="1458" spans="1:23">
      <c r="A1458" t="s">
        <v>1471</v>
      </c>
      <c r="B1458" s="4">
        <v>45404</v>
      </c>
      <c r="C1458" t="s">
        <v>2017</v>
      </c>
      <c r="D1458" t="s">
        <v>2022</v>
      </c>
      <c r="E1458" t="s">
        <v>2028</v>
      </c>
      <c r="F1458" t="s">
        <v>2031</v>
      </c>
      <c r="G1458" t="s">
        <v>2036</v>
      </c>
      <c r="H1458" t="s">
        <v>2038</v>
      </c>
      <c r="I1458">
        <v>2</v>
      </c>
      <c r="J1458">
        <v>4</v>
      </c>
      <c r="K1458">
        <v>2</v>
      </c>
      <c r="L1458" t="s">
        <v>2041</v>
      </c>
      <c r="M1458">
        <v>352</v>
      </c>
      <c r="N1458">
        <v>2918</v>
      </c>
      <c r="O1458">
        <v>3948</v>
      </c>
      <c r="P1458" s="13">
        <f t="shared" si="154"/>
        <v>0</v>
      </c>
      <c r="Q1458" t="str">
        <f t="shared" si="155"/>
        <v>No</v>
      </c>
      <c r="R1458" t="str" cm="1">
        <f t="array" ref="R1458">_xlfn.IFS(K1458=0,"On Time",K1458&lt;=2,"Minor",K1458&lt;=5,"Major",K1458&gt;5,"Severe")</f>
        <v>Minor</v>
      </c>
      <c r="S1458">
        <f t="shared" si="156"/>
        <v>1974</v>
      </c>
      <c r="T1458">
        <f t="shared" si="157"/>
        <v>1459</v>
      </c>
      <c r="U1458">
        <f t="shared" si="158"/>
        <v>2024</v>
      </c>
      <c r="V1458">
        <f t="shared" si="159"/>
        <v>4</v>
      </c>
      <c r="W1458" s="11">
        <f t="shared" si="160"/>
        <v>1</v>
      </c>
    </row>
    <row r="1459" spans="1:23">
      <c r="A1459" t="s">
        <v>1472</v>
      </c>
      <c r="B1459" s="4">
        <v>45362</v>
      </c>
      <c r="C1459" t="s">
        <v>2016</v>
      </c>
      <c r="D1459" t="s">
        <v>2021</v>
      </c>
      <c r="E1459" t="s">
        <v>2029</v>
      </c>
      <c r="F1459" t="s">
        <v>2031</v>
      </c>
      <c r="G1459" t="s">
        <v>2037</v>
      </c>
      <c r="H1459" t="s">
        <v>2038</v>
      </c>
      <c r="I1459">
        <v>1</v>
      </c>
      <c r="J1459">
        <v>6</v>
      </c>
      <c r="K1459">
        <v>5</v>
      </c>
      <c r="L1459" t="s">
        <v>2041</v>
      </c>
      <c r="M1459">
        <v>204</v>
      </c>
      <c r="N1459">
        <v>10320</v>
      </c>
      <c r="O1459">
        <v>13460</v>
      </c>
      <c r="P1459" s="13">
        <f t="shared" si="154"/>
        <v>0</v>
      </c>
      <c r="Q1459" t="str">
        <f t="shared" si="155"/>
        <v>No</v>
      </c>
      <c r="R1459" t="str" cm="1">
        <f t="array" ref="R1459">_xlfn.IFS(K1459=0,"On Time",K1459&lt;=2,"Minor",K1459&lt;=5,"Major",K1459&gt;5,"Severe")</f>
        <v>Major</v>
      </c>
      <c r="S1459">
        <f t="shared" si="156"/>
        <v>2692</v>
      </c>
      <c r="T1459">
        <f t="shared" si="157"/>
        <v>2064</v>
      </c>
      <c r="U1459">
        <f t="shared" si="158"/>
        <v>2024</v>
      </c>
      <c r="V1459">
        <f t="shared" si="159"/>
        <v>3</v>
      </c>
      <c r="W1459" s="11">
        <f t="shared" si="160"/>
        <v>1</v>
      </c>
    </row>
    <row r="1460" spans="1:23">
      <c r="A1460" t="s">
        <v>1473</v>
      </c>
      <c r="B1460" s="4">
        <v>45535</v>
      </c>
      <c r="C1460" t="s">
        <v>2017</v>
      </c>
      <c r="D1460" t="s">
        <v>2022</v>
      </c>
      <c r="E1460" t="s">
        <v>2029</v>
      </c>
      <c r="F1460" t="s">
        <v>2031</v>
      </c>
      <c r="G1460" t="s">
        <v>2034</v>
      </c>
      <c r="H1460" t="s">
        <v>2038</v>
      </c>
      <c r="I1460">
        <v>5</v>
      </c>
      <c r="J1460">
        <v>9</v>
      </c>
      <c r="K1460">
        <v>4</v>
      </c>
      <c r="L1460" t="s">
        <v>2041</v>
      </c>
      <c r="M1460">
        <v>52</v>
      </c>
      <c r="N1460">
        <v>3668</v>
      </c>
      <c r="O1460">
        <v>19516</v>
      </c>
      <c r="P1460" s="13">
        <f t="shared" si="154"/>
        <v>0</v>
      </c>
      <c r="Q1460" t="str">
        <f t="shared" si="155"/>
        <v>No</v>
      </c>
      <c r="R1460" t="str" cm="1">
        <f t="array" ref="R1460">_xlfn.IFS(K1460=0,"On Time",K1460&lt;=2,"Minor",K1460&lt;=5,"Major",K1460&gt;5,"Severe")</f>
        <v>Major</v>
      </c>
      <c r="S1460">
        <f t="shared" si="156"/>
        <v>4879</v>
      </c>
      <c r="T1460">
        <f t="shared" si="157"/>
        <v>917</v>
      </c>
      <c r="U1460">
        <f t="shared" si="158"/>
        <v>2024</v>
      </c>
      <c r="V1460">
        <f t="shared" si="159"/>
        <v>8</v>
      </c>
      <c r="W1460" s="11">
        <f t="shared" si="160"/>
        <v>1</v>
      </c>
    </row>
    <row r="1461" spans="1:23">
      <c r="A1461" t="s">
        <v>1474</v>
      </c>
      <c r="B1461" s="4">
        <v>45352</v>
      </c>
      <c r="C1461" t="s">
        <v>2018</v>
      </c>
      <c r="D1461" t="s">
        <v>2024</v>
      </c>
      <c r="E1461" t="s">
        <v>2027</v>
      </c>
      <c r="F1461" t="s">
        <v>2030</v>
      </c>
      <c r="G1461" t="s">
        <v>2037</v>
      </c>
      <c r="H1461" t="s">
        <v>2040</v>
      </c>
      <c r="I1461">
        <v>2</v>
      </c>
      <c r="J1461">
        <v>10</v>
      </c>
      <c r="K1461">
        <v>8</v>
      </c>
      <c r="L1461" t="s">
        <v>2041</v>
      </c>
      <c r="M1461">
        <v>474</v>
      </c>
      <c r="N1461">
        <v>7888</v>
      </c>
      <c r="O1461">
        <v>18936</v>
      </c>
      <c r="P1461" s="13">
        <f t="shared" si="154"/>
        <v>0</v>
      </c>
      <c r="Q1461" t="str">
        <f t="shared" si="155"/>
        <v>No</v>
      </c>
      <c r="R1461" t="str" cm="1">
        <f t="array" ref="R1461">_xlfn.IFS(K1461=0,"On Time",K1461&lt;=2,"Minor",K1461&lt;=5,"Major",K1461&gt;5,"Severe")</f>
        <v>Severe</v>
      </c>
      <c r="S1461">
        <f t="shared" si="156"/>
        <v>2367</v>
      </c>
      <c r="T1461">
        <f t="shared" si="157"/>
        <v>986</v>
      </c>
      <c r="U1461">
        <f t="shared" si="158"/>
        <v>2024</v>
      </c>
      <c r="V1461">
        <f t="shared" si="159"/>
        <v>3</v>
      </c>
      <c r="W1461" s="11">
        <f t="shared" si="160"/>
        <v>1</v>
      </c>
    </row>
    <row r="1462" spans="1:23">
      <c r="A1462" t="s">
        <v>1475</v>
      </c>
      <c r="B1462" s="4">
        <v>45437</v>
      </c>
      <c r="C1462" t="s">
        <v>2015</v>
      </c>
      <c r="D1462" t="s">
        <v>2020</v>
      </c>
      <c r="E1462" t="s">
        <v>2028</v>
      </c>
      <c r="F1462" t="s">
        <v>2032</v>
      </c>
      <c r="G1462" t="s">
        <v>2035</v>
      </c>
      <c r="H1462" t="s">
        <v>2039</v>
      </c>
      <c r="I1462">
        <v>2</v>
      </c>
      <c r="J1462">
        <v>4</v>
      </c>
      <c r="K1462">
        <v>2</v>
      </c>
      <c r="L1462" t="s">
        <v>2041</v>
      </c>
      <c r="M1462">
        <v>73</v>
      </c>
      <c r="N1462">
        <v>4996</v>
      </c>
      <c r="O1462">
        <v>3830</v>
      </c>
      <c r="P1462" s="13">
        <f t="shared" si="154"/>
        <v>0</v>
      </c>
      <c r="Q1462" t="str">
        <f t="shared" si="155"/>
        <v>No</v>
      </c>
      <c r="R1462" t="str" cm="1">
        <f t="array" ref="R1462">_xlfn.IFS(K1462=0,"On Time",K1462&lt;=2,"Minor",K1462&lt;=5,"Major",K1462&gt;5,"Severe")</f>
        <v>Minor</v>
      </c>
      <c r="S1462">
        <f t="shared" si="156"/>
        <v>1915</v>
      </c>
      <c r="T1462">
        <f t="shared" si="157"/>
        <v>2498</v>
      </c>
      <c r="U1462">
        <f t="shared" si="158"/>
        <v>2024</v>
      </c>
      <c r="V1462">
        <f t="shared" si="159"/>
        <v>5</v>
      </c>
      <c r="W1462" s="11">
        <f t="shared" si="160"/>
        <v>1</v>
      </c>
    </row>
    <row r="1463" spans="1:23">
      <c r="A1463" t="s">
        <v>1476</v>
      </c>
      <c r="B1463" s="4">
        <v>45561</v>
      </c>
      <c r="C1463" t="s">
        <v>2015</v>
      </c>
      <c r="D1463" t="s">
        <v>2020</v>
      </c>
      <c r="E1463" t="s">
        <v>2028</v>
      </c>
      <c r="F1463" t="s">
        <v>2031</v>
      </c>
      <c r="G1463" t="s">
        <v>2037</v>
      </c>
      <c r="H1463" t="s">
        <v>2039</v>
      </c>
      <c r="I1463">
        <v>3</v>
      </c>
      <c r="J1463">
        <v>5</v>
      </c>
      <c r="K1463">
        <v>2</v>
      </c>
      <c r="L1463" t="s">
        <v>2041</v>
      </c>
      <c r="M1463">
        <v>68</v>
      </c>
      <c r="N1463">
        <v>2242</v>
      </c>
      <c r="O1463">
        <v>9752</v>
      </c>
      <c r="P1463" s="13">
        <f t="shared" si="154"/>
        <v>0</v>
      </c>
      <c r="Q1463" t="str">
        <f t="shared" si="155"/>
        <v>No</v>
      </c>
      <c r="R1463" t="str" cm="1">
        <f t="array" ref="R1463">_xlfn.IFS(K1463=0,"On Time",K1463&lt;=2,"Minor",K1463&lt;=5,"Major",K1463&gt;5,"Severe")</f>
        <v>Minor</v>
      </c>
      <c r="S1463">
        <f t="shared" si="156"/>
        <v>4876</v>
      </c>
      <c r="T1463">
        <f t="shared" si="157"/>
        <v>1121</v>
      </c>
      <c r="U1463">
        <f t="shared" si="158"/>
        <v>2024</v>
      </c>
      <c r="V1463">
        <f t="shared" si="159"/>
        <v>9</v>
      </c>
      <c r="W1463" s="11">
        <f t="shared" si="160"/>
        <v>1</v>
      </c>
    </row>
    <row r="1464" spans="1:23">
      <c r="A1464" t="s">
        <v>1477</v>
      </c>
      <c r="B1464" s="4">
        <v>45380</v>
      </c>
      <c r="C1464" t="s">
        <v>2017</v>
      </c>
      <c r="D1464" t="s">
        <v>2023</v>
      </c>
      <c r="E1464" t="s">
        <v>2028</v>
      </c>
      <c r="F1464" t="s">
        <v>2031</v>
      </c>
      <c r="G1464" t="s">
        <v>2037</v>
      </c>
      <c r="H1464" t="s">
        <v>2038</v>
      </c>
      <c r="I1464">
        <v>5</v>
      </c>
      <c r="J1464">
        <v>5</v>
      </c>
      <c r="K1464">
        <v>0</v>
      </c>
      <c r="L1464" t="s">
        <v>2042</v>
      </c>
      <c r="M1464">
        <v>185</v>
      </c>
      <c r="N1464">
        <v>0</v>
      </c>
      <c r="O1464">
        <v>0</v>
      </c>
      <c r="P1464" s="13">
        <f t="shared" si="154"/>
        <v>1</v>
      </c>
      <c r="Q1464" t="str">
        <f t="shared" si="155"/>
        <v>No</v>
      </c>
      <c r="R1464" t="str" cm="1">
        <f t="array" ref="R1464">_xlfn.IFS(K1464=0,"On Time",K1464&lt;=2,"Minor",K1464&lt;=5,"Major",K1464&gt;5,"Severe")</f>
        <v>On Time</v>
      </c>
      <c r="S1464">
        <f t="shared" si="156"/>
        <v>0</v>
      </c>
      <c r="T1464">
        <f t="shared" si="157"/>
        <v>0</v>
      </c>
      <c r="U1464">
        <f t="shared" si="158"/>
        <v>2024</v>
      </c>
      <c r="V1464">
        <f t="shared" si="159"/>
        <v>3</v>
      </c>
      <c r="W1464" s="11">
        <f t="shared" si="160"/>
        <v>0</v>
      </c>
    </row>
    <row r="1465" spans="1:23">
      <c r="A1465" t="s">
        <v>1478</v>
      </c>
      <c r="B1465" s="4">
        <v>45305</v>
      </c>
      <c r="C1465" t="s">
        <v>2016</v>
      </c>
      <c r="D1465" t="s">
        <v>2021</v>
      </c>
      <c r="E1465" t="s">
        <v>2028</v>
      </c>
      <c r="F1465" t="s">
        <v>2031</v>
      </c>
      <c r="G1465" t="s">
        <v>2035</v>
      </c>
      <c r="H1465" t="s">
        <v>2038</v>
      </c>
      <c r="I1465">
        <v>5</v>
      </c>
      <c r="J1465">
        <v>6</v>
      </c>
      <c r="K1465">
        <v>1</v>
      </c>
      <c r="L1465" t="s">
        <v>2041</v>
      </c>
      <c r="M1465">
        <v>413</v>
      </c>
      <c r="N1465">
        <v>1508</v>
      </c>
      <c r="O1465">
        <v>3190</v>
      </c>
      <c r="P1465" s="13">
        <f t="shared" si="154"/>
        <v>0</v>
      </c>
      <c r="Q1465" t="str">
        <f t="shared" si="155"/>
        <v>No</v>
      </c>
      <c r="R1465" t="str" cm="1">
        <f t="array" ref="R1465">_xlfn.IFS(K1465=0,"On Time",K1465&lt;=2,"Minor",K1465&lt;=5,"Major",K1465&gt;5,"Severe")</f>
        <v>Minor</v>
      </c>
      <c r="S1465">
        <f t="shared" si="156"/>
        <v>3190</v>
      </c>
      <c r="T1465">
        <f t="shared" si="157"/>
        <v>1508</v>
      </c>
      <c r="U1465">
        <f t="shared" si="158"/>
        <v>2024</v>
      </c>
      <c r="V1465">
        <f t="shared" si="159"/>
        <v>1</v>
      </c>
      <c r="W1465" s="11">
        <f t="shared" si="160"/>
        <v>1</v>
      </c>
    </row>
    <row r="1466" spans="1:23">
      <c r="A1466" t="s">
        <v>1479</v>
      </c>
      <c r="B1466" s="4">
        <v>45592</v>
      </c>
      <c r="C1466" t="s">
        <v>2015</v>
      </c>
      <c r="D1466" t="s">
        <v>2019</v>
      </c>
      <c r="E1466" t="s">
        <v>2029</v>
      </c>
      <c r="F1466" t="s">
        <v>2031</v>
      </c>
      <c r="G1466" t="s">
        <v>2035</v>
      </c>
      <c r="H1466" t="s">
        <v>2038</v>
      </c>
      <c r="I1466">
        <v>5</v>
      </c>
      <c r="J1466">
        <v>10</v>
      </c>
      <c r="K1466">
        <v>5</v>
      </c>
      <c r="L1466" t="s">
        <v>2041</v>
      </c>
      <c r="M1466">
        <v>196</v>
      </c>
      <c r="N1466">
        <v>5330</v>
      </c>
      <c r="O1466">
        <v>10095</v>
      </c>
      <c r="P1466" s="13">
        <f t="shared" si="154"/>
        <v>0</v>
      </c>
      <c r="Q1466" t="str">
        <f t="shared" si="155"/>
        <v>No</v>
      </c>
      <c r="R1466" t="str" cm="1">
        <f t="array" ref="R1466">_xlfn.IFS(K1466=0,"On Time",K1466&lt;=2,"Minor",K1466&lt;=5,"Major",K1466&gt;5,"Severe")</f>
        <v>Major</v>
      </c>
      <c r="S1466">
        <f t="shared" si="156"/>
        <v>2019</v>
      </c>
      <c r="T1466">
        <f t="shared" si="157"/>
        <v>1066</v>
      </c>
      <c r="U1466">
        <f t="shared" si="158"/>
        <v>2024</v>
      </c>
      <c r="V1466">
        <f t="shared" si="159"/>
        <v>10</v>
      </c>
      <c r="W1466" s="11">
        <f t="shared" si="160"/>
        <v>1</v>
      </c>
    </row>
    <row r="1467" spans="1:23">
      <c r="A1467" t="s">
        <v>1480</v>
      </c>
      <c r="B1467" s="4">
        <v>45654</v>
      </c>
      <c r="C1467" t="s">
        <v>2018</v>
      </c>
      <c r="D1467" t="s">
        <v>2026</v>
      </c>
      <c r="E1467" t="s">
        <v>2029</v>
      </c>
      <c r="F1467" t="s">
        <v>2031</v>
      </c>
      <c r="G1467" t="s">
        <v>2036</v>
      </c>
      <c r="H1467" t="s">
        <v>2038</v>
      </c>
      <c r="I1467">
        <v>2</v>
      </c>
      <c r="J1467">
        <v>2</v>
      </c>
      <c r="K1467">
        <v>0</v>
      </c>
      <c r="L1467" t="s">
        <v>2042</v>
      </c>
      <c r="M1467">
        <v>344</v>
      </c>
      <c r="N1467">
        <v>0</v>
      </c>
      <c r="O1467">
        <v>0</v>
      </c>
      <c r="P1467" s="13">
        <f t="shared" si="154"/>
        <v>1</v>
      </c>
      <c r="Q1467" t="str">
        <f t="shared" si="155"/>
        <v>No</v>
      </c>
      <c r="R1467" t="str" cm="1">
        <f t="array" ref="R1467">_xlfn.IFS(K1467=0,"On Time",K1467&lt;=2,"Minor",K1467&lt;=5,"Major",K1467&gt;5,"Severe")</f>
        <v>On Time</v>
      </c>
      <c r="S1467">
        <f t="shared" si="156"/>
        <v>0</v>
      </c>
      <c r="T1467">
        <f t="shared" si="157"/>
        <v>0</v>
      </c>
      <c r="U1467">
        <f t="shared" si="158"/>
        <v>2024</v>
      </c>
      <c r="V1467">
        <f t="shared" si="159"/>
        <v>12</v>
      </c>
      <c r="W1467" s="11">
        <f t="shared" si="160"/>
        <v>0</v>
      </c>
    </row>
    <row r="1468" spans="1:23">
      <c r="A1468" t="s">
        <v>1481</v>
      </c>
      <c r="B1468" s="4">
        <v>45538</v>
      </c>
      <c r="C1468" t="s">
        <v>2016</v>
      </c>
      <c r="D1468" t="s">
        <v>2021</v>
      </c>
      <c r="E1468" t="s">
        <v>2029</v>
      </c>
      <c r="F1468" t="s">
        <v>2030</v>
      </c>
      <c r="G1468" t="s">
        <v>2034</v>
      </c>
      <c r="H1468" t="s">
        <v>2038</v>
      </c>
      <c r="I1468">
        <v>5</v>
      </c>
      <c r="J1468">
        <v>9</v>
      </c>
      <c r="K1468">
        <v>4</v>
      </c>
      <c r="L1468" t="s">
        <v>2041</v>
      </c>
      <c r="M1468">
        <v>446</v>
      </c>
      <c r="N1468">
        <v>7764</v>
      </c>
      <c r="O1468">
        <v>8428</v>
      </c>
      <c r="P1468" s="13">
        <f t="shared" si="154"/>
        <v>0</v>
      </c>
      <c r="Q1468" t="str">
        <f t="shared" si="155"/>
        <v>No</v>
      </c>
      <c r="R1468" t="str" cm="1">
        <f t="array" ref="R1468">_xlfn.IFS(K1468=0,"On Time",K1468&lt;=2,"Minor",K1468&lt;=5,"Major",K1468&gt;5,"Severe")</f>
        <v>Major</v>
      </c>
      <c r="S1468">
        <f t="shared" si="156"/>
        <v>2107</v>
      </c>
      <c r="T1468">
        <f t="shared" si="157"/>
        <v>1941</v>
      </c>
      <c r="U1468">
        <f t="shared" si="158"/>
        <v>2024</v>
      </c>
      <c r="V1468">
        <f t="shared" si="159"/>
        <v>9</v>
      </c>
      <c r="W1468" s="11">
        <f t="shared" si="160"/>
        <v>1</v>
      </c>
    </row>
    <row r="1469" spans="1:23">
      <c r="A1469" t="s">
        <v>1482</v>
      </c>
      <c r="B1469" s="4">
        <v>45340</v>
      </c>
      <c r="C1469" t="s">
        <v>2017</v>
      </c>
      <c r="D1469" t="s">
        <v>2022</v>
      </c>
      <c r="E1469" t="s">
        <v>2027</v>
      </c>
      <c r="F1469" t="s">
        <v>2032</v>
      </c>
      <c r="G1469" t="s">
        <v>2033</v>
      </c>
      <c r="H1469" t="s">
        <v>2039</v>
      </c>
      <c r="I1469">
        <v>1</v>
      </c>
      <c r="J1469">
        <v>4</v>
      </c>
      <c r="K1469">
        <v>3</v>
      </c>
      <c r="L1469" t="s">
        <v>2041</v>
      </c>
      <c r="M1469">
        <v>249</v>
      </c>
      <c r="N1469">
        <v>3408</v>
      </c>
      <c r="O1469">
        <v>6501</v>
      </c>
      <c r="P1469" s="13">
        <f t="shared" si="154"/>
        <v>0</v>
      </c>
      <c r="Q1469" t="str">
        <f t="shared" si="155"/>
        <v>No</v>
      </c>
      <c r="R1469" t="str" cm="1">
        <f t="array" ref="R1469">_xlfn.IFS(K1469=0,"On Time",K1469&lt;=2,"Minor",K1469&lt;=5,"Major",K1469&gt;5,"Severe")</f>
        <v>Major</v>
      </c>
      <c r="S1469">
        <f t="shared" si="156"/>
        <v>2167</v>
      </c>
      <c r="T1469">
        <f t="shared" si="157"/>
        <v>1136</v>
      </c>
      <c r="U1469">
        <f t="shared" si="158"/>
        <v>2024</v>
      </c>
      <c r="V1469">
        <f t="shared" si="159"/>
        <v>2</v>
      </c>
      <c r="W1469" s="11">
        <f t="shared" si="160"/>
        <v>1</v>
      </c>
    </row>
    <row r="1470" spans="1:23">
      <c r="A1470" t="s">
        <v>1483</v>
      </c>
      <c r="B1470" s="4">
        <v>45514</v>
      </c>
      <c r="C1470" t="s">
        <v>2017</v>
      </c>
      <c r="D1470" t="s">
        <v>2023</v>
      </c>
      <c r="E1470" t="s">
        <v>2029</v>
      </c>
      <c r="F1470" t="s">
        <v>2031</v>
      </c>
      <c r="G1470" t="s">
        <v>2036</v>
      </c>
      <c r="H1470" t="s">
        <v>2039</v>
      </c>
      <c r="I1470">
        <v>2</v>
      </c>
      <c r="J1470">
        <v>4</v>
      </c>
      <c r="K1470">
        <v>2</v>
      </c>
      <c r="L1470" t="s">
        <v>2041</v>
      </c>
      <c r="M1470">
        <v>442</v>
      </c>
      <c r="N1470">
        <v>3362</v>
      </c>
      <c r="O1470">
        <v>3178</v>
      </c>
      <c r="P1470" s="13">
        <f t="shared" si="154"/>
        <v>0</v>
      </c>
      <c r="Q1470" t="str">
        <f t="shared" si="155"/>
        <v>No</v>
      </c>
      <c r="R1470" t="str" cm="1">
        <f t="array" ref="R1470">_xlfn.IFS(K1470=0,"On Time",K1470&lt;=2,"Minor",K1470&lt;=5,"Major",K1470&gt;5,"Severe")</f>
        <v>Minor</v>
      </c>
      <c r="S1470">
        <f t="shared" si="156"/>
        <v>1589</v>
      </c>
      <c r="T1470">
        <f t="shared" si="157"/>
        <v>1681</v>
      </c>
      <c r="U1470">
        <f t="shared" si="158"/>
        <v>2024</v>
      </c>
      <c r="V1470">
        <f t="shared" si="159"/>
        <v>8</v>
      </c>
      <c r="W1470" s="11">
        <f t="shared" si="160"/>
        <v>1</v>
      </c>
    </row>
    <row r="1471" spans="1:23">
      <c r="A1471" t="s">
        <v>1484</v>
      </c>
      <c r="B1471" s="4">
        <v>45317</v>
      </c>
      <c r="C1471" t="s">
        <v>2017</v>
      </c>
      <c r="D1471" t="s">
        <v>2023</v>
      </c>
      <c r="E1471" t="s">
        <v>2028</v>
      </c>
      <c r="F1471" t="s">
        <v>2030</v>
      </c>
      <c r="G1471" t="s">
        <v>2037</v>
      </c>
      <c r="H1471" t="s">
        <v>2039</v>
      </c>
      <c r="I1471">
        <v>5</v>
      </c>
      <c r="J1471">
        <v>7</v>
      </c>
      <c r="K1471">
        <v>2</v>
      </c>
      <c r="L1471" t="s">
        <v>2041</v>
      </c>
      <c r="M1471">
        <v>251</v>
      </c>
      <c r="N1471">
        <v>3532</v>
      </c>
      <c r="O1471">
        <v>5540</v>
      </c>
      <c r="P1471" s="13">
        <f t="shared" si="154"/>
        <v>0</v>
      </c>
      <c r="Q1471" t="str">
        <f t="shared" si="155"/>
        <v>No</v>
      </c>
      <c r="R1471" t="str" cm="1">
        <f t="array" ref="R1471">_xlfn.IFS(K1471=0,"On Time",K1471&lt;=2,"Minor",K1471&lt;=5,"Major",K1471&gt;5,"Severe")</f>
        <v>Minor</v>
      </c>
      <c r="S1471">
        <f t="shared" si="156"/>
        <v>2770</v>
      </c>
      <c r="T1471">
        <f t="shared" si="157"/>
        <v>1766</v>
      </c>
      <c r="U1471">
        <f t="shared" si="158"/>
        <v>2024</v>
      </c>
      <c r="V1471">
        <f t="shared" si="159"/>
        <v>1</v>
      </c>
      <c r="W1471" s="11">
        <f t="shared" si="160"/>
        <v>1</v>
      </c>
    </row>
    <row r="1472" spans="1:23">
      <c r="A1472" t="s">
        <v>1485</v>
      </c>
      <c r="B1472" s="4">
        <v>45338</v>
      </c>
      <c r="C1472" t="s">
        <v>2016</v>
      </c>
      <c r="D1472" t="s">
        <v>2021</v>
      </c>
      <c r="E1472" t="s">
        <v>2027</v>
      </c>
      <c r="F1472" t="s">
        <v>2031</v>
      </c>
      <c r="G1472" t="s">
        <v>2036</v>
      </c>
      <c r="H1472" t="s">
        <v>2039</v>
      </c>
      <c r="I1472">
        <v>1</v>
      </c>
      <c r="J1472">
        <v>5</v>
      </c>
      <c r="K1472">
        <v>4</v>
      </c>
      <c r="L1472" t="s">
        <v>2041</v>
      </c>
      <c r="M1472">
        <v>202</v>
      </c>
      <c r="N1472">
        <v>5632</v>
      </c>
      <c r="O1472">
        <v>13952</v>
      </c>
      <c r="P1472" s="13">
        <f t="shared" si="154"/>
        <v>0</v>
      </c>
      <c r="Q1472" t="str">
        <f t="shared" si="155"/>
        <v>No</v>
      </c>
      <c r="R1472" t="str" cm="1">
        <f t="array" ref="R1472">_xlfn.IFS(K1472=0,"On Time",K1472&lt;=2,"Minor",K1472&lt;=5,"Major",K1472&gt;5,"Severe")</f>
        <v>Major</v>
      </c>
      <c r="S1472">
        <f t="shared" si="156"/>
        <v>3488</v>
      </c>
      <c r="T1472">
        <f t="shared" si="157"/>
        <v>1408</v>
      </c>
      <c r="U1472">
        <f t="shared" si="158"/>
        <v>2024</v>
      </c>
      <c r="V1472">
        <f t="shared" si="159"/>
        <v>2</v>
      </c>
      <c r="W1472" s="11">
        <f t="shared" si="160"/>
        <v>1</v>
      </c>
    </row>
    <row r="1473" spans="1:23">
      <c r="A1473" t="s">
        <v>1486</v>
      </c>
      <c r="B1473" s="4">
        <v>45617</v>
      </c>
      <c r="C1473" t="s">
        <v>2015</v>
      </c>
      <c r="D1473" t="s">
        <v>2020</v>
      </c>
      <c r="E1473" t="s">
        <v>2029</v>
      </c>
      <c r="F1473" t="s">
        <v>2031</v>
      </c>
      <c r="G1473" t="s">
        <v>2033</v>
      </c>
      <c r="H1473" t="s">
        <v>2040</v>
      </c>
      <c r="I1473">
        <v>1</v>
      </c>
      <c r="J1473">
        <v>9</v>
      </c>
      <c r="K1473">
        <v>8</v>
      </c>
      <c r="L1473" t="s">
        <v>2041</v>
      </c>
      <c r="M1473">
        <v>433</v>
      </c>
      <c r="N1473">
        <v>19352</v>
      </c>
      <c r="O1473">
        <v>39904</v>
      </c>
      <c r="P1473" s="13">
        <f t="shared" si="154"/>
        <v>0</v>
      </c>
      <c r="Q1473" t="str">
        <f t="shared" si="155"/>
        <v>No</v>
      </c>
      <c r="R1473" t="str" cm="1">
        <f t="array" ref="R1473">_xlfn.IFS(K1473=0,"On Time",K1473&lt;=2,"Minor",K1473&lt;=5,"Major",K1473&gt;5,"Severe")</f>
        <v>Severe</v>
      </c>
      <c r="S1473">
        <f t="shared" si="156"/>
        <v>4988</v>
      </c>
      <c r="T1473">
        <f t="shared" si="157"/>
        <v>2419</v>
      </c>
      <c r="U1473">
        <f t="shared" si="158"/>
        <v>2024</v>
      </c>
      <c r="V1473">
        <f t="shared" si="159"/>
        <v>11</v>
      </c>
      <c r="W1473" s="11">
        <f t="shared" si="160"/>
        <v>1</v>
      </c>
    </row>
    <row r="1474" spans="1:23">
      <c r="A1474" t="s">
        <v>1487</v>
      </c>
      <c r="B1474" s="4">
        <v>45620</v>
      </c>
      <c r="C1474" t="s">
        <v>2016</v>
      </c>
      <c r="D1474" t="s">
        <v>2025</v>
      </c>
      <c r="E1474" t="s">
        <v>2029</v>
      </c>
      <c r="F1474" t="s">
        <v>2031</v>
      </c>
      <c r="G1474" t="s">
        <v>2034</v>
      </c>
      <c r="H1474" t="s">
        <v>2040</v>
      </c>
      <c r="I1474">
        <v>2</v>
      </c>
      <c r="J1474">
        <v>7</v>
      </c>
      <c r="K1474">
        <v>5</v>
      </c>
      <c r="L1474" t="s">
        <v>2041</v>
      </c>
      <c r="M1474">
        <v>286</v>
      </c>
      <c r="N1474">
        <v>9065</v>
      </c>
      <c r="O1474">
        <v>15885</v>
      </c>
      <c r="P1474" s="13">
        <f t="shared" si="154"/>
        <v>0</v>
      </c>
      <c r="Q1474" t="str">
        <f t="shared" si="155"/>
        <v>No</v>
      </c>
      <c r="R1474" t="str" cm="1">
        <f t="array" ref="R1474">_xlfn.IFS(K1474=0,"On Time",K1474&lt;=2,"Minor",K1474&lt;=5,"Major",K1474&gt;5,"Severe")</f>
        <v>Major</v>
      </c>
      <c r="S1474">
        <f t="shared" si="156"/>
        <v>3177</v>
      </c>
      <c r="T1474">
        <f t="shared" si="157"/>
        <v>1813</v>
      </c>
      <c r="U1474">
        <f t="shared" si="158"/>
        <v>2024</v>
      </c>
      <c r="V1474">
        <f t="shared" si="159"/>
        <v>11</v>
      </c>
      <c r="W1474" s="11">
        <f t="shared" si="160"/>
        <v>1</v>
      </c>
    </row>
    <row r="1475" spans="1:23">
      <c r="A1475" t="s">
        <v>1488</v>
      </c>
      <c r="B1475" s="4">
        <v>45441</v>
      </c>
      <c r="C1475" t="s">
        <v>2015</v>
      </c>
      <c r="D1475" t="s">
        <v>2019</v>
      </c>
      <c r="E1475" t="s">
        <v>2028</v>
      </c>
      <c r="F1475" t="s">
        <v>2031</v>
      </c>
      <c r="G1475" t="s">
        <v>2033</v>
      </c>
      <c r="H1475" t="s">
        <v>2039</v>
      </c>
      <c r="I1475">
        <v>1</v>
      </c>
      <c r="J1475">
        <v>3</v>
      </c>
      <c r="K1475">
        <v>2</v>
      </c>
      <c r="L1475" t="s">
        <v>2041</v>
      </c>
      <c r="M1475">
        <v>179</v>
      </c>
      <c r="N1475">
        <v>4104</v>
      </c>
      <c r="O1475">
        <v>8140</v>
      </c>
      <c r="P1475" s="13">
        <f t="shared" ref="P1475:P1538" si="161">IF(L1475="Yes",0,1)</f>
        <v>0</v>
      </c>
      <c r="Q1475" t="str">
        <f t="shared" ref="Q1475:Q1538" si="162">IF(K1475&gt;J1475,"Yes","No")</f>
        <v>No</v>
      </c>
      <c r="R1475" t="str" cm="1">
        <f t="array" ref="R1475">_xlfn.IFS(K1475=0,"On Time",K1475&lt;=2,"Minor",K1475&lt;=5,"Major",K1475&gt;5,"Severe")</f>
        <v>Minor</v>
      </c>
      <c r="S1475">
        <f t="shared" ref="S1475:S1538" si="163">IFERROR(O1475/K1475,0)</f>
        <v>4070</v>
      </c>
      <c r="T1475">
        <f t="shared" ref="T1475:T1538" si="164">IFERROR(N1475/K1475,0)</f>
        <v>2052</v>
      </c>
      <c r="U1475">
        <f t="shared" ref="U1475:U1538" si="165">YEAR(B1475)</f>
        <v>2024</v>
      </c>
      <c r="V1475">
        <f t="shared" ref="V1475:V1538" si="166">MONTH(B1475)</f>
        <v>5</v>
      </c>
      <c r="W1475" s="11">
        <f t="shared" ref="W1475:W1538" si="167">IF(L1475="Yes",1,0)</f>
        <v>1</v>
      </c>
    </row>
    <row r="1476" spans="1:23">
      <c r="A1476" t="s">
        <v>1489</v>
      </c>
      <c r="B1476" s="4">
        <v>45629</v>
      </c>
      <c r="C1476" t="s">
        <v>2016</v>
      </c>
      <c r="D1476" t="s">
        <v>2021</v>
      </c>
      <c r="E1476" t="s">
        <v>2028</v>
      </c>
      <c r="F1476" t="s">
        <v>2031</v>
      </c>
      <c r="G1476" t="s">
        <v>2036</v>
      </c>
      <c r="H1476" t="s">
        <v>2039</v>
      </c>
      <c r="I1476">
        <v>1</v>
      </c>
      <c r="J1476">
        <v>1</v>
      </c>
      <c r="K1476">
        <v>0</v>
      </c>
      <c r="L1476" t="s">
        <v>2042</v>
      </c>
      <c r="M1476">
        <v>353</v>
      </c>
      <c r="N1476">
        <v>0</v>
      </c>
      <c r="O1476">
        <v>0</v>
      </c>
      <c r="P1476" s="13">
        <f t="shared" si="161"/>
        <v>1</v>
      </c>
      <c r="Q1476" t="str">
        <f t="shared" si="162"/>
        <v>No</v>
      </c>
      <c r="R1476" t="str" cm="1">
        <f t="array" ref="R1476">_xlfn.IFS(K1476=0,"On Time",K1476&lt;=2,"Minor",K1476&lt;=5,"Major",K1476&gt;5,"Severe")</f>
        <v>On Time</v>
      </c>
      <c r="S1476">
        <f t="shared" si="163"/>
        <v>0</v>
      </c>
      <c r="T1476">
        <f t="shared" si="164"/>
        <v>0</v>
      </c>
      <c r="U1476">
        <f t="shared" si="165"/>
        <v>2024</v>
      </c>
      <c r="V1476">
        <f t="shared" si="166"/>
        <v>12</v>
      </c>
      <c r="W1476" s="11">
        <f t="shared" si="167"/>
        <v>0</v>
      </c>
    </row>
    <row r="1477" spans="1:23">
      <c r="A1477" t="s">
        <v>1490</v>
      </c>
      <c r="B1477" s="4">
        <v>45417</v>
      </c>
      <c r="C1477" t="s">
        <v>2015</v>
      </c>
      <c r="D1477" t="s">
        <v>2020</v>
      </c>
      <c r="E1477" t="s">
        <v>2028</v>
      </c>
      <c r="F1477" t="s">
        <v>2031</v>
      </c>
      <c r="G1477" t="s">
        <v>2035</v>
      </c>
      <c r="H1477" t="s">
        <v>2038</v>
      </c>
      <c r="I1477">
        <v>2</v>
      </c>
      <c r="J1477">
        <v>6</v>
      </c>
      <c r="K1477">
        <v>4</v>
      </c>
      <c r="L1477" t="s">
        <v>2041</v>
      </c>
      <c r="M1477">
        <v>466</v>
      </c>
      <c r="N1477">
        <v>3876</v>
      </c>
      <c r="O1477">
        <v>7692</v>
      </c>
      <c r="P1477" s="13">
        <f t="shared" si="161"/>
        <v>0</v>
      </c>
      <c r="Q1477" t="str">
        <f t="shared" si="162"/>
        <v>No</v>
      </c>
      <c r="R1477" t="str" cm="1">
        <f t="array" ref="R1477">_xlfn.IFS(K1477=0,"On Time",K1477&lt;=2,"Minor",K1477&lt;=5,"Major",K1477&gt;5,"Severe")</f>
        <v>Major</v>
      </c>
      <c r="S1477">
        <f t="shared" si="163"/>
        <v>1923</v>
      </c>
      <c r="T1477">
        <f t="shared" si="164"/>
        <v>969</v>
      </c>
      <c r="U1477">
        <f t="shared" si="165"/>
        <v>2024</v>
      </c>
      <c r="V1477">
        <f t="shared" si="166"/>
        <v>5</v>
      </c>
      <c r="W1477" s="11">
        <f t="shared" si="167"/>
        <v>1</v>
      </c>
    </row>
    <row r="1478" spans="1:23">
      <c r="A1478" t="s">
        <v>1491</v>
      </c>
      <c r="B1478" s="4">
        <v>45573</v>
      </c>
      <c r="C1478" t="s">
        <v>2016</v>
      </c>
      <c r="D1478" t="s">
        <v>2025</v>
      </c>
      <c r="E1478" t="s">
        <v>2027</v>
      </c>
      <c r="F1478" t="s">
        <v>2030</v>
      </c>
      <c r="G1478" t="s">
        <v>2036</v>
      </c>
      <c r="H1478" t="s">
        <v>2038</v>
      </c>
      <c r="I1478">
        <v>3</v>
      </c>
      <c r="J1478">
        <v>6</v>
      </c>
      <c r="K1478">
        <v>3</v>
      </c>
      <c r="L1478" t="s">
        <v>2041</v>
      </c>
      <c r="M1478">
        <v>274</v>
      </c>
      <c r="N1478">
        <v>4947</v>
      </c>
      <c r="O1478">
        <v>10320</v>
      </c>
      <c r="P1478" s="13">
        <f t="shared" si="161"/>
        <v>0</v>
      </c>
      <c r="Q1478" t="str">
        <f t="shared" si="162"/>
        <v>No</v>
      </c>
      <c r="R1478" t="str" cm="1">
        <f t="array" ref="R1478">_xlfn.IFS(K1478=0,"On Time",K1478&lt;=2,"Minor",K1478&lt;=5,"Major",K1478&gt;5,"Severe")</f>
        <v>Major</v>
      </c>
      <c r="S1478">
        <f t="shared" si="163"/>
        <v>3440</v>
      </c>
      <c r="T1478">
        <f t="shared" si="164"/>
        <v>1649</v>
      </c>
      <c r="U1478">
        <f t="shared" si="165"/>
        <v>2024</v>
      </c>
      <c r="V1478">
        <f t="shared" si="166"/>
        <v>10</v>
      </c>
      <c r="W1478" s="11">
        <f t="shared" si="167"/>
        <v>1</v>
      </c>
    </row>
    <row r="1479" spans="1:23">
      <c r="A1479" t="s">
        <v>1492</v>
      </c>
      <c r="B1479" s="4">
        <v>45402</v>
      </c>
      <c r="C1479" t="s">
        <v>2015</v>
      </c>
      <c r="D1479" t="s">
        <v>2019</v>
      </c>
      <c r="E1479" t="s">
        <v>2029</v>
      </c>
      <c r="F1479" t="s">
        <v>2031</v>
      </c>
      <c r="G1479" t="s">
        <v>2036</v>
      </c>
      <c r="H1479" t="s">
        <v>2038</v>
      </c>
      <c r="I1479">
        <v>1</v>
      </c>
      <c r="J1479">
        <v>2</v>
      </c>
      <c r="K1479">
        <v>1</v>
      </c>
      <c r="L1479" t="s">
        <v>2041</v>
      </c>
      <c r="M1479">
        <v>58</v>
      </c>
      <c r="N1479">
        <v>861</v>
      </c>
      <c r="O1479">
        <v>3109</v>
      </c>
      <c r="P1479" s="13">
        <f t="shared" si="161"/>
        <v>0</v>
      </c>
      <c r="Q1479" t="str">
        <f t="shared" si="162"/>
        <v>No</v>
      </c>
      <c r="R1479" t="str" cm="1">
        <f t="array" ref="R1479">_xlfn.IFS(K1479=0,"On Time",K1479&lt;=2,"Minor",K1479&lt;=5,"Major",K1479&gt;5,"Severe")</f>
        <v>Minor</v>
      </c>
      <c r="S1479">
        <f t="shared" si="163"/>
        <v>3109</v>
      </c>
      <c r="T1479">
        <f t="shared" si="164"/>
        <v>861</v>
      </c>
      <c r="U1479">
        <f t="shared" si="165"/>
        <v>2024</v>
      </c>
      <c r="V1479">
        <f t="shared" si="166"/>
        <v>4</v>
      </c>
      <c r="W1479" s="11">
        <f t="shared" si="167"/>
        <v>1</v>
      </c>
    </row>
    <row r="1480" spans="1:23">
      <c r="A1480" t="s">
        <v>1493</v>
      </c>
      <c r="B1480" s="4">
        <v>45603</v>
      </c>
      <c r="C1480" t="s">
        <v>2015</v>
      </c>
      <c r="D1480" t="s">
        <v>2019</v>
      </c>
      <c r="E1480" t="s">
        <v>2028</v>
      </c>
      <c r="F1480" t="s">
        <v>2031</v>
      </c>
      <c r="G1480" t="s">
        <v>2034</v>
      </c>
      <c r="H1480" t="s">
        <v>2039</v>
      </c>
      <c r="I1480">
        <v>2</v>
      </c>
      <c r="J1480">
        <v>2</v>
      </c>
      <c r="K1480">
        <v>0</v>
      </c>
      <c r="L1480" t="s">
        <v>2042</v>
      </c>
      <c r="M1480">
        <v>282</v>
      </c>
      <c r="N1480">
        <v>0</v>
      </c>
      <c r="O1480">
        <v>0</v>
      </c>
      <c r="P1480" s="13">
        <f t="shared" si="161"/>
        <v>1</v>
      </c>
      <c r="Q1480" t="str">
        <f t="shared" si="162"/>
        <v>No</v>
      </c>
      <c r="R1480" t="str" cm="1">
        <f t="array" ref="R1480">_xlfn.IFS(K1480=0,"On Time",K1480&lt;=2,"Minor",K1480&lt;=5,"Major",K1480&gt;5,"Severe")</f>
        <v>On Time</v>
      </c>
      <c r="S1480">
        <f t="shared" si="163"/>
        <v>0</v>
      </c>
      <c r="T1480">
        <f t="shared" si="164"/>
        <v>0</v>
      </c>
      <c r="U1480">
        <f t="shared" si="165"/>
        <v>2024</v>
      </c>
      <c r="V1480">
        <f t="shared" si="166"/>
        <v>11</v>
      </c>
      <c r="W1480" s="11">
        <f t="shared" si="167"/>
        <v>0</v>
      </c>
    </row>
    <row r="1481" spans="1:23">
      <c r="A1481" t="s">
        <v>1494</v>
      </c>
      <c r="B1481" s="4">
        <v>45497</v>
      </c>
      <c r="C1481" t="s">
        <v>2016</v>
      </c>
      <c r="D1481" t="s">
        <v>2021</v>
      </c>
      <c r="E1481" t="s">
        <v>2029</v>
      </c>
      <c r="F1481" t="s">
        <v>2030</v>
      </c>
      <c r="G1481" t="s">
        <v>2037</v>
      </c>
      <c r="H1481" t="s">
        <v>2038</v>
      </c>
      <c r="I1481">
        <v>1</v>
      </c>
      <c r="J1481">
        <v>5</v>
      </c>
      <c r="K1481">
        <v>4</v>
      </c>
      <c r="L1481" t="s">
        <v>2041</v>
      </c>
      <c r="M1481">
        <v>452</v>
      </c>
      <c r="N1481">
        <v>3408</v>
      </c>
      <c r="O1481">
        <v>11880</v>
      </c>
      <c r="P1481" s="13">
        <f t="shared" si="161"/>
        <v>0</v>
      </c>
      <c r="Q1481" t="str">
        <f t="shared" si="162"/>
        <v>No</v>
      </c>
      <c r="R1481" t="str" cm="1">
        <f t="array" ref="R1481">_xlfn.IFS(K1481=0,"On Time",K1481&lt;=2,"Minor",K1481&lt;=5,"Major",K1481&gt;5,"Severe")</f>
        <v>Major</v>
      </c>
      <c r="S1481">
        <f t="shared" si="163"/>
        <v>2970</v>
      </c>
      <c r="T1481">
        <f t="shared" si="164"/>
        <v>852</v>
      </c>
      <c r="U1481">
        <f t="shared" si="165"/>
        <v>2024</v>
      </c>
      <c r="V1481">
        <f t="shared" si="166"/>
        <v>7</v>
      </c>
      <c r="W1481" s="11">
        <f t="shared" si="167"/>
        <v>1</v>
      </c>
    </row>
    <row r="1482" spans="1:23">
      <c r="A1482" t="s">
        <v>1495</v>
      </c>
      <c r="B1482" s="4">
        <v>45457</v>
      </c>
      <c r="C1482" t="s">
        <v>2018</v>
      </c>
      <c r="D1482" t="s">
        <v>2024</v>
      </c>
      <c r="E1482" t="s">
        <v>2027</v>
      </c>
      <c r="F1482" t="s">
        <v>2031</v>
      </c>
      <c r="G1482" t="s">
        <v>2033</v>
      </c>
      <c r="H1482" t="s">
        <v>2038</v>
      </c>
      <c r="I1482">
        <v>2</v>
      </c>
      <c r="J1482">
        <v>2</v>
      </c>
      <c r="K1482">
        <v>0</v>
      </c>
      <c r="L1482" t="s">
        <v>2042</v>
      </c>
      <c r="M1482">
        <v>112</v>
      </c>
      <c r="N1482">
        <v>0</v>
      </c>
      <c r="O1482">
        <v>0</v>
      </c>
      <c r="P1482" s="13">
        <f t="shared" si="161"/>
        <v>1</v>
      </c>
      <c r="Q1482" t="str">
        <f t="shared" si="162"/>
        <v>No</v>
      </c>
      <c r="R1482" t="str" cm="1">
        <f t="array" ref="R1482">_xlfn.IFS(K1482=0,"On Time",K1482&lt;=2,"Minor",K1482&lt;=5,"Major",K1482&gt;5,"Severe")</f>
        <v>On Time</v>
      </c>
      <c r="S1482">
        <f t="shared" si="163"/>
        <v>0</v>
      </c>
      <c r="T1482">
        <f t="shared" si="164"/>
        <v>0</v>
      </c>
      <c r="U1482">
        <f t="shared" si="165"/>
        <v>2024</v>
      </c>
      <c r="V1482">
        <f t="shared" si="166"/>
        <v>6</v>
      </c>
      <c r="W1482" s="11">
        <f t="shared" si="167"/>
        <v>0</v>
      </c>
    </row>
    <row r="1483" spans="1:23">
      <c r="A1483" t="s">
        <v>1496</v>
      </c>
      <c r="B1483" s="4">
        <v>45639</v>
      </c>
      <c r="C1483" t="s">
        <v>2018</v>
      </c>
      <c r="D1483" t="s">
        <v>2026</v>
      </c>
      <c r="E1483" t="s">
        <v>2028</v>
      </c>
      <c r="F1483" t="s">
        <v>2032</v>
      </c>
      <c r="G1483" t="s">
        <v>2037</v>
      </c>
      <c r="H1483" t="s">
        <v>2039</v>
      </c>
      <c r="I1483">
        <v>1</v>
      </c>
      <c r="J1483">
        <v>7</v>
      </c>
      <c r="K1483">
        <v>6</v>
      </c>
      <c r="L1483" t="s">
        <v>2041</v>
      </c>
      <c r="M1483">
        <v>228</v>
      </c>
      <c r="N1483">
        <v>9744</v>
      </c>
      <c r="O1483">
        <v>23244</v>
      </c>
      <c r="P1483" s="13">
        <f t="shared" si="161"/>
        <v>0</v>
      </c>
      <c r="Q1483" t="str">
        <f t="shared" si="162"/>
        <v>No</v>
      </c>
      <c r="R1483" t="str" cm="1">
        <f t="array" ref="R1483">_xlfn.IFS(K1483=0,"On Time",K1483&lt;=2,"Minor",K1483&lt;=5,"Major",K1483&gt;5,"Severe")</f>
        <v>Severe</v>
      </c>
      <c r="S1483">
        <f t="shared" si="163"/>
        <v>3874</v>
      </c>
      <c r="T1483">
        <f t="shared" si="164"/>
        <v>1624</v>
      </c>
      <c r="U1483">
        <f t="shared" si="165"/>
        <v>2024</v>
      </c>
      <c r="V1483">
        <f t="shared" si="166"/>
        <v>12</v>
      </c>
      <c r="W1483" s="11">
        <f t="shared" si="167"/>
        <v>1</v>
      </c>
    </row>
    <row r="1484" spans="1:23">
      <c r="A1484" t="s">
        <v>1497</v>
      </c>
      <c r="B1484" s="4">
        <v>45365</v>
      </c>
      <c r="C1484" t="s">
        <v>2017</v>
      </c>
      <c r="D1484" t="s">
        <v>2023</v>
      </c>
      <c r="E1484" t="s">
        <v>2028</v>
      </c>
      <c r="F1484" t="s">
        <v>2030</v>
      </c>
      <c r="G1484" t="s">
        <v>2036</v>
      </c>
      <c r="H1484" t="s">
        <v>2039</v>
      </c>
      <c r="I1484">
        <v>2</v>
      </c>
      <c r="J1484">
        <v>2</v>
      </c>
      <c r="K1484">
        <v>0</v>
      </c>
      <c r="L1484" t="s">
        <v>2042</v>
      </c>
      <c r="M1484">
        <v>69</v>
      </c>
      <c r="N1484">
        <v>0</v>
      </c>
      <c r="O1484">
        <v>0</v>
      </c>
      <c r="P1484" s="13">
        <f t="shared" si="161"/>
        <v>1</v>
      </c>
      <c r="Q1484" t="str">
        <f t="shared" si="162"/>
        <v>No</v>
      </c>
      <c r="R1484" t="str" cm="1">
        <f t="array" ref="R1484">_xlfn.IFS(K1484=0,"On Time",K1484&lt;=2,"Minor",K1484&lt;=5,"Major",K1484&gt;5,"Severe")</f>
        <v>On Time</v>
      </c>
      <c r="S1484">
        <f t="shared" si="163"/>
        <v>0</v>
      </c>
      <c r="T1484">
        <f t="shared" si="164"/>
        <v>0</v>
      </c>
      <c r="U1484">
        <f t="shared" si="165"/>
        <v>2024</v>
      </c>
      <c r="V1484">
        <f t="shared" si="166"/>
        <v>3</v>
      </c>
      <c r="W1484" s="11">
        <f t="shared" si="167"/>
        <v>0</v>
      </c>
    </row>
    <row r="1485" spans="1:23">
      <c r="A1485" t="s">
        <v>1498</v>
      </c>
      <c r="B1485" s="4">
        <v>45548</v>
      </c>
      <c r="C1485" t="s">
        <v>2015</v>
      </c>
      <c r="D1485" t="s">
        <v>2020</v>
      </c>
      <c r="E1485" t="s">
        <v>2029</v>
      </c>
      <c r="F1485" t="s">
        <v>2030</v>
      </c>
      <c r="G1485" t="s">
        <v>2034</v>
      </c>
      <c r="H1485" t="s">
        <v>2039</v>
      </c>
      <c r="I1485">
        <v>1</v>
      </c>
      <c r="J1485">
        <v>1</v>
      </c>
      <c r="K1485">
        <v>0</v>
      </c>
      <c r="L1485" t="s">
        <v>2042</v>
      </c>
      <c r="M1485">
        <v>311</v>
      </c>
      <c r="N1485">
        <v>0</v>
      </c>
      <c r="O1485">
        <v>0</v>
      </c>
      <c r="P1485" s="13">
        <f t="shared" si="161"/>
        <v>1</v>
      </c>
      <c r="Q1485" t="str">
        <f t="shared" si="162"/>
        <v>No</v>
      </c>
      <c r="R1485" t="str" cm="1">
        <f t="array" ref="R1485">_xlfn.IFS(K1485=0,"On Time",K1485&lt;=2,"Minor",K1485&lt;=5,"Major",K1485&gt;5,"Severe")</f>
        <v>On Time</v>
      </c>
      <c r="S1485">
        <f t="shared" si="163"/>
        <v>0</v>
      </c>
      <c r="T1485">
        <f t="shared" si="164"/>
        <v>0</v>
      </c>
      <c r="U1485">
        <f t="shared" si="165"/>
        <v>2024</v>
      </c>
      <c r="V1485">
        <f t="shared" si="166"/>
        <v>9</v>
      </c>
      <c r="W1485" s="11">
        <f t="shared" si="167"/>
        <v>0</v>
      </c>
    </row>
    <row r="1486" spans="1:23">
      <c r="A1486" t="s">
        <v>1499</v>
      </c>
      <c r="B1486" s="4">
        <v>45627</v>
      </c>
      <c r="C1486" t="s">
        <v>2017</v>
      </c>
      <c r="D1486" t="s">
        <v>2022</v>
      </c>
      <c r="E1486" t="s">
        <v>2029</v>
      </c>
      <c r="F1486" t="s">
        <v>2031</v>
      </c>
      <c r="G1486" t="s">
        <v>2033</v>
      </c>
      <c r="H1486" t="s">
        <v>2040</v>
      </c>
      <c r="I1486">
        <v>5</v>
      </c>
      <c r="J1486">
        <v>8</v>
      </c>
      <c r="K1486">
        <v>3</v>
      </c>
      <c r="L1486" t="s">
        <v>2041</v>
      </c>
      <c r="M1486">
        <v>443</v>
      </c>
      <c r="N1486">
        <v>3828</v>
      </c>
      <c r="O1486">
        <v>5046</v>
      </c>
      <c r="P1486" s="13">
        <f t="shared" si="161"/>
        <v>0</v>
      </c>
      <c r="Q1486" t="str">
        <f t="shared" si="162"/>
        <v>No</v>
      </c>
      <c r="R1486" t="str" cm="1">
        <f t="array" ref="R1486">_xlfn.IFS(K1486=0,"On Time",K1486&lt;=2,"Minor",K1486&lt;=5,"Major",K1486&gt;5,"Severe")</f>
        <v>Major</v>
      </c>
      <c r="S1486">
        <f t="shared" si="163"/>
        <v>1682</v>
      </c>
      <c r="T1486">
        <f t="shared" si="164"/>
        <v>1276</v>
      </c>
      <c r="U1486">
        <f t="shared" si="165"/>
        <v>2024</v>
      </c>
      <c r="V1486">
        <f t="shared" si="166"/>
        <v>12</v>
      </c>
      <c r="W1486" s="11">
        <f t="shared" si="167"/>
        <v>1</v>
      </c>
    </row>
    <row r="1487" spans="1:23">
      <c r="A1487" t="s">
        <v>1500</v>
      </c>
      <c r="B1487" s="4">
        <v>45298</v>
      </c>
      <c r="C1487" t="s">
        <v>2018</v>
      </c>
      <c r="D1487" t="s">
        <v>2024</v>
      </c>
      <c r="E1487" t="s">
        <v>2027</v>
      </c>
      <c r="F1487" t="s">
        <v>2031</v>
      </c>
      <c r="G1487" t="s">
        <v>2037</v>
      </c>
      <c r="H1487" t="s">
        <v>2039</v>
      </c>
      <c r="I1487">
        <v>5</v>
      </c>
      <c r="J1487">
        <v>9</v>
      </c>
      <c r="K1487">
        <v>4</v>
      </c>
      <c r="L1487" t="s">
        <v>2041</v>
      </c>
      <c r="M1487">
        <v>434</v>
      </c>
      <c r="N1487">
        <v>6168</v>
      </c>
      <c r="O1487">
        <v>12220</v>
      </c>
      <c r="P1487" s="13">
        <f t="shared" si="161"/>
        <v>0</v>
      </c>
      <c r="Q1487" t="str">
        <f t="shared" si="162"/>
        <v>No</v>
      </c>
      <c r="R1487" t="str" cm="1">
        <f t="array" ref="R1487">_xlfn.IFS(K1487=0,"On Time",K1487&lt;=2,"Minor",K1487&lt;=5,"Major",K1487&gt;5,"Severe")</f>
        <v>Major</v>
      </c>
      <c r="S1487">
        <f t="shared" si="163"/>
        <v>3055</v>
      </c>
      <c r="T1487">
        <f t="shared" si="164"/>
        <v>1542</v>
      </c>
      <c r="U1487">
        <f t="shared" si="165"/>
        <v>2024</v>
      </c>
      <c r="V1487">
        <f t="shared" si="166"/>
        <v>1</v>
      </c>
      <c r="W1487" s="11">
        <f t="shared" si="167"/>
        <v>1</v>
      </c>
    </row>
    <row r="1488" spans="1:23">
      <c r="A1488" t="s">
        <v>1501</v>
      </c>
      <c r="B1488" s="4">
        <v>45432</v>
      </c>
      <c r="C1488" t="s">
        <v>2017</v>
      </c>
      <c r="D1488" t="s">
        <v>2022</v>
      </c>
      <c r="E1488" t="s">
        <v>2029</v>
      </c>
      <c r="F1488" t="s">
        <v>2031</v>
      </c>
      <c r="G1488" t="s">
        <v>2033</v>
      </c>
      <c r="H1488" t="s">
        <v>2039</v>
      </c>
      <c r="I1488">
        <v>2</v>
      </c>
      <c r="J1488">
        <v>7</v>
      </c>
      <c r="K1488">
        <v>5</v>
      </c>
      <c r="L1488" t="s">
        <v>2041</v>
      </c>
      <c r="M1488">
        <v>442</v>
      </c>
      <c r="N1488">
        <v>8930</v>
      </c>
      <c r="O1488">
        <v>11525</v>
      </c>
      <c r="P1488" s="13">
        <f t="shared" si="161"/>
        <v>0</v>
      </c>
      <c r="Q1488" t="str">
        <f t="shared" si="162"/>
        <v>No</v>
      </c>
      <c r="R1488" t="str" cm="1">
        <f t="array" ref="R1488">_xlfn.IFS(K1488=0,"On Time",K1488&lt;=2,"Minor",K1488&lt;=5,"Major",K1488&gt;5,"Severe")</f>
        <v>Major</v>
      </c>
      <c r="S1488">
        <f t="shared" si="163"/>
        <v>2305</v>
      </c>
      <c r="T1488">
        <f t="shared" si="164"/>
        <v>1786</v>
      </c>
      <c r="U1488">
        <f t="shared" si="165"/>
        <v>2024</v>
      </c>
      <c r="V1488">
        <f t="shared" si="166"/>
        <v>5</v>
      </c>
      <c r="W1488" s="11">
        <f t="shared" si="167"/>
        <v>1</v>
      </c>
    </row>
    <row r="1489" spans="1:23">
      <c r="A1489" t="s">
        <v>1502</v>
      </c>
      <c r="B1489" s="4">
        <v>45313</v>
      </c>
      <c r="C1489" t="s">
        <v>2017</v>
      </c>
      <c r="D1489" t="s">
        <v>2022</v>
      </c>
      <c r="E1489" t="s">
        <v>2029</v>
      </c>
      <c r="F1489" t="s">
        <v>2031</v>
      </c>
      <c r="G1489" t="s">
        <v>2037</v>
      </c>
      <c r="H1489" t="s">
        <v>2039</v>
      </c>
      <c r="I1489">
        <v>1</v>
      </c>
      <c r="J1489">
        <v>2</v>
      </c>
      <c r="K1489">
        <v>1</v>
      </c>
      <c r="L1489" t="s">
        <v>2041</v>
      </c>
      <c r="M1489">
        <v>81</v>
      </c>
      <c r="N1489">
        <v>1246</v>
      </c>
      <c r="O1489">
        <v>2157</v>
      </c>
      <c r="P1489" s="13">
        <f t="shared" si="161"/>
        <v>0</v>
      </c>
      <c r="Q1489" t="str">
        <f t="shared" si="162"/>
        <v>No</v>
      </c>
      <c r="R1489" t="str" cm="1">
        <f t="array" ref="R1489">_xlfn.IFS(K1489=0,"On Time",K1489&lt;=2,"Minor",K1489&lt;=5,"Major",K1489&gt;5,"Severe")</f>
        <v>Minor</v>
      </c>
      <c r="S1489">
        <f t="shared" si="163"/>
        <v>2157</v>
      </c>
      <c r="T1489">
        <f t="shared" si="164"/>
        <v>1246</v>
      </c>
      <c r="U1489">
        <f t="shared" si="165"/>
        <v>2024</v>
      </c>
      <c r="V1489">
        <f t="shared" si="166"/>
        <v>1</v>
      </c>
      <c r="W1489" s="11">
        <f t="shared" si="167"/>
        <v>1</v>
      </c>
    </row>
    <row r="1490" spans="1:23">
      <c r="A1490" t="s">
        <v>1503</v>
      </c>
      <c r="B1490" s="4">
        <v>45361</v>
      </c>
      <c r="C1490" t="s">
        <v>2015</v>
      </c>
      <c r="D1490" t="s">
        <v>2020</v>
      </c>
      <c r="E1490" t="s">
        <v>2027</v>
      </c>
      <c r="F1490" t="s">
        <v>2032</v>
      </c>
      <c r="G1490" t="s">
        <v>2035</v>
      </c>
      <c r="H1490" t="s">
        <v>2039</v>
      </c>
      <c r="I1490">
        <v>1</v>
      </c>
      <c r="J1490">
        <v>6</v>
      </c>
      <c r="K1490">
        <v>5</v>
      </c>
      <c r="L1490" t="s">
        <v>2041</v>
      </c>
      <c r="M1490">
        <v>427</v>
      </c>
      <c r="N1490">
        <v>8910</v>
      </c>
      <c r="O1490">
        <v>16715</v>
      </c>
      <c r="P1490" s="13">
        <f t="shared" si="161"/>
        <v>0</v>
      </c>
      <c r="Q1490" t="str">
        <f t="shared" si="162"/>
        <v>No</v>
      </c>
      <c r="R1490" t="str" cm="1">
        <f t="array" ref="R1490">_xlfn.IFS(K1490=0,"On Time",K1490&lt;=2,"Minor",K1490&lt;=5,"Major",K1490&gt;5,"Severe")</f>
        <v>Major</v>
      </c>
      <c r="S1490">
        <f t="shared" si="163"/>
        <v>3343</v>
      </c>
      <c r="T1490">
        <f t="shared" si="164"/>
        <v>1782</v>
      </c>
      <c r="U1490">
        <f t="shared" si="165"/>
        <v>2024</v>
      </c>
      <c r="V1490">
        <f t="shared" si="166"/>
        <v>3</v>
      </c>
      <c r="W1490" s="11">
        <f t="shared" si="167"/>
        <v>1</v>
      </c>
    </row>
    <row r="1491" spans="1:23">
      <c r="A1491" t="s">
        <v>1504</v>
      </c>
      <c r="B1491" s="4">
        <v>45492</v>
      </c>
      <c r="C1491" t="s">
        <v>2017</v>
      </c>
      <c r="D1491" t="s">
        <v>2023</v>
      </c>
      <c r="E1491" t="s">
        <v>2029</v>
      </c>
      <c r="F1491" t="s">
        <v>2030</v>
      </c>
      <c r="G1491" t="s">
        <v>2035</v>
      </c>
      <c r="H1491" t="s">
        <v>2038</v>
      </c>
      <c r="I1491">
        <v>3</v>
      </c>
      <c r="J1491">
        <v>8</v>
      </c>
      <c r="K1491">
        <v>5</v>
      </c>
      <c r="L1491" t="s">
        <v>2041</v>
      </c>
      <c r="M1491">
        <v>199</v>
      </c>
      <c r="N1491">
        <v>7885</v>
      </c>
      <c r="O1491">
        <v>22585</v>
      </c>
      <c r="P1491" s="13">
        <f t="shared" si="161"/>
        <v>0</v>
      </c>
      <c r="Q1491" t="str">
        <f t="shared" si="162"/>
        <v>No</v>
      </c>
      <c r="R1491" t="str" cm="1">
        <f t="array" ref="R1491">_xlfn.IFS(K1491=0,"On Time",K1491&lt;=2,"Minor",K1491&lt;=5,"Major",K1491&gt;5,"Severe")</f>
        <v>Major</v>
      </c>
      <c r="S1491">
        <f t="shared" si="163"/>
        <v>4517</v>
      </c>
      <c r="T1491">
        <f t="shared" si="164"/>
        <v>1577</v>
      </c>
      <c r="U1491">
        <f t="shared" si="165"/>
        <v>2024</v>
      </c>
      <c r="V1491">
        <f t="shared" si="166"/>
        <v>7</v>
      </c>
      <c r="W1491" s="11">
        <f t="shared" si="167"/>
        <v>1</v>
      </c>
    </row>
    <row r="1492" spans="1:23">
      <c r="A1492" t="s">
        <v>1505</v>
      </c>
      <c r="B1492" s="4">
        <v>45319</v>
      </c>
      <c r="C1492" t="s">
        <v>2017</v>
      </c>
      <c r="D1492" t="s">
        <v>2022</v>
      </c>
      <c r="E1492" t="s">
        <v>2027</v>
      </c>
      <c r="F1492" t="s">
        <v>2031</v>
      </c>
      <c r="G1492" t="s">
        <v>2033</v>
      </c>
      <c r="H1492" t="s">
        <v>2038</v>
      </c>
      <c r="I1492">
        <v>3</v>
      </c>
      <c r="J1492">
        <v>6</v>
      </c>
      <c r="K1492">
        <v>3</v>
      </c>
      <c r="L1492" t="s">
        <v>2041</v>
      </c>
      <c r="M1492">
        <v>261</v>
      </c>
      <c r="N1492">
        <v>6396</v>
      </c>
      <c r="O1492">
        <v>6372</v>
      </c>
      <c r="P1492" s="13">
        <f t="shared" si="161"/>
        <v>0</v>
      </c>
      <c r="Q1492" t="str">
        <f t="shared" si="162"/>
        <v>No</v>
      </c>
      <c r="R1492" t="str" cm="1">
        <f t="array" ref="R1492">_xlfn.IFS(K1492=0,"On Time",K1492&lt;=2,"Minor",K1492&lt;=5,"Major",K1492&gt;5,"Severe")</f>
        <v>Major</v>
      </c>
      <c r="S1492">
        <f t="shared" si="163"/>
        <v>2124</v>
      </c>
      <c r="T1492">
        <f t="shared" si="164"/>
        <v>2132</v>
      </c>
      <c r="U1492">
        <f t="shared" si="165"/>
        <v>2024</v>
      </c>
      <c r="V1492">
        <f t="shared" si="166"/>
        <v>1</v>
      </c>
      <c r="W1492" s="11">
        <f t="shared" si="167"/>
        <v>1</v>
      </c>
    </row>
    <row r="1493" spans="1:23">
      <c r="A1493" t="s">
        <v>1506</v>
      </c>
      <c r="B1493" s="4">
        <v>45562</v>
      </c>
      <c r="C1493" t="s">
        <v>2018</v>
      </c>
      <c r="D1493" t="s">
        <v>2024</v>
      </c>
      <c r="E1493" t="s">
        <v>2029</v>
      </c>
      <c r="F1493" t="s">
        <v>2032</v>
      </c>
      <c r="G1493" t="s">
        <v>2036</v>
      </c>
      <c r="H1493" t="s">
        <v>2039</v>
      </c>
      <c r="I1493">
        <v>2</v>
      </c>
      <c r="J1493">
        <v>7</v>
      </c>
      <c r="K1493">
        <v>5</v>
      </c>
      <c r="L1493" t="s">
        <v>2041</v>
      </c>
      <c r="M1493">
        <v>269</v>
      </c>
      <c r="N1493">
        <v>7190</v>
      </c>
      <c r="O1493">
        <v>18420</v>
      </c>
      <c r="P1493" s="13">
        <f t="shared" si="161"/>
        <v>0</v>
      </c>
      <c r="Q1493" t="str">
        <f t="shared" si="162"/>
        <v>No</v>
      </c>
      <c r="R1493" t="str" cm="1">
        <f t="array" ref="R1493">_xlfn.IFS(K1493=0,"On Time",K1493&lt;=2,"Minor",K1493&lt;=5,"Major",K1493&gt;5,"Severe")</f>
        <v>Major</v>
      </c>
      <c r="S1493">
        <f t="shared" si="163"/>
        <v>3684</v>
      </c>
      <c r="T1493">
        <f t="shared" si="164"/>
        <v>1438</v>
      </c>
      <c r="U1493">
        <f t="shared" si="165"/>
        <v>2024</v>
      </c>
      <c r="V1493">
        <f t="shared" si="166"/>
        <v>9</v>
      </c>
      <c r="W1493" s="11">
        <f t="shared" si="167"/>
        <v>1</v>
      </c>
    </row>
    <row r="1494" spans="1:23">
      <c r="A1494" t="s">
        <v>1507</v>
      </c>
      <c r="B1494" s="4">
        <v>45629</v>
      </c>
      <c r="C1494" t="s">
        <v>2017</v>
      </c>
      <c r="D1494" t="s">
        <v>2023</v>
      </c>
      <c r="E1494" t="s">
        <v>2027</v>
      </c>
      <c r="F1494" t="s">
        <v>2032</v>
      </c>
      <c r="G1494" t="s">
        <v>2033</v>
      </c>
      <c r="H1494" t="s">
        <v>2040</v>
      </c>
      <c r="I1494">
        <v>5</v>
      </c>
      <c r="J1494">
        <v>13</v>
      </c>
      <c r="K1494">
        <v>8</v>
      </c>
      <c r="L1494" t="s">
        <v>2041</v>
      </c>
      <c r="M1494">
        <v>244</v>
      </c>
      <c r="N1494">
        <v>19112</v>
      </c>
      <c r="O1494">
        <v>24200</v>
      </c>
      <c r="P1494" s="13">
        <f t="shared" si="161"/>
        <v>0</v>
      </c>
      <c r="Q1494" t="str">
        <f t="shared" si="162"/>
        <v>No</v>
      </c>
      <c r="R1494" t="str" cm="1">
        <f t="array" ref="R1494">_xlfn.IFS(K1494=0,"On Time",K1494&lt;=2,"Minor",K1494&lt;=5,"Major",K1494&gt;5,"Severe")</f>
        <v>Severe</v>
      </c>
      <c r="S1494">
        <f t="shared" si="163"/>
        <v>3025</v>
      </c>
      <c r="T1494">
        <f t="shared" si="164"/>
        <v>2389</v>
      </c>
      <c r="U1494">
        <f t="shared" si="165"/>
        <v>2024</v>
      </c>
      <c r="V1494">
        <f t="shared" si="166"/>
        <v>12</v>
      </c>
      <c r="W1494" s="11">
        <f t="shared" si="167"/>
        <v>1</v>
      </c>
    </row>
    <row r="1495" spans="1:23">
      <c r="A1495" t="s">
        <v>1508</v>
      </c>
      <c r="B1495" s="4">
        <v>45571</v>
      </c>
      <c r="C1495" t="s">
        <v>2018</v>
      </c>
      <c r="D1495" t="s">
        <v>2026</v>
      </c>
      <c r="E1495" t="s">
        <v>2029</v>
      </c>
      <c r="F1495" t="s">
        <v>2030</v>
      </c>
      <c r="G1495" t="s">
        <v>2035</v>
      </c>
      <c r="H1495" t="s">
        <v>2040</v>
      </c>
      <c r="I1495">
        <v>2</v>
      </c>
      <c r="J1495">
        <v>4</v>
      </c>
      <c r="K1495">
        <v>2</v>
      </c>
      <c r="L1495" t="s">
        <v>2041</v>
      </c>
      <c r="M1495">
        <v>433</v>
      </c>
      <c r="N1495">
        <v>1722</v>
      </c>
      <c r="O1495">
        <v>5270</v>
      </c>
      <c r="P1495" s="13">
        <f t="shared" si="161"/>
        <v>0</v>
      </c>
      <c r="Q1495" t="str">
        <f t="shared" si="162"/>
        <v>No</v>
      </c>
      <c r="R1495" t="str" cm="1">
        <f t="array" ref="R1495">_xlfn.IFS(K1495=0,"On Time",K1495&lt;=2,"Minor",K1495&lt;=5,"Major",K1495&gt;5,"Severe")</f>
        <v>Minor</v>
      </c>
      <c r="S1495">
        <f t="shared" si="163"/>
        <v>2635</v>
      </c>
      <c r="T1495">
        <f t="shared" si="164"/>
        <v>861</v>
      </c>
      <c r="U1495">
        <f t="shared" si="165"/>
        <v>2024</v>
      </c>
      <c r="V1495">
        <f t="shared" si="166"/>
        <v>10</v>
      </c>
      <c r="W1495" s="11">
        <f t="shared" si="167"/>
        <v>1</v>
      </c>
    </row>
    <row r="1496" spans="1:23">
      <c r="A1496" t="s">
        <v>1509</v>
      </c>
      <c r="B1496" s="4">
        <v>45465</v>
      </c>
      <c r="C1496" t="s">
        <v>2018</v>
      </c>
      <c r="D1496" t="s">
        <v>2026</v>
      </c>
      <c r="E1496" t="s">
        <v>2027</v>
      </c>
      <c r="F1496" t="s">
        <v>2032</v>
      </c>
      <c r="G1496" t="s">
        <v>2037</v>
      </c>
      <c r="H1496" t="s">
        <v>2039</v>
      </c>
      <c r="I1496">
        <v>2</v>
      </c>
      <c r="J1496">
        <v>4</v>
      </c>
      <c r="K1496">
        <v>2</v>
      </c>
      <c r="L1496" t="s">
        <v>2041</v>
      </c>
      <c r="M1496">
        <v>229</v>
      </c>
      <c r="N1496">
        <v>4032</v>
      </c>
      <c r="O1496">
        <v>8246</v>
      </c>
      <c r="P1496" s="13">
        <f t="shared" si="161"/>
        <v>0</v>
      </c>
      <c r="Q1496" t="str">
        <f t="shared" si="162"/>
        <v>No</v>
      </c>
      <c r="R1496" t="str" cm="1">
        <f t="array" ref="R1496">_xlfn.IFS(K1496=0,"On Time",K1496&lt;=2,"Minor",K1496&lt;=5,"Major",K1496&gt;5,"Severe")</f>
        <v>Minor</v>
      </c>
      <c r="S1496">
        <f t="shared" si="163"/>
        <v>4123</v>
      </c>
      <c r="T1496">
        <f t="shared" si="164"/>
        <v>2016</v>
      </c>
      <c r="U1496">
        <f t="shared" si="165"/>
        <v>2024</v>
      </c>
      <c r="V1496">
        <f t="shared" si="166"/>
        <v>6</v>
      </c>
      <c r="W1496" s="11">
        <f t="shared" si="167"/>
        <v>1</v>
      </c>
    </row>
    <row r="1497" spans="1:23">
      <c r="A1497" t="s">
        <v>1510</v>
      </c>
      <c r="B1497" s="4">
        <v>45306</v>
      </c>
      <c r="C1497" t="s">
        <v>2016</v>
      </c>
      <c r="D1497" t="s">
        <v>2025</v>
      </c>
      <c r="E1497" t="s">
        <v>2028</v>
      </c>
      <c r="F1497" t="s">
        <v>2031</v>
      </c>
      <c r="G1497" t="s">
        <v>2033</v>
      </c>
      <c r="H1497" t="s">
        <v>2040</v>
      </c>
      <c r="I1497">
        <v>2</v>
      </c>
      <c r="J1497">
        <v>7</v>
      </c>
      <c r="K1497">
        <v>5</v>
      </c>
      <c r="L1497" t="s">
        <v>2041</v>
      </c>
      <c r="M1497">
        <v>438</v>
      </c>
      <c r="N1497">
        <v>9140</v>
      </c>
      <c r="O1497">
        <v>16305</v>
      </c>
      <c r="P1497" s="13">
        <f t="shared" si="161"/>
        <v>0</v>
      </c>
      <c r="Q1497" t="str">
        <f t="shared" si="162"/>
        <v>No</v>
      </c>
      <c r="R1497" t="str" cm="1">
        <f t="array" ref="R1497">_xlfn.IFS(K1497=0,"On Time",K1497&lt;=2,"Minor",K1497&lt;=5,"Major",K1497&gt;5,"Severe")</f>
        <v>Major</v>
      </c>
      <c r="S1497">
        <f t="shared" si="163"/>
        <v>3261</v>
      </c>
      <c r="T1497">
        <f t="shared" si="164"/>
        <v>1828</v>
      </c>
      <c r="U1497">
        <f t="shared" si="165"/>
        <v>2024</v>
      </c>
      <c r="V1497">
        <f t="shared" si="166"/>
        <v>1</v>
      </c>
      <c r="W1497" s="11">
        <f t="shared" si="167"/>
        <v>1</v>
      </c>
    </row>
    <row r="1498" spans="1:23">
      <c r="A1498" t="s">
        <v>1511</v>
      </c>
      <c r="B1498" s="4">
        <v>45392</v>
      </c>
      <c r="C1498" t="s">
        <v>2018</v>
      </c>
      <c r="D1498" t="s">
        <v>2024</v>
      </c>
      <c r="E1498" t="s">
        <v>2027</v>
      </c>
      <c r="F1498" t="s">
        <v>2031</v>
      </c>
      <c r="G1498" t="s">
        <v>2035</v>
      </c>
      <c r="H1498" t="s">
        <v>2039</v>
      </c>
      <c r="I1498">
        <v>1</v>
      </c>
      <c r="J1498">
        <v>3</v>
      </c>
      <c r="K1498">
        <v>2</v>
      </c>
      <c r="L1498" t="s">
        <v>2041</v>
      </c>
      <c r="M1498">
        <v>284</v>
      </c>
      <c r="N1498">
        <v>2350</v>
      </c>
      <c r="O1498">
        <v>6202</v>
      </c>
      <c r="P1498" s="13">
        <f t="shared" si="161"/>
        <v>0</v>
      </c>
      <c r="Q1498" t="str">
        <f t="shared" si="162"/>
        <v>No</v>
      </c>
      <c r="R1498" t="str" cm="1">
        <f t="array" ref="R1498">_xlfn.IFS(K1498=0,"On Time",K1498&lt;=2,"Minor",K1498&lt;=5,"Major",K1498&gt;5,"Severe")</f>
        <v>Minor</v>
      </c>
      <c r="S1498">
        <f t="shared" si="163"/>
        <v>3101</v>
      </c>
      <c r="T1498">
        <f t="shared" si="164"/>
        <v>1175</v>
      </c>
      <c r="U1498">
        <f t="shared" si="165"/>
        <v>2024</v>
      </c>
      <c r="V1498">
        <f t="shared" si="166"/>
        <v>4</v>
      </c>
      <c r="W1498" s="11">
        <f t="shared" si="167"/>
        <v>1</v>
      </c>
    </row>
    <row r="1499" spans="1:23">
      <c r="A1499" t="s">
        <v>1512</v>
      </c>
      <c r="B1499" s="4">
        <v>45416</v>
      </c>
      <c r="C1499" t="s">
        <v>2015</v>
      </c>
      <c r="D1499" t="s">
        <v>2019</v>
      </c>
      <c r="E1499" t="s">
        <v>2028</v>
      </c>
      <c r="F1499" t="s">
        <v>2031</v>
      </c>
      <c r="G1499" t="s">
        <v>2036</v>
      </c>
      <c r="H1499" t="s">
        <v>2039</v>
      </c>
      <c r="I1499">
        <v>2</v>
      </c>
      <c r="J1499">
        <v>5</v>
      </c>
      <c r="K1499">
        <v>3</v>
      </c>
      <c r="L1499" t="s">
        <v>2041</v>
      </c>
      <c r="M1499">
        <v>227</v>
      </c>
      <c r="N1499">
        <v>5091</v>
      </c>
      <c r="O1499">
        <v>14277</v>
      </c>
      <c r="P1499" s="13">
        <f t="shared" si="161"/>
        <v>0</v>
      </c>
      <c r="Q1499" t="str">
        <f t="shared" si="162"/>
        <v>No</v>
      </c>
      <c r="R1499" t="str" cm="1">
        <f t="array" ref="R1499">_xlfn.IFS(K1499=0,"On Time",K1499&lt;=2,"Minor",K1499&lt;=5,"Major",K1499&gt;5,"Severe")</f>
        <v>Major</v>
      </c>
      <c r="S1499">
        <f t="shared" si="163"/>
        <v>4759</v>
      </c>
      <c r="T1499">
        <f t="shared" si="164"/>
        <v>1697</v>
      </c>
      <c r="U1499">
        <f t="shared" si="165"/>
        <v>2024</v>
      </c>
      <c r="V1499">
        <f t="shared" si="166"/>
        <v>5</v>
      </c>
      <c r="W1499" s="11">
        <f t="shared" si="167"/>
        <v>1</v>
      </c>
    </row>
    <row r="1500" spans="1:23">
      <c r="A1500" t="s">
        <v>1513</v>
      </c>
      <c r="B1500" s="4">
        <v>45338</v>
      </c>
      <c r="C1500" t="s">
        <v>2016</v>
      </c>
      <c r="D1500" t="s">
        <v>2021</v>
      </c>
      <c r="E1500" t="s">
        <v>2027</v>
      </c>
      <c r="F1500" t="s">
        <v>2031</v>
      </c>
      <c r="G1500" t="s">
        <v>2036</v>
      </c>
      <c r="H1500" t="s">
        <v>2038</v>
      </c>
      <c r="I1500">
        <v>2</v>
      </c>
      <c r="J1500">
        <v>2</v>
      </c>
      <c r="K1500">
        <v>0</v>
      </c>
      <c r="L1500" t="s">
        <v>2042</v>
      </c>
      <c r="M1500">
        <v>58</v>
      </c>
      <c r="N1500">
        <v>0</v>
      </c>
      <c r="O1500">
        <v>0</v>
      </c>
      <c r="P1500" s="13">
        <f t="shared" si="161"/>
        <v>1</v>
      </c>
      <c r="Q1500" t="str">
        <f t="shared" si="162"/>
        <v>No</v>
      </c>
      <c r="R1500" t="str" cm="1">
        <f t="array" ref="R1500">_xlfn.IFS(K1500=0,"On Time",K1500&lt;=2,"Minor",K1500&lt;=5,"Major",K1500&gt;5,"Severe")</f>
        <v>On Time</v>
      </c>
      <c r="S1500">
        <f t="shared" si="163"/>
        <v>0</v>
      </c>
      <c r="T1500">
        <f t="shared" si="164"/>
        <v>0</v>
      </c>
      <c r="U1500">
        <f t="shared" si="165"/>
        <v>2024</v>
      </c>
      <c r="V1500">
        <f t="shared" si="166"/>
        <v>2</v>
      </c>
      <c r="W1500" s="11">
        <f t="shared" si="167"/>
        <v>0</v>
      </c>
    </row>
    <row r="1501" spans="1:23">
      <c r="A1501" t="s">
        <v>1514</v>
      </c>
      <c r="B1501" s="4">
        <v>45415</v>
      </c>
      <c r="C1501" t="s">
        <v>2018</v>
      </c>
      <c r="D1501" t="s">
        <v>2026</v>
      </c>
      <c r="E1501" t="s">
        <v>2028</v>
      </c>
      <c r="F1501" t="s">
        <v>2030</v>
      </c>
      <c r="G1501" t="s">
        <v>2037</v>
      </c>
      <c r="H1501" t="s">
        <v>2038</v>
      </c>
      <c r="I1501">
        <v>2</v>
      </c>
      <c r="J1501">
        <v>5</v>
      </c>
      <c r="K1501">
        <v>3</v>
      </c>
      <c r="L1501" t="s">
        <v>2041</v>
      </c>
      <c r="M1501">
        <v>441</v>
      </c>
      <c r="N1501">
        <v>6735</v>
      </c>
      <c r="O1501">
        <v>10281</v>
      </c>
      <c r="P1501" s="13">
        <f t="shared" si="161"/>
        <v>0</v>
      </c>
      <c r="Q1501" t="str">
        <f t="shared" si="162"/>
        <v>No</v>
      </c>
      <c r="R1501" t="str" cm="1">
        <f t="array" ref="R1501">_xlfn.IFS(K1501=0,"On Time",K1501&lt;=2,"Minor",K1501&lt;=5,"Major",K1501&gt;5,"Severe")</f>
        <v>Major</v>
      </c>
      <c r="S1501">
        <f t="shared" si="163"/>
        <v>3427</v>
      </c>
      <c r="T1501">
        <f t="shared" si="164"/>
        <v>2245</v>
      </c>
      <c r="U1501">
        <f t="shared" si="165"/>
        <v>2024</v>
      </c>
      <c r="V1501">
        <f t="shared" si="166"/>
        <v>5</v>
      </c>
      <c r="W1501" s="11">
        <f t="shared" si="167"/>
        <v>1</v>
      </c>
    </row>
    <row r="1502" spans="1:23">
      <c r="A1502" t="s">
        <v>1515</v>
      </c>
      <c r="B1502" s="4">
        <v>45482</v>
      </c>
      <c r="C1502" t="s">
        <v>2015</v>
      </c>
      <c r="D1502" t="s">
        <v>2020</v>
      </c>
      <c r="E1502" t="s">
        <v>2028</v>
      </c>
      <c r="F1502" t="s">
        <v>2031</v>
      </c>
      <c r="G1502" t="s">
        <v>2034</v>
      </c>
      <c r="H1502" t="s">
        <v>2039</v>
      </c>
      <c r="I1502">
        <v>2</v>
      </c>
      <c r="J1502">
        <v>3</v>
      </c>
      <c r="K1502">
        <v>1</v>
      </c>
      <c r="L1502" t="s">
        <v>2041</v>
      </c>
      <c r="M1502">
        <v>112</v>
      </c>
      <c r="N1502">
        <v>1248</v>
      </c>
      <c r="O1502">
        <v>4749</v>
      </c>
      <c r="P1502" s="13">
        <f t="shared" si="161"/>
        <v>0</v>
      </c>
      <c r="Q1502" t="str">
        <f t="shared" si="162"/>
        <v>No</v>
      </c>
      <c r="R1502" t="str" cm="1">
        <f t="array" ref="R1502">_xlfn.IFS(K1502=0,"On Time",K1502&lt;=2,"Minor",K1502&lt;=5,"Major",K1502&gt;5,"Severe")</f>
        <v>Minor</v>
      </c>
      <c r="S1502">
        <f t="shared" si="163"/>
        <v>4749</v>
      </c>
      <c r="T1502">
        <f t="shared" si="164"/>
        <v>1248</v>
      </c>
      <c r="U1502">
        <f t="shared" si="165"/>
        <v>2024</v>
      </c>
      <c r="V1502">
        <f t="shared" si="166"/>
        <v>7</v>
      </c>
      <c r="W1502" s="11">
        <f t="shared" si="167"/>
        <v>1</v>
      </c>
    </row>
    <row r="1503" spans="1:23">
      <c r="A1503" t="s">
        <v>1516</v>
      </c>
      <c r="B1503" s="4">
        <v>45347</v>
      </c>
      <c r="C1503" t="s">
        <v>2018</v>
      </c>
      <c r="D1503" t="s">
        <v>2026</v>
      </c>
      <c r="E1503" t="s">
        <v>2029</v>
      </c>
      <c r="F1503" t="s">
        <v>2031</v>
      </c>
      <c r="G1503" t="s">
        <v>2037</v>
      </c>
      <c r="H1503" t="s">
        <v>2039</v>
      </c>
      <c r="I1503">
        <v>1</v>
      </c>
      <c r="J1503">
        <v>6</v>
      </c>
      <c r="K1503">
        <v>5</v>
      </c>
      <c r="L1503" t="s">
        <v>2041</v>
      </c>
      <c r="M1503">
        <v>142</v>
      </c>
      <c r="N1503">
        <v>8670</v>
      </c>
      <c r="O1503">
        <v>17965</v>
      </c>
      <c r="P1503" s="13">
        <f t="shared" si="161"/>
        <v>0</v>
      </c>
      <c r="Q1503" t="str">
        <f t="shared" si="162"/>
        <v>No</v>
      </c>
      <c r="R1503" t="str" cm="1">
        <f t="array" ref="R1503">_xlfn.IFS(K1503=0,"On Time",K1503&lt;=2,"Minor",K1503&lt;=5,"Major",K1503&gt;5,"Severe")</f>
        <v>Major</v>
      </c>
      <c r="S1503">
        <f t="shared" si="163"/>
        <v>3593</v>
      </c>
      <c r="T1503">
        <f t="shared" si="164"/>
        <v>1734</v>
      </c>
      <c r="U1503">
        <f t="shared" si="165"/>
        <v>2024</v>
      </c>
      <c r="V1503">
        <f t="shared" si="166"/>
        <v>2</v>
      </c>
      <c r="W1503" s="11">
        <f t="shared" si="167"/>
        <v>1</v>
      </c>
    </row>
    <row r="1504" spans="1:23">
      <c r="A1504" t="s">
        <v>1517</v>
      </c>
      <c r="B1504" s="4">
        <v>45491</v>
      </c>
      <c r="C1504" t="s">
        <v>2015</v>
      </c>
      <c r="D1504" t="s">
        <v>2019</v>
      </c>
      <c r="E1504" t="s">
        <v>2027</v>
      </c>
      <c r="F1504" t="s">
        <v>2032</v>
      </c>
      <c r="G1504" t="s">
        <v>2034</v>
      </c>
      <c r="H1504" t="s">
        <v>2040</v>
      </c>
      <c r="I1504">
        <v>2</v>
      </c>
      <c r="J1504">
        <v>5</v>
      </c>
      <c r="K1504">
        <v>3</v>
      </c>
      <c r="L1504" t="s">
        <v>2041</v>
      </c>
      <c r="M1504">
        <v>278</v>
      </c>
      <c r="N1504">
        <v>3978</v>
      </c>
      <c r="O1504">
        <v>7920</v>
      </c>
      <c r="P1504" s="13">
        <f t="shared" si="161"/>
        <v>0</v>
      </c>
      <c r="Q1504" t="str">
        <f t="shared" si="162"/>
        <v>No</v>
      </c>
      <c r="R1504" t="str" cm="1">
        <f t="array" ref="R1504">_xlfn.IFS(K1504=0,"On Time",K1504&lt;=2,"Minor",K1504&lt;=5,"Major",K1504&gt;5,"Severe")</f>
        <v>Major</v>
      </c>
      <c r="S1504">
        <f t="shared" si="163"/>
        <v>2640</v>
      </c>
      <c r="T1504">
        <f t="shared" si="164"/>
        <v>1326</v>
      </c>
      <c r="U1504">
        <f t="shared" si="165"/>
        <v>2024</v>
      </c>
      <c r="V1504">
        <f t="shared" si="166"/>
        <v>7</v>
      </c>
      <c r="W1504" s="11">
        <f t="shared" si="167"/>
        <v>1</v>
      </c>
    </row>
    <row r="1505" spans="1:23">
      <c r="A1505" t="s">
        <v>1518</v>
      </c>
      <c r="B1505" s="4">
        <v>45555</v>
      </c>
      <c r="C1505" t="s">
        <v>2017</v>
      </c>
      <c r="D1505" t="s">
        <v>2023</v>
      </c>
      <c r="E1505" t="s">
        <v>2028</v>
      </c>
      <c r="F1505" t="s">
        <v>2032</v>
      </c>
      <c r="G1505" t="s">
        <v>2033</v>
      </c>
      <c r="H1505" t="s">
        <v>2039</v>
      </c>
      <c r="I1505">
        <v>2</v>
      </c>
      <c r="J1505">
        <v>7</v>
      </c>
      <c r="K1505">
        <v>5</v>
      </c>
      <c r="L1505" t="s">
        <v>2041</v>
      </c>
      <c r="M1505">
        <v>254</v>
      </c>
      <c r="N1505">
        <v>12145</v>
      </c>
      <c r="O1505">
        <v>16025</v>
      </c>
      <c r="P1505" s="13">
        <f t="shared" si="161"/>
        <v>0</v>
      </c>
      <c r="Q1505" t="str">
        <f t="shared" si="162"/>
        <v>No</v>
      </c>
      <c r="R1505" t="str" cm="1">
        <f t="array" ref="R1505">_xlfn.IFS(K1505=0,"On Time",K1505&lt;=2,"Minor",K1505&lt;=5,"Major",K1505&gt;5,"Severe")</f>
        <v>Major</v>
      </c>
      <c r="S1505">
        <f t="shared" si="163"/>
        <v>3205</v>
      </c>
      <c r="T1505">
        <f t="shared" si="164"/>
        <v>2429</v>
      </c>
      <c r="U1505">
        <f t="shared" si="165"/>
        <v>2024</v>
      </c>
      <c r="V1505">
        <f t="shared" si="166"/>
        <v>9</v>
      </c>
      <c r="W1505" s="11">
        <f t="shared" si="167"/>
        <v>1</v>
      </c>
    </row>
    <row r="1506" spans="1:23">
      <c r="A1506" t="s">
        <v>1519</v>
      </c>
      <c r="B1506" s="4">
        <v>45466</v>
      </c>
      <c r="C1506" t="s">
        <v>2015</v>
      </c>
      <c r="D1506" t="s">
        <v>2020</v>
      </c>
      <c r="E1506" t="s">
        <v>2029</v>
      </c>
      <c r="F1506" t="s">
        <v>2032</v>
      </c>
      <c r="G1506" t="s">
        <v>2035</v>
      </c>
      <c r="H1506" t="s">
        <v>2038</v>
      </c>
      <c r="I1506">
        <v>2</v>
      </c>
      <c r="J1506">
        <v>4</v>
      </c>
      <c r="K1506">
        <v>2</v>
      </c>
      <c r="L1506" t="s">
        <v>2041</v>
      </c>
      <c r="M1506">
        <v>278</v>
      </c>
      <c r="N1506">
        <v>3550</v>
      </c>
      <c r="O1506">
        <v>9644</v>
      </c>
      <c r="P1506" s="13">
        <f t="shared" si="161"/>
        <v>0</v>
      </c>
      <c r="Q1506" t="str">
        <f t="shared" si="162"/>
        <v>No</v>
      </c>
      <c r="R1506" t="str" cm="1">
        <f t="array" ref="R1506">_xlfn.IFS(K1506=0,"On Time",K1506&lt;=2,"Minor",K1506&lt;=5,"Major",K1506&gt;5,"Severe")</f>
        <v>Minor</v>
      </c>
      <c r="S1506">
        <f t="shared" si="163"/>
        <v>4822</v>
      </c>
      <c r="T1506">
        <f t="shared" si="164"/>
        <v>1775</v>
      </c>
      <c r="U1506">
        <f t="shared" si="165"/>
        <v>2024</v>
      </c>
      <c r="V1506">
        <f t="shared" si="166"/>
        <v>6</v>
      </c>
      <c r="W1506" s="11">
        <f t="shared" si="167"/>
        <v>1</v>
      </c>
    </row>
    <row r="1507" spans="1:23">
      <c r="A1507" t="s">
        <v>1520</v>
      </c>
      <c r="B1507" s="4">
        <v>45295</v>
      </c>
      <c r="C1507" t="s">
        <v>2016</v>
      </c>
      <c r="D1507" t="s">
        <v>2025</v>
      </c>
      <c r="E1507" t="s">
        <v>2027</v>
      </c>
      <c r="F1507" t="s">
        <v>2032</v>
      </c>
      <c r="G1507" t="s">
        <v>2034</v>
      </c>
      <c r="H1507" t="s">
        <v>2039</v>
      </c>
      <c r="I1507">
        <v>1</v>
      </c>
      <c r="J1507">
        <v>5</v>
      </c>
      <c r="K1507">
        <v>4</v>
      </c>
      <c r="L1507" t="s">
        <v>2041</v>
      </c>
      <c r="M1507">
        <v>247</v>
      </c>
      <c r="N1507">
        <v>6128</v>
      </c>
      <c r="O1507">
        <v>10060</v>
      </c>
      <c r="P1507" s="13">
        <f t="shared" si="161"/>
        <v>0</v>
      </c>
      <c r="Q1507" t="str">
        <f t="shared" si="162"/>
        <v>No</v>
      </c>
      <c r="R1507" t="str" cm="1">
        <f t="array" ref="R1507">_xlfn.IFS(K1507=0,"On Time",K1507&lt;=2,"Minor",K1507&lt;=5,"Major",K1507&gt;5,"Severe")</f>
        <v>Major</v>
      </c>
      <c r="S1507">
        <f t="shared" si="163"/>
        <v>2515</v>
      </c>
      <c r="T1507">
        <f t="shared" si="164"/>
        <v>1532</v>
      </c>
      <c r="U1507">
        <f t="shared" si="165"/>
        <v>2024</v>
      </c>
      <c r="V1507">
        <f t="shared" si="166"/>
        <v>1</v>
      </c>
      <c r="W1507" s="11">
        <f t="shared" si="167"/>
        <v>1</v>
      </c>
    </row>
    <row r="1508" spans="1:23">
      <c r="A1508" t="s">
        <v>1521</v>
      </c>
      <c r="B1508" s="4">
        <v>45654</v>
      </c>
      <c r="C1508" t="s">
        <v>2015</v>
      </c>
      <c r="D1508" t="s">
        <v>2020</v>
      </c>
      <c r="E1508" t="s">
        <v>2029</v>
      </c>
      <c r="F1508" t="s">
        <v>2031</v>
      </c>
      <c r="G1508" t="s">
        <v>2037</v>
      </c>
      <c r="H1508" t="s">
        <v>2039</v>
      </c>
      <c r="I1508">
        <v>1</v>
      </c>
      <c r="J1508">
        <v>6</v>
      </c>
      <c r="K1508">
        <v>5</v>
      </c>
      <c r="L1508" t="s">
        <v>2041</v>
      </c>
      <c r="M1508">
        <v>459</v>
      </c>
      <c r="N1508">
        <v>11755</v>
      </c>
      <c r="O1508">
        <v>21750</v>
      </c>
      <c r="P1508" s="13">
        <f t="shared" si="161"/>
        <v>0</v>
      </c>
      <c r="Q1508" t="str">
        <f t="shared" si="162"/>
        <v>No</v>
      </c>
      <c r="R1508" t="str" cm="1">
        <f t="array" ref="R1508">_xlfn.IFS(K1508=0,"On Time",K1508&lt;=2,"Minor",K1508&lt;=5,"Major",K1508&gt;5,"Severe")</f>
        <v>Major</v>
      </c>
      <c r="S1508">
        <f t="shared" si="163"/>
        <v>4350</v>
      </c>
      <c r="T1508">
        <f t="shared" si="164"/>
        <v>2351</v>
      </c>
      <c r="U1508">
        <f t="shared" si="165"/>
        <v>2024</v>
      </c>
      <c r="V1508">
        <f t="shared" si="166"/>
        <v>12</v>
      </c>
      <c r="W1508" s="11">
        <f t="shared" si="167"/>
        <v>1</v>
      </c>
    </row>
    <row r="1509" spans="1:23">
      <c r="A1509" t="s">
        <v>1522</v>
      </c>
      <c r="B1509" s="4">
        <v>45493</v>
      </c>
      <c r="C1509" t="s">
        <v>2017</v>
      </c>
      <c r="D1509" t="s">
        <v>2023</v>
      </c>
      <c r="E1509" t="s">
        <v>2028</v>
      </c>
      <c r="F1509" t="s">
        <v>2031</v>
      </c>
      <c r="G1509" t="s">
        <v>2035</v>
      </c>
      <c r="H1509" t="s">
        <v>2039</v>
      </c>
      <c r="I1509">
        <v>1</v>
      </c>
      <c r="J1509">
        <v>6</v>
      </c>
      <c r="K1509">
        <v>5</v>
      </c>
      <c r="L1509" t="s">
        <v>2041</v>
      </c>
      <c r="M1509">
        <v>253</v>
      </c>
      <c r="N1509">
        <v>9855</v>
      </c>
      <c r="O1509">
        <v>17040</v>
      </c>
      <c r="P1509" s="13">
        <f t="shared" si="161"/>
        <v>0</v>
      </c>
      <c r="Q1509" t="str">
        <f t="shared" si="162"/>
        <v>No</v>
      </c>
      <c r="R1509" t="str" cm="1">
        <f t="array" ref="R1509">_xlfn.IFS(K1509=0,"On Time",K1509&lt;=2,"Minor",K1509&lt;=5,"Major",K1509&gt;5,"Severe")</f>
        <v>Major</v>
      </c>
      <c r="S1509">
        <f t="shared" si="163"/>
        <v>3408</v>
      </c>
      <c r="T1509">
        <f t="shared" si="164"/>
        <v>1971</v>
      </c>
      <c r="U1509">
        <f t="shared" si="165"/>
        <v>2024</v>
      </c>
      <c r="V1509">
        <f t="shared" si="166"/>
        <v>7</v>
      </c>
      <c r="W1509" s="11">
        <f t="shared" si="167"/>
        <v>1</v>
      </c>
    </row>
    <row r="1510" spans="1:23">
      <c r="A1510" t="s">
        <v>1523</v>
      </c>
      <c r="B1510" s="4">
        <v>45318</v>
      </c>
      <c r="C1510" t="s">
        <v>2017</v>
      </c>
      <c r="D1510" t="s">
        <v>2023</v>
      </c>
      <c r="E1510" t="s">
        <v>2029</v>
      </c>
      <c r="F1510" t="s">
        <v>2031</v>
      </c>
      <c r="G1510" t="s">
        <v>2037</v>
      </c>
      <c r="H1510" t="s">
        <v>2040</v>
      </c>
      <c r="I1510">
        <v>2</v>
      </c>
      <c r="J1510">
        <v>5</v>
      </c>
      <c r="K1510">
        <v>3</v>
      </c>
      <c r="L1510" t="s">
        <v>2041</v>
      </c>
      <c r="M1510">
        <v>262</v>
      </c>
      <c r="N1510">
        <v>2424</v>
      </c>
      <c r="O1510">
        <v>8580</v>
      </c>
      <c r="P1510" s="13">
        <f t="shared" si="161"/>
        <v>0</v>
      </c>
      <c r="Q1510" t="str">
        <f t="shared" si="162"/>
        <v>No</v>
      </c>
      <c r="R1510" t="str" cm="1">
        <f t="array" ref="R1510">_xlfn.IFS(K1510=0,"On Time",K1510&lt;=2,"Minor",K1510&lt;=5,"Major",K1510&gt;5,"Severe")</f>
        <v>Major</v>
      </c>
      <c r="S1510">
        <f t="shared" si="163"/>
        <v>2860</v>
      </c>
      <c r="T1510">
        <f t="shared" si="164"/>
        <v>808</v>
      </c>
      <c r="U1510">
        <f t="shared" si="165"/>
        <v>2024</v>
      </c>
      <c r="V1510">
        <f t="shared" si="166"/>
        <v>1</v>
      </c>
      <c r="W1510" s="11">
        <f t="shared" si="167"/>
        <v>1</v>
      </c>
    </row>
    <row r="1511" spans="1:23">
      <c r="A1511" t="s">
        <v>1524</v>
      </c>
      <c r="B1511" s="4">
        <v>45419</v>
      </c>
      <c r="C1511" t="s">
        <v>2017</v>
      </c>
      <c r="D1511" t="s">
        <v>2022</v>
      </c>
      <c r="E1511" t="s">
        <v>2029</v>
      </c>
      <c r="F1511" t="s">
        <v>2031</v>
      </c>
      <c r="G1511" t="s">
        <v>2037</v>
      </c>
      <c r="H1511" t="s">
        <v>2039</v>
      </c>
      <c r="I1511">
        <v>2</v>
      </c>
      <c r="J1511">
        <v>5</v>
      </c>
      <c r="K1511">
        <v>3</v>
      </c>
      <c r="L1511" t="s">
        <v>2041</v>
      </c>
      <c r="M1511">
        <v>164</v>
      </c>
      <c r="N1511">
        <v>5262</v>
      </c>
      <c r="O1511">
        <v>9090</v>
      </c>
      <c r="P1511" s="13">
        <f t="shared" si="161"/>
        <v>0</v>
      </c>
      <c r="Q1511" t="str">
        <f t="shared" si="162"/>
        <v>No</v>
      </c>
      <c r="R1511" t="str" cm="1">
        <f t="array" ref="R1511">_xlfn.IFS(K1511=0,"On Time",K1511&lt;=2,"Minor",K1511&lt;=5,"Major",K1511&gt;5,"Severe")</f>
        <v>Major</v>
      </c>
      <c r="S1511">
        <f t="shared" si="163"/>
        <v>3030</v>
      </c>
      <c r="T1511">
        <f t="shared" si="164"/>
        <v>1754</v>
      </c>
      <c r="U1511">
        <f t="shared" si="165"/>
        <v>2024</v>
      </c>
      <c r="V1511">
        <f t="shared" si="166"/>
        <v>5</v>
      </c>
      <c r="W1511" s="11">
        <f t="shared" si="167"/>
        <v>1</v>
      </c>
    </row>
    <row r="1512" spans="1:23">
      <c r="A1512" t="s">
        <v>1525</v>
      </c>
      <c r="B1512" s="4">
        <v>45524</v>
      </c>
      <c r="C1512" t="s">
        <v>2015</v>
      </c>
      <c r="D1512" t="s">
        <v>2019</v>
      </c>
      <c r="E1512" t="s">
        <v>2029</v>
      </c>
      <c r="F1512" t="s">
        <v>2031</v>
      </c>
      <c r="G1512" t="s">
        <v>2037</v>
      </c>
      <c r="H1512" t="s">
        <v>2038</v>
      </c>
      <c r="I1512">
        <v>3</v>
      </c>
      <c r="J1512">
        <v>7</v>
      </c>
      <c r="K1512">
        <v>4</v>
      </c>
      <c r="L1512" t="s">
        <v>2041</v>
      </c>
      <c r="M1512">
        <v>187</v>
      </c>
      <c r="N1512">
        <v>4184</v>
      </c>
      <c r="O1512">
        <v>15028</v>
      </c>
      <c r="P1512" s="13">
        <f t="shared" si="161"/>
        <v>0</v>
      </c>
      <c r="Q1512" t="str">
        <f t="shared" si="162"/>
        <v>No</v>
      </c>
      <c r="R1512" t="str" cm="1">
        <f t="array" ref="R1512">_xlfn.IFS(K1512=0,"On Time",K1512&lt;=2,"Minor",K1512&lt;=5,"Major",K1512&gt;5,"Severe")</f>
        <v>Major</v>
      </c>
      <c r="S1512">
        <f t="shared" si="163"/>
        <v>3757</v>
      </c>
      <c r="T1512">
        <f t="shared" si="164"/>
        <v>1046</v>
      </c>
      <c r="U1512">
        <f t="shared" si="165"/>
        <v>2024</v>
      </c>
      <c r="V1512">
        <f t="shared" si="166"/>
        <v>8</v>
      </c>
      <c r="W1512" s="11">
        <f t="shared" si="167"/>
        <v>1</v>
      </c>
    </row>
    <row r="1513" spans="1:23">
      <c r="A1513" t="s">
        <v>1526</v>
      </c>
      <c r="B1513" s="4">
        <v>45306</v>
      </c>
      <c r="C1513" t="s">
        <v>2017</v>
      </c>
      <c r="D1513" t="s">
        <v>2022</v>
      </c>
      <c r="E1513" t="s">
        <v>2027</v>
      </c>
      <c r="F1513" t="s">
        <v>2032</v>
      </c>
      <c r="G1513" t="s">
        <v>2035</v>
      </c>
      <c r="H1513" t="s">
        <v>2039</v>
      </c>
      <c r="I1513">
        <v>2</v>
      </c>
      <c r="J1513">
        <v>3</v>
      </c>
      <c r="K1513">
        <v>1</v>
      </c>
      <c r="L1513" t="s">
        <v>2041</v>
      </c>
      <c r="M1513">
        <v>481</v>
      </c>
      <c r="N1513">
        <v>1074</v>
      </c>
      <c r="O1513">
        <v>3521</v>
      </c>
      <c r="P1513" s="13">
        <f t="shared" si="161"/>
        <v>0</v>
      </c>
      <c r="Q1513" t="str">
        <f t="shared" si="162"/>
        <v>No</v>
      </c>
      <c r="R1513" t="str" cm="1">
        <f t="array" ref="R1513">_xlfn.IFS(K1513=0,"On Time",K1513&lt;=2,"Minor",K1513&lt;=5,"Major",K1513&gt;5,"Severe")</f>
        <v>Minor</v>
      </c>
      <c r="S1513">
        <f t="shared" si="163"/>
        <v>3521</v>
      </c>
      <c r="T1513">
        <f t="shared" si="164"/>
        <v>1074</v>
      </c>
      <c r="U1513">
        <f t="shared" si="165"/>
        <v>2024</v>
      </c>
      <c r="V1513">
        <f t="shared" si="166"/>
        <v>1</v>
      </c>
      <c r="W1513" s="11">
        <f t="shared" si="167"/>
        <v>1</v>
      </c>
    </row>
    <row r="1514" spans="1:23">
      <c r="A1514" t="s">
        <v>1527</v>
      </c>
      <c r="B1514" s="4">
        <v>45327</v>
      </c>
      <c r="C1514" t="s">
        <v>2016</v>
      </c>
      <c r="D1514" t="s">
        <v>2025</v>
      </c>
      <c r="E1514" t="s">
        <v>2029</v>
      </c>
      <c r="F1514" t="s">
        <v>2031</v>
      </c>
      <c r="G1514" t="s">
        <v>2037</v>
      </c>
      <c r="H1514" t="s">
        <v>2038</v>
      </c>
      <c r="I1514">
        <v>2</v>
      </c>
      <c r="J1514">
        <v>7</v>
      </c>
      <c r="K1514">
        <v>5</v>
      </c>
      <c r="L1514" t="s">
        <v>2041</v>
      </c>
      <c r="M1514">
        <v>142</v>
      </c>
      <c r="N1514">
        <v>6570</v>
      </c>
      <c r="O1514">
        <v>20805</v>
      </c>
      <c r="P1514" s="13">
        <f t="shared" si="161"/>
        <v>0</v>
      </c>
      <c r="Q1514" t="str">
        <f t="shared" si="162"/>
        <v>No</v>
      </c>
      <c r="R1514" t="str" cm="1">
        <f t="array" ref="R1514">_xlfn.IFS(K1514=0,"On Time",K1514&lt;=2,"Minor",K1514&lt;=5,"Major",K1514&gt;5,"Severe")</f>
        <v>Major</v>
      </c>
      <c r="S1514">
        <f t="shared" si="163"/>
        <v>4161</v>
      </c>
      <c r="T1514">
        <f t="shared" si="164"/>
        <v>1314</v>
      </c>
      <c r="U1514">
        <f t="shared" si="165"/>
        <v>2024</v>
      </c>
      <c r="V1514">
        <f t="shared" si="166"/>
        <v>2</v>
      </c>
      <c r="W1514" s="11">
        <f t="shared" si="167"/>
        <v>1</v>
      </c>
    </row>
    <row r="1515" spans="1:23">
      <c r="A1515" t="s">
        <v>1528</v>
      </c>
      <c r="B1515" s="4">
        <v>45327</v>
      </c>
      <c r="C1515" t="s">
        <v>2016</v>
      </c>
      <c r="D1515" t="s">
        <v>2025</v>
      </c>
      <c r="E1515" t="s">
        <v>2028</v>
      </c>
      <c r="F1515" t="s">
        <v>2030</v>
      </c>
      <c r="G1515" t="s">
        <v>2036</v>
      </c>
      <c r="H1515" t="s">
        <v>2038</v>
      </c>
      <c r="I1515">
        <v>2</v>
      </c>
      <c r="J1515">
        <v>6</v>
      </c>
      <c r="K1515">
        <v>4</v>
      </c>
      <c r="L1515" t="s">
        <v>2041</v>
      </c>
      <c r="M1515">
        <v>297</v>
      </c>
      <c r="N1515">
        <v>5900</v>
      </c>
      <c r="O1515">
        <v>10224</v>
      </c>
      <c r="P1515" s="13">
        <f t="shared" si="161"/>
        <v>0</v>
      </c>
      <c r="Q1515" t="str">
        <f t="shared" si="162"/>
        <v>No</v>
      </c>
      <c r="R1515" t="str" cm="1">
        <f t="array" ref="R1515">_xlfn.IFS(K1515=0,"On Time",K1515&lt;=2,"Minor",K1515&lt;=5,"Major",K1515&gt;5,"Severe")</f>
        <v>Major</v>
      </c>
      <c r="S1515">
        <f t="shared" si="163"/>
        <v>2556</v>
      </c>
      <c r="T1515">
        <f t="shared" si="164"/>
        <v>1475</v>
      </c>
      <c r="U1515">
        <f t="shared" si="165"/>
        <v>2024</v>
      </c>
      <c r="V1515">
        <f t="shared" si="166"/>
        <v>2</v>
      </c>
      <c r="W1515" s="11">
        <f t="shared" si="167"/>
        <v>1</v>
      </c>
    </row>
    <row r="1516" spans="1:23">
      <c r="A1516" t="s">
        <v>1529</v>
      </c>
      <c r="B1516" s="4">
        <v>45428</v>
      </c>
      <c r="C1516" t="s">
        <v>2017</v>
      </c>
      <c r="D1516" t="s">
        <v>2022</v>
      </c>
      <c r="E1516" t="s">
        <v>2027</v>
      </c>
      <c r="F1516" t="s">
        <v>2031</v>
      </c>
      <c r="G1516" t="s">
        <v>2034</v>
      </c>
      <c r="H1516" t="s">
        <v>2039</v>
      </c>
      <c r="I1516">
        <v>2</v>
      </c>
      <c r="J1516">
        <v>2</v>
      </c>
      <c r="K1516">
        <v>0</v>
      </c>
      <c r="L1516" t="s">
        <v>2042</v>
      </c>
      <c r="M1516">
        <v>188</v>
      </c>
      <c r="N1516">
        <v>0</v>
      </c>
      <c r="O1516">
        <v>0</v>
      </c>
      <c r="P1516" s="13">
        <f t="shared" si="161"/>
        <v>1</v>
      </c>
      <c r="Q1516" t="str">
        <f t="shared" si="162"/>
        <v>No</v>
      </c>
      <c r="R1516" t="str" cm="1">
        <f t="array" ref="R1516">_xlfn.IFS(K1516=0,"On Time",K1516&lt;=2,"Minor",K1516&lt;=5,"Major",K1516&gt;5,"Severe")</f>
        <v>On Time</v>
      </c>
      <c r="S1516">
        <f t="shared" si="163"/>
        <v>0</v>
      </c>
      <c r="T1516">
        <f t="shared" si="164"/>
        <v>0</v>
      </c>
      <c r="U1516">
        <f t="shared" si="165"/>
        <v>2024</v>
      </c>
      <c r="V1516">
        <f t="shared" si="166"/>
        <v>5</v>
      </c>
      <c r="W1516" s="11">
        <f t="shared" si="167"/>
        <v>0</v>
      </c>
    </row>
    <row r="1517" spans="1:23">
      <c r="A1517" t="s">
        <v>1530</v>
      </c>
      <c r="B1517" s="4">
        <v>45366</v>
      </c>
      <c r="C1517" t="s">
        <v>2017</v>
      </c>
      <c r="D1517" t="s">
        <v>2022</v>
      </c>
      <c r="E1517" t="s">
        <v>2027</v>
      </c>
      <c r="F1517" t="s">
        <v>2031</v>
      </c>
      <c r="G1517" t="s">
        <v>2035</v>
      </c>
      <c r="H1517" t="s">
        <v>2040</v>
      </c>
      <c r="I1517">
        <v>2</v>
      </c>
      <c r="J1517">
        <v>7</v>
      </c>
      <c r="K1517">
        <v>5</v>
      </c>
      <c r="L1517" t="s">
        <v>2041</v>
      </c>
      <c r="M1517">
        <v>366</v>
      </c>
      <c r="N1517">
        <v>7595</v>
      </c>
      <c r="O1517">
        <v>19305</v>
      </c>
      <c r="P1517" s="13">
        <f t="shared" si="161"/>
        <v>0</v>
      </c>
      <c r="Q1517" t="str">
        <f t="shared" si="162"/>
        <v>No</v>
      </c>
      <c r="R1517" t="str" cm="1">
        <f t="array" ref="R1517">_xlfn.IFS(K1517=0,"On Time",K1517&lt;=2,"Minor",K1517&lt;=5,"Major",K1517&gt;5,"Severe")</f>
        <v>Major</v>
      </c>
      <c r="S1517">
        <f t="shared" si="163"/>
        <v>3861</v>
      </c>
      <c r="T1517">
        <f t="shared" si="164"/>
        <v>1519</v>
      </c>
      <c r="U1517">
        <f t="shared" si="165"/>
        <v>2024</v>
      </c>
      <c r="V1517">
        <f t="shared" si="166"/>
        <v>3</v>
      </c>
      <c r="W1517" s="11">
        <f t="shared" si="167"/>
        <v>1</v>
      </c>
    </row>
    <row r="1518" spans="1:23">
      <c r="A1518" t="s">
        <v>1531</v>
      </c>
      <c r="B1518" s="4">
        <v>45638</v>
      </c>
      <c r="C1518" t="s">
        <v>2018</v>
      </c>
      <c r="D1518" t="s">
        <v>2024</v>
      </c>
      <c r="E1518" t="s">
        <v>2027</v>
      </c>
      <c r="F1518" t="s">
        <v>2031</v>
      </c>
      <c r="G1518" t="s">
        <v>2033</v>
      </c>
      <c r="H1518" t="s">
        <v>2040</v>
      </c>
      <c r="I1518">
        <v>2</v>
      </c>
      <c r="J1518">
        <v>5</v>
      </c>
      <c r="K1518">
        <v>3</v>
      </c>
      <c r="L1518" t="s">
        <v>2041</v>
      </c>
      <c r="M1518">
        <v>50</v>
      </c>
      <c r="N1518">
        <v>7029</v>
      </c>
      <c r="O1518">
        <v>4698</v>
      </c>
      <c r="P1518" s="13">
        <f t="shared" si="161"/>
        <v>0</v>
      </c>
      <c r="Q1518" t="str">
        <f t="shared" si="162"/>
        <v>No</v>
      </c>
      <c r="R1518" t="str" cm="1">
        <f t="array" ref="R1518">_xlfn.IFS(K1518=0,"On Time",K1518&lt;=2,"Minor",K1518&lt;=5,"Major",K1518&gt;5,"Severe")</f>
        <v>Major</v>
      </c>
      <c r="S1518">
        <f t="shared" si="163"/>
        <v>1566</v>
      </c>
      <c r="T1518">
        <f t="shared" si="164"/>
        <v>2343</v>
      </c>
      <c r="U1518">
        <f t="shared" si="165"/>
        <v>2024</v>
      </c>
      <c r="V1518">
        <f t="shared" si="166"/>
        <v>12</v>
      </c>
      <c r="W1518" s="11">
        <f t="shared" si="167"/>
        <v>1</v>
      </c>
    </row>
    <row r="1519" spans="1:23">
      <c r="A1519" t="s">
        <v>1532</v>
      </c>
      <c r="B1519" s="4">
        <v>45620</v>
      </c>
      <c r="C1519" t="s">
        <v>2015</v>
      </c>
      <c r="D1519" t="s">
        <v>2020</v>
      </c>
      <c r="E1519" t="s">
        <v>2027</v>
      </c>
      <c r="F1519" t="s">
        <v>2030</v>
      </c>
      <c r="G1519" t="s">
        <v>2036</v>
      </c>
      <c r="H1519" t="s">
        <v>2038</v>
      </c>
      <c r="I1519">
        <v>1</v>
      </c>
      <c r="J1519">
        <v>2</v>
      </c>
      <c r="K1519">
        <v>1</v>
      </c>
      <c r="L1519" t="s">
        <v>2041</v>
      </c>
      <c r="M1519">
        <v>101</v>
      </c>
      <c r="N1519">
        <v>1523</v>
      </c>
      <c r="O1519">
        <v>3968</v>
      </c>
      <c r="P1519" s="13">
        <f t="shared" si="161"/>
        <v>0</v>
      </c>
      <c r="Q1519" t="str">
        <f t="shared" si="162"/>
        <v>No</v>
      </c>
      <c r="R1519" t="str" cm="1">
        <f t="array" ref="R1519">_xlfn.IFS(K1519=0,"On Time",K1519&lt;=2,"Minor",K1519&lt;=5,"Major",K1519&gt;5,"Severe")</f>
        <v>Minor</v>
      </c>
      <c r="S1519">
        <f t="shared" si="163"/>
        <v>3968</v>
      </c>
      <c r="T1519">
        <f t="shared" si="164"/>
        <v>1523</v>
      </c>
      <c r="U1519">
        <f t="shared" si="165"/>
        <v>2024</v>
      </c>
      <c r="V1519">
        <f t="shared" si="166"/>
        <v>11</v>
      </c>
      <c r="W1519" s="11">
        <f t="shared" si="167"/>
        <v>1</v>
      </c>
    </row>
    <row r="1520" spans="1:23">
      <c r="A1520" t="s">
        <v>1533</v>
      </c>
      <c r="B1520" s="4">
        <v>45495</v>
      </c>
      <c r="C1520" t="s">
        <v>2017</v>
      </c>
      <c r="D1520" t="s">
        <v>2022</v>
      </c>
      <c r="E1520" t="s">
        <v>2029</v>
      </c>
      <c r="F1520" t="s">
        <v>2031</v>
      </c>
      <c r="G1520" t="s">
        <v>2036</v>
      </c>
      <c r="H1520" t="s">
        <v>2038</v>
      </c>
      <c r="I1520">
        <v>3</v>
      </c>
      <c r="J1520">
        <v>5</v>
      </c>
      <c r="K1520">
        <v>2</v>
      </c>
      <c r="L1520" t="s">
        <v>2041</v>
      </c>
      <c r="M1520">
        <v>199</v>
      </c>
      <c r="N1520">
        <v>2910</v>
      </c>
      <c r="O1520">
        <v>9956</v>
      </c>
      <c r="P1520" s="13">
        <f t="shared" si="161"/>
        <v>0</v>
      </c>
      <c r="Q1520" t="str">
        <f t="shared" si="162"/>
        <v>No</v>
      </c>
      <c r="R1520" t="str" cm="1">
        <f t="array" ref="R1520">_xlfn.IFS(K1520=0,"On Time",K1520&lt;=2,"Minor",K1520&lt;=5,"Major",K1520&gt;5,"Severe")</f>
        <v>Minor</v>
      </c>
      <c r="S1520">
        <f t="shared" si="163"/>
        <v>4978</v>
      </c>
      <c r="T1520">
        <f t="shared" si="164"/>
        <v>1455</v>
      </c>
      <c r="U1520">
        <f t="shared" si="165"/>
        <v>2024</v>
      </c>
      <c r="V1520">
        <f t="shared" si="166"/>
        <v>7</v>
      </c>
      <c r="W1520" s="11">
        <f t="shared" si="167"/>
        <v>1</v>
      </c>
    </row>
    <row r="1521" spans="1:23">
      <c r="A1521" t="s">
        <v>1534</v>
      </c>
      <c r="B1521" s="4">
        <v>45357</v>
      </c>
      <c r="C1521" t="s">
        <v>2017</v>
      </c>
      <c r="D1521" t="s">
        <v>2023</v>
      </c>
      <c r="E1521" t="s">
        <v>2029</v>
      </c>
      <c r="F1521" t="s">
        <v>2031</v>
      </c>
      <c r="G1521" t="s">
        <v>2037</v>
      </c>
      <c r="H1521" t="s">
        <v>2040</v>
      </c>
      <c r="I1521">
        <v>2</v>
      </c>
      <c r="J1521">
        <v>6</v>
      </c>
      <c r="K1521">
        <v>4</v>
      </c>
      <c r="L1521" t="s">
        <v>2041</v>
      </c>
      <c r="M1521">
        <v>166</v>
      </c>
      <c r="N1521">
        <v>5460</v>
      </c>
      <c r="O1521">
        <v>8312</v>
      </c>
      <c r="P1521" s="13">
        <f t="shared" si="161"/>
        <v>0</v>
      </c>
      <c r="Q1521" t="str">
        <f t="shared" si="162"/>
        <v>No</v>
      </c>
      <c r="R1521" t="str" cm="1">
        <f t="array" ref="R1521">_xlfn.IFS(K1521=0,"On Time",K1521&lt;=2,"Minor",K1521&lt;=5,"Major",K1521&gt;5,"Severe")</f>
        <v>Major</v>
      </c>
      <c r="S1521">
        <f t="shared" si="163"/>
        <v>2078</v>
      </c>
      <c r="T1521">
        <f t="shared" si="164"/>
        <v>1365</v>
      </c>
      <c r="U1521">
        <f t="shared" si="165"/>
        <v>2024</v>
      </c>
      <c r="V1521">
        <f t="shared" si="166"/>
        <v>3</v>
      </c>
      <c r="W1521" s="11">
        <f t="shared" si="167"/>
        <v>1</v>
      </c>
    </row>
    <row r="1522" spans="1:23">
      <c r="A1522" t="s">
        <v>1535</v>
      </c>
      <c r="B1522" s="4">
        <v>45583</v>
      </c>
      <c r="C1522" t="s">
        <v>2015</v>
      </c>
      <c r="D1522" t="s">
        <v>2020</v>
      </c>
      <c r="E1522" t="s">
        <v>2029</v>
      </c>
      <c r="F1522" t="s">
        <v>2031</v>
      </c>
      <c r="G1522" t="s">
        <v>2034</v>
      </c>
      <c r="H1522" t="s">
        <v>2039</v>
      </c>
      <c r="I1522">
        <v>3</v>
      </c>
      <c r="J1522">
        <v>6</v>
      </c>
      <c r="K1522">
        <v>3</v>
      </c>
      <c r="L1522" t="s">
        <v>2041</v>
      </c>
      <c r="M1522">
        <v>102</v>
      </c>
      <c r="N1522">
        <v>4509</v>
      </c>
      <c r="O1522">
        <v>7245</v>
      </c>
      <c r="P1522" s="13">
        <f t="shared" si="161"/>
        <v>0</v>
      </c>
      <c r="Q1522" t="str">
        <f t="shared" si="162"/>
        <v>No</v>
      </c>
      <c r="R1522" t="str" cm="1">
        <f t="array" ref="R1522">_xlfn.IFS(K1522=0,"On Time",K1522&lt;=2,"Minor",K1522&lt;=5,"Major",K1522&gt;5,"Severe")</f>
        <v>Major</v>
      </c>
      <c r="S1522">
        <f t="shared" si="163"/>
        <v>2415</v>
      </c>
      <c r="T1522">
        <f t="shared" si="164"/>
        <v>1503</v>
      </c>
      <c r="U1522">
        <f t="shared" si="165"/>
        <v>2024</v>
      </c>
      <c r="V1522">
        <f t="shared" si="166"/>
        <v>10</v>
      </c>
      <c r="W1522" s="11">
        <f t="shared" si="167"/>
        <v>1</v>
      </c>
    </row>
    <row r="1523" spans="1:23">
      <c r="A1523" t="s">
        <v>1536</v>
      </c>
      <c r="B1523" s="4">
        <v>45364</v>
      </c>
      <c r="C1523" t="s">
        <v>2016</v>
      </c>
      <c r="D1523" t="s">
        <v>2025</v>
      </c>
      <c r="E1523" t="s">
        <v>2029</v>
      </c>
      <c r="F1523" t="s">
        <v>2032</v>
      </c>
      <c r="G1523" t="s">
        <v>2033</v>
      </c>
      <c r="H1523" t="s">
        <v>2038</v>
      </c>
      <c r="I1523">
        <v>2</v>
      </c>
      <c r="J1523">
        <v>6</v>
      </c>
      <c r="K1523">
        <v>4</v>
      </c>
      <c r="L1523" t="s">
        <v>2041</v>
      </c>
      <c r="M1523">
        <v>269</v>
      </c>
      <c r="N1523">
        <v>7436</v>
      </c>
      <c r="O1523">
        <v>15568</v>
      </c>
      <c r="P1523" s="13">
        <f t="shared" si="161"/>
        <v>0</v>
      </c>
      <c r="Q1523" t="str">
        <f t="shared" si="162"/>
        <v>No</v>
      </c>
      <c r="R1523" t="str" cm="1">
        <f t="array" ref="R1523">_xlfn.IFS(K1523=0,"On Time",K1523&lt;=2,"Minor",K1523&lt;=5,"Major",K1523&gt;5,"Severe")</f>
        <v>Major</v>
      </c>
      <c r="S1523">
        <f t="shared" si="163"/>
        <v>3892</v>
      </c>
      <c r="T1523">
        <f t="shared" si="164"/>
        <v>1859</v>
      </c>
      <c r="U1523">
        <f t="shared" si="165"/>
        <v>2024</v>
      </c>
      <c r="V1523">
        <f t="shared" si="166"/>
        <v>3</v>
      </c>
      <c r="W1523" s="11">
        <f t="shared" si="167"/>
        <v>1</v>
      </c>
    </row>
    <row r="1524" spans="1:23">
      <c r="A1524" t="s">
        <v>1537</v>
      </c>
      <c r="B1524" s="4">
        <v>45584</v>
      </c>
      <c r="C1524" t="s">
        <v>2018</v>
      </c>
      <c r="D1524" t="s">
        <v>2024</v>
      </c>
      <c r="E1524" t="s">
        <v>2027</v>
      </c>
      <c r="F1524" t="s">
        <v>2031</v>
      </c>
      <c r="G1524" t="s">
        <v>2033</v>
      </c>
      <c r="H1524" t="s">
        <v>2038</v>
      </c>
      <c r="I1524">
        <v>2</v>
      </c>
      <c r="J1524">
        <v>4</v>
      </c>
      <c r="K1524">
        <v>2</v>
      </c>
      <c r="L1524" t="s">
        <v>2041</v>
      </c>
      <c r="M1524">
        <v>132</v>
      </c>
      <c r="N1524">
        <v>3198</v>
      </c>
      <c r="O1524">
        <v>6912</v>
      </c>
      <c r="P1524" s="13">
        <f t="shared" si="161"/>
        <v>0</v>
      </c>
      <c r="Q1524" t="str">
        <f t="shared" si="162"/>
        <v>No</v>
      </c>
      <c r="R1524" t="str" cm="1">
        <f t="array" ref="R1524">_xlfn.IFS(K1524=0,"On Time",K1524&lt;=2,"Minor",K1524&lt;=5,"Major",K1524&gt;5,"Severe")</f>
        <v>Minor</v>
      </c>
      <c r="S1524">
        <f t="shared" si="163"/>
        <v>3456</v>
      </c>
      <c r="T1524">
        <f t="shared" si="164"/>
        <v>1599</v>
      </c>
      <c r="U1524">
        <f t="shared" si="165"/>
        <v>2024</v>
      </c>
      <c r="V1524">
        <f t="shared" si="166"/>
        <v>10</v>
      </c>
      <c r="W1524" s="11">
        <f t="shared" si="167"/>
        <v>1</v>
      </c>
    </row>
    <row r="1525" spans="1:23">
      <c r="A1525" t="s">
        <v>1538</v>
      </c>
      <c r="B1525" s="4">
        <v>45494</v>
      </c>
      <c r="C1525" t="s">
        <v>2018</v>
      </c>
      <c r="D1525" t="s">
        <v>2026</v>
      </c>
      <c r="E1525" t="s">
        <v>2027</v>
      </c>
      <c r="F1525" t="s">
        <v>2030</v>
      </c>
      <c r="G1525" t="s">
        <v>2037</v>
      </c>
      <c r="H1525" t="s">
        <v>2038</v>
      </c>
      <c r="I1525">
        <v>2</v>
      </c>
      <c r="J1525">
        <v>3</v>
      </c>
      <c r="K1525">
        <v>1</v>
      </c>
      <c r="L1525" t="s">
        <v>2041</v>
      </c>
      <c r="M1525">
        <v>151</v>
      </c>
      <c r="N1525">
        <v>1905</v>
      </c>
      <c r="O1525">
        <v>2167</v>
      </c>
      <c r="P1525" s="13">
        <f t="shared" si="161"/>
        <v>0</v>
      </c>
      <c r="Q1525" t="str">
        <f t="shared" si="162"/>
        <v>No</v>
      </c>
      <c r="R1525" t="str" cm="1">
        <f t="array" ref="R1525">_xlfn.IFS(K1525=0,"On Time",K1525&lt;=2,"Minor",K1525&lt;=5,"Major",K1525&gt;5,"Severe")</f>
        <v>Minor</v>
      </c>
      <c r="S1525">
        <f t="shared" si="163"/>
        <v>2167</v>
      </c>
      <c r="T1525">
        <f t="shared" si="164"/>
        <v>1905</v>
      </c>
      <c r="U1525">
        <f t="shared" si="165"/>
        <v>2024</v>
      </c>
      <c r="V1525">
        <f t="shared" si="166"/>
        <v>7</v>
      </c>
      <c r="W1525" s="11">
        <f t="shared" si="167"/>
        <v>1</v>
      </c>
    </row>
    <row r="1526" spans="1:23">
      <c r="A1526" t="s">
        <v>1539</v>
      </c>
      <c r="B1526" s="4">
        <v>45565</v>
      </c>
      <c r="C1526" t="s">
        <v>2016</v>
      </c>
      <c r="D1526" t="s">
        <v>2025</v>
      </c>
      <c r="E1526" t="s">
        <v>2029</v>
      </c>
      <c r="F1526" t="s">
        <v>2032</v>
      </c>
      <c r="G1526" t="s">
        <v>2033</v>
      </c>
      <c r="H1526" t="s">
        <v>2038</v>
      </c>
      <c r="I1526">
        <v>2</v>
      </c>
      <c r="J1526">
        <v>5</v>
      </c>
      <c r="K1526">
        <v>3</v>
      </c>
      <c r="L1526" t="s">
        <v>2041</v>
      </c>
      <c r="M1526">
        <v>232</v>
      </c>
      <c r="N1526">
        <v>4845</v>
      </c>
      <c r="O1526">
        <v>8028</v>
      </c>
      <c r="P1526" s="13">
        <f t="shared" si="161"/>
        <v>0</v>
      </c>
      <c r="Q1526" t="str">
        <f t="shared" si="162"/>
        <v>No</v>
      </c>
      <c r="R1526" t="str" cm="1">
        <f t="array" ref="R1526">_xlfn.IFS(K1526=0,"On Time",K1526&lt;=2,"Minor",K1526&lt;=5,"Major",K1526&gt;5,"Severe")</f>
        <v>Major</v>
      </c>
      <c r="S1526">
        <f t="shared" si="163"/>
        <v>2676</v>
      </c>
      <c r="T1526">
        <f t="shared" si="164"/>
        <v>1615</v>
      </c>
      <c r="U1526">
        <f t="shared" si="165"/>
        <v>2024</v>
      </c>
      <c r="V1526">
        <f t="shared" si="166"/>
        <v>9</v>
      </c>
      <c r="W1526" s="11">
        <f t="shared" si="167"/>
        <v>1</v>
      </c>
    </row>
    <row r="1527" spans="1:23">
      <c r="A1527" t="s">
        <v>1540</v>
      </c>
      <c r="B1527" s="4">
        <v>45577</v>
      </c>
      <c r="C1527" t="s">
        <v>2015</v>
      </c>
      <c r="D1527" t="s">
        <v>2019</v>
      </c>
      <c r="E1527" t="s">
        <v>2027</v>
      </c>
      <c r="F1527" t="s">
        <v>2032</v>
      </c>
      <c r="G1527" t="s">
        <v>2033</v>
      </c>
      <c r="H1527" t="s">
        <v>2039</v>
      </c>
      <c r="I1527">
        <v>2</v>
      </c>
      <c r="J1527">
        <v>6</v>
      </c>
      <c r="K1527">
        <v>4</v>
      </c>
      <c r="L1527" t="s">
        <v>2041</v>
      </c>
      <c r="M1527">
        <v>462</v>
      </c>
      <c r="N1527">
        <v>9136</v>
      </c>
      <c r="O1527">
        <v>15260</v>
      </c>
      <c r="P1527" s="13">
        <f t="shared" si="161"/>
        <v>0</v>
      </c>
      <c r="Q1527" t="str">
        <f t="shared" si="162"/>
        <v>No</v>
      </c>
      <c r="R1527" t="str" cm="1">
        <f t="array" ref="R1527">_xlfn.IFS(K1527=0,"On Time",K1527&lt;=2,"Minor",K1527&lt;=5,"Major",K1527&gt;5,"Severe")</f>
        <v>Major</v>
      </c>
      <c r="S1527">
        <f t="shared" si="163"/>
        <v>3815</v>
      </c>
      <c r="T1527">
        <f t="shared" si="164"/>
        <v>2284</v>
      </c>
      <c r="U1527">
        <f t="shared" si="165"/>
        <v>2024</v>
      </c>
      <c r="V1527">
        <f t="shared" si="166"/>
        <v>10</v>
      </c>
      <c r="W1527" s="11">
        <f t="shared" si="167"/>
        <v>1</v>
      </c>
    </row>
    <row r="1528" spans="1:23">
      <c r="A1528" t="s">
        <v>1541</v>
      </c>
      <c r="B1528" s="4">
        <v>45337</v>
      </c>
      <c r="C1528" t="s">
        <v>2017</v>
      </c>
      <c r="D1528" t="s">
        <v>2022</v>
      </c>
      <c r="E1528" t="s">
        <v>2029</v>
      </c>
      <c r="F1528" t="s">
        <v>2031</v>
      </c>
      <c r="G1528" t="s">
        <v>2035</v>
      </c>
      <c r="H1528" t="s">
        <v>2040</v>
      </c>
      <c r="I1528">
        <v>2</v>
      </c>
      <c r="J1528">
        <v>6</v>
      </c>
      <c r="K1528">
        <v>4</v>
      </c>
      <c r="L1528" t="s">
        <v>2041</v>
      </c>
      <c r="M1528">
        <v>243</v>
      </c>
      <c r="N1528">
        <v>3644</v>
      </c>
      <c r="O1528">
        <v>6704</v>
      </c>
      <c r="P1528" s="13">
        <f t="shared" si="161"/>
        <v>0</v>
      </c>
      <c r="Q1528" t="str">
        <f t="shared" si="162"/>
        <v>No</v>
      </c>
      <c r="R1528" t="str" cm="1">
        <f t="array" ref="R1528">_xlfn.IFS(K1528=0,"On Time",K1528&lt;=2,"Minor",K1528&lt;=5,"Major",K1528&gt;5,"Severe")</f>
        <v>Major</v>
      </c>
      <c r="S1528">
        <f t="shared" si="163"/>
        <v>1676</v>
      </c>
      <c r="T1528">
        <f t="shared" si="164"/>
        <v>911</v>
      </c>
      <c r="U1528">
        <f t="shared" si="165"/>
        <v>2024</v>
      </c>
      <c r="V1528">
        <f t="shared" si="166"/>
        <v>2</v>
      </c>
      <c r="W1528" s="11">
        <f t="shared" si="167"/>
        <v>1</v>
      </c>
    </row>
    <row r="1529" spans="1:23">
      <c r="A1529" t="s">
        <v>1542</v>
      </c>
      <c r="B1529" s="4">
        <v>45356</v>
      </c>
      <c r="C1529" t="s">
        <v>2017</v>
      </c>
      <c r="D1529" t="s">
        <v>2023</v>
      </c>
      <c r="E1529" t="s">
        <v>2029</v>
      </c>
      <c r="F1529" t="s">
        <v>2031</v>
      </c>
      <c r="G1529" t="s">
        <v>2037</v>
      </c>
      <c r="H1529" t="s">
        <v>2039</v>
      </c>
      <c r="I1529">
        <v>1</v>
      </c>
      <c r="J1529">
        <v>4</v>
      </c>
      <c r="K1529">
        <v>3</v>
      </c>
      <c r="L1529" t="s">
        <v>2041</v>
      </c>
      <c r="M1529">
        <v>278</v>
      </c>
      <c r="N1529">
        <v>3006</v>
      </c>
      <c r="O1529">
        <v>5877</v>
      </c>
      <c r="P1529" s="13">
        <f t="shared" si="161"/>
        <v>0</v>
      </c>
      <c r="Q1529" t="str">
        <f t="shared" si="162"/>
        <v>No</v>
      </c>
      <c r="R1529" t="str" cm="1">
        <f t="array" ref="R1529">_xlfn.IFS(K1529=0,"On Time",K1529&lt;=2,"Minor",K1529&lt;=5,"Major",K1529&gt;5,"Severe")</f>
        <v>Major</v>
      </c>
      <c r="S1529">
        <f t="shared" si="163"/>
        <v>1959</v>
      </c>
      <c r="T1529">
        <f t="shared" si="164"/>
        <v>1002</v>
      </c>
      <c r="U1529">
        <f t="shared" si="165"/>
        <v>2024</v>
      </c>
      <c r="V1529">
        <f t="shared" si="166"/>
        <v>3</v>
      </c>
      <c r="W1529" s="11">
        <f t="shared" si="167"/>
        <v>1</v>
      </c>
    </row>
    <row r="1530" spans="1:23">
      <c r="A1530" t="s">
        <v>1543</v>
      </c>
      <c r="B1530" s="4">
        <v>45364</v>
      </c>
      <c r="C1530" t="s">
        <v>2015</v>
      </c>
      <c r="D1530" t="s">
        <v>2020</v>
      </c>
      <c r="E1530" t="s">
        <v>2028</v>
      </c>
      <c r="F1530" t="s">
        <v>2032</v>
      </c>
      <c r="G1530" t="s">
        <v>2036</v>
      </c>
      <c r="H1530" t="s">
        <v>2038</v>
      </c>
      <c r="I1530">
        <v>5</v>
      </c>
      <c r="J1530">
        <v>11</v>
      </c>
      <c r="K1530">
        <v>6</v>
      </c>
      <c r="L1530" t="s">
        <v>2041</v>
      </c>
      <c r="M1530">
        <v>346</v>
      </c>
      <c r="N1530">
        <v>7572</v>
      </c>
      <c r="O1530">
        <v>13248</v>
      </c>
      <c r="P1530" s="13">
        <f t="shared" si="161"/>
        <v>0</v>
      </c>
      <c r="Q1530" t="str">
        <f t="shared" si="162"/>
        <v>No</v>
      </c>
      <c r="R1530" t="str" cm="1">
        <f t="array" ref="R1530">_xlfn.IFS(K1530=0,"On Time",K1530&lt;=2,"Minor",K1530&lt;=5,"Major",K1530&gt;5,"Severe")</f>
        <v>Severe</v>
      </c>
      <c r="S1530">
        <f t="shared" si="163"/>
        <v>2208</v>
      </c>
      <c r="T1530">
        <f t="shared" si="164"/>
        <v>1262</v>
      </c>
      <c r="U1530">
        <f t="shared" si="165"/>
        <v>2024</v>
      </c>
      <c r="V1530">
        <f t="shared" si="166"/>
        <v>3</v>
      </c>
      <c r="W1530" s="11">
        <f t="shared" si="167"/>
        <v>1</v>
      </c>
    </row>
    <row r="1531" spans="1:23">
      <c r="A1531" t="s">
        <v>1544</v>
      </c>
      <c r="B1531" s="4">
        <v>45454</v>
      </c>
      <c r="C1531" t="s">
        <v>2015</v>
      </c>
      <c r="D1531" t="s">
        <v>2020</v>
      </c>
      <c r="E1531" t="s">
        <v>2027</v>
      </c>
      <c r="F1531" t="s">
        <v>2031</v>
      </c>
      <c r="G1531" t="s">
        <v>2033</v>
      </c>
      <c r="H1531" t="s">
        <v>2038</v>
      </c>
      <c r="I1531">
        <v>3</v>
      </c>
      <c r="J1531">
        <v>8</v>
      </c>
      <c r="K1531">
        <v>5</v>
      </c>
      <c r="L1531" t="s">
        <v>2041</v>
      </c>
      <c r="M1531">
        <v>482</v>
      </c>
      <c r="N1531">
        <v>5195</v>
      </c>
      <c r="O1531">
        <v>20280</v>
      </c>
      <c r="P1531" s="13">
        <f t="shared" si="161"/>
        <v>0</v>
      </c>
      <c r="Q1531" t="str">
        <f t="shared" si="162"/>
        <v>No</v>
      </c>
      <c r="R1531" t="str" cm="1">
        <f t="array" ref="R1531">_xlfn.IFS(K1531=0,"On Time",K1531&lt;=2,"Minor",K1531&lt;=5,"Major",K1531&gt;5,"Severe")</f>
        <v>Major</v>
      </c>
      <c r="S1531">
        <f t="shared" si="163"/>
        <v>4056</v>
      </c>
      <c r="T1531">
        <f t="shared" si="164"/>
        <v>1039</v>
      </c>
      <c r="U1531">
        <f t="shared" si="165"/>
        <v>2024</v>
      </c>
      <c r="V1531">
        <f t="shared" si="166"/>
        <v>6</v>
      </c>
      <c r="W1531" s="11">
        <f t="shared" si="167"/>
        <v>1</v>
      </c>
    </row>
    <row r="1532" spans="1:23">
      <c r="A1532" t="s">
        <v>1545</v>
      </c>
      <c r="B1532" s="4">
        <v>45633</v>
      </c>
      <c r="C1532" t="s">
        <v>2017</v>
      </c>
      <c r="D1532" t="s">
        <v>2022</v>
      </c>
      <c r="E1532" t="s">
        <v>2027</v>
      </c>
      <c r="F1532" t="s">
        <v>2030</v>
      </c>
      <c r="G1532" t="s">
        <v>2035</v>
      </c>
      <c r="H1532" t="s">
        <v>2038</v>
      </c>
      <c r="I1532">
        <v>2</v>
      </c>
      <c r="J1532">
        <v>2</v>
      </c>
      <c r="K1532">
        <v>0</v>
      </c>
      <c r="L1532" t="s">
        <v>2042</v>
      </c>
      <c r="M1532">
        <v>327</v>
      </c>
      <c r="N1532">
        <v>0</v>
      </c>
      <c r="O1532">
        <v>0</v>
      </c>
      <c r="P1532" s="13">
        <f t="shared" si="161"/>
        <v>1</v>
      </c>
      <c r="Q1532" t="str">
        <f t="shared" si="162"/>
        <v>No</v>
      </c>
      <c r="R1532" t="str" cm="1">
        <f t="array" ref="R1532">_xlfn.IFS(K1532=0,"On Time",K1532&lt;=2,"Minor",K1532&lt;=5,"Major",K1532&gt;5,"Severe")</f>
        <v>On Time</v>
      </c>
      <c r="S1532">
        <f t="shared" si="163"/>
        <v>0</v>
      </c>
      <c r="T1532">
        <f t="shared" si="164"/>
        <v>0</v>
      </c>
      <c r="U1532">
        <f t="shared" si="165"/>
        <v>2024</v>
      </c>
      <c r="V1532">
        <f t="shared" si="166"/>
        <v>12</v>
      </c>
      <c r="W1532" s="11">
        <f t="shared" si="167"/>
        <v>0</v>
      </c>
    </row>
    <row r="1533" spans="1:23">
      <c r="A1533" t="s">
        <v>1546</v>
      </c>
      <c r="B1533" s="4">
        <v>45518</v>
      </c>
      <c r="C1533" t="s">
        <v>2018</v>
      </c>
      <c r="D1533" t="s">
        <v>2024</v>
      </c>
      <c r="E1533" t="s">
        <v>2027</v>
      </c>
      <c r="F1533" t="s">
        <v>2031</v>
      </c>
      <c r="G1533" t="s">
        <v>2037</v>
      </c>
      <c r="H1533" t="s">
        <v>2039</v>
      </c>
      <c r="I1533">
        <v>1</v>
      </c>
      <c r="J1533">
        <v>5</v>
      </c>
      <c r="K1533">
        <v>4</v>
      </c>
      <c r="L1533" t="s">
        <v>2041</v>
      </c>
      <c r="M1533">
        <v>77</v>
      </c>
      <c r="N1533">
        <v>3624</v>
      </c>
      <c r="O1533">
        <v>14064</v>
      </c>
      <c r="P1533" s="13">
        <f t="shared" si="161"/>
        <v>0</v>
      </c>
      <c r="Q1533" t="str">
        <f t="shared" si="162"/>
        <v>No</v>
      </c>
      <c r="R1533" t="str" cm="1">
        <f t="array" ref="R1533">_xlfn.IFS(K1533=0,"On Time",K1533&lt;=2,"Minor",K1533&lt;=5,"Major",K1533&gt;5,"Severe")</f>
        <v>Major</v>
      </c>
      <c r="S1533">
        <f t="shared" si="163"/>
        <v>3516</v>
      </c>
      <c r="T1533">
        <f t="shared" si="164"/>
        <v>906</v>
      </c>
      <c r="U1533">
        <f t="shared" si="165"/>
        <v>2024</v>
      </c>
      <c r="V1533">
        <f t="shared" si="166"/>
        <v>8</v>
      </c>
      <c r="W1533" s="11">
        <f t="shared" si="167"/>
        <v>1</v>
      </c>
    </row>
    <row r="1534" spans="1:23">
      <c r="A1534" t="s">
        <v>1547</v>
      </c>
      <c r="B1534" s="4">
        <v>45295</v>
      </c>
      <c r="C1534" t="s">
        <v>2015</v>
      </c>
      <c r="D1534" t="s">
        <v>2020</v>
      </c>
      <c r="E1534" t="s">
        <v>2029</v>
      </c>
      <c r="F1534" t="s">
        <v>2032</v>
      </c>
      <c r="G1534" t="s">
        <v>2037</v>
      </c>
      <c r="H1534" t="s">
        <v>2039</v>
      </c>
      <c r="I1534">
        <v>1</v>
      </c>
      <c r="J1534">
        <v>6</v>
      </c>
      <c r="K1534">
        <v>5</v>
      </c>
      <c r="L1534" t="s">
        <v>2041</v>
      </c>
      <c r="M1534">
        <v>426</v>
      </c>
      <c r="N1534">
        <v>7915</v>
      </c>
      <c r="O1534">
        <v>17320</v>
      </c>
      <c r="P1534" s="13">
        <f t="shared" si="161"/>
        <v>0</v>
      </c>
      <c r="Q1534" t="str">
        <f t="shared" si="162"/>
        <v>No</v>
      </c>
      <c r="R1534" t="str" cm="1">
        <f t="array" ref="R1534">_xlfn.IFS(K1534=0,"On Time",K1534&lt;=2,"Minor",K1534&lt;=5,"Major",K1534&gt;5,"Severe")</f>
        <v>Major</v>
      </c>
      <c r="S1534">
        <f t="shared" si="163"/>
        <v>3464</v>
      </c>
      <c r="T1534">
        <f t="shared" si="164"/>
        <v>1583</v>
      </c>
      <c r="U1534">
        <f t="shared" si="165"/>
        <v>2024</v>
      </c>
      <c r="V1534">
        <f t="shared" si="166"/>
        <v>1</v>
      </c>
      <c r="W1534" s="11">
        <f t="shared" si="167"/>
        <v>1</v>
      </c>
    </row>
    <row r="1535" spans="1:23">
      <c r="A1535" t="s">
        <v>1548</v>
      </c>
      <c r="B1535" s="4">
        <v>45605</v>
      </c>
      <c r="C1535" t="s">
        <v>2018</v>
      </c>
      <c r="D1535" t="s">
        <v>2026</v>
      </c>
      <c r="E1535" t="s">
        <v>2027</v>
      </c>
      <c r="F1535" t="s">
        <v>2031</v>
      </c>
      <c r="G1535" t="s">
        <v>2035</v>
      </c>
      <c r="H1535" t="s">
        <v>2038</v>
      </c>
      <c r="I1535">
        <v>2</v>
      </c>
      <c r="J1535">
        <v>3</v>
      </c>
      <c r="K1535">
        <v>1</v>
      </c>
      <c r="L1535" t="s">
        <v>2041</v>
      </c>
      <c r="M1535">
        <v>297</v>
      </c>
      <c r="N1535">
        <v>1484</v>
      </c>
      <c r="O1535">
        <v>1794</v>
      </c>
      <c r="P1535" s="13">
        <f t="shared" si="161"/>
        <v>0</v>
      </c>
      <c r="Q1535" t="str">
        <f t="shared" si="162"/>
        <v>No</v>
      </c>
      <c r="R1535" t="str" cm="1">
        <f t="array" ref="R1535">_xlfn.IFS(K1535=0,"On Time",K1535&lt;=2,"Minor",K1535&lt;=5,"Major",K1535&gt;5,"Severe")</f>
        <v>Minor</v>
      </c>
      <c r="S1535">
        <f t="shared" si="163"/>
        <v>1794</v>
      </c>
      <c r="T1535">
        <f t="shared" si="164"/>
        <v>1484</v>
      </c>
      <c r="U1535">
        <f t="shared" si="165"/>
        <v>2024</v>
      </c>
      <c r="V1535">
        <f t="shared" si="166"/>
        <v>11</v>
      </c>
      <c r="W1535" s="11">
        <f t="shared" si="167"/>
        <v>1</v>
      </c>
    </row>
    <row r="1536" spans="1:23">
      <c r="A1536" t="s">
        <v>1549</v>
      </c>
      <c r="B1536" s="4">
        <v>45337</v>
      </c>
      <c r="C1536" t="s">
        <v>2016</v>
      </c>
      <c r="D1536" t="s">
        <v>2021</v>
      </c>
      <c r="E1536" t="s">
        <v>2029</v>
      </c>
      <c r="F1536" t="s">
        <v>2031</v>
      </c>
      <c r="G1536" t="s">
        <v>2036</v>
      </c>
      <c r="H1536" t="s">
        <v>2040</v>
      </c>
      <c r="I1536">
        <v>2</v>
      </c>
      <c r="J1536">
        <v>9</v>
      </c>
      <c r="K1536">
        <v>7</v>
      </c>
      <c r="L1536" t="s">
        <v>2041</v>
      </c>
      <c r="M1536">
        <v>125</v>
      </c>
      <c r="N1536">
        <v>10031</v>
      </c>
      <c r="O1536">
        <v>18277</v>
      </c>
      <c r="P1536" s="13">
        <f t="shared" si="161"/>
        <v>0</v>
      </c>
      <c r="Q1536" t="str">
        <f t="shared" si="162"/>
        <v>No</v>
      </c>
      <c r="R1536" t="str" cm="1">
        <f t="array" ref="R1536">_xlfn.IFS(K1536=0,"On Time",K1536&lt;=2,"Minor",K1536&lt;=5,"Major",K1536&gt;5,"Severe")</f>
        <v>Severe</v>
      </c>
      <c r="S1536">
        <f t="shared" si="163"/>
        <v>2611</v>
      </c>
      <c r="T1536">
        <f t="shared" si="164"/>
        <v>1433</v>
      </c>
      <c r="U1536">
        <f t="shared" si="165"/>
        <v>2024</v>
      </c>
      <c r="V1536">
        <f t="shared" si="166"/>
        <v>2</v>
      </c>
      <c r="W1536" s="11">
        <f t="shared" si="167"/>
        <v>1</v>
      </c>
    </row>
    <row r="1537" spans="1:23">
      <c r="A1537" t="s">
        <v>1550</v>
      </c>
      <c r="B1537" s="4">
        <v>45414</v>
      </c>
      <c r="C1537" t="s">
        <v>2015</v>
      </c>
      <c r="D1537" t="s">
        <v>2020</v>
      </c>
      <c r="E1537" t="s">
        <v>2028</v>
      </c>
      <c r="F1537" t="s">
        <v>2032</v>
      </c>
      <c r="G1537" t="s">
        <v>2034</v>
      </c>
      <c r="H1537" t="s">
        <v>2040</v>
      </c>
      <c r="I1537">
        <v>1</v>
      </c>
      <c r="J1537">
        <v>5</v>
      </c>
      <c r="K1537">
        <v>4</v>
      </c>
      <c r="L1537" t="s">
        <v>2041</v>
      </c>
      <c r="M1537">
        <v>343</v>
      </c>
      <c r="N1537">
        <v>3236</v>
      </c>
      <c r="O1537">
        <v>9968</v>
      </c>
      <c r="P1537" s="13">
        <f t="shared" si="161"/>
        <v>0</v>
      </c>
      <c r="Q1537" t="str">
        <f t="shared" si="162"/>
        <v>No</v>
      </c>
      <c r="R1537" t="str" cm="1">
        <f t="array" ref="R1537">_xlfn.IFS(K1537=0,"On Time",K1537&lt;=2,"Minor",K1537&lt;=5,"Major",K1537&gt;5,"Severe")</f>
        <v>Major</v>
      </c>
      <c r="S1537">
        <f t="shared" si="163"/>
        <v>2492</v>
      </c>
      <c r="T1537">
        <f t="shared" si="164"/>
        <v>809</v>
      </c>
      <c r="U1537">
        <f t="shared" si="165"/>
        <v>2024</v>
      </c>
      <c r="V1537">
        <f t="shared" si="166"/>
        <v>5</v>
      </c>
      <c r="W1537" s="11">
        <f t="shared" si="167"/>
        <v>1</v>
      </c>
    </row>
    <row r="1538" spans="1:23">
      <c r="A1538" t="s">
        <v>1551</v>
      </c>
      <c r="B1538" s="4">
        <v>45598</v>
      </c>
      <c r="C1538" t="s">
        <v>2016</v>
      </c>
      <c r="D1538" t="s">
        <v>2021</v>
      </c>
      <c r="E1538" t="s">
        <v>2027</v>
      </c>
      <c r="F1538" t="s">
        <v>2031</v>
      </c>
      <c r="G1538" t="s">
        <v>2037</v>
      </c>
      <c r="H1538" t="s">
        <v>2040</v>
      </c>
      <c r="I1538">
        <v>1</v>
      </c>
      <c r="J1538">
        <v>7</v>
      </c>
      <c r="K1538">
        <v>6</v>
      </c>
      <c r="L1538" t="s">
        <v>2041</v>
      </c>
      <c r="M1538">
        <v>279</v>
      </c>
      <c r="N1538">
        <v>11844</v>
      </c>
      <c r="O1538">
        <v>29808</v>
      </c>
      <c r="P1538" s="13">
        <f t="shared" si="161"/>
        <v>0</v>
      </c>
      <c r="Q1538" t="str">
        <f t="shared" si="162"/>
        <v>No</v>
      </c>
      <c r="R1538" t="str" cm="1">
        <f t="array" ref="R1538">_xlfn.IFS(K1538=0,"On Time",K1538&lt;=2,"Minor",K1538&lt;=5,"Major",K1538&gt;5,"Severe")</f>
        <v>Severe</v>
      </c>
      <c r="S1538">
        <f t="shared" si="163"/>
        <v>4968</v>
      </c>
      <c r="T1538">
        <f t="shared" si="164"/>
        <v>1974</v>
      </c>
      <c r="U1538">
        <f t="shared" si="165"/>
        <v>2024</v>
      </c>
      <c r="V1538">
        <f t="shared" si="166"/>
        <v>11</v>
      </c>
      <c r="W1538" s="11">
        <f t="shared" si="167"/>
        <v>1</v>
      </c>
    </row>
    <row r="1539" spans="1:23">
      <c r="A1539" t="s">
        <v>1552</v>
      </c>
      <c r="B1539" s="4">
        <v>45479</v>
      </c>
      <c r="C1539" t="s">
        <v>2015</v>
      </c>
      <c r="D1539" t="s">
        <v>2020</v>
      </c>
      <c r="E1539" t="s">
        <v>2029</v>
      </c>
      <c r="F1539" t="s">
        <v>2031</v>
      </c>
      <c r="G1539" t="s">
        <v>2035</v>
      </c>
      <c r="H1539" t="s">
        <v>2040</v>
      </c>
      <c r="I1539">
        <v>1</v>
      </c>
      <c r="J1539">
        <v>4</v>
      </c>
      <c r="K1539">
        <v>3</v>
      </c>
      <c r="L1539" t="s">
        <v>2041</v>
      </c>
      <c r="M1539">
        <v>453</v>
      </c>
      <c r="N1539">
        <v>4701</v>
      </c>
      <c r="O1539">
        <v>14547</v>
      </c>
      <c r="P1539" s="13">
        <f t="shared" ref="P1539:P1602" si="168">IF(L1539="Yes",0,1)</f>
        <v>0</v>
      </c>
      <c r="Q1539" t="str">
        <f t="shared" ref="Q1539:Q1602" si="169">IF(K1539&gt;J1539,"Yes","No")</f>
        <v>No</v>
      </c>
      <c r="R1539" t="str" cm="1">
        <f t="array" ref="R1539">_xlfn.IFS(K1539=0,"On Time",K1539&lt;=2,"Minor",K1539&lt;=5,"Major",K1539&gt;5,"Severe")</f>
        <v>Major</v>
      </c>
      <c r="S1539">
        <f t="shared" ref="S1539:S1602" si="170">IFERROR(O1539/K1539,0)</f>
        <v>4849</v>
      </c>
      <c r="T1539">
        <f t="shared" ref="T1539:T1602" si="171">IFERROR(N1539/K1539,0)</f>
        <v>1567</v>
      </c>
      <c r="U1539">
        <f t="shared" ref="U1539:U1602" si="172">YEAR(B1539)</f>
        <v>2024</v>
      </c>
      <c r="V1539">
        <f t="shared" ref="V1539:V1602" si="173">MONTH(B1539)</f>
        <v>7</v>
      </c>
      <c r="W1539" s="11">
        <f t="shared" ref="W1539:W1602" si="174">IF(L1539="Yes",1,0)</f>
        <v>1</v>
      </c>
    </row>
    <row r="1540" spans="1:23">
      <c r="A1540" t="s">
        <v>1553</v>
      </c>
      <c r="B1540" s="4">
        <v>45567</v>
      </c>
      <c r="C1540" t="s">
        <v>2017</v>
      </c>
      <c r="D1540" t="s">
        <v>2023</v>
      </c>
      <c r="E1540" t="s">
        <v>2028</v>
      </c>
      <c r="F1540" t="s">
        <v>2030</v>
      </c>
      <c r="G1540" t="s">
        <v>2036</v>
      </c>
      <c r="H1540" t="s">
        <v>2038</v>
      </c>
      <c r="I1540">
        <v>1</v>
      </c>
      <c r="J1540">
        <v>3</v>
      </c>
      <c r="K1540">
        <v>2</v>
      </c>
      <c r="L1540" t="s">
        <v>2041</v>
      </c>
      <c r="M1540">
        <v>398</v>
      </c>
      <c r="N1540">
        <v>4130</v>
      </c>
      <c r="O1540">
        <v>4214</v>
      </c>
      <c r="P1540" s="13">
        <f t="shared" si="168"/>
        <v>0</v>
      </c>
      <c r="Q1540" t="str">
        <f t="shared" si="169"/>
        <v>No</v>
      </c>
      <c r="R1540" t="str" cm="1">
        <f t="array" ref="R1540">_xlfn.IFS(K1540=0,"On Time",K1540&lt;=2,"Minor",K1540&lt;=5,"Major",K1540&gt;5,"Severe")</f>
        <v>Minor</v>
      </c>
      <c r="S1540">
        <f t="shared" si="170"/>
        <v>2107</v>
      </c>
      <c r="T1540">
        <f t="shared" si="171"/>
        <v>2065</v>
      </c>
      <c r="U1540">
        <f t="shared" si="172"/>
        <v>2024</v>
      </c>
      <c r="V1540">
        <f t="shared" si="173"/>
        <v>10</v>
      </c>
      <c r="W1540" s="11">
        <f t="shared" si="174"/>
        <v>1</v>
      </c>
    </row>
    <row r="1541" spans="1:23">
      <c r="A1541" t="s">
        <v>1554</v>
      </c>
      <c r="B1541" s="4">
        <v>45336</v>
      </c>
      <c r="C1541" t="s">
        <v>2016</v>
      </c>
      <c r="D1541" t="s">
        <v>2021</v>
      </c>
      <c r="E1541" t="s">
        <v>2027</v>
      </c>
      <c r="F1541" t="s">
        <v>2031</v>
      </c>
      <c r="G1541" t="s">
        <v>2036</v>
      </c>
      <c r="H1541" t="s">
        <v>2040</v>
      </c>
      <c r="I1541">
        <v>2</v>
      </c>
      <c r="J1541">
        <v>7</v>
      </c>
      <c r="K1541">
        <v>5</v>
      </c>
      <c r="L1541" t="s">
        <v>2041</v>
      </c>
      <c r="M1541">
        <v>184</v>
      </c>
      <c r="N1541">
        <v>10445</v>
      </c>
      <c r="O1541">
        <v>7535</v>
      </c>
      <c r="P1541" s="13">
        <f t="shared" si="168"/>
        <v>0</v>
      </c>
      <c r="Q1541" t="str">
        <f t="shared" si="169"/>
        <v>No</v>
      </c>
      <c r="R1541" t="str" cm="1">
        <f t="array" ref="R1541">_xlfn.IFS(K1541=0,"On Time",K1541&lt;=2,"Minor",K1541&lt;=5,"Major",K1541&gt;5,"Severe")</f>
        <v>Major</v>
      </c>
      <c r="S1541">
        <f t="shared" si="170"/>
        <v>1507</v>
      </c>
      <c r="T1541">
        <f t="shared" si="171"/>
        <v>2089</v>
      </c>
      <c r="U1541">
        <f t="shared" si="172"/>
        <v>2024</v>
      </c>
      <c r="V1541">
        <f t="shared" si="173"/>
        <v>2</v>
      </c>
      <c r="W1541" s="11">
        <f t="shared" si="174"/>
        <v>1</v>
      </c>
    </row>
    <row r="1542" spans="1:23">
      <c r="A1542" t="s">
        <v>1555</v>
      </c>
      <c r="B1542" s="4">
        <v>45327</v>
      </c>
      <c r="C1542" t="s">
        <v>2015</v>
      </c>
      <c r="D1542" t="s">
        <v>2019</v>
      </c>
      <c r="E1542" t="s">
        <v>2029</v>
      </c>
      <c r="F1542" t="s">
        <v>2031</v>
      </c>
      <c r="G1542" t="s">
        <v>2035</v>
      </c>
      <c r="H1542" t="s">
        <v>2038</v>
      </c>
      <c r="I1542">
        <v>1</v>
      </c>
      <c r="J1542">
        <v>2</v>
      </c>
      <c r="K1542">
        <v>1</v>
      </c>
      <c r="L1542" t="s">
        <v>2041</v>
      </c>
      <c r="M1542">
        <v>304</v>
      </c>
      <c r="N1542">
        <v>1483</v>
      </c>
      <c r="O1542">
        <v>1563</v>
      </c>
      <c r="P1542" s="13">
        <f t="shared" si="168"/>
        <v>0</v>
      </c>
      <c r="Q1542" t="str">
        <f t="shared" si="169"/>
        <v>No</v>
      </c>
      <c r="R1542" t="str" cm="1">
        <f t="array" ref="R1542">_xlfn.IFS(K1542=0,"On Time",K1542&lt;=2,"Minor",K1542&lt;=5,"Major",K1542&gt;5,"Severe")</f>
        <v>Minor</v>
      </c>
      <c r="S1542">
        <f t="shared" si="170"/>
        <v>1563</v>
      </c>
      <c r="T1542">
        <f t="shared" si="171"/>
        <v>1483</v>
      </c>
      <c r="U1542">
        <f t="shared" si="172"/>
        <v>2024</v>
      </c>
      <c r="V1542">
        <f t="shared" si="173"/>
        <v>2</v>
      </c>
      <c r="W1542" s="11">
        <f t="shared" si="174"/>
        <v>1</v>
      </c>
    </row>
    <row r="1543" spans="1:23">
      <c r="A1543" t="s">
        <v>1556</v>
      </c>
      <c r="B1543" s="4">
        <v>45585</v>
      </c>
      <c r="C1543" t="s">
        <v>2018</v>
      </c>
      <c r="D1543" t="s">
        <v>2026</v>
      </c>
      <c r="E1543" t="s">
        <v>2029</v>
      </c>
      <c r="F1543" t="s">
        <v>2030</v>
      </c>
      <c r="G1543" t="s">
        <v>2033</v>
      </c>
      <c r="H1543" t="s">
        <v>2040</v>
      </c>
      <c r="I1543">
        <v>2</v>
      </c>
      <c r="J1543">
        <v>9</v>
      </c>
      <c r="K1543">
        <v>7</v>
      </c>
      <c r="L1543" t="s">
        <v>2041</v>
      </c>
      <c r="M1543">
        <v>410</v>
      </c>
      <c r="N1543">
        <v>15232</v>
      </c>
      <c r="O1543">
        <v>20790</v>
      </c>
      <c r="P1543" s="13">
        <f t="shared" si="168"/>
        <v>0</v>
      </c>
      <c r="Q1543" t="str">
        <f t="shared" si="169"/>
        <v>No</v>
      </c>
      <c r="R1543" t="str" cm="1">
        <f t="array" ref="R1543">_xlfn.IFS(K1543=0,"On Time",K1543&lt;=2,"Minor",K1543&lt;=5,"Major",K1543&gt;5,"Severe")</f>
        <v>Severe</v>
      </c>
      <c r="S1543">
        <f t="shared" si="170"/>
        <v>2970</v>
      </c>
      <c r="T1543">
        <f t="shared" si="171"/>
        <v>2176</v>
      </c>
      <c r="U1543">
        <f t="shared" si="172"/>
        <v>2024</v>
      </c>
      <c r="V1543">
        <f t="shared" si="173"/>
        <v>10</v>
      </c>
      <c r="W1543" s="11">
        <f t="shared" si="174"/>
        <v>1</v>
      </c>
    </row>
    <row r="1544" spans="1:23">
      <c r="A1544" t="s">
        <v>1557</v>
      </c>
      <c r="B1544" s="4">
        <v>45476</v>
      </c>
      <c r="C1544" t="s">
        <v>2018</v>
      </c>
      <c r="D1544" t="s">
        <v>2026</v>
      </c>
      <c r="E1544" t="s">
        <v>2029</v>
      </c>
      <c r="F1544" t="s">
        <v>2031</v>
      </c>
      <c r="G1544" t="s">
        <v>2035</v>
      </c>
      <c r="H1544" t="s">
        <v>2038</v>
      </c>
      <c r="I1544">
        <v>5</v>
      </c>
      <c r="J1544">
        <v>5</v>
      </c>
      <c r="K1544">
        <v>0</v>
      </c>
      <c r="L1544" t="s">
        <v>2042</v>
      </c>
      <c r="M1544">
        <v>330</v>
      </c>
      <c r="N1544">
        <v>0</v>
      </c>
      <c r="O1544">
        <v>0</v>
      </c>
      <c r="P1544" s="13">
        <f t="shared" si="168"/>
        <v>1</v>
      </c>
      <c r="Q1544" t="str">
        <f t="shared" si="169"/>
        <v>No</v>
      </c>
      <c r="R1544" t="str" cm="1">
        <f t="array" ref="R1544">_xlfn.IFS(K1544=0,"On Time",K1544&lt;=2,"Minor",K1544&lt;=5,"Major",K1544&gt;5,"Severe")</f>
        <v>On Time</v>
      </c>
      <c r="S1544">
        <f t="shared" si="170"/>
        <v>0</v>
      </c>
      <c r="T1544">
        <f t="shared" si="171"/>
        <v>0</v>
      </c>
      <c r="U1544">
        <f t="shared" si="172"/>
        <v>2024</v>
      </c>
      <c r="V1544">
        <f t="shared" si="173"/>
        <v>7</v>
      </c>
      <c r="W1544" s="11">
        <f t="shared" si="174"/>
        <v>0</v>
      </c>
    </row>
    <row r="1545" spans="1:23">
      <c r="A1545" t="s">
        <v>1558</v>
      </c>
      <c r="B1545" s="4">
        <v>45512</v>
      </c>
      <c r="C1545" t="s">
        <v>2017</v>
      </c>
      <c r="D1545" t="s">
        <v>2022</v>
      </c>
      <c r="E1545" t="s">
        <v>2029</v>
      </c>
      <c r="F1545" t="s">
        <v>2031</v>
      </c>
      <c r="G1545" t="s">
        <v>2034</v>
      </c>
      <c r="H1545" t="s">
        <v>2038</v>
      </c>
      <c r="I1545">
        <v>3</v>
      </c>
      <c r="J1545">
        <v>5</v>
      </c>
      <c r="K1545">
        <v>2</v>
      </c>
      <c r="L1545" t="s">
        <v>2041</v>
      </c>
      <c r="M1545">
        <v>387</v>
      </c>
      <c r="N1545">
        <v>4368</v>
      </c>
      <c r="O1545">
        <v>5106</v>
      </c>
      <c r="P1545" s="13">
        <f t="shared" si="168"/>
        <v>0</v>
      </c>
      <c r="Q1545" t="str">
        <f t="shared" si="169"/>
        <v>No</v>
      </c>
      <c r="R1545" t="str" cm="1">
        <f t="array" ref="R1545">_xlfn.IFS(K1545=0,"On Time",K1545&lt;=2,"Minor",K1545&lt;=5,"Major",K1545&gt;5,"Severe")</f>
        <v>Minor</v>
      </c>
      <c r="S1545">
        <f t="shared" si="170"/>
        <v>2553</v>
      </c>
      <c r="T1545">
        <f t="shared" si="171"/>
        <v>2184</v>
      </c>
      <c r="U1545">
        <f t="shared" si="172"/>
        <v>2024</v>
      </c>
      <c r="V1545">
        <f t="shared" si="173"/>
        <v>8</v>
      </c>
      <c r="W1545" s="11">
        <f t="shared" si="174"/>
        <v>1</v>
      </c>
    </row>
    <row r="1546" spans="1:23">
      <c r="A1546" t="s">
        <v>1559</v>
      </c>
      <c r="B1546" s="4">
        <v>45376</v>
      </c>
      <c r="C1546" t="s">
        <v>2018</v>
      </c>
      <c r="D1546" t="s">
        <v>2026</v>
      </c>
      <c r="E1546" t="s">
        <v>2027</v>
      </c>
      <c r="F1546" t="s">
        <v>2031</v>
      </c>
      <c r="G1546" t="s">
        <v>2037</v>
      </c>
      <c r="H1546" t="s">
        <v>2038</v>
      </c>
      <c r="I1546">
        <v>2</v>
      </c>
      <c r="J1546">
        <v>2</v>
      </c>
      <c r="K1546">
        <v>0</v>
      </c>
      <c r="L1546" t="s">
        <v>2042</v>
      </c>
      <c r="M1546">
        <v>239</v>
      </c>
      <c r="N1546">
        <v>0</v>
      </c>
      <c r="O1546">
        <v>0</v>
      </c>
      <c r="P1546" s="13">
        <f t="shared" si="168"/>
        <v>1</v>
      </c>
      <c r="Q1546" t="str">
        <f t="shared" si="169"/>
        <v>No</v>
      </c>
      <c r="R1546" t="str" cm="1">
        <f t="array" ref="R1546">_xlfn.IFS(K1546=0,"On Time",K1546&lt;=2,"Minor",K1546&lt;=5,"Major",K1546&gt;5,"Severe")</f>
        <v>On Time</v>
      </c>
      <c r="S1546">
        <f t="shared" si="170"/>
        <v>0</v>
      </c>
      <c r="T1546">
        <f t="shared" si="171"/>
        <v>0</v>
      </c>
      <c r="U1546">
        <f t="shared" si="172"/>
        <v>2024</v>
      </c>
      <c r="V1546">
        <f t="shared" si="173"/>
        <v>3</v>
      </c>
      <c r="W1546" s="11">
        <f t="shared" si="174"/>
        <v>0</v>
      </c>
    </row>
    <row r="1547" spans="1:23">
      <c r="A1547" t="s">
        <v>1560</v>
      </c>
      <c r="B1547" s="4">
        <v>45572</v>
      </c>
      <c r="C1547" t="s">
        <v>2018</v>
      </c>
      <c r="D1547" t="s">
        <v>2024</v>
      </c>
      <c r="E1547" t="s">
        <v>2027</v>
      </c>
      <c r="F1547" t="s">
        <v>2031</v>
      </c>
      <c r="G1547" t="s">
        <v>2037</v>
      </c>
      <c r="H1547" t="s">
        <v>2038</v>
      </c>
      <c r="I1547">
        <v>2</v>
      </c>
      <c r="J1547">
        <v>6</v>
      </c>
      <c r="K1547">
        <v>4</v>
      </c>
      <c r="L1547" t="s">
        <v>2041</v>
      </c>
      <c r="M1547">
        <v>328</v>
      </c>
      <c r="N1547">
        <v>3928</v>
      </c>
      <c r="O1547">
        <v>17040</v>
      </c>
      <c r="P1547" s="13">
        <f t="shared" si="168"/>
        <v>0</v>
      </c>
      <c r="Q1547" t="str">
        <f t="shared" si="169"/>
        <v>No</v>
      </c>
      <c r="R1547" t="str" cm="1">
        <f t="array" ref="R1547">_xlfn.IFS(K1547=0,"On Time",K1547&lt;=2,"Minor",K1547&lt;=5,"Major",K1547&gt;5,"Severe")</f>
        <v>Major</v>
      </c>
      <c r="S1547">
        <f t="shared" si="170"/>
        <v>4260</v>
      </c>
      <c r="T1547">
        <f t="shared" si="171"/>
        <v>982</v>
      </c>
      <c r="U1547">
        <f t="shared" si="172"/>
        <v>2024</v>
      </c>
      <c r="V1547">
        <f t="shared" si="173"/>
        <v>10</v>
      </c>
      <c r="W1547" s="11">
        <f t="shared" si="174"/>
        <v>1</v>
      </c>
    </row>
    <row r="1548" spans="1:23">
      <c r="A1548" t="s">
        <v>1561</v>
      </c>
      <c r="B1548" s="4">
        <v>45551</v>
      </c>
      <c r="C1548" t="s">
        <v>2017</v>
      </c>
      <c r="D1548" t="s">
        <v>2022</v>
      </c>
      <c r="E1548" t="s">
        <v>2027</v>
      </c>
      <c r="F1548" t="s">
        <v>2030</v>
      </c>
      <c r="G1548" t="s">
        <v>2034</v>
      </c>
      <c r="H1548" t="s">
        <v>2038</v>
      </c>
      <c r="I1548">
        <v>2</v>
      </c>
      <c r="J1548">
        <v>4</v>
      </c>
      <c r="K1548">
        <v>2</v>
      </c>
      <c r="L1548" t="s">
        <v>2041</v>
      </c>
      <c r="M1548">
        <v>220</v>
      </c>
      <c r="N1548">
        <v>2464</v>
      </c>
      <c r="O1548">
        <v>9674</v>
      </c>
      <c r="P1548" s="13">
        <f t="shared" si="168"/>
        <v>0</v>
      </c>
      <c r="Q1548" t="str">
        <f t="shared" si="169"/>
        <v>No</v>
      </c>
      <c r="R1548" t="str" cm="1">
        <f t="array" ref="R1548">_xlfn.IFS(K1548=0,"On Time",K1548&lt;=2,"Minor",K1548&lt;=5,"Major",K1548&gt;5,"Severe")</f>
        <v>Minor</v>
      </c>
      <c r="S1548">
        <f t="shared" si="170"/>
        <v>4837</v>
      </c>
      <c r="T1548">
        <f t="shared" si="171"/>
        <v>1232</v>
      </c>
      <c r="U1548">
        <f t="shared" si="172"/>
        <v>2024</v>
      </c>
      <c r="V1548">
        <f t="shared" si="173"/>
        <v>9</v>
      </c>
      <c r="W1548" s="11">
        <f t="shared" si="174"/>
        <v>1</v>
      </c>
    </row>
    <row r="1549" spans="1:23">
      <c r="A1549" t="s">
        <v>1562</v>
      </c>
      <c r="B1549" s="4">
        <v>45508</v>
      </c>
      <c r="C1549" t="s">
        <v>2015</v>
      </c>
      <c r="D1549" t="s">
        <v>2020</v>
      </c>
      <c r="E1549" t="s">
        <v>2028</v>
      </c>
      <c r="F1549" t="s">
        <v>2031</v>
      </c>
      <c r="G1549" t="s">
        <v>2034</v>
      </c>
      <c r="H1549" t="s">
        <v>2038</v>
      </c>
      <c r="I1549">
        <v>2</v>
      </c>
      <c r="J1549">
        <v>2</v>
      </c>
      <c r="K1549">
        <v>0</v>
      </c>
      <c r="L1549" t="s">
        <v>2042</v>
      </c>
      <c r="M1549">
        <v>426</v>
      </c>
      <c r="N1549">
        <v>0</v>
      </c>
      <c r="O1549">
        <v>0</v>
      </c>
      <c r="P1549" s="13">
        <f t="shared" si="168"/>
        <v>1</v>
      </c>
      <c r="Q1549" t="str">
        <f t="shared" si="169"/>
        <v>No</v>
      </c>
      <c r="R1549" t="str" cm="1">
        <f t="array" ref="R1549">_xlfn.IFS(K1549=0,"On Time",K1549&lt;=2,"Minor",K1549&lt;=5,"Major",K1549&gt;5,"Severe")</f>
        <v>On Time</v>
      </c>
      <c r="S1549">
        <f t="shared" si="170"/>
        <v>0</v>
      </c>
      <c r="T1549">
        <f t="shared" si="171"/>
        <v>0</v>
      </c>
      <c r="U1549">
        <f t="shared" si="172"/>
        <v>2024</v>
      </c>
      <c r="V1549">
        <f t="shared" si="173"/>
        <v>8</v>
      </c>
      <c r="W1549" s="11">
        <f t="shared" si="174"/>
        <v>0</v>
      </c>
    </row>
    <row r="1550" spans="1:23">
      <c r="A1550" t="s">
        <v>1563</v>
      </c>
      <c r="B1550" s="4">
        <v>45638</v>
      </c>
      <c r="C1550" t="s">
        <v>2015</v>
      </c>
      <c r="D1550" t="s">
        <v>2020</v>
      </c>
      <c r="E1550" t="s">
        <v>2027</v>
      </c>
      <c r="F1550" t="s">
        <v>2032</v>
      </c>
      <c r="G1550" t="s">
        <v>2035</v>
      </c>
      <c r="H1550" t="s">
        <v>2039</v>
      </c>
      <c r="I1550">
        <v>1</v>
      </c>
      <c r="J1550">
        <v>7</v>
      </c>
      <c r="K1550">
        <v>6</v>
      </c>
      <c r="L1550" t="s">
        <v>2041</v>
      </c>
      <c r="M1550">
        <v>447</v>
      </c>
      <c r="N1550">
        <v>5658</v>
      </c>
      <c r="O1550">
        <v>25314</v>
      </c>
      <c r="P1550" s="13">
        <f t="shared" si="168"/>
        <v>0</v>
      </c>
      <c r="Q1550" t="str">
        <f t="shared" si="169"/>
        <v>No</v>
      </c>
      <c r="R1550" t="str" cm="1">
        <f t="array" ref="R1550">_xlfn.IFS(K1550=0,"On Time",K1550&lt;=2,"Minor",K1550&lt;=5,"Major",K1550&gt;5,"Severe")</f>
        <v>Severe</v>
      </c>
      <c r="S1550">
        <f t="shared" si="170"/>
        <v>4219</v>
      </c>
      <c r="T1550">
        <f t="shared" si="171"/>
        <v>943</v>
      </c>
      <c r="U1550">
        <f t="shared" si="172"/>
        <v>2024</v>
      </c>
      <c r="V1550">
        <f t="shared" si="173"/>
        <v>12</v>
      </c>
      <c r="W1550" s="11">
        <f t="shared" si="174"/>
        <v>1</v>
      </c>
    </row>
    <row r="1551" spans="1:23">
      <c r="A1551" t="s">
        <v>1564</v>
      </c>
      <c r="B1551" s="4">
        <v>45468</v>
      </c>
      <c r="C1551" t="s">
        <v>2018</v>
      </c>
      <c r="D1551" t="s">
        <v>2024</v>
      </c>
      <c r="E1551" t="s">
        <v>2028</v>
      </c>
      <c r="F1551" t="s">
        <v>2031</v>
      </c>
      <c r="G1551" t="s">
        <v>2033</v>
      </c>
      <c r="H1551" t="s">
        <v>2038</v>
      </c>
      <c r="I1551">
        <v>2</v>
      </c>
      <c r="J1551">
        <v>7</v>
      </c>
      <c r="K1551">
        <v>5</v>
      </c>
      <c r="L1551" t="s">
        <v>2041</v>
      </c>
      <c r="M1551">
        <v>165</v>
      </c>
      <c r="N1551">
        <v>6460</v>
      </c>
      <c r="O1551">
        <v>13570</v>
      </c>
      <c r="P1551" s="13">
        <f t="shared" si="168"/>
        <v>0</v>
      </c>
      <c r="Q1551" t="str">
        <f t="shared" si="169"/>
        <v>No</v>
      </c>
      <c r="R1551" t="str" cm="1">
        <f t="array" ref="R1551">_xlfn.IFS(K1551=0,"On Time",K1551&lt;=2,"Minor",K1551&lt;=5,"Major",K1551&gt;5,"Severe")</f>
        <v>Major</v>
      </c>
      <c r="S1551">
        <f t="shared" si="170"/>
        <v>2714</v>
      </c>
      <c r="T1551">
        <f t="shared" si="171"/>
        <v>1292</v>
      </c>
      <c r="U1551">
        <f t="shared" si="172"/>
        <v>2024</v>
      </c>
      <c r="V1551">
        <f t="shared" si="173"/>
        <v>6</v>
      </c>
      <c r="W1551" s="11">
        <f t="shared" si="174"/>
        <v>1</v>
      </c>
    </row>
    <row r="1552" spans="1:23">
      <c r="A1552" t="s">
        <v>1565</v>
      </c>
      <c r="B1552" s="4">
        <v>45575</v>
      </c>
      <c r="C1552" t="s">
        <v>2018</v>
      </c>
      <c r="D1552" t="s">
        <v>2026</v>
      </c>
      <c r="E1552" t="s">
        <v>2028</v>
      </c>
      <c r="F1552" t="s">
        <v>2031</v>
      </c>
      <c r="G1552" t="s">
        <v>2037</v>
      </c>
      <c r="H1552" t="s">
        <v>2039</v>
      </c>
      <c r="I1552">
        <v>1</v>
      </c>
      <c r="J1552">
        <v>2</v>
      </c>
      <c r="K1552">
        <v>1</v>
      </c>
      <c r="L1552" t="s">
        <v>2041</v>
      </c>
      <c r="M1552">
        <v>183</v>
      </c>
      <c r="N1552">
        <v>1948</v>
      </c>
      <c r="O1552">
        <v>2631</v>
      </c>
      <c r="P1552" s="13">
        <f t="shared" si="168"/>
        <v>0</v>
      </c>
      <c r="Q1552" t="str">
        <f t="shared" si="169"/>
        <v>No</v>
      </c>
      <c r="R1552" t="str" cm="1">
        <f t="array" ref="R1552">_xlfn.IFS(K1552=0,"On Time",K1552&lt;=2,"Minor",K1552&lt;=5,"Major",K1552&gt;5,"Severe")</f>
        <v>Minor</v>
      </c>
      <c r="S1552">
        <f t="shared" si="170"/>
        <v>2631</v>
      </c>
      <c r="T1552">
        <f t="shared" si="171"/>
        <v>1948</v>
      </c>
      <c r="U1552">
        <f t="shared" si="172"/>
        <v>2024</v>
      </c>
      <c r="V1552">
        <f t="shared" si="173"/>
        <v>10</v>
      </c>
      <c r="W1552" s="11">
        <f t="shared" si="174"/>
        <v>1</v>
      </c>
    </row>
    <row r="1553" spans="1:23">
      <c r="A1553" t="s">
        <v>1566</v>
      </c>
      <c r="B1553" s="4">
        <v>45407</v>
      </c>
      <c r="C1553" t="s">
        <v>2018</v>
      </c>
      <c r="D1553" t="s">
        <v>2024</v>
      </c>
      <c r="E1553" t="s">
        <v>2028</v>
      </c>
      <c r="F1553" t="s">
        <v>2032</v>
      </c>
      <c r="G1553" t="s">
        <v>2033</v>
      </c>
      <c r="H1553" t="s">
        <v>2039</v>
      </c>
      <c r="I1553">
        <v>3</v>
      </c>
      <c r="J1553">
        <v>7</v>
      </c>
      <c r="K1553">
        <v>4</v>
      </c>
      <c r="L1553" t="s">
        <v>2041</v>
      </c>
      <c r="M1553">
        <v>218</v>
      </c>
      <c r="N1553">
        <v>9712</v>
      </c>
      <c r="O1553">
        <v>6320</v>
      </c>
      <c r="P1553" s="13">
        <f t="shared" si="168"/>
        <v>0</v>
      </c>
      <c r="Q1553" t="str">
        <f t="shared" si="169"/>
        <v>No</v>
      </c>
      <c r="R1553" t="str" cm="1">
        <f t="array" ref="R1553">_xlfn.IFS(K1553=0,"On Time",K1553&lt;=2,"Minor",K1553&lt;=5,"Major",K1553&gt;5,"Severe")</f>
        <v>Major</v>
      </c>
      <c r="S1553">
        <f t="shared" si="170"/>
        <v>1580</v>
      </c>
      <c r="T1553">
        <f t="shared" si="171"/>
        <v>2428</v>
      </c>
      <c r="U1553">
        <f t="shared" si="172"/>
        <v>2024</v>
      </c>
      <c r="V1553">
        <f t="shared" si="173"/>
        <v>4</v>
      </c>
      <c r="W1553" s="11">
        <f t="shared" si="174"/>
        <v>1</v>
      </c>
    </row>
    <row r="1554" spans="1:23">
      <c r="A1554" t="s">
        <v>1567</v>
      </c>
      <c r="B1554" s="4">
        <v>45494</v>
      </c>
      <c r="C1554" t="s">
        <v>2015</v>
      </c>
      <c r="D1554" t="s">
        <v>2019</v>
      </c>
      <c r="E1554" t="s">
        <v>2027</v>
      </c>
      <c r="F1554" t="s">
        <v>2030</v>
      </c>
      <c r="G1554" t="s">
        <v>2037</v>
      </c>
      <c r="H1554" t="s">
        <v>2038</v>
      </c>
      <c r="I1554">
        <v>2</v>
      </c>
      <c r="J1554">
        <v>3</v>
      </c>
      <c r="K1554">
        <v>1</v>
      </c>
      <c r="L1554" t="s">
        <v>2041</v>
      </c>
      <c r="M1554">
        <v>223</v>
      </c>
      <c r="N1554">
        <v>1633</v>
      </c>
      <c r="O1554">
        <v>1517</v>
      </c>
      <c r="P1554" s="13">
        <f t="shared" si="168"/>
        <v>0</v>
      </c>
      <c r="Q1554" t="str">
        <f t="shared" si="169"/>
        <v>No</v>
      </c>
      <c r="R1554" t="str" cm="1">
        <f t="array" ref="R1554">_xlfn.IFS(K1554=0,"On Time",K1554&lt;=2,"Minor",K1554&lt;=5,"Major",K1554&gt;5,"Severe")</f>
        <v>Minor</v>
      </c>
      <c r="S1554">
        <f t="shared" si="170"/>
        <v>1517</v>
      </c>
      <c r="T1554">
        <f t="shared" si="171"/>
        <v>1633</v>
      </c>
      <c r="U1554">
        <f t="shared" si="172"/>
        <v>2024</v>
      </c>
      <c r="V1554">
        <f t="shared" si="173"/>
        <v>7</v>
      </c>
      <c r="W1554" s="11">
        <f t="shared" si="174"/>
        <v>1</v>
      </c>
    </row>
    <row r="1555" spans="1:23">
      <c r="A1555" t="s">
        <v>1568</v>
      </c>
      <c r="B1555" s="4">
        <v>45569</v>
      </c>
      <c r="C1555" t="s">
        <v>2018</v>
      </c>
      <c r="D1555" t="s">
        <v>2026</v>
      </c>
      <c r="E1555" t="s">
        <v>2029</v>
      </c>
      <c r="F1555" t="s">
        <v>2031</v>
      </c>
      <c r="G1555" t="s">
        <v>2033</v>
      </c>
      <c r="H1555" t="s">
        <v>2040</v>
      </c>
      <c r="I1555">
        <v>3</v>
      </c>
      <c r="J1555">
        <v>10</v>
      </c>
      <c r="K1555">
        <v>7</v>
      </c>
      <c r="L1555" t="s">
        <v>2041</v>
      </c>
      <c r="M1555">
        <v>87</v>
      </c>
      <c r="N1555">
        <v>15162</v>
      </c>
      <c r="O1555">
        <v>28462</v>
      </c>
      <c r="P1555" s="13">
        <f t="shared" si="168"/>
        <v>0</v>
      </c>
      <c r="Q1555" t="str">
        <f t="shared" si="169"/>
        <v>No</v>
      </c>
      <c r="R1555" t="str" cm="1">
        <f t="array" ref="R1555">_xlfn.IFS(K1555=0,"On Time",K1555&lt;=2,"Minor",K1555&lt;=5,"Major",K1555&gt;5,"Severe")</f>
        <v>Severe</v>
      </c>
      <c r="S1555">
        <f t="shared" si="170"/>
        <v>4066</v>
      </c>
      <c r="T1555">
        <f t="shared" si="171"/>
        <v>2166</v>
      </c>
      <c r="U1555">
        <f t="shared" si="172"/>
        <v>2024</v>
      </c>
      <c r="V1555">
        <f t="shared" si="173"/>
        <v>10</v>
      </c>
      <c r="W1555" s="11">
        <f t="shared" si="174"/>
        <v>1</v>
      </c>
    </row>
    <row r="1556" spans="1:23">
      <c r="A1556" t="s">
        <v>1569</v>
      </c>
      <c r="B1556" s="4">
        <v>45548</v>
      </c>
      <c r="C1556" t="s">
        <v>2017</v>
      </c>
      <c r="D1556" t="s">
        <v>2022</v>
      </c>
      <c r="E1556" t="s">
        <v>2027</v>
      </c>
      <c r="F1556" t="s">
        <v>2030</v>
      </c>
      <c r="G1556" t="s">
        <v>2035</v>
      </c>
      <c r="H1556" t="s">
        <v>2038</v>
      </c>
      <c r="I1556">
        <v>3</v>
      </c>
      <c r="J1556">
        <v>6</v>
      </c>
      <c r="K1556">
        <v>3</v>
      </c>
      <c r="L1556" t="s">
        <v>2041</v>
      </c>
      <c r="M1556">
        <v>241</v>
      </c>
      <c r="N1556">
        <v>3822</v>
      </c>
      <c r="O1556">
        <v>10797</v>
      </c>
      <c r="P1556" s="13">
        <f t="shared" si="168"/>
        <v>0</v>
      </c>
      <c r="Q1556" t="str">
        <f t="shared" si="169"/>
        <v>No</v>
      </c>
      <c r="R1556" t="str" cm="1">
        <f t="array" ref="R1556">_xlfn.IFS(K1556=0,"On Time",K1556&lt;=2,"Minor",K1556&lt;=5,"Major",K1556&gt;5,"Severe")</f>
        <v>Major</v>
      </c>
      <c r="S1556">
        <f t="shared" si="170"/>
        <v>3599</v>
      </c>
      <c r="T1556">
        <f t="shared" si="171"/>
        <v>1274</v>
      </c>
      <c r="U1556">
        <f t="shared" si="172"/>
        <v>2024</v>
      </c>
      <c r="V1556">
        <f t="shared" si="173"/>
        <v>9</v>
      </c>
      <c r="W1556" s="11">
        <f t="shared" si="174"/>
        <v>1</v>
      </c>
    </row>
    <row r="1557" spans="1:23">
      <c r="A1557" t="s">
        <v>1570</v>
      </c>
      <c r="B1557" s="4">
        <v>45393</v>
      </c>
      <c r="C1557" t="s">
        <v>2015</v>
      </c>
      <c r="D1557" t="s">
        <v>2020</v>
      </c>
      <c r="E1557" t="s">
        <v>2028</v>
      </c>
      <c r="F1557" t="s">
        <v>2030</v>
      </c>
      <c r="G1557" t="s">
        <v>2033</v>
      </c>
      <c r="H1557" t="s">
        <v>2040</v>
      </c>
      <c r="I1557">
        <v>2</v>
      </c>
      <c r="J1557">
        <v>6</v>
      </c>
      <c r="K1557">
        <v>4</v>
      </c>
      <c r="L1557" t="s">
        <v>2041</v>
      </c>
      <c r="M1557">
        <v>193</v>
      </c>
      <c r="N1557">
        <v>6060</v>
      </c>
      <c r="O1557">
        <v>11036</v>
      </c>
      <c r="P1557" s="13">
        <f t="shared" si="168"/>
        <v>0</v>
      </c>
      <c r="Q1557" t="str">
        <f t="shared" si="169"/>
        <v>No</v>
      </c>
      <c r="R1557" t="str" cm="1">
        <f t="array" ref="R1557">_xlfn.IFS(K1557=0,"On Time",K1557&lt;=2,"Minor",K1557&lt;=5,"Major",K1557&gt;5,"Severe")</f>
        <v>Major</v>
      </c>
      <c r="S1557">
        <f t="shared" si="170"/>
        <v>2759</v>
      </c>
      <c r="T1557">
        <f t="shared" si="171"/>
        <v>1515</v>
      </c>
      <c r="U1557">
        <f t="shared" si="172"/>
        <v>2024</v>
      </c>
      <c r="V1557">
        <f t="shared" si="173"/>
        <v>4</v>
      </c>
      <c r="W1557" s="11">
        <f t="shared" si="174"/>
        <v>1</v>
      </c>
    </row>
    <row r="1558" spans="1:23">
      <c r="A1558" t="s">
        <v>1571</v>
      </c>
      <c r="B1558" s="4">
        <v>45572</v>
      </c>
      <c r="C1558" t="s">
        <v>2016</v>
      </c>
      <c r="D1558" t="s">
        <v>2025</v>
      </c>
      <c r="E1558" t="s">
        <v>2029</v>
      </c>
      <c r="F1558" t="s">
        <v>2031</v>
      </c>
      <c r="G1558" t="s">
        <v>2037</v>
      </c>
      <c r="H1558" t="s">
        <v>2040</v>
      </c>
      <c r="I1558">
        <v>2</v>
      </c>
      <c r="J1558">
        <v>9</v>
      </c>
      <c r="K1558">
        <v>7</v>
      </c>
      <c r="L1558" t="s">
        <v>2041</v>
      </c>
      <c r="M1558">
        <v>286</v>
      </c>
      <c r="N1558">
        <v>17199</v>
      </c>
      <c r="O1558">
        <v>16597</v>
      </c>
      <c r="P1558" s="13">
        <f t="shared" si="168"/>
        <v>0</v>
      </c>
      <c r="Q1558" t="str">
        <f t="shared" si="169"/>
        <v>No</v>
      </c>
      <c r="R1558" t="str" cm="1">
        <f t="array" ref="R1558">_xlfn.IFS(K1558=0,"On Time",K1558&lt;=2,"Minor",K1558&lt;=5,"Major",K1558&gt;5,"Severe")</f>
        <v>Severe</v>
      </c>
      <c r="S1558">
        <f t="shared" si="170"/>
        <v>2371</v>
      </c>
      <c r="T1558">
        <f t="shared" si="171"/>
        <v>2457</v>
      </c>
      <c r="U1558">
        <f t="shared" si="172"/>
        <v>2024</v>
      </c>
      <c r="V1558">
        <f t="shared" si="173"/>
        <v>10</v>
      </c>
      <c r="W1558" s="11">
        <f t="shared" si="174"/>
        <v>1</v>
      </c>
    </row>
    <row r="1559" spans="1:23">
      <c r="A1559" t="s">
        <v>1572</v>
      </c>
      <c r="B1559" s="4">
        <v>45490</v>
      </c>
      <c r="C1559" t="s">
        <v>2016</v>
      </c>
      <c r="D1559" t="s">
        <v>2021</v>
      </c>
      <c r="E1559" t="s">
        <v>2029</v>
      </c>
      <c r="F1559" t="s">
        <v>2030</v>
      </c>
      <c r="G1559" t="s">
        <v>2035</v>
      </c>
      <c r="H1559" t="s">
        <v>2038</v>
      </c>
      <c r="I1559">
        <v>3</v>
      </c>
      <c r="J1559">
        <v>6</v>
      </c>
      <c r="K1559">
        <v>3</v>
      </c>
      <c r="L1559" t="s">
        <v>2041</v>
      </c>
      <c r="M1559">
        <v>131</v>
      </c>
      <c r="N1559">
        <v>5727</v>
      </c>
      <c r="O1559">
        <v>6963</v>
      </c>
      <c r="P1559" s="13">
        <f t="shared" si="168"/>
        <v>0</v>
      </c>
      <c r="Q1559" t="str">
        <f t="shared" si="169"/>
        <v>No</v>
      </c>
      <c r="R1559" t="str" cm="1">
        <f t="array" ref="R1559">_xlfn.IFS(K1559=0,"On Time",K1559&lt;=2,"Minor",K1559&lt;=5,"Major",K1559&gt;5,"Severe")</f>
        <v>Major</v>
      </c>
      <c r="S1559">
        <f t="shared" si="170"/>
        <v>2321</v>
      </c>
      <c r="T1559">
        <f t="shared" si="171"/>
        <v>1909</v>
      </c>
      <c r="U1559">
        <f t="shared" si="172"/>
        <v>2024</v>
      </c>
      <c r="V1559">
        <f t="shared" si="173"/>
        <v>7</v>
      </c>
      <c r="W1559" s="11">
        <f t="shared" si="174"/>
        <v>1</v>
      </c>
    </row>
    <row r="1560" spans="1:23">
      <c r="A1560" t="s">
        <v>1573</v>
      </c>
      <c r="B1560" s="4">
        <v>45496</v>
      </c>
      <c r="C1560" t="s">
        <v>2017</v>
      </c>
      <c r="D1560" t="s">
        <v>2022</v>
      </c>
      <c r="E1560" t="s">
        <v>2027</v>
      </c>
      <c r="F1560" t="s">
        <v>2031</v>
      </c>
      <c r="G1560" t="s">
        <v>2036</v>
      </c>
      <c r="H1560" t="s">
        <v>2038</v>
      </c>
      <c r="I1560">
        <v>1</v>
      </c>
      <c r="J1560">
        <v>3</v>
      </c>
      <c r="K1560">
        <v>2</v>
      </c>
      <c r="L1560" t="s">
        <v>2041</v>
      </c>
      <c r="M1560">
        <v>182</v>
      </c>
      <c r="N1560">
        <v>4360</v>
      </c>
      <c r="O1560">
        <v>5434</v>
      </c>
      <c r="P1560" s="13">
        <f t="shared" si="168"/>
        <v>0</v>
      </c>
      <c r="Q1560" t="str">
        <f t="shared" si="169"/>
        <v>No</v>
      </c>
      <c r="R1560" t="str" cm="1">
        <f t="array" ref="R1560">_xlfn.IFS(K1560=0,"On Time",K1560&lt;=2,"Minor",K1560&lt;=5,"Major",K1560&gt;5,"Severe")</f>
        <v>Minor</v>
      </c>
      <c r="S1560">
        <f t="shared" si="170"/>
        <v>2717</v>
      </c>
      <c r="T1560">
        <f t="shared" si="171"/>
        <v>2180</v>
      </c>
      <c r="U1560">
        <f t="shared" si="172"/>
        <v>2024</v>
      </c>
      <c r="V1560">
        <f t="shared" si="173"/>
        <v>7</v>
      </c>
      <c r="W1560" s="11">
        <f t="shared" si="174"/>
        <v>1</v>
      </c>
    </row>
    <row r="1561" spans="1:23">
      <c r="A1561" t="s">
        <v>1574</v>
      </c>
      <c r="B1561" s="4">
        <v>45523</v>
      </c>
      <c r="C1561" t="s">
        <v>2018</v>
      </c>
      <c r="D1561" t="s">
        <v>2024</v>
      </c>
      <c r="E1561" t="s">
        <v>2029</v>
      </c>
      <c r="F1561" t="s">
        <v>2031</v>
      </c>
      <c r="G1561" t="s">
        <v>2036</v>
      </c>
      <c r="H1561" t="s">
        <v>2038</v>
      </c>
      <c r="I1561">
        <v>3</v>
      </c>
      <c r="J1561">
        <v>8</v>
      </c>
      <c r="K1561">
        <v>5</v>
      </c>
      <c r="L1561" t="s">
        <v>2041</v>
      </c>
      <c r="M1561">
        <v>230</v>
      </c>
      <c r="N1561">
        <v>11670</v>
      </c>
      <c r="O1561">
        <v>23020</v>
      </c>
      <c r="P1561" s="13">
        <f t="shared" si="168"/>
        <v>0</v>
      </c>
      <c r="Q1561" t="str">
        <f t="shared" si="169"/>
        <v>No</v>
      </c>
      <c r="R1561" t="str" cm="1">
        <f t="array" ref="R1561">_xlfn.IFS(K1561=0,"On Time",K1561&lt;=2,"Minor",K1561&lt;=5,"Major",K1561&gt;5,"Severe")</f>
        <v>Major</v>
      </c>
      <c r="S1561">
        <f t="shared" si="170"/>
        <v>4604</v>
      </c>
      <c r="T1561">
        <f t="shared" si="171"/>
        <v>2334</v>
      </c>
      <c r="U1561">
        <f t="shared" si="172"/>
        <v>2024</v>
      </c>
      <c r="V1561">
        <f t="shared" si="173"/>
        <v>8</v>
      </c>
      <c r="W1561" s="11">
        <f t="shared" si="174"/>
        <v>1</v>
      </c>
    </row>
    <row r="1562" spans="1:23">
      <c r="A1562" t="s">
        <v>1575</v>
      </c>
      <c r="B1562" s="4">
        <v>45433</v>
      </c>
      <c r="C1562" t="s">
        <v>2018</v>
      </c>
      <c r="D1562" t="s">
        <v>2026</v>
      </c>
      <c r="E1562" t="s">
        <v>2027</v>
      </c>
      <c r="F1562" t="s">
        <v>2030</v>
      </c>
      <c r="G1562" t="s">
        <v>2037</v>
      </c>
      <c r="H1562" t="s">
        <v>2039</v>
      </c>
      <c r="I1562">
        <v>3</v>
      </c>
      <c r="J1562">
        <v>3</v>
      </c>
      <c r="K1562">
        <v>0</v>
      </c>
      <c r="L1562" t="s">
        <v>2042</v>
      </c>
      <c r="M1562">
        <v>171</v>
      </c>
      <c r="N1562">
        <v>0</v>
      </c>
      <c r="O1562">
        <v>0</v>
      </c>
      <c r="P1562" s="13">
        <f t="shared" si="168"/>
        <v>1</v>
      </c>
      <c r="Q1562" t="str">
        <f t="shared" si="169"/>
        <v>No</v>
      </c>
      <c r="R1562" t="str" cm="1">
        <f t="array" ref="R1562">_xlfn.IFS(K1562=0,"On Time",K1562&lt;=2,"Minor",K1562&lt;=5,"Major",K1562&gt;5,"Severe")</f>
        <v>On Time</v>
      </c>
      <c r="S1562">
        <f t="shared" si="170"/>
        <v>0</v>
      </c>
      <c r="T1562">
        <f t="shared" si="171"/>
        <v>0</v>
      </c>
      <c r="U1562">
        <f t="shared" si="172"/>
        <v>2024</v>
      </c>
      <c r="V1562">
        <f t="shared" si="173"/>
        <v>5</v>
      </c>
      <c r="W1562" s="11">
        <f t="shared" si="174"/>
        <v>0</v>
      </c>
    </row>
    <row r="1563" spans="1:23">
      <c r="A1563" t="s">
        <v>1576</v>
      </c>
      <c r="B1563" s="4">
        <v>45407</v>
      </c>
      <c r="C1563" t="s">
        <v>2016</v>
      </c>
      <c r="D1563" t="s">
        <v>2021</v>
      </c>
      <c r="E1563" t="s">
        <v>2028</v>
      </c>
      <c r="F1563" t="s">
        <v>2030</v>
      </c>
      <c r="G1563" t="s">
        <v>2037</v>
      </c>
      <c r="H1563" t="s">
        <v>2038</v>
      </c>
      <c r="I1563">
        <v>1</v>
      </c>
      <c r="J1563">
        <v>6</v>
      </c>
      <c r="K1563">
        <v>5</v>
      </c>
      <c r="L1563" t="s">
        <v>2041</v>
      </c>
      <c r="M1563">
        <v>256</v>
      </c>
      <c r="N1563">
        <v>9565</v>
      </c>
      <c r="O1563">
        <v>8660</v>
      </c>
      <c r="P1563" s="13">
        <f t="shared" si="168"/>
        <v>0</v>
      </c>
      <c r="Q1563" t="str">
        <f t="shared" si="169"/>
        <v>No</v>
      </c>
      <c r="R1563" t="str" cm="1">
        <f t="array" ref="R1563">_xlfn.IFS(K1563=0,"On Time",K1563&lt;=2,"Minor",K1563&lt;=5,"Major",K1563&gt;5,"Severe")</f>
        <v>Major</v>
      </c>
      <c r="S1563">
        <f t="shared" si="170"/>
        <v>1732</v>
      </c>
      <c r="T1563">
        <f t="shared" si="171"/>
        <v>1913</v>
      </c>
      <c r="U1563">
        <f t="shared" si="172"/>
        <v>2024</v>
      </c>
      <c r="V1563">
        <f t="shared" si="173"/>
        <v>4</v>
      </c>
      <c r="W1563" s="11">
        <f t="shared" si="174"/>
        <v>1</v>
      </c>
    </row>
    <row r="1564" spans="1:23">
      <c r="A1564" t="s">
        <v>1577</v>
      </c>
      <c r="B1564" s="4">
        <v>45565</v>
      </c>
      <c r="C1564" t="s">
        <v>2016</v>
      </c>
      <c r="D1564" t="s">
        <v>2021</v>
      </c>
      <c r="E1564" t="s">
        <v>2029</v>
      </c>
      <c r="F1564" t="s">
        <v>2031</v>
      </c>
      <c r="G1564" t="s">
        <v>2037</v>
      </c>
      <c r="H1564" t="s">
        <v>2038</v>
      </c>
      <c r="I1564">
        <v>1</v>
      </c>
      <c r="J1564">
        <v>1</v>
      </c>
      <c r="K1564">
        <v>0</v>
      </c>
      <c r="L1564" t="s">
        <v>2042</v>
      </c>
      <c r="M1564">
        <v>426</v>
      </c>
      <c r="N1564">
        <v>0</v>
      </c>
      <c r="O1564">
        <v>0</v>
      </c>
      <c r="P1564" s="13">
        <f t="shared" si="168"/>
        <v>1</v>
      </c>
      <c r="Q1564" t="str">
        <f t="shared" si="169"/>
        <v>No</v>
      </c>
      <c r="R1564" t="str" cm="1">
        <f t="array" ref="R1564">_xlfn.IFS(K1564=0,"On Time",K1564&lt;=2,"Minor",K1564&lt;=5,"Major",K1564&gt;5,"Severe")</f>
        <v>On Time</v>
      </c>
      <c r="S1564">
        <f t="shared" si="170"/>
        <v>0</v>
      </c>
      <c r="T1564">
        <f t="shared" si="171"/>
        <v>0</v>
      </c>
      <c r="U1564">
        <f t="shared" si="172"/>
        <v>2024</v>
      </c>
      <c r="V1564">
        <f t="shared" si="173"/>
        <v>9</v>
      </c>
      <c r="W1564" s="11">
        <f t="shared" si="174"/>
        <v>0</v>
      </c>
    </row>
    <row r="1565" spans="1:23">
      <c r="A1565" t="s">
        <v>1578</v>
      </c>
      <c r="B1565" s="4">
        <v>45368</v>
      </c>
      <c r="C1565" t="s">
        <v>2017</v>
      </c>
      <c r="D1565" t="s">
        <v>2022</v>
      </c>
      <c r="E1565" t="s">
        <v>2027</v>
      </c>
      <c r="F1565" t="s">
        <v>2030</v>
      </c>
      <c r="G1565" t="s">
        <v>2033</v>
      </c>
      <c r="H1565" t="s">
        <v>2038</v>
      </c>
      <c r="I1565">
        <v>2</v>
      </c>
      <c r="J1565">
        <v>4</v>
      </c>
      <c r="K1565">
        <v>2</v>
      </c>
      <c r="L1565" t="s">
        <v>2041</v>
      </c>
      <c r="M1565">
        <v>76</v>
      </c>
      <c r="N1565">
        <v>4576</v>
      </c>
      <c r="O1565">
        <v>5864</v>
      </c>
      <c r="P1565" s="13">
        <f t="shared" si="168"/>
        <v>0</v>
      </c>
      <c r="Q1565" t="str">
        <f t="shared" si="169"/>
        <v>No</v>
      </c>
      <c r="R1565" t="str" cm="1">
        <f t="array" ref="R1565">_xlfn.IFS(K1565=0,"On Time",K1565&lt;=2,"Minor",K1565&lt;=5,"Major",K1565&gt;5,"Severe")</f>
        <v>Minor</v>
      </c>
      <c r="S1565">
        <f t="shared" si="170"/>
        <v>2932</v>
      </c>
      <c r="T1565">
        <f t="shared" si="171"/>
        <v>2288</v>
      </c>
      <c r="U1565">
        <f t="shared" si="172"/>
        <v>2024</v>
      </c>
      <c r="V1565">
        <f t="shared" si="173"/>
        <v>3</v>
      </c>
      <c r="W1565" s="11">
        <f t="shared" si="174"/>
        <v>1</v>
      </c>
    </row>
    <row r="1566" spans="1:23">
      <c r="A1566" t="s">
        <v>1579</v>
      </c>
      <c r="B1566" s="4">
        <v>45651</v>
      </c>
      <c r="C1566" t="s">
        <v>2018</v>
      </c>
      <c r="D1566" t="s">
        <v>2026</v>
      </c>
      <c r="E1566" t="s">
        <v>2028</v>
      </c>
      <c r="F1566" t="s">
        <v>2031</v>
      </c>
      <c r="G1566" t="s">
        <v>2033</v>
      </c>
      <c r="H1566" t="s">
        <v>2038</v>
      </c>
      <c r="I1566">
        <v>1</v>
      </c>
      <c r="J1566">
        <v>6</v>
      </c>
      <c r="K1566">
        <v>5</v>
      </c>
      <c r="L1566" t="s">
        <v>2041</v>
      </c>
      <c r="M1566">
        <v>212</v>
      </c>
      <c r="N1566">
        <v>4180</v>
      </c>
      <c r="O1566">
        <v>23700</v>
      </c>
      <c r="P1566" s="13">
        <f t="shared" si="168"/>
        <v>0</v>
      </c>
      <c r="Q1566" t="str">
        <f t="shared" si="169"/>
        <v>No</v>
      </c>
      <c r="R1566" t="str" cm="1">
        <f t="array" ref="R1566">_xlfn.IFS(K1566=0,"On Time",K1566&lt;=2,"Minor",K1566&lt;=5,"Major",K1566&gt;5,"Severe")</f>
        <v>Major</v>
      </c>
      <c r="S1566">
        <f t="shared" si="170"/>
        <v>4740</v>
      </c>
      <c r="T1566">
        <f t="shared" si="171"/>
        <v>836</v>
      </c>
      <c r="U1566">
        <f t="shared" si="172"/>
        <v>2024</v>
      </c>
      <c r="V1566">
        <f t="shared" si="173"/>
        <v>12</v>
      </c>
      <c r="W1566" s="11">
        <f t="shared" si="174"/>
        <v>1</v>
      </c>
    </row>
    <row r="1567" spans="1:23">
      <c r="A1567" t="s">
        <v>1580</v>
      </c>
      <c r="B1567" s="4">
        <v>45314</v>
      </c>
      <c r="C1567" t="s">
        <v>2016</v>
      </c>
      <c r="D1567" t="s">
        <v>2025</v>
      </c>
      <c r="E1567" t="s">
        <v>2029</v>
      </c>
      <c r="F1567" t="s">
        <v>2031</v>
      </c>
      <c r="G1567" t="s">
        <v>2034</v>
      </c>
      <c r="H1567" t="s">
        <v>2038</v>
      </c>
      <c r="I1567">
        <v>1</v>
      </c>
      <c r="J1567">
        <v>1</v>
      </c>
      <c r="K1567">
        <v>0</v>
      </c>
      <c r="L1567" t="s">
        <v>2042</v>
      </c>
      <c r="M1567">
        <v>466</v>
      </c>
      <c r="N1567">
        <v>0</v>
      </c>
      <c r="O1567">
        <v>0</v>
      </c>
      <c r="P1567" s="13">
        <f t="shared" si="168"/>
        <v>1</v>
      </c>
      <c r="Q1567" t="str">
        <f t="shared" si="169"/>
        <v>No</v>
      </c>
      <c r="R1567" t="str" cm="1">
        <f t="array" ref="R1567">_xlfn.IFS(K1567=0,"On Time",K1567&lt;=2,"Minor",K1567&lt;=5,"Major",K1567&gt;5,"Severe")</f>
        <v>On Time</v>
      </c>
      <c r="S1567">
        <f t="shared" si="170"/>
        <v>0</v>
      </c>
      <c r="T1567">
        <f t="shared" si="171"/>
        <v>0</v>
      </c>
      <c r="U1567">
        <f t="shared" si="172"/>
        <v>2024</v>
      </c>
      <c r="V1567">
        <f t="shared" si="173"/>
        <v>1</v>
      </c>
      <c r="W1567" s="11">
        <f t="shared" si="174"/>
        <v>0</v>
      </c>
    </row>
    <row r="1568" spans="1:23">
      <c r="A1568" t="s">
        <v>1581</v>
      </c>
      <c r="B1568" s="4">
        <v>45434</v>
      </c>
      <c r="C1568" t="s">
        <v>2018</v>
      </c>
      <c r="D1568" t="s">
        <v>2026</v>
      </c>
      <c r="E1568" t="s">
        <v>2029</v>
      </c>
      <c r="F1568" t="s">
        <v>2031</v>
      </c>
      <c r="G1568" t="s">
        <v>2037</v>
      </c>
      <c r="H1568" t="s">
        <v>2038</v>
      </c>
      <c r="I1568">
        <v>2</v>
      </c>
      <c r="J1568">
        <v>3</v>
      </c>
      <c r="K1568">
        <v>1</v>
      </c>
      <c r="L1568" t="s">
        <v>2041</v>
      </c>
      <c r="M1568">
        <v>56</v>
      </c>
      <c r="N1568">
        <v>1278</v>
      </c>
      <c r="O1568">
        <v>2565</v>
      </c>
      <c r="P1568" s="13">
        <f t="shared" si="168"/>
        <v>0</v>
      </c>
      <c r="Q1568" t="str">
        <f t="shared" si="169"/>
        <v>No</v>
      </c>
      <c r="R1568" t="str" cm="1">
        <f t="array" ref="R1568">_xlfn.IFS(K1568=0,"On Time",K1568&lt;=2,"Minor",K1568&lt;=5,"Major",K1568&gt;5,"Severe")</f>
        <v>Minor</v>
      </c>
      <c r="S1568">
        <f t="shared" si="170"/>
        <v>2565</v>
      </c>
      <c r="T1568">
        <f t="shared" si="171"/>
        <v>1278</v>
      </c>
      <c r="U1568">
        <f t="shared" si="172"/>
        <v>2024</v>
      </c>
      <c r="V1568">
        <f t="shared" si="173"/>
        <v>5</v>
      </c>
      <c r="W1568" s="11">
        <f t="shared" si="174"/>
        <v>1</v>
      </c>
    </row>
    <row r="1569" spans="1:23">
      <c r="A1569" t="s">
        <v>1582</v>
      </c>
      <c r="B1569" s="4">
        <v>45410</v>
      </c>
      <c r="C1569" t="s">
        <v>2017</v>
      </c>
      <c r="D1569" t="s">
        <v>2022</v>
      </c>
      <c r="E1569" t="s">
        <v>2028</v>
      </c>
      <c r="F1569" t="s">
        <v>2031</v>
      </c>
      <c r="G1569" t="s">
        <v>2035</v>
      </c>
      <c r="H1569" t="s">
        <v>2039</v>
      </c>
      <c r="I1569">
        <v>3</v>
      </c>
      <c r="J1569">
        <v>8</v>
      </c>
      <c r="K1569">
        <v>5</v>
      </c>
      <c r="L1569" t="s">
        <v>2041</v>
      </c>
      <c r="M1569">
        <v>380</v>
      </c>
      <c r="N1569">
        <v>11625</v>
      </c>
      <c r="O1569">
        <v>15285</v>
      </c>
      <c r="P1569" s="13">
        <f t="shared" si="168"/>
        <v>0</v>
      </c>
      <c r="Q1569" t="str">
        <f t="shared" si="169"/>
        <v>No</v>
      </c>
      <c r="R1569" t="str" cm="1">
        <f t="array" ref="R1569">_xlfn.IFS(K1569=0,"On Time",K1569&lt;=2,"Minor",K1569&lt;=5,"Major",K1569&gt;5,"Severe")</f>
        <v>Major</v>
      </c>
      <c r="S1569">
        <f t="shared" si="170"/>
        <v>3057</v>
      </c>
      <c r="T1569">
        <f t="shared" si="171"/>
        <v>2325</v>
      </c>
      <c r="U1569">
        <f t="shared" si="172"/>
        <v>2024</v>
      </c>
      <c r="V1569">
        <f t="shared" si="173"/>
        <v>4</v>
      </c>
      <c r="W1569" s="11">
        <f t="shared" si="174"/>
        <v>1</v>
      </c>
    </row>
    <row r="1570" spans="1:23">
      <c r="A1570" t="s">
        <v>1583</v>
      </c>
      <c r="B1570" s="4">
        <v>45343</v>
      </c>
      <c r="C1570" t="s">
        <v>2015</v>
      </c>
      <c r="D1570" t="s">
        <v>2019</v>
      </c>
      <c r="E1570" t="s">
        <v>2029</v>
      </c>
      <c r="F1570" t="s">
        <v>2032</v>
      </c>
      <c r="G1570" t="s">
        <v>2037</v>
      </c>
      <c r="H1570" t="s">
        <v>2039</v>
      </c>
      <c r="I1570">
        <v>1</v>
      </c>
      <c r="J1570">
        <v>3</v>
      </c>
      <c r="K1570">
        <v>2</v>
      </c>
      <c r="L1570" t="s">
        <v>2041</v>
      </c>
      <c r="M1570">
        <v>477</v>
      </c>
      <c r="N1570">
        <v>4226</v>
      </c>
      <c r="O1570">
        <v>4844</v>
      </c>
      <c r="P1570" s="13">
        <f t="shared" si="168"/>
        <v>0</v>
      </c>
      <c r="Q1570" t="str">
        <f t="shared" si="169"/>
        <v>No</v>
      </c>
      <c r="R1570" t="str" cm="1">
        <f t="array" ref="R1570">_xlfn.IFS(K1570=0,"On Time",K1570&lt;=2,"Minor",K1570&lt;=5,"Major",K1570&gt;5,"Severe")</f>
        <v>Minor</v>
      </c>
      <c r="S1570">
        <f t="shared" si="170"/>
        <v>2422</v>
      </c>
      <c r="T1570">
        <f t="shared" si="171"/>
        <v>2113</v>
      </c>
      <c r="U1570">
        <f t="shared" si="172"/>
        <v>2024</v>
      </c>
      <c r="V1570">
        <f t="shared" si="173"/>
        <v>2</v>
      </c>
      <c r="W1570" s="11">
        <f t="shared" si="174"/>
        <v>1</v>
      </c>
    </row>
    <row r="1571" spans="1:23">
      <c r="A1571" t="s">
        <v>1584</v>
      </c>
      <c r="B1571" s="4">
        <v>45629</v>
      </c>
      <c r="C1571" t="s">
        <v>2015</v>
      </c>
      <c r="D1571" t="s">
        <v>2019</v>
      </c>
      <c r="E1571" t="s">
        <v>2029</v>
      </c>
      <c r="F1571" t="s">
        <v>2031</v>
      </c>
      <c r="G1571" t="s">
        <v>2034</v>
      </c>
      <c r="H1571" t="s">
        <v>2039</v>
      </c>
      <c r="I1571">
        <v>3</v>
      </c>
      <c r="J1571">
        <v>7</v>
      </c>
      <c r="K1571">
        <v>4</v>
      </c>
      <c r="L1571" t="s">
        <v>2041</v>
      </c>
      <c r="M1571">
        <v>239</v>
      </c>
      <c r="N1571">
        <v>7036</v>
      </c>
      <c r="O1571">
        <v>15152</v>
      </c>
      <c r="P1571" s="13">
        <f t="shared" si="168"/>
        <v>0</v>
      </c>
      <c r="Q1571" t="str">
        <f t="shared" si="169"/>
        <v>No</v>
      </c>
      <c r="R1571" t="str" cm="1">
        <f t="array" ref="R1571">_xlfn.IFS(K1571=0,"On Time",K1571&lt;=2,"Minor",K1571&lt;=5,"Major",K1571&gt;5,"Severe")</f>
        <v>Major</v>
      </c>
      <c r="S1571">
        <f t="shared" si="170"/>
        <v>3788</v>
      </c>
      <c r="T1571">
        <f t="shared" si="171"/>
        <v>1759</v>
      </c>
      <c r="U1571">
        <f t="shared" si="172"/>
        <v>2024</v>
      </c>
      <c r="V1571">
        <f t="shared" si="173"/>
        <v>12</v>
      </c>
      <c r="W1571" s="11">
        <f t="shared" si="174"/>
        <v>1</v>
      </c>
    </row>
    <row r="1572" spans="1:23">
      <c r="A1572" t="s">
        <v>1585</v>
      </c>
      <c r="B1572" s="4">
        <v>45458</v>
      </c>
      <c r="C1572" t="s">
        <v>2016</v>
      </c>
      <c r="D1572" t="s">
        <v>2021</v>
      </c>
      <c r="E1572" t="s">
        <v>2027</v>
      </c>
      <c r="F1572" t="s">
        <v>2031</v>
      </c>
      <c r="G1572" t="s">
        <v>2037</v>
      </c>
      <c r="H1572" t="s">
        <v>2038</v>
      </c>
      <c r="I1572">
        <v>2</v>
      </c>
      <c r="J1572">
        <v>2</v>
      </c>
      <c r="K1572">
        <v>0</v>
      </c>
      <c r="L1572" t="s">
        <v>2042</v>
      </c>
      <c r="M1572">
        <v>118</v>
      </c>
      <c r="N1572">
        <v>0</v>
      </c>
      <c r="O1572">
        <v>0</v>
      </c>
      <c r="P1572" s="13">
        <f t="shared" si="168"/>
        <v>1</v>
      </c>
      <c r="Q1572" t="str">
        <f t="shared" si="169"/>
        <v>No</v>
      </c>
      <c r="R1572" t="str" cm="1">
        <f t="array" ref="R1572">_xlfn.IFS(K1572=0,"On Time",K1572&lt;=2,"Minor",K1572&lt;=5,"Major",K1572&gt;5,"Severe")</f>
        <v>On Time</v>
      </c>
      <c r="S1572">
        <f t="shared" si="170"/>
        <v>0</v>
      </c>
      <c r="T1572">
        <f t="shared" si="171"/>
        <v>0</v>
      </c>
      <c r="U1572">
        <f t="shared" si="172"/>
        <v>2024</v>
      </c>
      <c r="V1572">
        <f t="shared" si="173"/>
        <v>6</v>
      </c>
      <c r="W1572" s="11">
        <f t="shared" si="174"/>
        <v>0</v>
      </c>
    </row>
    <row r="1573" spans="1:23">
      <c r="A1573" t="s">
        <v>1586</v>
      </c>
      <c r="B1573" s="4">
        <v>45537</v>
      </c>
      <c r="C1573" t="s">
        <v>2017</v>
      </c>
      <c r="D1573" t="s">
        <v>2022</v>
      </c>
      <c r="E1573" t="s">
        <v>2027</v>
      </c>
      <c r="F1573" t="s">
        <v>2031</v>
      </c>
      <c r="G1573" t="s">
        <v>2033</v>
      </c>
      <c r="H1573" t="s">
        <v>2039</v>
      </c>
      <c r="I1573">
        <v>2</v>
      </c>
      <c r="J1573">
        <v>7</v>
      </c>
      <c r="K1573">
        <v>5</v>
      </c>
      <c r="L1573" t="s">
        <v>2041</v>
      </c>
      <c r="M1573">
        <v>81</v>
      </c>
      <c r="N1573">
        <v>4990</v>
      </c>
      <c r="O1573">
        <v>7765</v>
      </c>
      <c r="P1573" s="13">
        <f t="shared" si="168"/>
        <v>0</v>
      </c>
      <c r="Q1573" t="str">
        <f t="shared" si="169"/>
        <v>No</v>
      </c>
      <c r="R1573" t="str" cm="1">
        <f t="array" ref="R1573">_xlfn.IFS(K1573=0,"On Time",K1573&lt;=2,"Minor",K1573&lt;=5,"Major",K1573&gt;5,"Severe")</f>
        <v>Major</v>
      </c>
      <c r="S1573">
        <f t="shared" si="170"/>
        <v>1553</v>
      </c>
      <c r="T1573">
        <f t="shared" si="171"/>
        <v>998</v>
      </c>
      <c r="U1573">
        <f t="shared" si="172"/>
        <v>2024</v>
      </c>
      <c r="V1573">
        <f t="shared" si="173"/>
        <v>9</v>
      </c>
      <c r="W1573" s="11">
        <f t="shared" si="174"/>
        <v>1</v>
      </c>
    </row>
    <row r="1574" spans="1:23">
      <c r="A1574" t="s">
        <v>1587</v>
      </c>
      <c r="B1574" s="4">
        <v>45583</v>
      </c>
      <c r="C1574" t="s">
        <v>2018</v>
      </c>
      <c r="D1574" t="s">
        <v>2026</v>
      </c>
      <c r="E1574" t="s">
        <v>2028</v>
      </c>
      <c r="F1574" t="s">
        <v>2030</v>
      </c>
      <c r="G1574" t="s">
        <v>2033</v>
      </c>
      <c r="H1574" t="s">
        <v>2038</v>
      </c>
      <c r="I1574">
        <v>1</v>
      </c>
      <c r="J1574">
        <v>5</v>
      </c>
      <c r="K1574">
        <v>4</v>
      </c>
      <c r="L1574" t="s">
        <v>2041</v>
      </c>
      <c r="M1574">
        <v>194</v>
      </c>
      <c r="N1574">
        <v>9416</v>
      </c>
      <c r="O1574">
        <v>16160</v>
      </c>
      <c r="P1574" s="13">
        <f t="shared" si="168"/>
        <v>0</v>
      </c>
      <c r="Q1574" t="str">
        <f t="shared" si="169"/>
        <v>No</v>
      </c>
      <c r="R1574" t="str" cm="1">
        <f t="array" ref="R1574">_xlfn.IFS(K1574=0,"On Time",K1574&lt;=2,"Minor",K1574&lt;=5,"Major",K1574&gt;5,"Severe")</f>
        <v>Major</v>
      </c>
      <c r="S1574">
        <f t="shared" si="170"/>
        <v>4040</v>
      </c>
      <c r="T1574">
        <f t="shared" si="171"/>
        <v>2354</v>
      </c>
      <c r="U1574">
        <f t="shared" si="172"/>
        <v>2024</v>
      </c>
      <c r="V1574">
        <f t="shared" si="173"/>
        <v>10</v>
      </c>
      <c r="W1574" s="11">
        <f t="shared" si="174"/>
        <v>1</v>
      </c>
    </row>
    <row r="1575" spans="1:23">
      <c r="A1575" t="s">
        <v>1588</v>
      </c>
      <c r="B1575" s="4">
        <v>45609</v>
      </c>
      <c r="C1575" t="s">
        <v>2016</v>
      </c>
      <c r="D1575" t="s">
        <v>2025</v>
      </c>
      <c r="E1575" t="s">
        <v>2027</v>
      </c>
      <c r="F1575" t="s">
        <v>2031</v>
      </c>
      <c r="G1575" t="s">
        <v>2035</v>
      </c>
      <c r="H1575" t="s">
        <v>2038</v>
      </c>
      <c r="I1575">
        <v>2</v>
      </c>
      <c r="J1575">
        <v>7</v>
      </c>
      <c r="K1575">
        <v>5</v>
      </c>
      <c r="L1575" t="s">
        <v>2041</v>
      </c>
      <c r="M1575">
        <v>409</v>
      </c>
      <c r="N1575">
        <v>5975</v>
      </c>
      <c r="O1575">
        <v>19210</v>
      </c>
      <c r="P1575" s="13">
        <f t="shared" si="168"/>
        <v>0</v>
      </c>
      <c r="Q1575" t="str">
        <f t="shared" si="169"/>
        <v>No</v>
      </c>
      <c r="R1575" t="str" cm="1">
        <f t="array" ref="R1575">_xlfn.IFS(K1575=0,"On Time",K1575&lt;=2,"Minor",K1575&lt;=5,"Major",K1575&gt;5,"Severe")</f>
        <v>Major</v>
      </c>
      <c r="S1575">
        <f t="shared" si="170"/>
        <v>3842</v>
      </c>
      <c r="T1575">
        <f t="shared" si="171"/>
        <v>1195</v>
      </c>
      <c r="U1575">
        <f t="shared" si="172"/>
        <v>2024</v>
      </c>
      <c r="V1575">
        <f t="shared" si="173"/>
        <v>11</v>
      </c>
      <c r="W1575" s="11">
        <f t="shared" si="174"/>
        <v>1</v>
      </c>
    </row>
    <row r="1576" spans="1:23">
      <c r="A1576" t="s">
        <v>1589</v>
      </c>
      <c r="B1576" s="4">
        <v>45372</v>
      </c>
      <c r="C1576" t="s">
        <v>2017</v>
      </c>
      <c r="D1576" t="s">
        <v>2022</v>
      </c>
      <c r="E1576" t="s">
        <v>2028</v>
      </c>
      <c r="F1576" t="s">
        <v>2030</v>
      </c>
      <c r="G1576" t="s">
        <v>2037</v>
      </c>
      <c r="H1576" t="s">
        <v>2038</v>
      </c>
      <c r="I1576">
        <v>1</v>
      </c>
      <c r="J1576">
        <v>1</v>
      </c>
      <c r="K1576">
        <v>0</v>
      </c>
      <c r="L1576" t="s">
        <v>2042</v>
      </c>
      <c r="M1576">
        <v>55</v>
      </c>
      <c r="N1576">
        <v>0</v>
      </c>
      <c r="O1576">
        <v>0</v>
      </c>
      <c r="P1576" s="13">
        <f t="shared" si="168"/>
        <v>1</v>
      </c>
      <c r="Q1576" t="str">
        <f t="shared" si="169"/>
        <v>No</v>
      </c>
      <c r="R1576" t="str" cm="1">
        <f t="array" ref="R1576">_xlfn.IFS(K1576=0,"On Time",K1576&lt;=2,"Minor",K1576&lt;=5,"Major",K1576&gt;5,"Severe")</f>
        <v>On Time</v>
      </c>
      <c r="S1576">
        <f t="shared" si="170"/>
        <v>0</v>
      </c>
      <c r="T1576">
        <f t="shared" si="171"/>
        <v>0</v>
      </c>
      <c r="U1576">
        <f t="shared" si="172"/>
        <v>2024</v>
      </c>
      <c r="V1576">
        <f t="shared" si="173"/>
        <v>3</v>
      </c>
      <c r="W1576" s="11">
        <f t="shared" si="174"/>
        <v>0</v>
      </c>
    </row>
    <row r="1577" spans="1:23">
      <c r="A1577" t="s">
        <v>1590</v>
      </c>
      <c r="B1577" s="4">
        <v>45603</v>
      </c>
      <c r="C1577" t="s">
        <v>2016</v>
      </c>
      <c r="D1577" t="s">
        <v>2021</v>
      </c>
      <c r="E1577" t="s">
        <v>2028</v>
      </c>
      <c r="F1577" t="s">
        <v>2031</v>
      </c>
      <c r="G1577" t="s">
        <v>2033</v>
      </c>
      <c r="H1577" t="s">
        <v>2039</v>
      </c>
      <c r="I1577">
        <v>1</v>
      </c>
      <c r="J1577">
        <v>3</v>
      </c>
      <c r="K1577">
        <v>2</v>
      </c>
      <c r="L1577" t="s">
        <v>2041</v>
      </c>
      <c r="M1577">
        <v>435</v>
      </c>
      <c r="N1577">
        <v>2500</v>
      </c>
      <c r="O1577">
        <v>9584</v>
      </c>
      <c r="P1577" s="13">
        <f t="shared" si="168"/>
        <v>0</v>
      </c>
      <c r="Q1577" t="str">
        <f t="shared" si="169"/>
        <v>No</v>
      </c>
      <c r="R1577" t="str" cm="1">
        <f t="array" ref="R1577">_xlfn.IFS(K1577=0,"On Time",K1577&lt;=2,"Minor",K1577&lt;=5,"Major",K1577&gt;5,"Severe")</f>
        <v>Minor</v>
      </c>
      <c r="S1577">
        <f t="shared" si="170"/>
        <v>4792</v>
      </c>
      <c r="T1577">
        <f t="shared" si="171"/>
        <v>1250</v>
      </c>
      <c r="U1577">
        <f t="shared" si="172"/>
        <v>2024</v>
      </c>
      <c r="V1577">
        <f t="shared" si="173"/>
        <v>11</v>
      </c>
      <c r="W1577" s="11">
        <f t="shared" si="174"/>
        <v>1</v>
      </c>
    </row>
    <row r="1578" spans="1:23">
      <c r="A1578" t="s">
        <v>1591</v>
      </c>
      <c r="B1578" s="4">
        <v>45472</v>
      </c>
      <c r="C1578" t="s">
        <v>2016</v>
      </c>
      <c r="D1578" t="s">
        <v>2025</v>
      </c>
      <c r="E1578" t="s">
        <v>2029</v>
      </c>
      <c r="F1578" t="s">
        <v>2030</v>
      </c>
      <c r="G1578" t="s">
        <v>2036</v>
      </c>
      <c r="H1578" t="s">
        <v>2038</v>
      </c>
      <c r="I1578">
        <v>1</v>
      </c>
      <c r="J1578">
        <v>2</v>
      </c>
      <c r="K1578">
        <v>1</v>
      </c>
      <c r="L1578" t="s">
        <v>2041</v>
      </c>
      <c r="M1578">
        <v>264</v>
      </c>
      <c r="N1578">
        <v>966</v>
      </c>
      <c r="O1578">
        <v>3801</v>
      </c>
      <c r="P1578" s="13">
        <f t="shared" si="168"/>
        <v>0</v>
      </c>
      <c r="Q1578" t="str">
        <f t="shared" si="169"/>
        <v>No</v>
      </c>
      <c r="R1578" t="str" cm="1">
        <f t="array" ref="R1578">_xlfn.IFS(K1578=0,"On Time",K1578&lt;=2,"Minor",K1578&lt;=5,"Major",K1578&gt;5,"Severe")</f>
        <v>Minor</v>
      </c>
      <c r="S1578">
        <f t="shared" si="170"/>
        <v>3801</v>
      </c>
      <c r="T1578">
        <f t="shared" si="171"/>
        <v>966</v>
      </c>
      <c r="U1578">
        <f t="shared" si="172"/>
        <v>2024</v>
      </c>
      <c r="V1578">
        <f t="shared" si="173"/>
        <v>6</v>
      </c>
      <c r="W1578" s="11">
        <f t="shared" si="174"/>
        <v>1</v>
      </c>
    </row>
    <row r="1579" spans="1:23">
      <c r="A1579" t="s">
        <v>1592</v>
      </c>
      <c r="B1579" s="4">
        <v>45461</v>
      </c>
      <c r="C1579" t="s">
        <v>2016</v>
      </c>
      <c r="D1579" t="s">
        <v>2021</v>
      </c>
      <c r="E1579" t="s">
        <v>2028</v>
      </c>
      <c r="F1579" t="s">
        <v>2030</v>
      </c>
      <c r="G1579" t="s">
        <v>2036</v>
      </c>
      <c r="H1579" t="s">
        <v>2038</v>
      </c>
      <c r="I1579">
        <v>1</v>
      </c>
      <c r="J1579">
        <v>5</v>
      </c>
      <c r="K1579">
        <v>4</v>
      </c>
      <c r="L1579" t="s">
        <v>2041</v>
      </c>
      <c r="M1579">
        <v>343</v>
      </c>
      <c r="N1579">
        <v>7180</v>
      </c>
      <c r="O1579">
        <v>7144</v>
      </c>
      <c r="P1579" s="13">
        <f t="shared" si="168"/>
        <v>0</v>
      </c>
      <c r="Q1579" t="str">
        <f t="shared" si="169"/>
        <v>No</v>
      </c>
      <c r="R1579" t="str" cm="1">
        <f t="array" ref="R1579">_xlfn.IFS(K1579=0,"On Time",K1579&lt;=2,"Minor",K1579&lt;=5,"Major",K1579&gt;5,"Severe")</f>
        <v>Major</v>
      </c>
      <c r="S1579">
        <f t="shared" si="170"/>
        <v>1786</v>
      </c>
      <c r="T1579">
        <f t="shared" si="171"/>
        <v>1795</v>
      </c>
      <c r="U1579">
        <f t="shared" si="172"/>
        <v>2024</v>
      </c>
      <c r="V1579">
        <f t="shared" si="173"/>
        <v>6</v>
      </c>
      <c r="W1579" s="11">
        <f t="shared" si="174"/>
        <v>1</v>
      </c>
    </row>
    <row r="1580" spans="1:23">
      <c r="A1580" t="s">
        <v>1593</v>
      </c>
      <c r="B1580" s="4">
        <v>45605</v>
      </c>
      <c r="C1580" t="s">
        <v>2018</v>
      </c>
      <c r="D1580" t="s">
        <v>2026</v>
      </c>
      <c r="E1580" t="s">
        <v>2027</v>
      </c>
      <c r="F1580" t="s">
        <v>2031</v>
      </c>
      <c r="G1580" t="s">
        <v>2034</v>
      </c>
      <c r="H1580" t="s">
        <v>2038</v>
      </c>
      <c r="I1580">
        <v>2</v>
      </c>
      <c r="J1580">
        <v>7</v>
      </c>
      <c r="K1580">
        <v>5</v>
      </c>
      <c r="L1580" t="s">
        <v>2041</v>
      </c>
      <c r="M1580">
        <v>257</v>
      </c>
      <c r="N1580">
        <v>6880</v>
      </c>
      <c r="O1580">
        <v>12830</v>
      </c>
      <c r="P1580" s="13">
        <f t="shared" si="168"/>
        <v>0</v>
      </c>
      <c r="Q1580" t="str">
        <f t="shared" si="169"/>
        <v>No</v>
      </c>
      <c r="R1580" t="str" cm="1">
        <f t="array" ref="R1580">_xlfn.IFS(K1580=0,"On Time",K1580&lt;=2,"Minor",K1580&lt;=5,"Major",K1580&gt;5,"Severe")</f>
        <v>Major</v>
      </c>
      <c r="S1580">
        <f t="shared" si="170"/>
        <v>2566</v>
      </c>
      <c r="T1580">
        <f t="shared" si="171"/>
        <v>1376</v>
      </c>
      <c r="U1580">
        <f t="shared" si="172"/>
        <v>2024</v>
      </c>
      <c r="V1580">
        <f t="shared" si="173"/>
        <v>11</v>
      </c>
      <c r="W1580" s="11">
        <f t="shared" si="174"/>
        <v>1</v>
      </c>
    </row>
    <row r="1581" spans="1:23">
      <c r="A1581" t="s">
        <v>1594</v>
      </c>
      <c r="B1581" s="4">
        <v>45387</v>
      </c>
      <c r="C1581" t="s">
        <v>2018</v>
      </c>
      <c r="D1581" t="s">
        <v>2024</v>
      </c>
      <c r="E1581" t="s">
        <v>2027</v>
      </c>
      <c r="F1581" t="s">
        <v>2031</v>
      </c>
      <c r="G1581" t="s">
        <v>2035</v>
      </c>
      <c r="H1581" t="s">
        <v>2039</v>
      </c>
      <c r="I1581">
        <v>1</v>
      </c>
      <c r="J1581">
        <v>4</v>
      </c>
      <c r="K1581">
        <v>3</v>
      </c>
      <c r="L1581" t="s">
        <v>2041</v>
      </c>
      <c r="M1581">
        <v>120</v>
      </c>
      <c r="N1581">
        <v>3201</v>
      </c>
      <c r="O1581">
        <v>7992</v>
      </c>
      <c r="P1581" s="13">
        <f t="shared" si="168"/>
        <v>0</v>
      </c>
      <c r="Q1581" t="str">
        <f t="shared" si="169"/>
        <v>No</v>
      </c>
      <c r="R1581" t="str" cm="1">
        <f t="array" ref="R1581">_xlfn.IFS(K1581=0,"On Time",K1581&lt;=2,"Minor",K1581&lt;=5,"Major",K1581&gt;5,"Severe")</f>
        <v>Major</v>
      </c>
      <c r="S1581">
        <f t="shared" si="170"/>
        <v>2664</v>
      </c>
      <c r="T1581">
        <f t="shared" si="171"/>
        <v>1067</v>
      </c>
      <c r="U1581">
        <f t="shared" si="172"/>
        <v>2024</v>
      </c>
      <c r="V1581">
        <f t="shared" si="173"/>
        <v>4</v>
      </c>
      <c r="W1581" s="11">
        <f t="shared" si="174"/>
        <v>1</v>
      </c>
    </row>
    <row r="1582" spans="1:23">
      <c r="A1582" t="s">
        <v>1595</v>
      </c>
      <c r="B1582" s="4">
        <v>45435</v>
      </c>
      <c r="C1582" t="s">
        <v>2016</v>
      </c>
      <c r="D1582" t="s">
        <v>2021</v>
      </c>
      <c r="E1582" t="s">
        <v>2029</v>
      </c>
      <c r="F1582" t="s">
        <v>2031</v>
      </c>
      <c r="G1582" t="s">
        <v>2035</v>
      </c>
      <c r="H1582" t="s">
        <v>2039</v>
      </c>
      <c r="I1582">
        <v>1</v>
      </c>
      <c r="J1582">
        <v>4</v>
      </c>
      <c r="K1582">
        <v>3</v>
      </c>
      <c r="L1582" t="s">
        <v>2041</v>
      </c>
      <c r="M1582">
        <v>176</v>
      </c>
      <c r="N1582">
        <v>6831</v>
      </c>
      <c r="O1582">
        <v>7686</v>
      </c>
      <c r="P1582" s="13">
        <f t="shared" si="168"/>
        <v>0</v>
      </c>
      <c r="Q1582" t="str">
        <f t="shared" si="169"/>
        <v>No</v>
      </c>
      <c r="R1582" t="str" cm="1">
        <f t="array" ref="R1582">_xlfn.IFS(K1582=0,"On Time",K1582&lt;=2,"Minor",K1582&lt;=5,"Major",K1582&gt;5,"Severe")</f>
        <v>Major</v>
      </c>
      <c r="S1582">
        <f t="shared" si="170"/>
        <v>2562</v>
      </c>
      <c r="T1582">
        <f t="shared" si="171"/>
        <v>2277</v>
      </c>
      <c r="U1582">
        <f t="shared" si="172"/>
        <v>2024</v>
      </c>
      <c r="V1582">
        <f t="shared" si="173"/>
        <v>5</v>
      </c>
      <c r="W1582" s="11">
        <f t="shared" si="174"/>
        <v>1</v>
      </c>
    </row>
    <row r="1583" spans="1:23">
      <c r="A1583" t="s">
        <v>1596</v>
      </c>
      <c r="B1583" s="4">
        <v>45647</v>
      </c>
      <c r="C1583" t="s">
        <v>2018</v>
      </c>
      <c r="D1583" t="s">
        <v>2024</v>
      </c>
      <c r="E1583" t="s">
        <v>2028</v>
      </c>
      <c r="F1583" t="s">
        <v>2030</v>
      </c>
      <c r="G1583" t="s">
        <v>2034</v>
      </c>
      <c r="H1583" t="s">
        <v>2039</v>
      </c>
      <c r="I1583">
        <v>1</v>
      </c>
      <c r="J1583">
        <v>1</v>
      </c>
      <c r="K1583">
        <v>0</v>
      </c>
      <c r="L1583" t="s">
        <v>2042</v>
      </c>
      <c r="M1583">
        <v>82</v>
      </c>
      <c r="N1583">
        <v>0</v>
      </c>
      <c r="O1583">
        <v>0</v>
      </c>
      <c r="P1583" s="13">
        <f t="shared" si="168"/>
        <v>1</v>
      </c>
      <c r="Q1583" t="str">
        <f t="shared" si="169"/>
        <v>No</v>
      </c>
      <c r="R1583" t="str" cm="1">
        <f t="array" ref="R1583">_xlfn.IFS(K1583=0,"On Time",K1583&lt;=2,"Minor",K1583&lt;=5,"Major",K1583&gt;5,"Severe")</f>
        <v>On Time</v>
      </c>
      <c r="S1583">
        <f t="shared" si="170"/>
        <v>0</v>
      </c>
      <c r="T1583">
        <f t="shared" si="171"/>
        <v>0</v>
      </c>
      <c r="U1583">
        <f t="shared" si="172"/>
        <v>2024</v>
      </c>
      <c r="V1583">
        <f t="shared" si="173"/>
        <v>12</v>
      </c>
      <c r="W1583" s="11">
        <f t="shared" si="174"/>
        <v>0</v>
      </c>
    </row>
    <row r="1584" spans="1:23">
      <c r="A1584" t="s">
        <v>1597</v>
      </c>
      <c r="B1584" s="4">
        <v>45298</v>
      </c>
      <c r="C1584" t="s">
        <v>2016</v>
      </c>
      <c r="D1584" t="s">
        <v>2021</v>
      </c>
      <c r="E1584" t="s">
        <v>2029</v>
      </c>
      <c r="F1584" t="s">
        <v>2030</v>
      </c>
      <c r="G1584" t="s">
        <v>2035</v>
      </c>
      <c r="H1584" t="s">
        <v>2038</v>
      </c>
      <c r="I1584">
        <v>2</v>
      </c>
      <c r="J1584">
        <v>3</v>
      </c>
      <c r="K1584">
        <v>1</v>
      </c>
      <c r="L1584" t="s">
        <v>2041</v>
      </c>
      <c r="M1584">
        <v>216</v>
      </c>
      <c r="N1584">
        <v>838</v>
      </c>
      <c r="O1584">
        <v>2321</v>
      </c>
      <c r="P1584" s="13">
        <f t="shared" si="168"/>
        <v>0</v>
      </c>
      <c r="Q1584" t="str">
        <f t="shared" si="169"/>
        <v>No</v>
      </c>
      <c r="R1584" t="str" cm="1">
        <f t="array" ref="R1584">_xlfn.IFS(K1584=0,"On Time",K1584&lt;=2,"Minor",K1584&lt;=5,"Major",K1584&gt;5,"Severe")</f>
        <v>Minor</v>
      </c>
      <c r="S1584">
        <f t="shared" si="170"/>
        <v>2321</v>
      </c>
      <c r="T1584">
        <f t="shared" si="171"/>
        <v>838</v>
      </c>
      <c r="U1584">
        <f t="shared" si="172"/>
        <v>2024</v>
      </c>
      <c r="V1584">
        <f t="shared" si="173"/>
        <v>1</v>
      </c>
      <c r="W1584" s="11">
        <f t="shared" si="174"/>
        <v>1</v>
      </c>
    </row>
    <row r="1585" spans="1:23">
      <c r="A1585" t="s">
        <v>1598</v>
      </c>
      <c r="B1585" s="4">
        <v>45472</v>
      </c>
      <c r="C1585" t="s">
        <v>2017</v>
      </c>
      <c r="D1585" t="s">
        <v>2022</v>
      </c>
      <c r="E1585" t="s">
        <v>2028</v>
      </c>
      <c r="F1585" t="s">
        <v>2031</v>
      </c>
      <c r="G1585" t="s">
        <v>2037</v>
      </c>
      <c r="H1585" t="s">
        <v>2040</v>
      </c>
      <c r="I1585">
        <v>3</v>
      </c>
      <c r="J1585">
        <v>6</v>
      </c>
      <c r="K1585">
        <v>3</v>
      </c>
      <c r="L1585" t="s">
        <v>2041</v>
      </c>
      <c r="M1585">
        <v>272</v>
      </c>
      <c r="N1585">
        <v>4923</v>
      </c>
      <c r="O1585">
        <v>11829</v>
      </c>
      <c r="P1585" s="13">
        <f t="shared" si="168"/>
        <v>0</v>
      </c>
      <c r="Q1585" t="str">
        <f t="shared" si="169"/>
        <v>No</v>
      </c>
      <c r="R1585" t="str" cm="1">
        <f t="array" ref="R1585">_xlfn.IFS(K1585=0,"On Time",K1585&lt;=2,"Minor",K1585&lt;=5,"Major",K1585&gt;5,"Severe")</f>
        <v>Major</v>
      </c>
      <c r="S1585">
        <f t="shared" si="170"/>
        <v>3943</v>
      </c>
      <c r="T1585">
        <f t="shared" si="171"/>
        <v>1641</v>
      </c>
      <c r="U1585">
        <f t="shared" si="172"/>
        <v>2024</v>
      </c>
      <c r="V1585">
        <f t="shared" si="173"/>
        <v>6</v>
      </c>
      <c r="W1585" s="11">
        <f t="shared" si="174"/>
        <v>1</v>
      </c>
    </row>
    <row r="1586" spans="1:23">
      <c r="A1586" t="s">
        <v>1599</v>
      </c>
      <c r="B1586" s="4">
        <v>45531</v>
      </c>
      <c r="C1586" t="s">
        <v>2016</v>
      </c>
      <c r="D1586" t="s">
        <v>2021</v>
      </c>
      <c r="E1586" t="s">
        <v>2029</v>
      </c>
      <c r="F1586" t="s">
        <v>2031</v>
      </c>
      <c r="G1586" t="s">
        <v>2034</v>
      </c>
      <c r="H1586" t="s">
        <v>2039</v>
      </c>
      <c r="I1586">
        <v>1</v>
      </c>
      <c r="J1586">
        <v>5</v>
      </c>
      <c r="K1586">
        <v>4</v>
      </c>
      <c r="L1586" t="s">
        <v>2041</v>
      </c>
      <c r="M1586">
        <v>430</v>
      </c>
      <c r="N1586">
        <v>4208</v>
      </c>
      <c r="O1586">
        <v>10928</v>
      </c>
      <c r="P1586" s="13">
        <f t="shared" si="168"/>
        <v>0</v>
      </c>
      <c r="Q1586" t="str">
        <f t="shared" si="169"/>
        <v>No</v>
      </c>
      <c r="R1586" t="str" cm="1">
        <f t="array" ref="R1586">_xlfn.IFS(K1586=0,"On Time",K1586&lt;=2,"Minor",K1586&lt;=5,"Major",K1586&gt;5,"Severe")</f>
        <v>Major</v>
      </c>
      <c r="S1586">
        <f t="shared" si="170"/>
        <v>2732</v>
      </c>
      <c r="T1586">
        <f t="shared" si="171"/>
        <v>1052</v>
      </c>
      <c r="U1586">
        <f t="shared" si="172"/>
        <v>2024</v>
      </c>
      <c r="V1586">
        <f t="shared" si="173"/>
        <v>8</v>
      </c>
      <c r="W1586" s="11">
        <f t="shared" si="174"/>
        <v>1</v>
      </c>
    </row>
    <row r="1587" spans="1:23">
      <c r="A1587" t="s">
        <v>1600</v>
      </c>
      <c r="B1587" s="4">
        <v>45487</v>
      </c>
      <c r="C1587" t="s">
        <v>2017</v>
      </c>
      <c r="D1587" t="s">
        <v>2022</v>
      </c>
      <c r="E1587" t="s">
        <v>2028</v>
      </c>
      <c r="F1587" t="s">
        <v>2030</v>
      </c>
      <c r="G1587" t="s">
        <v>2037</v>
      </c>
      <c r="H1587" t="s">
        <v>2038</v>
      </c>
      <c r="I1587">
        <v>1</v>
      </c>
      <c r="J1587">
        <v>3</v>
      </c>
      <c r="K1587">
        <v>2</v>
      </c>
      <c r="L1587" t="s">
        <v>2041</v>
      </c>
      <c r="M1587">
        <v>168</v>
      </c>
      <c r="N1587">
        <v>4564</v>
      </c>
      <c r="O1587">
        <v>8940</v>
      </c>
      <c r="P1587" s="13">
        <f t="shared" si="168"/>
        <v>0</v>
      </c>
      <c r="Q1587" t="str">
        <f t="shared" si="169"/>
        <v>No</v>
      </c>
      <c r="R1587" t="str" cm="1">
        <f t="array" ref="R1587">_xlfn.IFS(K1587=0,"On Time",K1587&lt;=2,"Minor",K1587&lt;=5,"Major",K1587&gt;5,"Severe")</f>
        <v>Minor</v>
      </c>
      <c r="S1587">
        <f t="shared" si="170"/>
        <v>4470</v>
      </c>
      <c r="T1587">
        <f t="shared" si="171"/>
        <v>2282</v>
      </c>
      <c r="U1587">
        <f t="shared" si="172"/>
        <v>2024</v>
      </c>
      <c r="V1587">
        <f t="shared" si="173"/>
        <v>7</v>
      </c>
      <c r="W1587" s="11">
        <f t="shared" si="174"/>
        <v>1</v>
      </c>
    </row>
    <row r="1588" spans="1:23">
      <c r="A1588" t="s">
        <v>1601</v>
      </c>
      <c r="B1588" s="4">
        <v>45620</v>
      </c>
      <c r="C1588" t="s">
        <v>2016</v>
      </c>
      <c r="D1588" t="s">
        <v>2025</v>
      </c>
      <c r="E1588" t="s">
        <v>2028</v>
      </c>
      <c r="F1588" t="s">
        <v>2031</v>
      </c>
      <c r="G1588" t="s">
        <v>2037</v>
      </c>
      <c r="H1588" t="s">
        <v>2038</v>
      </c>
      <c r="I1588">
        <v>2</v>
      </c>
      <c r="J1588">
        <v>7</v>
      </c>
      <c r="K1588">
        <v>5</v>
      </c>
      <c r="L1588" t="s">
        <v>2041</v>
      </c>
      <c r="M1588">
        <v>162</v>
      </c>
      <c r="N1588">
        <v>5935</v>
      </c>
      <c r="O1588">
        <v>18050</v>
      </c>
      <c r="P1588" s="13">
        <f t="shared" si="168"/>
        <v>0</v>
      </c>
      <c r="Q1588" t="str">
        <f t="shared" si="169"/>
        <v>No</v>
      </c>
      <c r="R1588" t="str" cm="1">
        <f t="array" ref="R1588">_xlfn.IFS(K1588=0,"On Time",K1588&lt;=2,"Minor",K1588&lt;=5,"Major",K1588&gt;5,"Severe")</f>
        <v>Major</v>
      </c>
      <c r="S1588">
        <f t="shared" si="170"/>
        <v>3610</v>
      </c>
      <c r="T1588">
        <f t="shared" si="171"/>
        <v>1187</v>
      </c>
      <c r="U1588">
        <f t="shared" si="172"/>
        <v>2024</v>
      </c>
      <c r="V1588">
        <f t="shared" si="173"/>
        <v>11</v>
      </c>
      <c r="W1588" s="11">
        <f t="shared" si="174"/>
        <v>1</v>
      </c>
    </row>
    <row r="1589" spans="1:23">
      <c r="A1589" t="s">
        <v>1602</v>
      </c>
      <c r="B1589" s="4">
        <v>45532</v>
      </c>
      <c r="C1589" t="s">
        <v>2017</v>
      </c>
      <c r="D1589" t="s">
        <v>2022</v>
      </c>
      <c r="E1589" t="s">
        <v>2029</v>
      </c>
      <c r="F1589" t="s">
        <v>2031</v>
      </c>
      <c r="G1589" t="s">
        <v>2033</v>
      </c>
      <c r="H1589" t="s">
        <v>2040</v>
      </c>
      <c r="I1589">
        <v>3</v>
      </c>
      <c r="J1589">
        <v>10</v>
      </c>
      <c r="K1589">
        <v>7</v>
      </c>
      <c r="L1589" t="s">
        <v>2041</v>
      </c>
      <c r="M1589">
        <v>433</v>
      </c>
      <c r="N1589">
        <v>6727</v>
      </c>
      <c r="O1589">
        <v>34286</v>
      </c>
      <c r="P1589" s="13">
        <f t="shared" si="168"/>
        <v>0</v>
      </c>
      <c r="Q1589" t="str">
        <f t="shared" si="169"/>
        <v>No</v>
      </c>
      <c r="R1589" t="str" cm="1">
        <f t="array" ref="R1589">_xlfn.IFS(K1589=0,"On Time",K1589&lt;=2,"Minor",K1589&lt;=5,"Major",K1589&gt;5,"Severe")</f>
        <v>Severe</v>
      </c>
      <c r="S1589">
        <f t="shared" si="170"/>
        <v>4898</v>
      </c>
      <c r="T1589">
        <f t="shared" si="171"/>
        <v>961</v>
      </c>
      <c r="U1589">
        <f t="shared" si="172"/>
        <v>2024</v>
      </c>
      <c r="V1589">
        <f t="shared" si="173"/>
        <v>8</v>
      </c>
      <c r="W1589" s="11">
        <f t="shared" si="174"/>
        <v>1</v>
      </c>
    </row>
    <row r="1590" spans="1:23">
      <c r="A1590" t="s">
        <v>1603</v>
      </c>
      <c r="B1590" s="4">
        <v>45546</v>
      </c>
      <c r="C1590" t="s">
        <v>2017</v>
      </c>
      <c r="D1590" t="s">
        <v>2022</v>
      </c>
      <c r="E1590" t="s">
        <v>2029</v>
      </c>
      <c r="F1590" t="s">
        <v>2031</v>
      </c>
      <c r="G1590" t="s">
        <v>2035</v>
      </c>
      <c r="H1590" t="s">
        <v>2039</v>
      </c>
      <c r="I1590">
        <v>2</v>
      </c>
      <c r="J1590">
        <v>6</v>
      </c>
      <c r="K1590">
        <v>4</v>
      </c>
      <c r="L1590" t="s">
        <v>2041</v>
      </c>
      <c r="M1590">
        <v>417</v>
      </c>
      <c r="N1590">
        <v>7280</v>
      </c>
      <c r="O1590">
        <v>15132</v>
      </c>
      <c r="P1590" s="13">
        <f t="shared" si="168"/>
        <v>0</v>
      </c>
      <c r="Q1590" t="str">
        <f t="shared" si="169"/>
        <v>No</v>
      </c>
      <c r="R1590" t="str" cm="1">
        <f t="array" ref="R1590">_xlfn.IFS(K1590=0,"On Time",K1590&lt;=2,"Minor",K1590&lt;=5,"Major",K1590&gt;5,"Severe")</f>
        <v>Major</v>
      </c>
      <c r="S1590">
        <f t="shared" si="170"/>
        <v>3783</v>
      </c>
      <c r="T1590">
        <f t="shared" si="171"/>
        <v>1820</v>
      </c>
      <c r="U1590">
        <f t="shared" si="172"/>
        <v>2024</v>
      </c>
      <c r="V1590">
        <f t="shared" si="173"/>
        <v>9</v>
      </c>
      <c r="W1590" s="11">
        <f t="shared" si="174"/>
        <v>1</v>
      </c>
    </row>
    <row r="1591" spans="1:23">
      <c r="A1591" t="s">
        <v>1604</v>
      </c>
      <c r="B1591" s="4">
        <v>45555</v>
      </c>
      <c r="C1591" t="s">
        <v>2017</v>
      </c>
      <c r="D1591" t="s">
        <v>2022</v>
      </c>
      <c r="E1591" t="s">
        <v>2029</v>
      </c>
      <c r="F1591" t="s">
        <v>2032</v>
      </c>
      <c r="G1591" t="s">
        <v>2033</v>
      </c>
      <c r="H1591" t="s">
        <v>2039</v>
      </c>
      <c r="I1591">
        <v>3</v>
      </c>
      <c r="J1591">
        <v>5</v>
      </c>
      <c r="K1591">
        <v>2</v>
      </c>
      <c r="L1591" t="s">
        <v>2041</v>
      </c>
      <c r="M1591">
        <v>93</v>
      </c>
      <c r="N1591">
        <v>2446</v>
      </c>
      <c r="O1591">
        <v>8768</v>
      </c>
      <c r="P1591" s="13">
        <f t="shared" si="168"/>
        <v>0</v>
      </c>
      <c r="Q1591" t="str">
        <f t="shared" si="169"/>
        <v>No</v>
      </c>
      <c r="R1591" t="str" cm="1">
        <f t="array" ref="R1591">_xlfn.IFS(K1591=0,"On Time",K1591&lt;=2,"Minor",K1591&lt;=5,"Major",K1591&gt;5,"Severe")</f>
        <v>Minor</v>
      </c>
      <c r="S1591">
        <f t="shared" si="170"/>
        <v>4384</v>
      </c>
      <c r="T1591">
        <f t="shared" si="171"/>
        <v>1223</v>
      </c>
      <c r="U1591">
        <f t="shared" si="172"/>
        <v>2024</v>
      </c>
      <c r="V1591">
        <f t="shared" si="173"/>
        <v>9</v>
      </c>
      <c r="W1591" s="11">
        <f t="shared" si="174"/>
        <v>1</v>
      </c>
    </row>
    <row r="1592" spans="1:23">
      <c r="A1592" t="s">
        <v>1605</v>
      </c>
      <c r="B1592" s="4">
        <v>45513</v>
      </c>
      <c r="C1592" t="s">
        <v>2015</v>
      </c>
      <c r="D1592" t="s">
        <v>2019</v>
      </c>
      <c r="E1592" t="s">
        <v>2029</v>
      </c>
      <c r="F1592" t="s">
        <v>2031</v>
      </c>
      <c r="G1592" t="s">
        <v>2036</v>
      </c>
      <c r="H1592" t="s">
        <v>2040</v>
      </c>
      <c r="I1592">
        <v>1</v>
      </c>
      <c r="J1592">
        <v>8</v>
      </c>
      <c r="K1592">
        <v>7</v>
      </c>
      <c r="L1592" t="s">
        <v>2041</v>
      </c>
      <c r="M1592">
        <v>68</v>
      </c>
      <c r="N1592">
        <v>13727</v>
      </c>
      <c r="O1592">
        <v>23870</v>
      </c>
      <c r="P1592" s="13">
        <f t="shared" si="168"/>
        <v>0</v>
      </c>
      <c r="Q1592" t="str">
        <f t="shared" si="169"/>
        <v>No</v>
      </c>
      <c r="R1592" t="str" cm="1">
        <f t="array" ref="R1592">_xlfn.IFS(K1592=0,"On Time",K1592&lt;=2,"Minor",K1592&lt;=5,"Major",K1592&gt;5,"Severe")</f>
        <v>Severe</v>
      </c>
      <c r="S1592">
        <f t="shared" si="170"/>
        <v>3410</v>
      </c>
      <c r="T1592">
        <f t="shared" si="171"/>
        <v>1961</v>
      </c>
      <c r="U1592">
        <f t="shared" si="172"/>
        <v>2024</v>
      </c>
      <c r="V1592">
        <f t="shared" si="173"/>
        <v>8</v>
      </c>
      <c r="W1592" s="11">
        <f t="shared" si="174"/>
        <v>1</v>
      </c>
    </row>
    <row r="1593" spans="1:23">
      <c r="A1593" t="s">
        <v>1606</v>
      </c>
      <c r="B1593" s="4">
        <v>45309</v>
      </c>
      <c r="C1593" t="s">
        <v>2018</v>
      </c>
      <c r="D1593" t="s">
        <v>2026</v>
      </c>
      <c r="E1593" t="s">
        <v>2028</v>
      </c>
      <c r="F1593" t="s">
        <v>2030</v>
      </c>
      <c r="G1593" t="s">
        <v>2037</v>
      </c>
      <c r="H1593" t="s">
        <v>2038</v>
      </c>
      <c r="I1593">
        <v>2</v>
      </c>
      <c r="J1593">
        <v>3</v>
      </c>
      <c r="K1593">
        <v>1</v>
      </c>
      <c r="L1593" t="s">
        <v>2041</v>
      </c>
      <c r="M1593">
        <v>60</v>
      </c>
      <c r="N1593">
        <v>2311</v>
      </c>
      <c r="O1593">
        <v>4607</v>
      </c>
      <c r="P1593" s="13">
        <f t="shared" si="168"/>
        <v>0</v>
      </c>
      <c r="Q1593" t="str">
        <f t="shared" si="169"/>
        <v>No</v>
      </c>
      <c r="R1593" t="str" cm="1">
        <f t="array" ref="R1593">_xlfn.IFS(K1593=0,"On Time",K1593&lt;=2,"Minor",K1593&lt;=5,"Major",K1593&gt;5,"Severe")</f>
        <v>Minor</v>
      </c>
      <c r="S1593">
        <f t="shared" si="170"/>
        <v>4607</v>
      </c>
      <c r="T1593">
        <f t="shared" si="171"/>
        <v>2311</v>
      </c>
      <c r="U1593">
        <f t="shared" si="172"/>
        <v>2024</v>
      </c>
      <c r="V1593">
        <f t="shared" si="173"/>
        <v>1</v>
      </c>
      <c r="W1593" s="11">
        <f t="shared" si="174"/>
        <v>1</v>
      </c>
    </row>
    <row r="1594" spans="1:23">
      <c r="A1594" t="s">
        <v>1607</v>
      </c>
      <c r="B1594" s="4">
        <v>45524</v>
      </c>
      <c r="C1594" t="s">
        <v>2017</v>
      </c>
      <c r="D1594" t="s">
        <v>2023</v>
      </c>
      <c r="E1594" t="s">
        <v>2028</v>
      </c>
      <c r="F1594" t="s">
        <v>2030</v>
      </c>
      <c r="G1594" t="s">
        <v>2034</v>
      </c>
      <c r="H1594" t="s">
        <v>2038</v>
      </c>
      <c r="I1594">
        <v>2</v>
      </c>
      <c r="J1594">
        <v>4</v>
      </c>
      <c r="K1594">
        <v>2</v>
      </c>
      <c r="L1594" t="s">
        <v>2041</v>
      </c>
      <c r="M1594">
        <v>311</v>
      </c>
      <c r="N1594">
        <v>2052</v>
      </c>
      <c r="O1594">
        <v>8642</v>
      </c>
      <c r="P1594" s="13">
        <f t="shared" si="168"/>
        <v>0</v>
      </c>
      <c r="Q1594" t="str">
        <f t="shared" si="169"/>
        <v>No</v>
      </c>
      <c r="R1594" t="str" cm="1">
        <f t="array" ref="R1594">_xlfn.IFS(K1594=0,"On Time",K1594&lt;=2,"Minor",K1594&lt;=5,"Major",K1594&gt;5,"Severe")</f>
        <v>Minor</v>
      </c>
      <c r="S1594">
        <f t="shared" si="170"/>
        <v>4321</v>
      </c>
      <c r="T1594">
        <f t="shared" si="171"/>
        <v>1026</v>
      </c>
      <c r="U1594">
        <f t="shared" si="172"/>
        <v>2024</v>
      </c>
      <c r="V1594">
        <f t="shared" si="173"/>
        <v>8</v>
      </c>
      <c r="W1594" s="11">
        <f t="shared" si="174"/>
        <v>1</v>
      </c>
    </row>
    <row r="1595" spans="1:23">
      <c r="A1595" t="s">
        <v>1608</v>
      </c>
      <c r="B1595" s="4">
        <v>45416</v>
      </c>
      <c r="C1595" t="s">
        <v>2015</v>
      </c>
      <c r="D1595" t="s">
        <v>2020</v>
      </c>
      <c r="E1595" t="s">
        <v>2028</v>
      </c>
      <c r="F1595" t="s">
        <v>2030</v>
      </c>
      <c r="G1595" t="s">
        <v>2033</v>
      </c>
      <c r="H1595" t="s">
        <v>2038</v>
      </c>
      <c r="I1595">
        <v>3</v>
      </c>
      <c r="J1595">
        <v>3</v>
      </c>
      <c r="K1595">
        <v>0</v>
      </c>
      <c r="L1595" t="s">
        <v>2042</v>
      </c>
      <c r="M1595">
        <v>414</v>
      </c>
      <c r="N1595">
        <v>0</v>
      </c>
      <c r="O1595">
        <v>0</v>
      </c>
      <c r="P1595" s="13">
        <f t="shared" si="168"/>
        <v>1</v>
      </c>
      <c r="Q1595" t="str">
        <f t="shared" si="169"/>
        <v>No</v>
      </c>
      <c r="R1595" t="str" cm="1">
        <f t="array" ref="R1595">_xlfn.IFS(K1595=0,"On Time",K1595&lt;=2,"Minor",K1595&lt;=5,"Major",K1595&gt;5,"Severe")</f>
        <v>On Time</v>
      </c>
      <c r="S1595">
        <f t="shared" si="170"/>
        <v>0</v>
      </c>
      <c r="T1595">
        <f t="shared" si="171"/>
        <v>0</v>
      </c>
      <c r="U1595">
        <f t="shared" si="172"/>
        <v>2024</v>
      </c>
      <c r="V1595">
        <f t="shared" si="173"/>
        <v>5</v>
      </c>
      <c r="W1595" s="11">
        <f t="shared" si="174"/>
        <v>0</v>
      </c>
    </row>
    <row r="1596" spans="1:23">
      <c r="A1596" t="s">
        <v>1609</v>
      </c>
      <c r="B1596" s="4">
        <v>45650</v>
      </c>
      <c r="C1596" t="s">
        <v>2015</v>
      </c>
      <c r="D1596" t="s">
        <v>2019</v>
      </c>
      <c r="E1596" t="s">
        <v>2029</v>
      </c>
      <c r="F1596" t="s">
        <v>2030</v>
      </c>
      <c r="G1596" t="s">
        <v>2037</v>
      </c>
      <c r="H1596" t="s">
        <v>2039</v>
      </c>
      <c r="I1596">
        <v>3</v>
      </c>
      <c r="J1596">
        <v>4</v>
      </c>
      <c r="K1596">
        <v>1</v>
      </c>
      <c r="L1596" t="s">
        <v>2041</v>
      </c>
      <c r="M1596">
        <v>210</v>
      </c>
      <c r="N1596">
        <v>1576</v>
      </c>
      <c r="O1596">
        <v>4505</v>
      </c>
      <c r="P1596" s="13">
        <f t="shared" si="168"/>
        <v>0</v>
      </c>
      <c r="Q1596" t="str">
        <f t="shared" si="169"/>
        <v>No</v>
      </c>
      <c r="R1596" t="str" cm="1">
        <f t="array" ref="R1596">_xlfn.IFS(K1596=0,"On Time",K1596&lt;=2,"Minor",K1596&lt;=5,"Major",K1596&gt;5,"Severe")</f>
        <v>Minor</v>
      </c>
      <c r="S1596">
        <f t="shared" si="170"/>
        <v>4505</v>
      </c>
      <c r="T1596">
        <f t="shared" si="171"/>
        <v>1576</v>
      </c>
      <c r="U1596">
        <f t="shared" si="172"/>
        <v>2024</v>
      </c>
      <c r="V1596">
        <f t="shared" si="173"/>
        <v>12</v>
      </c>
      <c r="W1596" s="11">
        <f t="shared" si="174"/>
        <v>1</v>
      </c>
    </row>
    <row r="1597" spans="1:23">
      <c r="A1597" t="s">
        <v>1610</v>
      </c>
      <c r="B1597" s="4">
        <v>45408</v>
      </c>
      <c r="C1597" t="s">
        <v>2015</v>
      </c>
      <c r="D1597" t="s">
        <v>2020</v>
      </c>
      <c r="E1597" t="s">
        <v>2029</v>
      </c>
      <c r="F1597" t="s">
        <v>2031</v>
      </c>
      <c r="G1597" t="s">
        <v>2037</v>
      </c>
      <c r="H1597" t="s">
        <v>2039</v>
      </c>
      <c r="I1597">
        <v>1</v>
      </c>
      <c r="J1597">
        <v>6</v>
      </c>
      <c r="K1597">
        <v>5</v>
      </c>
      <c r="L1597" t="s">
        <v>2041</v>
      </c>
      <c r="M1597">
        <v>335</v>
      </c>
      <c r="N1597">
        <v>8805</v>
      </c>
      <c r="O1597">
        <v>15840</v>
      </c>
      <c r="P1597" s="13">
        <f t="shared" si="168"/>
        <v>0</v>
      </c>
      <c r="Q1597" t="str">
        <f t="shared" si="169"/>
        <v>No</v>
      </c>
      <c r="R1597" t="str" cm="1">
        <f t="array" ref="R1597">_xlfn.IFS(K1597=0,"On Time",K1597&lt;=2,"Minor",K1597&lt;=5,"Major",K1597&gt;5,"Severe")</f>
        <v>Major</v>
      </c>
      <c r="S1597">
        <f t="shared" si="170"/>
        <v>3168</v>
      </c>
      <c r="T1597">
        <f t="shared" si="171"/>
        <v>1761</v>
      </c>
      <c r="U1597">
        <f t="shared" si="172"/>
        <v>2024</v>
      </c>
      <c r="V1597">
        <f t="shared" si="173"/>
        <v>4</v>
      </c>
      <c r="W1597" s="11">
        <f t="shared" si="174"/>
        <v>1</v>
      </c>
    </row>
    <row r="1598" spans="1:23">
      <c r="A1598" t="s">
        <v>1611</v>
      </c>
      <c r="B1598" s="4">
        <v>45568</v>
      </c>
      <c r="C1598" t="s">
        <v>2017</v>
      </c>
      <c r="D1598" t="s">
        <v>2023</v>
      </c>
      <c r="E1598" t="s">
        <v>2027</v>
      </c>
      <c r="F1598" t="s">
        <v>2031</v>
      </c>
      <c r="G1598" t="s">
        <v>2037</v>
      </c>
      <c r="H1598" t="s">
        <v>2038</v>
      </c>
      <c r="I1598">
        <v>3</v>
      </c>
      <c r="J1598">
        <v>8</v>
      </c>
      <c r="K1598">
        <v>5</v>
      </c>
      <c r="L1598" t="s">
        <v>2041</v>
      </c>
      <c r="M1598">
        <v>232</v>
      </c>
      <c r="N1598">
        <v>5260</v>
      </c>
      <c r="O1598">
        <v>14180</v>
      </c>
      <c r="P1598" s="13">
        <f t="shared" si="168"/>
        <v>0</v>
      </c>
      <c r="Q1598" t="str">
        <f t="shared" si="169"/>
        <v>No</v>
      </c>
      <c r="R1598" t="str" cm="1">
        <f t="array" ref="R1598">_xlfn.IFS(K1598=0,"On Time",K1598&lt;=2,"Minor",K1598&lt;=5,"Major",K1598&gt;5,"Severe")</f>
        <v>Major</v>
      </c>
      <c r="S1598">
        <f t="shared" si="170"/>
        <v>2836</v>
      </c>
      <c r="T1598">
        <f t="shared" si="171"/>
        <v>1052</v>
      </c>
      <c r="U1598">
        <f t="shared" si="172"/>
        <v>2024</v>
      </c>
      <c r="V1598">
        <f t="shared" si="173"/>
        <v>10</v>
      </c>
      <c r="W1598" s="11">
        <f t="shared" si="174"/>
        <v>1</v>
      </c>
    </row>
    <row r="1599" spans="1:23">
      <c r="A1599" t="s">
        <v>1612</v>
      </c>
      <c r="B1599" s="4">
        <v>45465</v>
      </c>
      <c r="C1599" t="s">
        <v>2017</v>
      </c>
      <c r="D1599" t="s">
        <v>2022</v>
      </c>
      <c r="E1599" t="s">
        <v>2027</v>
      </c>
      <c r="F1599" t="s">
        <v>2030</v>
      </c>
      <c r="G1599" t="s">
        <v>2033</v>
      </c>
      <c r="H1599" t="s">
        <v>2038</v>
      </c>
      <c r="I1599">
        <v>2</v>
      </c>
      <c r="J1599">
        <v>7</v>
      </c>
      <c r="K1599">
        <v>5</v>
      </c>
      <c r="L1599" t="s">
        <v>2041</v>
      </c>
      <c r="M1599">
        <v>292</v>
      </c>
      <c r="N1599">
        <v>11865</v>
      </c>
      <c r="O1599">
        <v>12640</v>
      </c>
      <c r="P1599" s="13">
        <f t="shared" si="168"/>
        <v>0</v>
      </c>
      <c r="Q1599" t="str">
        <f t="shared" si="169"/>
        <v>No</v>
      </c>
      <c r="R1599" t="str" cm="1">
        <f t="array" ref="R1599">_xlfn.IFS(K1599=0,"On Time",K1599&lt;=2,"Minor",K1599&lt;=5,"Major",K1599&gt;5,"Severe")</f>
        <v>Major</v>
      </c>
      <c r="S1599">
        <f t="shared" si="170"/>
        <v>2528</v>
      </c>
      <c r="T1599">
        <f t="shared" si="171"/>
        <v>2373</v>
      </c>
      <c r="U1599">
        <f t="shared" si="172"/>
        <v>2024</v>
      </c>
      <c r="V1599">
        <f t="shared" si="173"/>
        <v>6</v>
      </c>
      <c r="W1599" s="11">
        <f t="shared" si="174"/>
        <v>1</v>
      </c>
    </row>
    <row r="1600" spans="1:23">
      <c r="A1600" t="s">
        <v>1613</v>
      </c>
      <c r="B1600" s="4">
        <v>45618</v>
      </c>
      <c r="C1600" t="s">
        <v>2016</v>
      </c>
      <c r="D1600" t="s">
        <v>2021</v>
      </c>
      <c r="E1600" t="s">
        <v>2029</v>
      </c>
      <c r="F1600" t="s">
        <v>2030</v>
      </c>
      <c r="G1600" t="s">
        <v>2034</v>
      </c>
      <c r="H1600" t="s">
        <v>2038</v>
      </c>
      <c r="I1600">
        <v>1</v>
      </c>
      <c r="J1600">
        <v>5</v>
      </c>
      <c r="K1600">
        <v>4</v>
      </c>
      <c r="L1600" t="s">
        <v>2041</v>
      </c>
      <c r="M1600">
        <v>305</v>
      </c>
      <c r="N1600">
        <v>8360</v>
      </c>
      <c r="O1600">
        <v>11532</v>
      </c>
      <c r="P1600" s="13">
        <f t="shared" si="168"/>
        <v>0</v>
      </c>
      <c r="Q1600" t="str">
        <f t="shared" si="169"/>
        <v>No</v>
      </c>
      <c r="R1600" t="str" cm="1">
        <f t="array" ref="R1600">_xlfn.IFS(K1600=0,"On Time",K1600&lt;=2,"Minor",K1600&lt;=5,"Major",K1600&gt;5,"Severe")</f>
        <v>Major</v>
      </c>
      <c r="S1600">
        <f t="shared" si="170"/>
        <v>2883</v>
      </c>
      <c r="T1600">
        <f t="shared" si="171"/>
        <v>2090</v>
      </c>
      <c r="U1600">
        <f t="shared" si="172"/>
        <v>2024</v>
      </c>
      <c r="V1600">
        <f t="shared" si="173"/>
        <v>11</v>
      </c>
      <c r="W1600" s="11">
        <f t="shared" si="174"/>
        <v>1</v>
      </c>
    </row>
    <row r="1601" spans="1:23">
      <c r="A1601" t="s">
        <v>1614</v>
      </c>
      <c r="B1601" s="4">
        <v>45457</v>
      </c>
      <c r="C1601" t="s">
        <v>2015</v>
      </c>
      <c r="D1601" t="s">
        <v>2020</v>
      </c>
      <c r="E1601" t="s">
        <v>2027</v>
      </c>
      <c r="F1601" t="s">
        <v>2032</v>
      </c>
      <c r="G1601" t="s">
        <v>2034</v>
      </c>
      <c r="H1601" t="s">
        <v>2039</v>
      </c>
      <c r="I1601">
        <v>2</v>
      </c>
      <c r="J1601">
        <v>7</v>
      </c>
      <c r="K1601">
        <v>5</v>
      </c>
      <c r="L1601" t="s">
        <v>2041</v>
      </c>
      <c r="M1601">
        <v>346</v>
      </c>
      <c r="N1601">
        <v>6115</v>
      </c>
      <c r="O1601">
        <v>7925</v>
      </c>
      <c r="P1601" s="13">
        <f t="shared" si="168"/>
        <v>0</v>
      </c>
      <c r="Q1601" t="str">
        <f t="shared" si="169"/>
        <v>No</v>
      </c>
      <c r="R1601" t="str" cm="1">
        <f t="array" ref="R1601">_xlfn.IFS(K1601=0,"On Time",K1601&lt;=2,"Minor",K1601&lt;=5,"Major",K1601&gt;5,"Severe")</f>
        <v>Major</v>
      </c>
      <c r="S1601">
        <f t="shared" si="170"/>
        <v>1585</v>
      </c>
      <c r="T1601">
        <f t="shared" si="171"/>
        <v>1223</v>
      </c>
      <c r="U1601">
        <f t="shared" si="172"/>
        <v>2024</v>
      </c>
      <c r="V1601">
        <f t="shared" si="173"/>
        <v>6</v>
      </c>
      <c r="W1601" s="11">
        <f t="shared" si="174"/>
        <v>1</v>
      </c>
    </row>
    <row r="1602" spans="1:23">
      <c r="A1602" t="s">
        <v>1615</v>
      </c>
      <c r="B1602" s="4">
        <v>45630</v>
      </c>
      <c r="C1602" t="s">
        <v>2018</v>
      </c>
      <c r="D1602" t="s">
        <v>2026</v>
      </c>
      <c r="E1602" t="s">
        <v>2027</v>
      </c>
      <c r="F1602" t="s">
        <v>2031</v>
      </c>
      <c r="G1602" t="s">
        <v>2037</v>
      </c>
      <c r="H1602" t="s">
        <v>2038</v>
      </c>
      <c r="I1602">
        <v>2</v>
      </c>
      <c r="J1602">
        <v>5</v>
      </c>
      <c r="K1602">
        <v>3</v>
      </c>
      <c r="L1602" t="s">
        <v>2041</v>
      </c>
      <c r="M1602">
        <v>465</v>
      </c>
      <c r="N1602">
        <v>4509</v>
      </c>
      <c r="O1602">
        <v>13503</v>
      </c>
      <c r="P1602" s="13">
        <f t="shared" si="168"/>
        <v>0</v>
      </c>
      <c r="Q1602" t="str">
        <f t="shared" si="169"/>
        <v>No</v>
      </c>
      <c r="R1602" t="str" cm="1">
        <f t="array" ref="R1602">_xlfn.IFS(K1602=0,"On Time",K1602&lt;=2,"Minor",K1602&lt;=5,"Major",K1602&gt;5,"Severe")</f>
        <v>Major</v>
      </c>
      <c r="S1602">
        <f t="shared" si="170"/>
        <v>4501</v>
      </c>
      <c r="T1602">
        <f t="shared" si="171"/>
        <v>1503</v>
      </c>
      <c r="U1602">
        <f t="shared" si="172"/>
        <v>2024</v>
      </c>
      <c r="V1602">
        <f t="shared" si="173"/>
        <v>12</v>
      </c>
      <c r="W1602" s="11">
        <f t="shared" si="174"/>
        <v>1</v>
      </c>
    </row>
    <row r="1603" spans="1:23">
      <c r="A1603" t="s">
        <v>1616</v>
      </c>
      <c r="B1603" s="4">
        <v>45656</v>
      </c>
      <c r="C1603" t="s">
        <v>2016</v>
      </c>
      <c r="D1603" t="s">
        <v>2021</v>
      </c>
      <c r="E1603" t="s">
        <v>2028</v>
      </c>
      <c r="F1603" t="s">
        <v>2030</v>
      </c>
      <c r="G1603" t="s">
        <v>2036</v>
      </c>
      <c r="H1603" t="s">
        <v>2039</v>
      </c>
      <c r="I1603">
        <v>5</v>
      </c>
      <c r="J1603">
        <v>7</v>
      </c>
      <c r="K1603">
        <v>2</v>
      </c>
      <c r="L1603" t="s">
        <v>2041</v>
      </c>
      <c r="M1603">
        <v>109</v>
      </c>
      <c r="N1603">
        <v>3412</v>
      </c>
      <c r="O1603">
        <v>9220</v>
      </c>
      <c r="P1603" s="13">
        <f t="shared" ref="P1603:P1666" si="175">IF(L1603="Yes",0,1)</f>
        <v>0</v>
      </c>
      <c r="Q1603" t="str">
        <f t="shared" ref="Q1603:Q1666" si="176">IF(K1603&gt;J1603,"Yes","No")</f>
        <v>No</v>
      </c>
      <c r="R1603" t="str" cm="1">
        <f t="array" ref="R1603">_xlfn.IFS(K1603=0,"On Time",K1603&lt;=2,"Minor",K1603&lt;=5,"Major",K1603&gt;5,"Severe")</f>
        <v>Minor</v>
      </c>
      <c r="S1603">
        <f t="shared" ref="S1603:S1666" si="177">IFERROR(O1603/K1603,0)</f>
        <v>4610</v>
      </c>
      <c r="T1603">
        <f t="shared" ref="T1603:T1666" si="178">IFERROR(N1603/K1603,0)</f>
        <v>1706</v>
      </c>
      <c r="U1603">
        <f t="shared" ref="U1603:U1666" si="179">YEAR(B1603)</f>
        <v>2024</v>
      </c>
      <c r="V1603">
        <f t="shared" ref="V1603:V1666" si="180">MONTH(B1603)</f>
        <v>12</v>
      </c>
      <c r="W1603" s="11">
        <f t="shared" ref="W1603:W1666" si="181">IF(L1603="Yes",1,0)</f>
        <v>1</v>
      </c>
    </row>
    <row r="1604" spans="1:23">
      <c r="A1604" t="s">
        <v>1617</v>
      </c>
      <c r="B1604" s="4">
        <v>45551</v>
      </c>
      <c r="C1604" t="s">
        <v>2016</v>
      </c>
      <c r="D1604" t="s">
        <v>2025</v>
      </c>
      <c r="E1604" t="s">
        <v>2027</v>
      </c>
      <c r="F1604" t="s">
        <v>2031</v>
      </c>
      <c r="G1604" t="s">
        <v>2033</v>
      </c>
      <c r="H1604" t="s">
        <v>2039</v>
      </c>
      <c r="I1604">
        <v>2</v>
      </c>
      <c r="J1604">
        <v>4</v>
      </c>
      <c r="K1604">
        <v>2</v>
      </c>
      <c r="L1604" t="s">
        <v>2041</v>
      </c>
      <c r="M1604">
        <v>101</v>
      </c>
      <c r="N1604">
        <v>3114</v>
      </c>
      <c r="O1604">
        <v>5494</v>
      </c>
      <c r="P1604" s="13">
        <f t="shared" si="175"/>
        <v>0</v>
      </c>
      <c r="Q1604" t="str">
        <f t="shared" si="176"/>
        <v>No</v>
      </c>
      <c r="R1604" t="str" cm="1">
        <f t="array" ref="R1604">_xlfn.IFS(K1604=0,"On Time",K1604&lt;=2,"Minor",K1604&lt;=5,"Major",K1604&gt;5,"Severe")</f>
        <v>Minor</v>
      </c>
      <c r="S1604">
        <f t="shared" si="177"/>
        <v>2747</v>
      </c>
      <c r="T1604">
        <f t="shared" si="178"/>
        <v>1557</v>
      </c>
      <c r="U1604">
        <f t="shared" si="179"/>
        <v>2024</v>
      </c>
      <c r="V1604">
        <f t="shared" si="180"/>
        <v>9</v>
      </c>
      <c r="W1604" s="11">
        <f t="shared" si="181"/>
        <v>1</v>
      </c>
    </row>
    <row r="1605" spans="1:23">
      <c r="A1605" t="s">
        <v>1618</v>
      </c>
      <c r="B1605" s="4">
        <v>45600</v>
      </c>
      <c r="C1605" t="s">
        <v>2018</v>
      </c>
      <c r="D1605" t="s">
        <v>2026</v>
      </c>
      <c r="E1605" t="s">
        <v>2027</v>
      </c>
      <c r="F1605" t="s">
        <v>2030</v>
      </c>
      <c r="G1605" t="s">
        <v>2035</v>
      </c>
      <c r="H1605" t="s">
        <v>2039</v>
      </c>
      <c r="I1605">
        <v>2</v>
      </c>
      <c r="J1605">
        <v>3</v>
      </c>
      <c r="K1605">
        <v>1</v>
      </c>
      <c r="L1605" t="s">
        <v>2041</v>
      </c>
      <c r="M1605">
        <v>288</v>
      </c>
      <c r="N1605">
        <v>1646</v>
      </c>
      <c r="O1605">
        <v>4760</v>
      </c>
      <c r="P1605" s="13">
        <f t="shared" si="175"/>
        <v>0</v>
      </c>
      <c r="Q1605" t="str">
        <f t="shared" si="176"/>
        <v>No</v>
      </c>
      <c r="R1605" t="str" cm="1">
        <f t="array" ref="R1605">_xlfn.IFS(K1605=0,"On Time",K1605&lt;=2,"Minor",K1605&lt;=5,"Major",K1605&gt;5,"Severe")</f>
        <v>Minor</v>
      </c>
      <c r="S1605">
        <f t="shared" si="177"/>
        <v>4760</v>
      </c>
      <c r="T1605">
        <f t="shared" si="178"/>
        <v>1646</v>
      </c>
      <c r="U1605">
        <f t="shared" si="179"/>
        <v>2024</v>
      </c>
      <c r="V1605">
        <f t="shared" si="180"/>
        <v>11</v>
      </c>
      <c r="W1605" s="11">
        <f t="shared" si="181"/>
        <v>1</v>
      </c>
    </row>
    <row r="1606" spans="1:23">
      <c r="A1606" t="s">
        <v>1619</v>
      </c>
      <c r="B1606" s="4">
        <v>45443</v>
      </c>
      <c r="C1606" t="s">
        <v>2017</v>
      </c>
      <c r="D1606" t="s">
        <v>2023</v>
      </c>
      <c r="E1606" t="s">
        <v>2028</v>
      </c>
      <c r="F1606" t="s">
        <v>2031</v>
      </c>
      <c r="G1606" t="s">
        <v>2036</v>
      </c>
      <c r="H1606" t="s">
        <v>2039</v>
      </c>
      <c r="I1606">
        <v>3</v>
      </c>
      <c r="J1606">
        <v>7</v>
      </c>
      <c r="K1606">
        <v>4</v>
      </c>
      <c r="L1606" t="s">
        <v>2041</v>
      </c>
      <c r="M1606">
        <v>115</v>
      </c>
      <c r="N1606">
        <v>4704</v>
      </c>
      <c r="O1606">
        <v>9440</v>
      </c>
      <c r="P1606" s="13">
        <f t="shared" si="175"/>
        <v>0</v>
      </c>
      <c r="Q1606" t="str">
        <f t="shared" si="176"/>
        <v>No</v>
      </c>
      <c r="R1606" t="str" cm="1">
        <f t="array" ref="R1606">_xlfn.IFS(K1606=0,"On Time",K1606&lt;=2,"Minor",K1606&lt;=5,"Major",K1606&gt;5,"Severe")</f>
        <v>Major</v>
      </c>
      <c r="S1606">
        <f t="shared" si="177"/>
        <v>2360</v>
      </c>
      <c r="T1606">
        <f t="shared" si="178"/>
        <v>1176</v>
      </c>
      <c r="U1606">
        <f t="shared" si="179"/>
        <v>2024</v>
      </c>
      <c r="V1606">
        <f t="shared" si="180"/>
        <v>5</v>
      </c>
      <c r="W1606" s="11">
        <f t="shared" si="181"/>
        <v>1</v>
      </c>
    </row>
    <row r="1607" spans="1:23">
      <c r="A1607" t="s">
        <v>1620</v>
      </c>
      <c r="B1607" s="4">
        <v>45348</v>
      </c>
      <c r="C1607" t="s">
        <v>2016</v>
      </c>
      <c r="D1607" t="s">
        <v>2025</v>
      </c>
      <c r="E1607" t="s">
        <v>2028</v>
      </c>
      <c r="F1607" t="s">
        <v>2030</v>
      </c>
      <c r="G1607" t="s">
        <v>2037</v>
      </c>
      <c r="H1607" t="s">
        <v>2039</v>
      </c>
      <c r="I1607">
        <v>2</v>
      </c>
      <c r="J1607">
        <v>5</v>
      </c>
      <c r="K1607">
        <v>3</v>
      </c>
      <c r="L1607" t="s">
        <v>2041</v>
      </c>
      <c r="M1607">
        <v>424</v>
      </c>
      <c r="N1607">
        <v>3438</v>
      </c>
      <c r="O1607">
        <v>14091</v>
      </c>
      <c r="P1607" s="13">
        <f t="shared" si="175"/>
        <v>0</v>
      </c>
      <c r="Q1607" t="str">
        <f t="shared" si="176"/>
        <v>No</v>
      </c>
      <c r="R1607" t="str" cm="1">
        <f t="array" ref="R1607">_xlfn.IFS(K1607=0,"On Time",K1607&lt;=2,"Minor",K1607&lt;=5,"Major",K1607&gt;5,"Severe")</f>
        <v>Major</v>
      </c>
      <c r="S1607">
        <f t="shared" si="177"/>
        <v>4697</v>
      </c>
      <c r="T1607">
        <f t="shared" si="178"/>
        <v>1146</v>
      </c>
      <c r="U1607">
        <f t="shared" si="179"/>
        <v>2024</v>
      </c>
      <c r="V1607">
        <f t="shared" si="180"/>
        <v>2</v>
      </c>
      <c r="W1607" s="11">
        <f t="shared" si="181"/>
        <v>1</v>
      </c>
    </row>
    <row r="1608" spans="1:23">
      <c r="A1608" t="s">
        <v>1621</v>
      </c>
      <c r="B1608" s="4">
        <v>45526</v>
      </c>
      <c r="C1608" t="s">
        <v>2016</v>
      </c>
      <c r="D1608" t="s">
        <v>2025</v>
      </c>
      <c r="E1608" t="s">
        <v>2028</v>
      </c>
      <c r="F1608" t="s">
        <v>2031</v>
      </c>
      <c r="G1608" t="s">
        <v>2033</v>
      </c>
      <c r="H1608" t="s">
        <v>2038</v>
      </c>
      <c r="I1608">
        <v>1</v>
      </c>
      <c r="J1608">
        <v>2</v>
      </c>
      <c r="K1608">
        <v>1</v>
      </c>
      <c r="L1608" t="s">
        <v>2041</v>
      </c>
      <c r="M1608">
        <v>206</v>
      </c>
      <c r="N1608">
        <v>1045</v>
      </c>
      <c r="O1608">
        <v>3543</v>
      </c>
      <c r="P1608" s="13">
        <f t="shared" si="175"/>
        <v>0</v>
      </c>
      <c r="Q1608" t="str">
        <f t="shared" si="176"/>
        <v>No</v>
      </c>
      <c r="R1608" t="str" cm="1">
        <f t="array" ref="R1608">_xlfn.IFS(K1608=0,"On Time",K1608&lt;=2,"Minor",K1608&lt;=5,"Major",K1608&gt;5,"Severe")</f>
        <v>Minor</v>
      </c>
      <c r="S1608">
        <f t="shared" si="177"/>
        <v>3543</v>
      </c>
      <c r="T1608">
        <f t="shared" si="178"/>
        <v>1045</v>
      </c>
      <c r="U1608">
        <f t="shared" si="179"/>
        <v>2024</v>
      </c>
      <c r="V1608">
        <f t="shared" si="180"/>
        <v>8</v>
      </c>
      <c r="W1608" s="11">
        <f t="shared" si="181"/>
        <v>1</v>
      </c>
    </row>
    <row r="1609" spans="1:23">
      <c r="A1609" t="s">
        <v>1622</v>
      </c>
      <c r="B1609" s="4">
        <v>45406</v>
      </c>
      <c r="C1609" t="s">
        <v>2015</v>
      </c>
      <c r="D1609" t="s">
        <v>2020</v>
      </c>
      <c r="E1609" t="s">
        <v>2027</v>
      </c>
      <c r="F1609" t="s">
        <v>2031</v>
      </c>
      <c r="G1609" t="s">
        <v>2036</v>
      </c>
      <c r="H1609" t="s">
        <v>2038</v>
      </c>
      <c r="I1609">
        <v>5</v>
      </c>
      <c r="J1609">
        <v>10</v>
      </c>
      <c r="K1609">
        <v>5</v>
      </c>
      <c r="L1609" t="s">
        <v>2041</v>
      </c>
      <c r="M1609">
        <v>244</v>
      </c>
      <c r="N1609">
        <v>10180</v>
      </c>
      <c r="O1609">
        <v>16285</v>
      </c>
      <c r="P1609" s="13">
        <f t="shared" si="175"/>
        <v>0</v>
      </c>
      <c r="Q1609" t="str">
        <f t="shared" si="176"/>
        <v>No</v>
      </c>
      <c r="R1609" t="str" cm="1">
        <f t="array" ref="R1609">_xlfn.IFS(K1609=0,"On Time",K1609&lt;=2,"Minor",K1609&lt;=5,"Major",K1609&gt;5,"Severe")</f>
        <v>Major</v>
      </c>
      <c r="S1609">
        <f t="shared" si="177"/>
        <v>3257</v>
      </c>
      <c r="T1609">
        <f t="shared" si="178"/>
        <v>2036</v>
      </c>
      <c r="U1609">
        <f t="shared" si="179"/>
        <v>2024</v>
      </c>
      <c r="V1609">
        <f t="shared" si="180"/>
        <v>4</v>
      </c>
      <c r="W1609" s="11">
        <f t="shared" si="181"/>
        <v>1</v>
      </c>
    </row>
    <row r="1610" spans="1:23">
      <c r="A1610" t="s">
        <v>1623</v>
      </c>
      <c r="B1610" s="4">
        <v>45565</v>
      </c>
      <c r="C1610" t="s">
        <v>2015</v>
      </c>
      <c r="D1610" t="s">
        <v>2020</v>
      </c>
      <c r="E1610" t="s">
        <v>2027</v>
      </c>
      <c r="F1610" t="s">
        <v>2032</v>
      </c>
      <c r="G1610" t="s">
        <v>2036</v>
      </c>
      <c r="H1610" t="s">
        <v>2040</v>
      </c>
      <c r="I1610">
        <v>1</v>
      </c>
      <c r="J1610">
        <v>9</v>
      </c>
      <c r="K1610">
        <v>8</v>
      </c>
      <c r="L1610" t="s">
        <v>2041</v>
      </c>
      <c r="M1610">
        <v>301</v>
      </c>
      <c r="N1610">
        <v>9936</v>
      </c>
      <c r="O1610">
        <v>22968</v>
      </c>
      <c r="P1610" s="13">
        <f t="shared" si="175"/>
        <v>0</v>
      </c>
      <c r="Q1610" t="str">
        <f t="shared" si="176"/>
        <v>No</v>
      </c>
      <c r="R1610" t="str" cm="1">
        <f t="array" ref="R1610">_xlfn.IFS(K1610=0,"On Time",K1610&lt;=2,"Minor",K1610&lt;=5,"Major",K1610&gt;5,"Severe")</f>
        <v>Severe</v>
      </c>
      <c r="S1610">
        <f t="shared" si="177"/>
        <v>2871</v>
      </c>
      <c r="T1610">
        <f t="shared" si="178"/>
        <v>1242</v>
      </c>
      <c r="U1610">
        <f t="shared" si="179"/>
        <v>2024</v>
      </c>
      <c r="V1610">
        <f t="shared" si="180"/>
        <v>9</v>
      </c>
      <c r="W1610" s="11">
        <f t="shared" si="181"/>
        <v>1</v>
      </c>
    </row>
    <row r="1611" spans="1:23">
      <c r="A1611" t="s">
        <v>1624</v>
      </c>
      <c r="B1611" s="4">
        <v>45406</v>
      </c>
      <c r="C1611" t="s">
        <v>2018</v>
      </c>
      <c r="D1611" t="s">
        <v>2026</v>
      </c>
      <c r="E1611" t="s">
        <v>2028</v>
      </c>
      <c r="F1611" t="s">
        <v>2030</v>
      </c>
      <c r="G1611" t="s">
        <v>2037</v>
      </c>
      <c r="H1611" t="s">
        <v>2039</v>
      </c>
      <c r="I1611">
        <v>3</v>
      </c>
      <c r="J1611">
        <v>5</v>
      </c>
      <c r="K1611">
        <v>2</v>
      </c>
      <c r="L1611" t="s">
        <v>2041</v>
      </c>
      <c r="M1611">
        <v>167</v>
      </c>
      <c r="N1611">
        <v>2104</v>
      </c>
      <c r="O1611">
        <v>5588</v>
      </c>
      <c r="P1611" s="13">
        <f t="shared" si="175"/>
        <v>0</v>
      </c>
      <c r="Q1611" t="str">
        <f t="shared" si="176"/>
        <v>No</v>
      </c>
      <c r="R1611" t="str" cm="1">
        <f t="array" ref="R1611">_xlfn.IFS(K1611=0,"On Time",K1611&lt;=2,"Minor",K1611&lt;=5,"Major",K1611&gt;5,"Severe")</f>
        <v>Minor</v>
      </c>
      <c r="S1611">
        <f t="shared" si="177"/>
        <v>2794</v>
      </c>
      <c r="T1611">
        <f t="shared" si="178"/>
        <v>1052</v>
      </c>
      <c r="U1611">
        <f t="shared" si="179"/>
        <v>2024</v>
      </c>
      <c r="V1611">
        <f t="shared" si="180"/>
        <v>4</v>
      </c>
      <c r="W1611" s="11">
        <f t="shared" si="181"/>
        <v>1</v>
      </c>
    </row>
    <row r="1612" spans="1:23">
      <c r="A1612" t="s">
        <v>1625</v>
      </c>
      <c r="B1612" s="4">
        <v>45400</v>
      </c>
      <c r="C1612" t="s">
        <v>2015</v>
      </c>
      <c r="D1612" t="s">
        <v>2019</v>
      </c>
      <c r="E1612" t="s">
        <v>2029</v>
      </c>
      <c r="F1612" t="s">
        <v>2030</v>
      </c>
      <c r="G1612" t="s">
        <v>2037</v>
      </c>
      <c r="H1612" t="s">
        <v>2038</v>
      </c>
      <c r="I1612">
        <v>3</v>
      </c>
      <c r="J1612">
        <v>3</v>
      </c>
      <c r="K1612">
        <v>0</v>
      </c>
      <c r="L1612" t="s">
        <v>2042</v>
      </c>
      <c r="M1612">
        <v>316</v>
      </c>
      <c r="N1612">
        <v>0</v>
      </c>
      <c r="O1612">
        <v>0</v>
      </c>
      <c r="P1612" s="13">
        <f t="shared" si="175"/>
        <v>1</v>
      </c>
      <c r="Q1612" t="str">
        <f t="shared" si="176"/>
        <v>No</v>
      </c>
      <c r="R1612" t="str" cm="1">
        <f t="array" ref="R1612">_xlfn.IFS(K1612=0,"On Time",K1612&lt;=2,"Minor",K1612&lt;=5,"Major",K1612&gt;5,"Severe")</f>
        <v>On Time</v>
      </c>
      <c r="S1612">
        <f t="shared" si="177"/>
        <v>0</v>
      </c>
      <c r="T1612">
        <f t="shared" si="178"/>
        <v>0</v>
      </c>
      <c r="U1612">
        <f t="shared" si="179"/>
        <v>2024</v>
      </c>
      <c r="V1612">
        <f t="shared" si="180"/>
        <v>4</v>
      </c>
      <c r="W1612" s="11">
        <f t="shared" si="181"/>
        <v>0</v>
      </c>
    </row>
    <row r="1613" spans="1:23">
      <c r="A1613" t="s">
        <v>1626</v>
      </c>
      <c r="B1613" s="4">
        <v>45360</v>
      </c>
      <c r="C1613" t="s">
        <v>2015</v>
      </c>
      <c r="D1613" t="s">
        <v>2020</v>
      </c>
      <c r="E1613" t="s">
        <v>2029</v>
      </c>
      <c r="F1613" t="s">
        <v>2030</v>
      </c>
      <c r="G1613" t="s">
        <v>2035</v>
      </c>
      <c r="H1613" t="s">
        <v>2039</v>
      </c>
      <c r="I1613">
        <v>2</v>
      </c>
      <c r="J1613">
        <v>6</v>
      </c>
      <c r="K1613">
        <v>4</v>
      </c>
      <c r="L1613" t="s">
        <v>2041</v>
      </c>
      <c r="M1613">
        <v>198</v>
      </c>
      <c r="N1613">
        <v>6252</v>
      </c>
      <c r="O1613">
        <v>14084</v>
      </c>
      <c r="P1613" s="13">
        <f t="shared" si="175"/>
        <v>0</v>
      </c>
      <c r="Q1613" t="str">
        <f t="shared" si="176"/>
        <v>No</v>
      </c>
      <c r="R1613" t="str" cm="1">
        <f t="array" ref="R1613">_xlfn.IFS(K1613=0,"On Time",K1613&lt;=2,"Minor",K1613&lt;=5,"Major",K1613&gt;5,"Severe")</f>
        <v>Major</v>
      </c>
      <c r="S1613">
        <f t="shared" si="177"/>
        <v>3521</v>
      </c>
      <c r="T1613">
        <f t="shared" si="178"/>
        <v>1563</v>
      </c>
      <c r="U1613">
        <f t="shared" si="179"/>
        <v>2024</v>
      </c>
      <c r="V1613">
        <f t="shared" si="180"/>
        <v>3</v>
      </c>
      <c r="W1613" s="11">
        <f t="shared" si="181"/>
        <v>1</v>
      </c>
    </row>
    <row r="1614" spans="1:23">
      <c r="A1614" t="s">
        <v>1627</v>
      </c>
      <c r="B1614" s="4">
        <v>45498</v>
      </c>
      <c r="C1614" t="s">
        <v>2015</v>
      </c>
      <c r="D1614" t="s">
        <v>2020</v>
      </c>
      <c r="E1614" t="s">
        <v>2028</v>
      </c>
      <c r="F1614" t="s">
        <v>2030</v>
      </c>
      <c r="G1614" t="s">
        <v>2035</v>
      </c>
      <c r="H1614" t="s">
        <v>2039</v>
      </c>
      <c r="I1614">
        <v>1</v>
      </c>
      <c r="J1614">
        <v>1</v>
      </c>
      <c r="K1614">
        <v>0</v>
      </c>
      <c r="L1614" t="s">
        <v>2042</v>
      </c>
      <c r="M1614">
        <v>373</v>
      </c>
      <c r="N1614">
        <v>0</v>
      </c>
      <c r="O1614">
        <v>0</v>
      </c>
      <c r="P1614" s="13">
        <f t="shared" si="175"/>
        <v>1</v>
      </c>
      <c r="Q1614" t="str">
        <f t="shared" si="176"/>
        <v>No</v>
      </c>
      <c r="R1614" t="str" cm="1">
        <f t="array" ref="R1614">_xlfn.IFS(K1614=0,"On Time",K1614&lt;=2,"Minor",K1614&lt;=5,"Major",K1614&gt;5,"Severe")</f>
        <v>On Time</v>
      </c>
      <c r="S1614">
        <f t="shared" si="177"/>
        <v>0</v>
      </c>
      <c r="T1614">
        <f t="shared" si="178"/>
        <v>0</v>
      </c>
      <c r="U1614">
        <f t="shared" si="179"/>
        <v>2024</v>
      </c>
      <c r="V1614">
        <f t="shared" si="180"/>
        <v>7</v>
      </c>
      <c r="W1614" s="11">
        <f t="shared" si="181"/>
        <v>0</v>
      </c>
    </row>
    <row r="1615" spans="1:23">
      <c r="A1615" t="s">
        <v>1628</v>
      </c>
      <c r="B1615" s="4">
        <v>45431</v>
      </c>
      <c r="C1615" t="s">
        <v>2018</v>
      </c>
      <c r="D1615" t="s">
        <v>2024</v>
      </c>
      <c r="E1615" t="s">
        <v>2029</v>
      </c>
      <c r="F1615" t="s">
        <v>2030</v>
      </c>
      <c r="G1615" t="s">
        <v>2034</v>
      </c>
      <c r="H1615" t="s">
        <v>2039</v>
      </c>
      <c r="I1615">
        <v>2</v>
      </c>
      <c r="J1615">
        <v>4</v>
      </c>
      <c r="K1615">
        <v>2</v>
      </c>
      <c r="L1615" t="s">
        <v>2041</v>
      </c>
      <c r="M1615">
        <v>272</v>
      </c>
      <c r="N1615">
        <v>2560</v>
      </c>
      <c r="O1615">
        <v>8332</v>
      </c>
      <c r="P1615" s="13">
        <f t="shared" si="175"/>
        <v>0</v>
      </c>
      <c r="Q1615" t="str">
        <f t="shared" si="176"/>
        <v>No</v>
      </c>
      <c r="R1615" t="str" cm="1">
        <f t="array" ref="R1615">_xlfn.IFS(K1615=0,"On Time",K1615&lt;=2,"Minor",K1615&lt;=5,"Major",K1615&gt;5,"Severe")</f>
        <v>Minor</v>
      </c>
      <c r="S1615">
        <f t="shared" si="177"/>
        <v>4166</v>
      </c>
      <c r="T1615">
        <f t="shared" si="178"/>
        <v>1280</v>
      </c>
      <c r="U1615">
        <f t="shared" si="179"/>
        <v>2024</v>
      </c>
      <c r="V1615">
        <f t="shared" si="180"/>
        <v>5</v>
      </c>
      <c r="W1615" s="11">
        <f t="shared" si="181"/>
        <v>1</v>
      </c>
    </row>
    <row r="1616" spans="1:23">
      <c r="A1616" t="s">
        <v>1629</v>
      </c>
      <c r="B1616" s="4">
        <v>45508</v>
      </c>
      <c r="C1616" t="s">
        <v>2018</v>
      </c>
      <c r="D1616" t="s">
        <v>2026</v>
      </c>
      <c r="E1616" t="s">
        <v>2027</v>
      </c>
      <c r="F1616" t="s">
        <v>2031</v>
      </c>
      <c r="G1616" t="s">
        <v>2036</v>
      </c>
      <c r="H1616" t="s">
        <v>2039</v>
      </c>
      <c r="I1616">
        <v>3</v>
      </c>
      <c r="J1616">
        <v>6</v>
      </c>
      <c r="K1616">
        <v>3</v>
      </c>
      <c r="L1616" t="s">
        <v>2041</v>
      </c>
      <c r="M1616">
        <v>246</v>
      </c>
      <c r="N1616">
        <v>3132</v>
      </c>
      <c r="O1616">
        <v>11805</v>
      </c>
      <c r="P1616" s="13">
        <f t="shared" si="175"/>
        <v>0</v>
      </c>
      <c r="Q1616" t="str">
        <f t="shared" si="176"/>
        <v>No</v>
      </c>
      <c r="R1616" t="str" cm="1">
        <f t="array" ref="R1616">_xlfn.IFS(K1616=0,"On Time",K1616&lt;=2,"Minor",K1616&lt;=5,"Major",K1616&gt;5,"Severe")</f>
        <v>Major</v>
      </c>
      <c r="S1616">
        <f t="shared" si="177"/>
        <v>3935</v>
      </c>
      <c r="T1616">
        <f t="shared" si="178"/>
        <v>1044</v>
      </c>
      <c r="U1616">
        <f t="shared" si="179"/>
        <v>2024</v>
      </c>
      <c r="V1616">
        <f t="shared" si="180"/>
        <v>8</v>
      </c>
      <c r="W1616" s="11">
        <f t="shared" si="181"/>
        <v>1</v>
      </c>
    </row>
    <row r="1617" spans="1:23">
      <c r="A1617" t="s">
        <v>1630</v>
      </c>
      <c r="B1617" s="4">
        <v>45603</v>
      </c>
      <c r="C1617" t="s">
        <v>2018</v>
      </c>
      <c r="D1617" t="s">
        <v>2024</v>
      </c>
      <c r="E1617" t="s">
        <v>2028</v>
      </c>
      <c r="F1617" t="s">
        <v>2032</v>
      </c>
      <c r="G1617" t="s">
        <v>2033</v>
      </c>
      <c r="H1617" t="s">
        <v>2039</v>
      </c>
      <c r="I1617">
        <v>1</v>
      </c>
      <c r="J1617">
        <v>4</v>
      </c>
      <c r="K1617">
        <v>3</v>
      </c>
      <c r="L1617" t="s">
        <v>2041</v>
      </c>
      <c r="M1617">
        <v>146</v>
      </c>
      <c r="N1617">
        <v>5004</v>
      </c>
      <c r="O1617">
        <v>10830</v>
      </c>
      <c r="P1617" s="13">
        <f t="shared" si="175"/>
        <v>0</v>
      </c>
      <c r="Q1617" t="str">
        <f t="shared" si="176"/>
        <v>No</v>
      </c>
      <c r="R1617" t="str" cm="1">
        <f t="array" ref="R1617">_xlfn.IFS(K1617=0,"On Time",K1617&lt;=2,"Minor",K1617&lt;=5,"Major",K1617&gt;5,"Severe")</f>
        <v>Major</v>
      </c>
      <c r="S1617">
        <f t="shared" si="177"/>
        <v>3610</v>
      </c>
      <c r="T1617">
        <f t="shared" si="178"/>
        <v>1668</v>
      </c>
      <c r="U1617">
        <f t="shared" si="179"/>
        <v>2024</v>
      </c>
      <c r="V1617">
        <f t="shared" si="180"/>
        <v>11</v>
      </c>
      <c r="W1617" s="11">
        <f t="shared" si="181"/>
        <v>1</v>
      </c>
    </row>
    <row r="1618" spans="1:23">
      <c r="A1618" t="s">
        <v>1631</v>
      </c>
      <c r="B1618" s="4">
        <v>45298</v>
      </c>
      <c r="C1618" t="s">
        <v>2016</v>
      </c>
      <c r="D1618" t="s">
        <v>2021</v>
      </c>
      <c r="E1618" t="s">
        <v>2029</v>
      </c>
      <c r="F1618" t="s">
        <v>2032</v>
      </c>
      <c r="G1618" t="s">
        <v>2035</v>
      </c>
      <c r="H1618" t="s">
        <v>2039</v>
      </c>
      <c r="I1618">
        <v>2</v>
      </c>
      <c r="J1618">
        <v>9</v>
      </c>
      <c r="K1618">
        <v>7</v>
      </c>
      <c r="L1618" t="s">
        <v>2041</v>
      </c>
      <c r="M1618">
        <v>177</v>
      </c>
      <c r="N1618">
        <v>13076</v>
      </c>
      <c r="O1618">
        <v>33061</v>
      </c>
      <c r="P1618" s="13">
        <f t="shared" si="175"/>
        <v>0</v>
      </c>
      <c r="Q1618" t="str">
        <f t="shared" si="176"/>
        <v>No</v>
      </c>
      <c r="R1618" t="str" cm="1">
        <f t="array" ref="R1618">_xlfn.IFS(K1618=0,"On Time",K1618&lt;=2,"Minor",K1618&lt;=5,"Major",K1618&gt;5,"Severe")</f>
        <v>Severe</v>
      </c>
      <c r="S1618">
        <f t="shared" si="177"/>
        <v>4723</v>
      </c>
      <c r="T1618">
        <f t="shared" si="178"/>
        <v>1868</v>
      </c>
      <c r="U1618">
        <f t="shared" si="179"/>
        <v>2024</v>
      </c>
      <c r="V1618">
        <f t="shared" si="180"/>
        <v>1</v>
      </c>
      <c r="W1618" s="11">
        <f t="shared" si="181"/>
        <v>1</v>
      </c>
    </row>
    <row r="1619" spans="1:23">
      <c r="A1619" t="s">
        <v>1632</v>
      </c>
      <c r="B1619" s="4">
        <v>45649</v>
      </c>
      <c r="C1619" t="s">
        <v>2016</v>
      </c>
      <c r="D1619" t="s">
        <v>2025</v>
      </c>
      <c r="E1619" t="s">
        <v>2029</v>
      </c>
      <c r="F1619" t="s">
        <v>2031</v>
      </c>
      <c r="G1619" t="s">
        <v>2034</v>
      </c>
      <c r="H1619" t="s">
        <v>2039</v>
      </c>
      <c r="I1619">
        <v>1</v>
      </c>
      <c r="J1619">
        <v>3</v>
      </c>
      <c r="K1619">
        <v>2</v>
      </c>
      <c r="L1619" t="s">
        <v>2041</v>
      </c>
      <c r="M1619">
        <v>294</v>
      </c>
      <c r="N1619">
        <v>3038</v>
      </c>
      <c r="O1619">
        <v>4016</v>
      </c>
      <c r="P1619" s="13">
        <f t="shared" si="175"/>
        <v>0</v>
      </c>
      <c r="Q1619" t="str">
        <f t="shared" si="176"/>
        <v>No</v>
      </c>
      <c r="R1619" t="str" cm="1">
        <f t="array" ref="R1619">_xlfn.IFS(K1619=0,"On Time",K1619&lt;=2,"Minor",K1619&lt;=5,"Major",K1619&gt;5,"Severe")</f>
        <v>Minor</v>
      </c>
      <c r="S1619">
        <f t="shared" si="177"/>
        <v>2008</v>
      </c>
      <c r="T1619">
        <f t="shared" si="178"/>
        <v>1519</v>
      </c>
      <c r="U1619">
        <f t="shared" si="179"/>
        <v>2024</v>
      </c>
      <c r="V1619">
        <f t="shared" si="180"/>
        <v>12</v>
      </c>
      <c r="W1619" s="11">
        <f t="shared" si="181"/>
        <v>1</v>
      </c>
    </row>
    <row r="1620" spans="1:23">
      <c r="A1620" t="s">
        <v>1633</v>
      </c>
      <c r="B1620" s="4">
        <v>45583</v>
      </c>
      <c r="C1620" t="s">
        <v>2017</v>
      </c>
      <c r="D1620" t="s">
        <v>2022</v>
      </c>
      <c r="E1620" t="s">
        <v>2028</v>
      </c>
      <c r="F1620" t="s">
        <v>2031</v>
      </c>
      <c r="G1620" t="s">
        <v>2035</v>
      </c>
      <c r="H1620" t="s">
        <v>2038</v>
      </c>
      <c r="I1620">
        <v>1</v>
      </c>
      <c r="J1620">
        <v>2</v>
      </c>
      <c r="K1620">
        <v>1</v>
      </c>
      <c r="L1620" t="s">
        <v>2041</v>
      </c>
      <c r="M1620">
        <v>499</v>
      </c>
      <c r="N1620">
        <v>1349</v>
      </c>
      <c r="O1620">
        <v>3345</v>
      </c>
      <c r="P1620" s="13">
        <f t="shared" si="175"/>
        <v>0</v>
      </c>
      <c r="Q1620" t="str">
        <f t="shared" si="176"/>
        <v>No</v>
      </c>
      <c r="R1620" t="str" cm="1">
        <f t="array" ref="R1620">_xlfn.IFS(K1620=0,"On Time",K1620&lt;=2,"Minor",K1620&lt;=5,"Major",K1620&gt;5,"Severe")</f>
        <v>Minor</v>
      </c>
      <c r="S1620">
        <f t="shared" si="177"/>
        <v>3345</v>
      </c>
      <c r="T1620">
        <f t="shared" si="178"/>
        <v>1349</v>
      </c>
      <c r="U1620">
        <f t="shared" si="179"/>
        <v>2024</v>
      </c>
      <c r="V1620">
        <f t="shared" si="180"/>
        <v>10</v>
      </c>
      <c r="W1620" s="11">
        <f t="shared" si="181"/>
        <v>1</v>
      </c>
    </row>
    <row r="1621" spans="1:23">
      <c r="A1621" t="s">
        <v>1634</v>
      </c>
      <c r="B1621" s="4">
        <v>45410</v>
      </c>
      <c r="C1621" t="s">
        <v>2017</v>
      </c>
      <c r="D1621" t="s">
        <v>2022</v>
      </c>
      <c r="E1621" t="s">
        <v>2029</v>
      </c>
      <c r="F1621" t="s">
        <v>2030</v>
      </c>
      <c r="G1621" t="s">
        <v>2033</v>
      </c>
      <c r="H1621" t="s">
        <v>2038</v>
      </c>
      <c r="I1621">
        <v>2</v>
      </c>
      <c r="J1621">
        <v>6</v>
      </c>
      <c r="K1621">
        <v>4</v>
      </c>
      <c r="L1621" t="s">
        <v>2041</v>
      </c>
      <c r="M1621">
        <v>441</v>
      </c>
      <c r="N1621">
        <v>6920</v>
      </c>
      <c r="O1621">
        <v>16136</v>
      </c>
      <c r="P1621" s="13">
        <f t="shared" si="175"/>
        <v>0</v>
      </c>
      <c r="Q1621" t="str">
        <f t="shared" si="176"/>
        <v>No</v>
      </c>
      <c r="R1621" t="str" cm="1">
        <f t="array" ref="R1621">_xlfn.IFS(K1621=0,"On Time",K1621&lt;=2,"Minor",K1621&lt;=5,"Major",K1621&gt;5,"Severe")</f>
        <v>Major</v>
      </c>
      <c r="S1621">
        <f t="shared" si="177"/>
        <v>4034</v>
      </c>
      <c r="T1621">
        <f t="shared" si="178"/>
        <v>1730</v>
      </c>
      <c r="U1621">
        <f t="shared" si="179"/>
        <v>2024</v>
      </c>
      <c r="V1621">
        <f t="shared" si="180"/>
        <v>4</v>
      </c>
      <c r="W1621" s="11">
        <f t="shared" si="181"/>
        <v>1</v>
      </c>
    </row>
    <row r="1622" spans="1:23">
      <c r="A1622" t="s">
        <v>1635</v>
      </c>
      <c r="B1622" s="4">
        <v>45358</v>
      </c>
      <c r="C1622" t="s">
        <v>2015</v>
      </c>
      <c r="D1622" t="s">
        <v>2019</v>
      </c>
      <c r="E1622" t="s">
        <v>2028</v>
      </c>
      <c r="F1622" t="s">
        <v>2030</v>
      </c>
      <c r="G1622" t="s">
        <v>2036</v>
      </c>
      <c r="H1622" t="s">
        <v>2040</v>
      </c>
      <c r="I1622">
        <v>1</v>
      </c>
      <c r="J1622">
        <v>9</v>
      </c>
      <c r="K1622">
        <v>8</v>
      </c>
      <c r="L1622" t="s">
        <v>2041</v>
      </c>
      <c r="M1622">
        <v>377</v>
      </c>
      <c r="N1622">
        <v>6936</v>
      </c>
      <c r="O1622">
        <v>22256</v>
      </c>
      <c r="P1622" s="13">
        <f t="shared" si="175"/>
        <v>0</v>
      </c>
      <c r="Q1622" t="str">
        <f t="shared" si="176"/>
        <v>No</v>
      </c>
      <c r="R1622" t="str" cm="1">
        <f t="array" ref="R1622">_xlfn.IFS(K1622=0,"On Time",K1622&lt;=2,"Minor",K1622&lt;=5,"Major",K1622&gt;5,"Severe")</f>
        <v>Severe</v>
      </c>
      <c r="S1622">
        <f t="shared" si="177"/>
        <v>2782</v>
      </c>
      <c r="T1622">
        <f t="shared" si="178"/>
        <v>867</v>
      </c>
      <c r="U1622">
        <f t="shared" si="179"/>
        <v>2024</v>
      </c>
      <c r="V1622">
        <f t="shared" si="180"/>
        <v>3</v>
      </c>
      <c r="W1622" s="11">
        <f t="shared" si="181"/>
        <v>1</v>
      </c>
    </row>
    <row r="1623" spans="1:23">
      <c r="A1623" t="s">
        <v>1636</v>
      </c>
      <c r="B1623" s="4">
        <v>45364</v>
      </c>
      <c r="C1623" t="s">
        <v>2018</v>
      </c>
      <c r="D1623" t="s">
        <v>2026</v>
      </c>
      <c r="E1623" t="s">
        <v>2027</v>
      </c>
      <c r="F1623" t="s">
        <v>2032</v>
      </c>
      <c r="G1623" t="s">
        <v>2034</v>
      </c>
      <c r="H1623" t="s">
        <v>2039</v>
      </c>
      <c r="I1623">
        <v>1</v>
      </c>
      <c r="J1623">
        <v>6</v>
      </c>
      <c r="K1623">
        <v>5</v>
      </c>
      <c r="L1623" t="s">
        <v>2041</v>
      </c>
      <c r="M1623">
        <v>407</v>
      </c>
      <c r="N1623">
        <v>11640</v>
      </c>
      <c r="O1623">
        <v>20255</v>
      </c>
      <c r="P1623" s="13">
        <f t="shared" si="175"/>
        <v>0</v>
      </c>
      <c r="Q1623" t="str">
        <f t="shared" si="176"/>
        <v>No</v>
      </c>
      <c r="R1623" t="str" cm="1">
        <f t="array" ref="R1623">_xlfn.IFS(K1623=0,"On Time",K1623&lt;=2,"Minor",K1623&lt;=5,"Major",K1623&gt;5,"Severe")</f>
        <v>Major</v>
      </c>
      <c r="S1623">
        <f t="shared" si="177"/>
        <v>4051</v>
      </c>
      <c r="T1623">
        <f t="shared" si="178"/>
        <v>2328</v>
      </c>
      <c r="U1623">
        <f t="shared" si="179"/>
        <v>2024</v>
      </c>
      <c r="V1623">
        <f t="shared" si="180"/>
        <v>3</v>
      </c>
      <c r="W1623" s="11">
        <f t="shared" si="181"/>
        <v>1</v>
      </c>
    </row>
    <row r="1624" spans="1:23">
      <c r="A1624" t="s">
        <v>1637</v>
      </c>
      <c r="B1624" s="4">
        <v>45564</v>
      </c>
      <c r="C1624" t="s">
        <v>2016</v>
      </c>
      <c r="D1624" t="s">
        <v>2025</v>
      </c>
      <c r="E1624" t="s">
        <v>2028</v>
      </c>
      <c r="F1624" t="s">
        <v>2032</v>
      </c>
      <c r="G1624" t="s">
        <v>2033</v>
      </c>
      <c r="H1624" t="s">
        <v>2040</v>
      </c>
      <c r="I1624">
        <v>3</v>
      </c>
      <c r="J1624">
        <v>7</v>
      </c>
      <c r="K1624">
        <v>4</v>
      </c>
      <c r="L1624" t="s">
        <v>2041</v>
      </c>
      <c r="M1624">
        <v>243</v>
      </c>
      <c r="N1624">
        <v>3404</v>
      </c>
      <c r="O1624">
        <v>9440</v>
      </c>
      <c r="P1624" s="13">
        <f t="shared" si="175"/>
        <v>0</v>
      </c>
      <c r="Q1624" t="str">
        <f t="shared" si="176"/>
        <v>No</v>
      </c>
      <c r="R1624" t="str" cm="1">
        <f t="array" ref="R1624">_xlfn.IFS(K1624=0,"On Time",K1624&lt;=2,"Minor",K1624&lt;=5,"Major",K1624&gt;5,"Severe")</f>
        <v>Major</v>
      </c>
      <c r="S1624">
        <f t="shared" si="177"/>
        <v>2360</v>
      </c>
      <c r="T1624">
        <f t="shared" si="178"/>
        <v>851</v>
      </c>
      <c r="U1624">
        <f t="shared" si="179"/>
        <v>2024</v>
      </c>
      <c r="V1624">
        <f t="shared" si="180"/>
        <v>9</v>
      </c>
      <c r="W1624" s="11">
        <f t="shared" si="181"/>
        <v>1</v>
      </c>
    </row>
    <row r="1625" spans="1:23">
      <c r="A1625" t="s">
        <v>1638</v>
      </c>
      <c r="B1625" s="4">
        <v>45547</v>
      </c>
      <c r="C1625" t="s">
        <v>2015</v>
      </c>
      <c r="D1625" t="s">
        <v>2019</v>
      </c>
      <c r="E1625" t="s">
        <v>2028</v>
      </c>
      <c r="F1625" t="s">
        <v>2030</v>
      </c>
      <c r="G1625" t="s">
        <v>2033</v>
      </c>
      <c r="H1625" t="s">
        <v>2038</v>
      </c>
      <c r="I1625">
        <v>3</v>
      </c>
      <c r="J1625">
        <v>6</v>
      </c>
      <c r="K1625">
        <v>3</v>
      </c>
      <c r="L1625" t="s">
        <v>2041</v>
      </c>
      <c r="M1625">
        <v>271</v>
      </c>
      <c r="N1625">
        <v>6963</v>
      </c>
      <c r="O1625">
        <v>7116</v>
      </c>
      <c r="P1625" s="13">
        <f t="shared" si="175"/>
        <v>0</v>
      </c>
      <c r="Q1625" t="str">
        <f t="shared" si="176"/>
        <v>No</v>
      </c>
      <c r="R1625" t="str" cm="1">
        <f t="array" ref="R1625">_xlfn.IFS(K1625=0,"On Time",K1625&lt;=2,"Minor",K1625&lt;=5,"Major",K1625&gt;5,"Severe")</f>
        <v>Major</v>
      </c>
      <c r="S1625">
        <f t="shared" si="177"/>
        <v>2372</v>
      </c>
      <c r="T1625">
        <f t="shared" si="178"/>
        <v>2321</v>
      </c>
      <c r="U1625">
        <f t="shared" si="179"/>
        <v>2024</v>
      </c>
      <c r="V1625">
        <f t="shared" si="180"/>
        <v>9</v>
      </c>
      <c r="W1625" s="11">
        <f t="shared" si="181"/>
        <v>1</v>
      </c>
    </row>
    <row r="1626" spans="1:23">
      <c r="A1626" t="s">
        <v>1639</v>
      </c>
      <c r="B1626" s="4">
        <v>45546</v>
      </c>
      <c r="C1626" t="s">
        <v>2017</v>
      </c>
      <c r="D1626" t="s">
        <v>2022</v>
      </c>
      <c r="E1626" t="s">
        <v>2029</v>
      </c>
      <c r="F1626" t="s">
        <v>2031</v>
      </c>
      <c r="G1626" t="s">
        <v>2036</v>
      </c>
      <c r="H1626" t="s">
        <v>2039</v>
      </c>
      <c r="I1626">
        <v>2</v>
      </c>
      <c r="J1626">
        <v>4</v>
      </c>
      <c r="K1626">
        <v>2</v>
      </c>
      <c r="L1626" t="s">
        <v>2041</v>
      </c>
      <c r="M1626">
        <v>296</v>
      </c>
      <c r="N1626">
        <v>4822</v>
      </c>
      <c r="O1626">
        <v>4384</v>
      </c>
      <c r="P1626" s="13">
        <f t="shared" si="175"/>
        <v>0</v>
      </c>
      <c r="Q1626" t="str">
        <f t="shared" si="176"/>
        <v>No</v>
      </c>
      <c r="R1626" t="str" cm="1">
        <f t="array" ref="R1626">_xlfn.IFS(K1626=0,"On Time",K1626&lt;=2,"Minor",K1626&lt;=5,"Major",K1626&gt;5,"Severe")</f>
        <v>Minor</v>
      </c>
      <c r="S1626">
        <f t="shared" si="177"/>
        <v>2192</v>
      </c>
      <c r="T1626">
        <f t="shared" si="178"/>
        <v>2411</v>
      </c>
      <c r="U1626">
        <f t="shared" si="179"/>
        <v>2024</v>
      </c>
      <c r="V1626">
        <f t="shared" si="180"/>
        <v>9</v>
      </c>
      <c r="W1626" s="11">
        <f t="shared" si="181"/>
        <v>1</v>
      </c>
    </row>
    <row r="1627" spans="1:23">
      <c r="A1627" t="s">
        <v>1640</v>
      </c>
      <c r="B1627" s="4">
        <v>45570</v>
      </c>
      <c r="C1627" t="s">
        <v>2015</v>
      </c>
      <c r="D1627" t="s">
        <v>2019</v>
      </c>
      <c r="E1627" t="s">
        <v>2027</v>
      </c>
      <c r="F1627" t="s">
        <v>2031</v>
      </c>
      <c r="G1627" t="s">
        <v>2036</v>
      </c>
      <c r="H1627" t="s">
        <v>2039</v>
      </c>
      <c r="I1627">
        <v>1</v>
      </c>
      <c r="J1627">
        <v>6</v>
      </c>
      <c r="K1627">
        <v>5</v>
      </c>
      <c r="L1627" t="s">
        <v>2041</v>
      </c>
      <c r="M1627">
        <v>410</v>
      </c>
      <c r="N1627">
        <v>12145</v>
      </c>
      <c r="O1627">
        <v>13005</v>
      </c>
      <c r="P1627" s="13">
        <f t="shared" si="175"/>
        <v>0</v>
      </c>
      <c r="Q1627" t="str">
        <f t="shared" si="176"/>
        <v>No</v>
      </c>
      <c r="R1627" t="str" cm="1">
        <f t="array" ref="R1627">_xlfn.IFS(K1627=0,"On Time",K1627&lt;=2,"Minor",K1627&lt;=5,"Major",K1627&gt;5,"Severe")</f>
        <v>Major</v>
      </c>
      <c r="S1627">
        <f t="shared" si="177"/>
        <v>2601</v>
      </c>
      <c r="T1627">
        <f t="shared" si="178"/>
        <v>2429</v>
      </c>
      <c r="U1627">
        <f t="shared" si="179"/>
        <v>2024</v>
      </c>
      <c r="V1627">
        <f t="shared" si="180"/>
        <v>10</v>
      </c>
      <c r="W1627" s="11">
        <f t="shared" si="181"/>
        <v>1</v>
      </c>
    </row>
    <row r="1628" spans="1:23">
      <c r="A1628" t="s">
        <v>1641</v>
      </c>
      <c r="B1628" s="4">
        <v>45327</v>
      </c>
      <c r="C1628" t="s">
        <v>2016</v>
      </c>
      <c r="D1628" t="s">
        <v>2025</v>
      </c>
      <c r="E1628" t="s">
        <v>2029</v>
      </c>
      <c r="F1628" t="s">
        <v>2030</v>
      </c>
      <c r="G1628" t="s">
        <v>2033</v>
      </c>
      <c r="H1628" t="s">
        <v>2038</v>
      </c>
      <c r="I1628">
        <v>1</v>
      </c>
      <c r="J1628">
        <v>5</v>
      </c>
      <c r="K1628">
        <v>4</v>
      </c>
      <c r="L1628" t="s">
        <v>2041</v>
      </c>
      <c r="M1628">
        <v>479</v>
      </c>
      <c r="N1628">
        <v>5512</v>
      </c>
      <c r="O1628">
        <v>10196</v>
      </c>
      <c r="P1628" s="13">
        <f t="shared" si="175"/>
        <v>0</v>
      </c>
      <c r="Q1628" t="str">
        <f t="shared" si="176"/>
        <v>No</v>
      </c>
      <c r="R1628" t="str" cm="1">
        <f t="array" ref="R1628">_xlfn.IFS(K1628=0,"On Time",K1628&lt;=2,"Minor",K1628&lt;=5,"Major",K1628&gt;5,"Severe")</f>
        <v>Major</v>
      </c>
      <c r="S1628">
        <f t="shared" si="177"/>
        <v>2549</v>
      </c>
      <c r="T1628">
        <f t="shared" si="178"/>
        <v>1378</v>
      </c>
      <c r="U1628">
        <f t="shared" si="179"/>
        <v>2024</v>
      </c>
      <c r="V1628">
        <f t="shared" si="180"/>
        <v>2</v>
      </c>
      <c r="W1628" s="11">
        <f t="shared" si="181"/>
        <v>1</v>
      </c>
    </row>
    <row r="1629" spans="1:23">
      <c r="A1629" t="s">
        <v>1642</v>
      </c>
      <c r="B1629" s="4">
        <v>45519</v>
      </c>
      <c r="C1629" t="s">
        <v>2017</v>
      </c>
      <c r="D1629" t="s">
        <v>2022</v>
      </c>
      <c r="E1629" t="s">
        <v>2029</v>
      </c>
      <c r="F1629" t="s">
        <v>2031</v>
      </c>
      <c r="G1629" t="s">
        <v>2033</v>
      </c>
      <c r="H1629" t="s">
        <v>2039</v>
      </c>
      <c r="I1629">
        <v>5</v>
      </c>
      <c r="J1629">
        <v>5</v>
      </c>
      <c r="K1629">
        <v>0</v>
      </c>
      <c r="L1629" t="s">
        <v>2042</v>
      </c>
      <c r="M1629">
        <v>495</v>
      </c>
      <c r="N1629">
        <v>0</v>
      </c>
      <c r="O1629">
        <v>0</v>
      </c>
      <c r="P1629" s="13">
        <f t="shared" si="175"/>
        <v>1</v>
      </c>
      <c r="Q1629" t="str">
        <f t="shared" si="176"/>
        <v>No</v>
      </c>
      <c r="R1629" t="str" cm="1">
        <f t="array" ref="R1629">_xlfn.IFS(K1629=0,"On Time",K1629&lt;=2,"Minor",K1629&lt;=5,"Major",K1629&gt;5,"Severe")</f>
        <v>On Time</v>
      </c>
      <c r="S1629">
        <f t="shared" si="177"/>
        <v>0</v>
      </c>
      <c r="T1629">
        <f t="shared" si="178"/>
        <v>0</v>
      </c>
      <c r="U1629">
        <f t="shared" si="179"/>
        <v>2024</v>
      </c>
      <c r="V1629">
        <f t="shared" si="180"/>
        <v>8</v>
      </c>
      <c r="W1629" s="11">
        <f t="shared" si="181"/>
        <v>0</v>
      </c>
    </row>
    <row r="1630" spans="1:23">
      <c r="A1630" t="s">
        <v>1643</v>
      </c>
      <c r="B1630" s="4">
        <v>45321</v>
      </c>
      <c r="C1630" t="s">
        <v>2018</v>
      </c>
      <c r="D1630" t="s">
        <v>2024</v>
      </c>
      <c r="E1630" t="s">
        <v>2029</v>
      </c>
      <c r="F1630" t="s">
        <v>2031</v>
      </c>
      <c r="G1630" t="s">
        <v>2033</v>
      </c>
      <c r="H1630" t="s">
        <v>2039</v>
      </c>
      <c r="I1630">
        <v>1</v>
      </c>
      <c r="J1630">
        <v>2</v>
      </c>
      <c r="K1630">
        <v>1</v>
      </c>
      <c r="L1630" t="s">
        <v>2041</v>
      </c>
      <c r="M1630">
        <v>425</v>
      </c>
      <c r="N1630">
        <v>1575</v>
      </c>
      <c r="O1630">
        <v>2661</v>
      </c>
      <c r="P1630" s="13">
        <f t="shared" si="175"/>
        <v>0</v>
      </c>
      <c r="Q1630" t="str">
        <f t="shared" si="176"/>
        <v>No</v>
      </c>
      <c r="R1630" t="str" cm="1">
        <f t="array" ref="R1630">_xlfn.IFS(K1630=0,"On Time",K1630&lt;=2,"Minor",K1630&lt;=5,"Major",K1630&gt;5,"Severe")</f>
        <v>Minor</v>
      </c>
      <c r="S1630">
        <f t="shared" si="177"/>
        <v>2661</v>
      </c>
      <c r="T1630">
        <f t="shared" si="178"/>
        <v>1575</v>
      </c>
      <c r="U1630">
        <f t="shared" si="179"/>
        <v>2024</v>
      </c>
      <c r="V1630">
        <f t="shared" si="180"/>
        <v>1</v>
      </c>
      <c r="W1630" s="11">
        <f t="shared" si="181"/>
        <v>1</v>
      </c>
    </row>
    <row r="1631" spans="1:23">
      <c r="A1631" t="s">
        <v>1644</v>
      </c>
      <c r="B1631" s="4">
        <v>45556</v>
      </c>
      <c r="C1631" t="s">
        <v>2018</v>
      </c>
      <c r="D1631" t="s">
        <v>2024</v>
      </c>
      <c r="E1631" t="s">
        <v>2029</v>
      </c>
      <c r="F1631" t="s">
        <v>2032</v>
      </c>
      <c r="G1631" t="s">
        <v>2037</v>
      </c>
      <c r="H1631" t="s">
        <v>2038</v>
      </c>
      <c r="I1631">
        <v>2</v>
      </c>
      <c r="J1631">
        <v>4</v>
      </c>
      <c r="K1631">
        <v>2</v>
      </c>
      <c r="L1631" t="s">
        <v>2041</v>
      </c>
      <c r="M1631">
        <v>206</v>
      </c>
      <c r="N1631">
        <v>2742</v>
      </c>
      <c r="O1631">
        <v>9730</v>
      </c>
      <c r="P1631" s="13">
        <f t="shared" si="175"/>
        <v>0</v>
      </c>
      <c r="Q1631" t="str">
        <f t="shared" si="176"/>
        <v>No</v>
      </c>
      <c r="R1631" t="str" cm="1">
        <f t="array" ref="R1631">_xlfn.IFS(K1631=0,"On Time",K1631&lt;=2,"Minor",K1631&lt;=5,"Major",K1631&gt;5,"Severe")</f>
        <v>Minor</v>
      </c>
      <c r="S1631">
        <f t="shared" si="177"/>
        <v>4865</v>
      </c>
      <c r="T1631">
        <f t="shared" si="178"/>
        <v>1371</v>
      </c>
      <c r="U1631">
        <f t="shared" si="179"/>
        <v>2024</v>
      </c>
      <c r="V1631">
        <f t="shared" si="180"/>
        <v>9</v>
      </c>
      <c r="W1631" s="11">
        <f t="shared" si="181"/>
        <v>1</v>
      </c>
    </row>
    <row r="1632" spans="1:23">
      <c r="A1632" t="s">
        <v>1645</v>
      </c>
      <c r="B1632" s="4">
        <v>45471</v>
      </c>
      <c r="C1632" t="s">
        <v>2018</v>
      </c>
      <c r="D1632" t="s">
        <v>2026</v>
      </c>
      <c r="E1632" t="s">
        <v>2028</v>
      </c>
      <c r="F1632" t="s">
        <v>2032</v>
      </c>
      <c r="G1632" t="s">
        <v>2033</v>
      </c>
      <c r="H1632" t="s">
        <v>2038</v>
      </c>
      <c r="I1632">
        <v>1</v>
      </c>
      <c r="J1632">
        <v>8</v>
      </c>
      <c r="K1632">
        <v>7</v>
      </c>
      <c r="L1632" t="s">
        <v>2041</v>
      </c>
      <c r="M1632">
        <v>104</v>
      </c>
      <c r="N1632">
        <v>17010</v>
      </c>
      <c r="O1632">
        <v>21630</v>
      </c>
      <c r="P1632" s="13">
        <f t="shared" si="175"/>
        <v>0</v>
      </c>
      <c r="Q1632" t="str">
        <f t="shared" si="176"/>
        <v>No</v>
      </c>
      <c r="R1632" t="str" cm="1">
        <f t="array" ref="R1632">_xlfn.IFS(K1632=0,"On Time",K1632&lt;=2,"Minor",K1632&lt;=5,"Major",K1632&gt;5,"Severe")</f>
        <v>Severe</v>
      </c>
      <c r="S1632">
        <f t="shared" si="177"/>
        <v>3090</v>
      </c>
      <c r="T1632">
        <f t="shared" si="178"/>
        <v>2430</v>
      </c>
      <c r="U1632">
        <f t="shared" si="179"/>
        <v>2024</v>
      </c>
      <c r="V1632">
        <f t="shared" si="180"/>
        <v>6</v>
      </c>
      <c r="W1632" s="11">
        <f t="shared" si="181"/>
        <v>1</v>
      </c>
    </row>
    <row r="1633" spans="1:23">
      <c r="A1633" t="s">
        <v>1646</v>
      </c>
      <c r="B1633" s="4">
        <v>45343</v>
      </c>
      <c r="C1633" t="s">
        <v>2015</v>
      </c>
      <c r="D1633" t="s">
        <v>2019</v>
      </c>
      <c r="E1633" t="s">
        <v>2028</v>
      </c>
      <c r="F1633" t="s">
        <v>2031</v>
      </c>
      <c r="G1633" t="s">
        <v>2033</v>
      </c>
      <c r="H1633" t="s">
        <v>2039</v>
      </c>
      <c r="I1633">
        <v>1</v>
      </c>
      <c r="J1633">
        <v>6</v>
      </c>
      <c r="K1633">
        <v>5</v>
      </c>
      <c r="L1633" t="s">
        <v>2041</v>
      </c>
      <c r="M1633">
        <v>193</v>
      </c>
      <c r="N1633">
        <v>9475</v>
      </c>
      <c r="O1633">
        <v>8875</v>
      </c>
      <c r="P1633" s="13">
        <f t="shared" si="175"/>
        <v>0</v>
      </c>
      <c r="Q1633" t="str">
        <f t="shared" si="176"/>
        <v>No</v>
      </c>
      <c r="R1633" t="str" cm="1">
        <f t="array" ref="R1633">_xlfn.IFS(K1633=0,"On Time",K1633&lt;=2,"Minor",K1633&lt;=5,"Major",K1633&gt;5,"Severe")</f>
        <v>Major</v>
      </c>
      <c r="S1633">
        <f t="shared" si="177"/>
        <v>1775</v>
      </c>
      <c r="T1633">
        <f t="shared" si="178"/>
        <v>1895</v>
      </c>
      <c r="U1633">
        <f t="shared" si="179"/>
        <v>2024</v>
      </c>
      <c r="V1633">
        <f t="shared" si="180"/>
        <v>2</v>
      </c>
      <c r="W1633" s="11">
        <f t="shared" si="181"/>
        <v>1</v>
      </c>
    </row>
    <row r="1634" spans="1:23">
      <c r="A1634" t="s">
        <v>1647</v>
      </c>
      <c r="B1634" s="4">
        <v>45374</v>
      </c>
      <c r="C1634" t="s">
        <v>2015</v>
      </c>
      <c r="D1634" t="s">
        <v>2020</v>
      </c>
      <c r="E1634" t="s">
        <v>2028</v>
      </c>
      <c r="F1634" t="s">
        <v>2031</v>
      </c>
      <c r="G1634" t="s">
        <v>2037</v>
      </c>
      <c r="H1634" t="s">
        <v>2039</v>
      </c>
      <c r="I1634">
        <v>1</v>
      </c>
      <c r="J1634">
        <v>5</v>
      </c>
      <c r="K1634">
        <v>4</v>
      </c>
      <c r="L1634" t="s">
        <v>2041</v>
      </c>
      <c r="M1634">
        <v>347</v>
      </c>
      <c r="N1634">
        <v>6000</v>
      </c>
      <c r="O1634">
        <v>14724</v>
      </c>
      <c r="P1634" s="13">
        <f t="shared" si="175"/>
        <v>0</v>
      </c>
      <c r="Q1634" t="str">
        <f t="shared" si="176"/>
        <v>No</v>
      </c>
      <c r="R1634" t="str" cm="1">
        <f t="array" ref="R1634">_xlfn.IFS(K1634=0,"On Time",K1634&lt;=2,"Minor",K1634&lt;=5,"Major",K1634&gt;5,"Severe")</f>
        <v>Major</v>
      </c>
      <c r="S1634">
        <f t="shared" si="177"/>
        <v>3681</v>
      </c>
      <c r="T1634">
        <f t="shared" si="178"/>
        <v>1500</v>
      </c>
      <c r="U1634">
        <f t="shared" si="179"/>
        <v>2024</v>
      </c>
      <c r="V1634">
        <f t="shared" si="180"/>
        <v>3</v>
      </c>
      <c r="W1634" s="11">
        <f t="shared" si="181"/>
        <v>1</v>
      </c>
    </row>
    <row r="1635" spans="1:23">
      <c r="A1635" t="s">
        <v>1648</v>
      </c>
      <c r="B1635" s="4">
        <v>45496</v>
      </c>
      <c r="C1635" t="s">
        <v>2018</v>
      </c>
      <c r="D1635" t="s">
        <v>2024</v>
      </c>
      <c r="E1635" t="s">
        <v>2028</v>
      </c>
      <c r="F1635" t="s">
        <v>2031</v>
      </c>
      <c r="G1635" t="s">
        <v>2036</v>
      </c>
      <c r="H1635" t="s">
        <v>2039</v>
      </c>
      <c r="I1635">
        <v>2</v>
      </c>
      <c r="J1635">
        <v>6</v>
      </c>
      <c r="K1635">
        <v>4</v>
      </c>
      <c r="L1635" t="s">
        <v>2041</v>
      </c>
      <c r="M1635">
        <v>299</v>
      </c>
      <c r="N1635">
        <v>4212</v>
      </c>
      <c r="O1635">
        <v>11200</v>
      </c>
      <c r="P1635" s="13">
        <f t="shared" si="175"/>
        <v>0</v>
      </c>
      <c r="Q1635" t="str">
        <f t="shared" si="176"/>
        <v>No</v>
      </c>
      <c r="R1635" t="str" cm="1">
        <f t="array" ref="R1635">_xlfn.IFS(K1635=0,"On Time",K1635&lt;=2,"Minor",K1635&lt;=5,"Major",K1635&gt;5,"Severe")</f>
        <v>Major</v>
      </c>
      <c r="S1635">
        <f t="shared" si="177"/>
        <v>2800</v>
      </c>
      <c r="T1635">
        <f t="shared" si="178"/>
        <v>1053</v>
      </c>
      <c r="U1635">
        <f t="shared" si="179"/>
        <v>2024</v>
      </c>
      <c r="V1635">
        <f t="shared" si="180"/>
        <v>7</v>
      </c>
      <c r="W1635" s="11">
        <f t="shared" si="181"/>
        <v>1</v>
      </c>
    </row>
    <row r="1636" spans="1:23">
      <c r="A1636" t="s">
        <v>1649</v>
      </c>
      <c r="B1636" s="4">
        <v>45631</v>
      </c>
      <c r="C1636" t="s">
        <v>2017</v>
      </c>
      <c r="D1636" t="s">
        <v>2023</v>
      </c>
      <c r="E1636" t="s">
        <v>2027</v>
      </c>
      <c r="F1636" t="s">
        <v>2032</v>
      </c>
      <c r="G1636" t="s">
        <v>2034</v>
      </c>
      <c r="H1636" t="s">
        <v>2038</v>
      </c>
      <c r="I1636">
        <v>1</v>
      </c>
      <c r="J1636">
        <v>7</v>
      </c>
      <c r="K1636">
        <v>6</v>
      </c>
      <c r="L1636" t="s">
        <v>2041</v>
      </c>
      <c r="M1636">
        <v>474</v>
      </c>
      <c r="N1636">
        <v>12012</v>
      </c>
      <c r="O1636">
        <v>25632</v>
      </c>
      <c r="P1636" s="13">
        <f t="shared" si="175"/>
        <v>0</v>
      </c>
      <c r="Q1636" t="str">
        <f t="shared" si="176"/>
        <v>No</v>
      </c>
      <c r="R1636" t="str" cm="1">
        <f t="array" ref="R1636">_xlfn.IFS(K1636=0,"On Time",K1636&lt;=2,"Minor",K1636&lt;=5,"Major",K1636&gt;5,"Severe")</f>
        <v>Severe</v>
      </c>
      <c r="S1636">
        <f t="shared" si="177"/>
        <v>4272</v>
      </c>
      <c r="T1636">
        <f t="shared" si="178"/>
        <v>2002</v>
      </c>
      <c r="U1636">
        <f t="shared" si="179"/>
        <v>2024</v>
      </c>
      <c r="V1636">
        <f t="shared" si="180"/>
        <v>12</v>
      </c>
      <c r="W1636" s="11">
        <f t="shared" si="181"/>
        <v>1</v>
      </c>
    </row>
    <row r="1637" spans="1:23">
      <c r="A1637" t="s">
        <v>1650</v>
      </c>
      <c r="B1637" s="4">
        <v>45420</v>
      </c>
      <c r="C1637" t="s">
        <v>2017</v>
      </c>
      <c r="D1637" t="s">
        <v>2023</v>
      </c>
      <c r="E1637" t="s">
        <v>2028</v>
      </c>
      <c r="F1637" t="s">
        <v>2031</v>
      </c>
      <c r="G1637" t="s">
        <v>2033</v>
      </c>
      <c r="H1637" t="s">
        <v>2040</v>
      </c>
      <c r="I1637">
        <v>3</v>
      </c>
      <c r="J1637">
        <v>6</v>
      </c>
      <c r="K1637">
        <v>3</v>
      </c>
      <c r="L1637" t="s">
        <v>2041</v>
      </c>
      <c r="M1637">
        <v>348</v>
      </c>
      <c r="N1637">
        <v>4275</v>
      </c>
      <c r="O1637">
        <v>7959</v>
      </c>
      <c r="P1637" s="13">
        <f t="shared" si="175"/>
        <v>0</v>
      </c>
      <c r="Q1637" t="str">
        <f t="shared" si="176"/>
        <v>No</v>
      </c>
      <c r="R1637" t="str" cm="1">
        <f t="array" ref="R1637">_xlfn.IFS(K1637=0,"On Time",K1637&lt;=2,"Minor",K1637&lt;=5,"Major",K1637&gt;5,"Severe")</f>
        <v>Major</v>
      </c>
      <c r="S1637">
        <f t="shared" si="177"/>
        <v>2653</v>
      </c>
      <c r="T1637">
        <f t="shared" si="178"/>
        <v>1425</v>
      </c>
      <c r="U1637">
        <f t="shared" si="179"/>
        <v>2024</v>
      </c>
      <c r="V1637">
        <f t="shared" si="180"/>
        <v>5</v>
      </c>
      <c r="W1637" s="11">
        <f t="shared" si="181"/>
        <v>1</v>
      </c>
    </row>
    <row r="1638" spans="1:23">
      <c r="A1638" t="s">
        <v>1651</v>
      </c>
      <c r="B1638" s="4">
        <v>45436</v>
      </c>
      <c r="C1638" t="s">
        <v>2016</v>
      </c>
      <c r="D1638" t="s">
        <v>2025</v>
      </c>
      <c r="E1638" t="s">
        <v>2028</v>
      </c>
      <c r="F1638" t="s">
        <v>2031</v>
      </c>
      <c r="G1638" t="s">
        <v>2037</v>
      </c>
      <c r="H1638" t="s">
        <v>2040</v>
      </c>
      <c r="I1638">
        <v>3</v>
      </c>
      <c r="J1638">
        <v>6</v>
      </c>
      <c r="K1638">
        <v>3</v>
      </c>
      <c r="L1638" t="s">
        <v>2041</v>
      </c>
      <c r="M1638">
        <v>161</v>
      </c>
      <c r="N1638">
        <v>3384</v>
      </c>
      <c r="O1638">
        <v>7560</v>
      </c>
      <c r="P1638" s="13">
        <f t="shared" si="175"/>
        <v>0</v>
      </c>
      <c r="Q1638" t="str">
        <f t="shared" si="176"/>
        <v>No</v>
      </c>
      <c r="R1638" t="str" cm="1">
        <f t="array" ref="R1638">_xlfn.IFS(K1638=0,"On Time",K1638&lt;=2,"Minor",K1638&lt;=5,"Major",K1638&gt;5,"Severe")</f>
        <v>Major</v>
      </c>
      <c r="S1638">
        <f t="shared" si="177"/>
        <v>2520</v>
      </c>
      <c r="T1638">
        <f t="shared" si="178"/>
        <v>1128</v>
      </c>
      <c r="U1638">
        <f t="shared" si="179"/>
        <v>2024</v>
      </c>
      <c r="V1638">
        <f t="shared" si="180"/>
        <v>5</v>
      </c>
      <c r="W1638" s="11">
        <f t="shared" si="181"/>
        <v>1</v>
      </c>
    </row>
    <row r="1639" spans="1:23">
      <c r="A1639" t="s">
        <v>1652</v>
      </c>
      <c r="B1639" s="4">
        <v>45655</v>
      </c>
      <c r="C1639" t="s">
        <v>2018</v>
      </c>
      <c r="D1639" t="s">
        <v>2024</v>
      </c>
      <c r="E1639" t="s">
        <v>2027</v>
      </c>
      <c r="F1639" t="s">
        <v>2032</v>
      </c>
      <c r="G1639" t="s">
        <v>2033</v>
      </c>
      <c r="H1639" t="s">
        <v>2038</v>
      </c>
      <c r="I1639">
        <v>5</v>
      </c>
      <c r="J1639">
        <v>8</v>
      </c>
      <c r="K1639">
        <v>3</v>
      </c>
      <c r="L1639" t="s">
        <v>2041</v>
      </c>
      <c r="M1639">
        <v>235</v>
      </c>
      <c r="N1639">
        <v>4746</v>
      </c>
      <c r="O1639">
        <v>11853</v>
      </c>
      <c r="P1639" s="13">
        <f t="shared" si="175"/>
        <v>0</v>
      </c>
      <c r="Q1639" t="str">
        <f t="shared" si="176"/>
        <v>No</v>
      </c>
      <c r="R1639" t="str" cm="1">
        <f t="array" ref="R1639">_xlfn.IFS(K1639=0,"On Time",K1639&lt;=2,"Minor",K1639&lt;=5,"Major",K1639&gt;5,"Severe")</f>
        <v>Major</v>
      </c>
      <c r="S1639">
        <f t="shared" si="177"/>
        <v>3951</v>
      </c>
      <c r="T1639">
        <f t="shared" si="178"/>
        <v>1582</v>
      </c>
      <c r="U1639">
        <f t="shared" si="179"/>
        <v>2024</v>
      </c>
      <c r="V1639">
        <f t="shared" si="180"/>
        <v>12</v>
      </c>
      <c r="W1639" s="11">
        <f t="shared" si="181"/>
        <v>1</v>
      </c>
    </row>
    <row r="1640" spans="1:23">
      <c r="A1640" t="s">
        <v>1653</v>
      </c>
      <c r="B1640" s="4">
        <v>45649</v>
      </c>
      <c r="C1640" t="s">
        <v>2015</v>
      </c>
      <c r="D1640" t="s">
        <v>2020</v>
      </c>
      <c r="E1640" t="s">
        <v>2029</v>
      </c>
      <c r="F1640" t="s">
        <v>2031</v>
      </c>
      <c r="G1640" t="s">
        <v>2034</v>
      </c>
      <c r="H1640" t="s">
        <v>2038</v>
      </c>
      <c r="I1640">
        <v>1</v>
      </c>
      <c r="J1640">
        <v>4</v>
      </c>
      <c r="K1640">
        <v>3</v>
      </c>
      <c r="L1640" t="s">
        <v>2041</v>
      </c>
      <c r="M1640">
        <v>82</v>
      </c>
      <c r="N1640">
        <v>2880</v>
      </c>
      <c r="O1640">
        <v>12732</v>
      </c>
      <c r="P1640" s="13">
        <f t="shared" si="175"/>
        <v>0</v>
      </c>
      <c r="Q1640" t="str">
        <f t="shared" si="176"/>
        <v>No</v>
      </c>
      <c r="R1640" t="str" cm="1">
        <f t="array" ref="R1640">_xlfn.IFS(K1640=0,"On Time",K1640&lt;=2,"Minor",K1640&lt;=5,"Major",K1640&gt;5,"Severe")</f>
        <v>Major</v>
      </c>
      <c r="S1640">
        <f t="shared" si="177"/>
        <v>4244</v>
      </c>
      <c r="T1640">
        <f t="shared" si="178"/>
        <v>960</v>
      </c>
      <c r="U1640">
        <f t="shared" si="179"/>
        <v>2024</v>
      </c>
      <c r="V1640">
        <f t="shared" si="180"/>
        <v>12</v>
      </c>
      <c r="W1640" s="11">
        <f t="shared" si="181"/>
        <v>1</v>
      </c>
    </row>
    <row r="1641" spans="1:23">
      <c r="A1641" t="s">
        <v>1654</v>
      </c>
      <c r="B1641" s="4">
        <v>45516</v>
      </c>
      <c r="C1641" t="s">
        <v>2018</v>
      </c>
      <c r="D1641" t="s">
        <v>2024</v>
      </c>
      <c r="E1641" t="s">
        <v>2028</v>
      </c>
      <c r="F1641" t="s">
        <v>2030</v>
      </c>
      <c r="G1641" t="s">
        <v>2035</v>
      </c>
      <c r="H1641" t="s">
        <v>2038</v>
      </c>
      <c r="I1641">
        <v>3</v>
      </c>
      <c r="J1641">
        <v>8</v>
      </c>
      <c r="K1641">
        <v>5</v>
      </c>
      <c r="L1641" t="s">
        <v>2041</v>
      </c>
      <c r="M1641">
        <v>76</v>
      </c>
      <c r="N1641">
        <v>9450</v>
      </c>
      <c r="O1641">
        <v>13660</v>
      </c>
      <c r="P1641" s="13">
        <f t="shared" si="175"/>
        <v>0</v>
      </c>
      <c r="Q1641" t="str">
        <f t="shared" si="176"/>
        <v>No</v>
      </c>
      <c r="R1641" t="str" cm="1">
        <f t="array" ref="R1641">_xlfn.IFS(K1641=0,"On Time",K1641&lt;=2,"Minor",K1641&lt;=5,"Major",K1641&gt;5,"Severe")</f>
        <v>Major</v>
      </c>
      <c r="S1641">
        <f t="shared" si="177"/>
        <v>2732</v>
      </c>
      <c r="T1641">
        <f t="shared" si="178"/>
        <v>1890</v>
      </c>
      <c r="U1641">
        <f t="shared" si="179"/>
        <v>2024</v>
      </c>
      <c r="V1641">
        <f t="shared" si="180"/>
        <v>8</v>
      </c>
      <c r="W1641" s="11">
        <f t="shared" si="181"/>
        <v>1</v>
      </c>
    </row>
    <row r="1642" spans="1:23">
      <c r="A1642" t="s">
        <v>1655</v>
      </c>
      <c r="B1642" s="4">
        <v>45520</v>
      </c>
      <c r="C1642" t="s">
        <v>2015</v>
      </c>
      <c r="D1642" t="s">
        <v>2019</v>
      </c>
      <c r="E1642" t="s">
        <v>2029</v>
      </c>
      <c r="F1642" t="s">
        <v>2030</v>
      </c>
      <c r="G1642" t="s">
        <v>2036</v>
      </c>
      <c r="H1642" t="s">
        <v>2038</v>
      </c>
      <c r="I1642">
        <v>2</v>
      </c>
      <c r="J1642">
        <v>5</v>
      </c>
      <c r="K1642">
        <v>3</v>
      </c>
      <c r="L1642" t="s">
        <v>2041</v>
      </c>
      <c r="M1642">
        <v>370</v>
      </c>
      <c r="N1642">
        <v>3465</v>
      </c>
      <c r="O1642">
        <v>11316</v>
      </c>
      <c r="P1642" s="13">
        <f t="shared" si="175"/>
        <v>0</v>
      </c>
      <c r="Q1642" t="str">
        <f t="shared" si="176"/>
        <v>No</v>
      </c>
      <c r="R1642" t="str" cm="1">
        <f t="array" ref="R1642">_xlfn.IFS(K1642=0,"On Time",K1642&lt;=2,"Minor",K1642&lt;=5,"Major",K1642&gt;5,"Severe")</f>
        <v>Major</v>
      </c>
      <c r="S1642">
        <f t="shared" si="177"/>
        <v>3772</v>
      </c>
      <c r="T1642">
        <f t="shared" si="178"/>
        <v>1155</v>
      </c>
      <c r="U1642">
        <f t="shared" si="179"/>
        <v>2024</v>
      </c>
      <c r="V1642">
        <f t="shared" si="180"/>
        <v>8</v>
      </c>
      <c r="W1642" s="11">
        <f t="shared" si="181"/>
        <v>1</v>
      </c>
    </row>
    <row r="1643" spans="1:23">
      <c r="A1643" t="s">
        <v>1656</v>
      </c>
      <c r="B1643" s="4">
        <v>45302</v>
      </c>
      <c r="C1643" t="s">
        <v>2015</v>
      </c>
      <c r="D1643" t="s">
        <v>2020</v>
      </c>
      <c r="E1643" t="s">
        <v>2029</v>
      </c>
      <c r="F1643" t="s">
        <v>2032</v>
      </c>
      <c r="G1643" t="s">
        <v>2035</v>
      </c>
      <c r="H1643" t="s">
        <v>2038</v>
      </c>
      <c r="I1643">
        <v>3</v>
      </c>
      <c r="J1643">
        <v>8</v>
      </c>
      <c r="K1643">
        <v>5</v>
      </c>
      <c r="L1643" t="s">
        <v>2041</v>
      </c>
      <c r="M1643">
        <v>78</v>
      </c>
      <c r="N1643">
        <v>5600</v>
      </c>
      <c r="O1643">
        <v>16685</v>
      </c>
      <c r="P1643" s="13">
        <f t="shared" si="175"/>
        <v>0</v>
      </c>
      <c r="Q1643" t="str">
        <f t="shared" si="176"/>
        <v>No</v>
      </c>
      <c r="R1643" t="str" cm="1">
        <f t="array" ref="R1643">_xlfn.IFS(K1643=0,"On Time",K1643&lt;=2,"Minor",K1643&lt;=5,"Major",K1643&gt;5,"Severe")</f>
        <v>Major</v>
      </c>
      <c r="S1643">
        <f t="shared" si="177"/>
        <v>3337</v>
      </c>
      <c r="T1643">
        <f t="shared" si="178"/>
        <v>1120</v>
      </c>
      <c r="U1643">
        <f t="shared" si="179"/>
        <v>2024</v>
      </c>
      <c r="V1643">
        <f t="shared" si="180"/>
        <v>1</v>
      </c>
      <c r="W1643" s="11">
        <f t="shared" si="181"/>
        <v>1</v>
      </c>
    </row>
    <row r="1644" spans="1:23">
      <c r="A1644" t="s">
        <v>1657</v>
      </c>
      <c r="B1644" s="4">
        <v>45490</v>
      </c>
      <c r="C1644" t="s">
        <v>2015</v>
      </c>
      <c r="D1644" t="s">
        <v>2020</v>
      </c>
      <c r="E1644" t="s">
        <v>2028</v>
      </c>
      <c r="F1644" t="s">
        <v>2031</v>
      </c>
      <c r="G1644" t="s">
        <v>2035</v>
      </c>
      <c r="H1644" t="s">
        <v>2039</v>
      </c>
      <c r="I1644">
        <v>2</v>
      </c>
      <c r="J1644">
        <v>3</v>
      </c>
      <c r="K1644">
        <v>1</v>
      </c>
      <c r="L1644" t="s">
        <v>2041</v>
      </c>
      <c r="M1644">
        <v>452</v>
      </c>
      <c r="N1644">
        <v>1711</v>
      </c>
      <c r="O1644">
        <v>1532</v>
      </c>
      <c r="P1644" s="13">
        <f t="shared" si="175"/>
        <v>0</v>
      </c>
      <c r="Q1644" t="str">
        <f t="shared" si="176"/>
        <v>No</v>
      </c>
      <c r="R1644" t="str" cm="1">
        <f t="array" ref="R1644">_xlfn.IFS(K1644=0,"On Time",K1644&lt;=2,"Minor",K1644&lt;=5,"Major",K1644&gt;5,"Severe")</f>
        <v>Minor</v>
      </c>
      <c r="S1644">
        <f t="shared" si="177"/>
        <v>1532</v>
      </c>
      <c r="T1644">
        <f t="shared" si="178"/>
        <v>1711</v>
      </c>
      <c r="U1644">
        <f t="shared" si="179"/>
        <v>2024</v>
      </c>
      <c r="V1644">
        <f t="shared" si="180"/>
        <v>7</v>
      </c>
      <c r="W1644" s="11">
        <f t="shared" si="181"/>
        <v>1</v>
      </c>
    </row>
    <row r="1645" spans="1:23">
      <c r="A1645" t="s">
        <v>1658</v>
      </c>
      <c r="B1645" s="4">
        <v>45314</v>
      </c>
      <c r="C1645" t="s">
        <v>2018</v>
      </c>
      <c r="D1645" t="s">
        <v>2026</v>
      </c>
      <c r="E1645" t="s">
        <v>2027</v>
      </c>
      <c r="F1645" t="s">
        <v>2030</v>
      </c>
      <c r="G1645" t="s">
        <v>2035</v>
      </c>
      <c r="H1645" t="s">
        <v>2038</v>
      </c>
      <c r="I1645">
        <v>5</v>
      </c>
      <c r="J1645">
        <v>7</v>
      </c>
      <c r="K1645">
        <v>2</v>
      </c>
      <c r="L1645" t="s">
        <v>2041</v>
      </c>
      <c r="M1645">
        <v>422</v>
      </c>
      <c r="N1645">
        <v>2710</v>
      </c>
      <c r="O1645">
        <v>3490</v>
      </c>
      <c r="P1645" s="13">
        <f t="shared" si="175"/>
        <v>0</v>
      </c>
      <c r="Q1645" t="str">
        <f t="shared" si="176"/>
        <v>No</v>
      </c>
      <c r="R1645" t="str" cm="1">
        <f t="array" ref="R1645">_xlfn.IFS(K1645=0,"On Time",K1645&lt;=2,"Minor",K1645&lt;=5,"Major",K1645&gt;5,"Severe")</f>
        <v>Minor</v>
      </c>
      <c r="S1645">
        <f t="shared" si="177"/>
        <v>1745</v>
      </c>
      <c r="T1645">
        <f t="shared" si="178"/>
        <v>1355</v>
      </c>
      <c r="U1645">
        <f t="shared" si="179"/>
        <v>2024</v>
      </c>
      <c r="V1645">
        <f t="shared" si="180"/>
        <v>1</v>
      </c>
      <c r="W1645" s="11">
        <f t="shared" si="181"/>
        <v>1</v>
      </c>
    </row>
    <row r="1646" spans="1:23">
      <c r="A1646" t="s">
        <v>1659</v>
      </c>
      <c r="B1646" s="4">
        <v>45456</v>
      </c>
      <c r="C1646" t="s">
        <v>2015</v>
      </c>
      <c r="D1646" t="s">
        <v>2019</v>
      </c>
      <c r="E1646" t="s">
        <v>2028</v>
      </c>
      <c r="F1646" t="s">
        <v>2031</v>
      </c>
      <c r="G1646" t="s">
        <v>2034</v>
      </c>
      <c r="H1646" t="s">
        <v>2039</v>
      </c>
      <c r="I1646">
        <v>3</v>
      </c>
      <c r="J1646">
        <v>5</v>
      </c>
      <c r="K1646">
        <v>2</v>
      </c>
      <c r="L1646" t="s">
        <v>2041</v>
      </c>
      <c r="M1646">
        <v>316</v>
      </c>
      <c r="N1646">
        <v>2078</v>
      </c>
      <c r="O1646">
        <v>8580</v>
      </c>
      <c r="P1646" s="13">
        <f t="shared" si="175"/>
        <v>0</v>
      </c>
      <c r="Q1646" t="str">
        <f t="shared" si="176"/>
        <v>No</v>
      </c>
      <c r="R1646" t="str" cm="1">
        <f t="array" ref="R1646">_xlfn.IFS(K1646=0,"On Time",K1646&lt;=2,"Minor",K1646&lt;=5,"Major",K1646&gt;5,"Severe")</f>
        <v>Minor</v>
      </c>
      <c r="S1646">
        <f t="shared" si="177"/>
        <v>4290</v>
      </c>
      <c r="T1646">
        <f t="shared" si="178"/>
        <v>1039</v>
      </c>
      <c r="U1646">
        <f t="shared" si="179"/>
        <v>2024</v>
      </c>
      <c r="V1646">
        <f t="shared" si="180"/>
        <v>6</v>
      </c>
      <c r="W1646" s="11">
        <f t="shared" si="181"/>
        <v>1</v>
      </c>
    </row>
    <row r="1647" spans="1:23">
      <c r="A1647" t="s">
        <v>1660</v>
      </c>
      <c r="B1647" s="4">
        <v>45429</v>
      </c>
      <c r="C1647" t="s">
        <v>2015</v>
      </c>
      <c r="D1647" t="s">
        <v>2020</v>
      </c>
      <c r="E1647" t="s">
        <v>2029</v>
      </c>
      <c r="F1647" t="s">
        <v>2030</v>
      </c>
      <c r="G1647" t="s">
        <v>2036</v>
      </c>
      <c r="H1647" t="s">
        <v>2040</v>
      </c>
      <c r="I1647">
        <v>5</v>
      </c>
      <c r="J1647">
        <v>12</v>
      </c>
      <c r="K1647">
        <v>7</v>
      </c>
      <c r="L1647" t="s">
        <v>2041</v>
      </c>
      <c r="M1647">
        <v>256</v>
      </c>
      <c r="N1647">
        <v>15064</v>
      </c>
      <c r="O1647">
        <v>25137</v>
      </c>
      <c r="P1647" s="13">
        <f t="shared" si="175"/>
        <v>0</v>
      </c>
      <c r="Q1647" t="str">
        <f t="shared" si="176"/>
        <v>No</v>
      </c>
      <c r="R1647" t="str" cm="1">
        <f t="array" ref="R1647">_xlfn.IFS(K1647=0,"On Time",K1647&lt;=2,"Minor",K1647&lt;=5,"Major",K1647&gt;5,"Severe")</f>
        <v>Severe</v>
      </c>
      <c r="S1647">
        <f t="shared" si="177"/>
        <v>3591</v>
      </c>
      <c r="T1647">
        <f t="shared" si="178"/>
        <v>2152</v>
      </c>
      <c r="U1647">
        <f t="shared" si="179"/>
        <v>2024</v>
      </c>
      <c r="V1647">
        <f t="shared" si="180"/>
        <v>5</v>
      </c>
      <c r="W1647" s="11">
        <f t="shared" si="181"/>
        <v>1</v>
      </c>
    </row>
    <row r="1648" spans="1:23">
      <c r="A1648" t="s">
        <v>1661</v>
      </c>
      <c r="B1648" s="4">
        <v>45351</v>
      </c>
      <c r="C1648" t="s">
        <v>2017</v>
      </c>
      <c r="D1648" t="s">
        <v>2023</v>
      </c>
      <c r="E1648" t="s">
        <v>2029</v>
      </c>
      <c r="F1648" t="s">
        <v>2030</v>
      </c>
      <c r="G1648" t="s">
        <v>2036</v>
      </c>
      <c r="H1648" t="s">
        <v>2040</v>
      </c>
      <c r="I1648">
        <v>1</v>
      </c>
      <c r="J1648">
        <v>4</v>
      </c>
      <c r="K1648">
        <v>3</v>
      </c>
      <c r="L1648" t="s">
        <v>2041</v>
      </c>
      <c r="M1648">
        <v>428</v>
      </c>
      <c r="N1648">
        <v>4539</v>
      </c>
      <c r="O1648">
        <v>10632</v>
      </c>
      <c r="P1648" s="13">
        <f t="shared" si="175"/>
        <v>0</v>
      </c>
      <c r="Q1648" t="str">
        <f t="shared" si="176"/>
        <v>No</v>
      </c>
      <c r="R1648" t="str" cm="1">
        <f t="array" ref="R1648">_xlfn.IFS(K1648=0,"On Time",K1648&lt;=2,"Minor",K1648&lt;=5,"Major",K1648&gt;5,"Severe")</f>
        <v>Major</v>
      </c>
      <c r="S1648">
        <f t="shared" si="177"/>
        <v>3544</v>
      </c>
      <c r="T1648">
        <f t="shared" si="178"/>
        <v>1513</v>
      </c>
      <c r="U1648">
        <f t="shared" si="179"/>
        <v>2024</v>
      </c>
      <c r="V1648">
        <f t="shared" si="180"/>
        <v>2</v>
      </c>
      <c r="W1648" s="11">
        <f t="shared" si="181"/>
        <v>1</v>
      </c>
    </row>
    <row r="1649" spans="1:23">
      <c r="A1649" t="s">
        <v>1662</v>
      </c>
      <c r="B1649" s="4">
        <v>45527</v>
      </c>
      <c r="C1649" t="s">
        <v>2017</v>
      </c>
      <c r="D1649" t="s">
        <v>2022</v>
      </c>
      <c r="E1649" t="s">
        <v>2028</v>
      </c>
      <c r="F1649" t="s">
        <v>2031</v>
      </c>
      <c r="G1649" t="s">
        <v>2035</v>
      </c>
      <c r="H1649" t="s">
        <v>2038</v>
      </c>
      <c r="I1649">
        <v>2</v>
      </c>
      <c r="J1649">
        <v>7</v>
      </c>
      <c r="K1649">
        <v>5</v>
      </c>
      <c r="L1649" t="s">
        <v>2041</v>
      </c>
      <c r="M1649">
        <v>76</v>
      </c>
      <c r="N1649">
        <v>4935</v>
      </c>
      <c r="O1649">
        <v>14610</v>
      </c>
      <c r="P1649" s="13">
        <f t="shared" si="175"/>
        <v>0</v>
      </c>
      <c r="Q1649" t="str">
        <f t="shared" si="176"/>
        <v>No</v>
      </c>
      <c r="R1649" t="str" cm="1">
        <f t="array" ref="R1649">_xlfn.IFS(K1649=0,"On Time",K1649&lt;=2,"Minor",K1649&lt;=5,"Major",K1649&gt;5,"Severe")</f>
        <v>Major</v>
      </c>
      <c r="S1649">
        <f t="shared" si="177"/>
        <v>2922</v>
      </c>
      <c r="T1649">
        <f t="shared" si="178"/>
        <v>987</v>
      </c>
      <c r="U1649">
        <f t="shared" si="179"/>
        <v>2024</v>
      </c>
      <c r="V1649">
        <f t="shared" si="180"/>
        <v>8</v>
      </c>
      <c r="W1649" s="11">
        <f t="shared" si="181"/>
        <v>1</v>
      </c>
    </row>
    <row r="1650" spans="1:23">
      <c r="A1650" t="s">
        <v>1663</v>
      </c>
      <c r="B1650" s="4">
        <v>45396</v>
      </c>
      <c r="C1650" t="s">
        <v>2017</v>
      </c>
      <c r="D1650" t="s">
        <v>2022</v>
      </c>
      <c r="E1650" t="s">
        <v>2028</v>
      </c>
      <c r="F1650" t="s">
        <v>2030</v>
      </c>
      <c r="G1650" t="s">
        <v>2034</v>
      </c>
      <c r="H1650" t="s">
        <v>2040</v>
      </c>
      <c r="I1650">
        <v>2</v>
      </c>
      <c r="J1650">
        <v>5</v>
      </c>
      <c r="K1650">
        <v>3</v>
      </c>
      <c r="L1650" t="s">
        <v>2041</v>
      </c>
      <c r="M1650">
        <v>427</v>
      </c>
      <c r="N1650">
        <v>7140</v>
      </c>
      <c r="O1650">
        <v>14991</v>
      </c>
      <c r="P1650" s="13">
        <f t="shared" si="175"/>
        <v>0</v>
      </c>
      <c r="Q1650" t="str">
        <f t="shared" si="176"/>
        <v>No</v>
      </c>
      <c r="R1650" t="str" cm="1">
        <f t="array" ref="R1650">_xlfn.IFS(K1650=0,"On Time",K1650&lt;=2,"Minor",K1650&lt;=5,"Major",K1650&gt;5,"Severe")</f>
        <v>Major</v>
      </c>
      <c r="S1650">
        <f t="shared" si="177"/>
        <v>4997</v>
      </c>
      <c r="T1650">
        <f t="shared" si="178"/>
        <v>2380</v>
      </c>
      <c r="U1650">
        <f t="shared" si="179"/>
        <v>2024</v>
      </c>
      <c r="V1650">
        <f t="shared" si="180"/>
        <v>4</v>
      </c>
      <c r="W1650" s="11">
        <f t="shared" si="181"/>
        <v>1</v>
      </c>
    </row>
    <row r="1651" spans="1:23">
      <c r="A1651" t="s">
        <v>1664</v>
      </c>
      <c r="B1651" s="4">
        <v>45344</v>
      </c>
      <c r="C1651" t="s">
        <v>2016</v>
      </c>
      <c r="D1651" t="s">
        <v>2021</v>
      </c>
      <c r="E1651" t="s">
        <v>2029</v>
      </c>
      <c r="F1651" t="s">
        <v>2030</v>
      </c>
      <c r="G1651" t="s">
        <v>2035</v>
      </c>
      <c r="H1651" t="s">
        <v>2040</v>
      </c>
      <c r="I1651">
        <v>2</v>
      </c>
      <c r="J1651">
        <v>7</v>
      </c>
      <c r="K1651">
        <v>5</v>
      </c>
      <c r="L1651" t="s">
        <v>2041</v>
      </c>
      <c r="M1651">
        <v>375</v>
      </c>
      <c r="N1651">
        <v>9135</v>
      </c>
      <c r="O1651">
        <v>21955</v>
      </c>
      <c r="P1651" s="13">
        <f t="shared" si="175"/>
        <v>0</v>
      </c>
      <c r="Q1651" t="str">
        <f t="shared" si="176"/>
        <v>No</v>
      </c>
      <c r="R1651" t="str" cm="1">
        <f t="array" ref="R1651">_xlfn.IFS(K1651=0,"On Time",K1651&lt;=2,"Minor",K1651&lt;=5,"Major",K1651&gt;5,"Severe")</f>
        <v>Major</v>
      </c>
      <c r="S1651">
        <f t="shared" si="177"/>
        <v>4391</v>
      </c>
      <c r="T1651">
        <f t="shared" si="178"/>
        <v>1827</v>
      </c>
      <c r="U1651">
        <f t="shared" si="179"/>
        <v>2024</v>
      </c>
      <c r="V1651">
        <f t="shared" si="180"/>
        <v>2</v>
      </c>
      <c r="W1651" s="11">
        <f t="shared" si="181"/>
        <v>1</v>
      </c>
    </row>
    <row r="1652" spans="1:23">
      <c r="A1652" t="s">
        <v>1665</v>
      </c>
      <c r="B1652" s="4">
        <v>45310</v>
      </c>
      <c r="C1652" t="s">
        <v>2016</v>
      </c>
      <c r="D1652" t="s">
        <v>2021</v>
      </c>
      <c r="E1652" t="s">
        <v>2027</v>
      </c>
      <c r="F1652" t="s">
        <v>2030</v>
      </c>
      <c r="G1652" t="s">
        <v>2036</v>
      </c>
      <c r="H1652" t="s">
        <v>2040</v>
      </c>
      <c r="I1652">
        <v>5</v>
      </c>
      <c r="J1652">
        <v>11</v>
      </c>
      <c r="K1652">
        <v>6</v>
      </c>
      <c r="L1652" t="s">
        <v>2041</v>
      </c>
      <c r="M1652">
        <v>280</v>
      </c>
      <c r="N1652">
        <v>10206</v>
      </c>
      <c r="O1652">
        <v>18246</v>
      </c>
      <c r="P1652" s="13">
        <f t="shared" si="175"/>
        <v>0</v>
      </c>
      <c r="Q1652" t="str">
        <f t="shared" si="176"/>
        <v>No</v>
      </c>
      <c r="R1652" t="str" cm="1">
        <f t="array" ref="R1652">_xlfn.IFS(K1652=0,"On Time",K1652&lt;=2,"Minor",K1652&lt;=5,"Major",K1652&gt;5,"Severe")</f>
        <v>Severe</v>
      </c>
      <c r="S1652">
        <f t="shared" si="177"/>
        <v>3041</v>
      </c>
      <c r="T1652">
        <f t="shared" si="178"/>
        <v>1701</v>
      </c>
      <c r="U1652">
        <f t="shared" si="179"/>
        <v>2024</v>
      </c>
      <c r="V1652">
        <f t="shared" si="180"/>
        <v>1</v>
      </c>
      <c r="W1652" s="11">
        <f t="shared" si="181"/>
        <v>1</v>
      </c>
    </row>
    <row r="1653" spans="1:23">
      <c r="A1653" t="s">
        <v>1666</v>
      </c>
      <c r="B1653" s="4">
        <v>45563</v>
      </c>
      <c r="C1653" t="s">
        <v>2018</v>
      </c>
      <c r="D1653" t="s">
        <v>2024</v>
      </c>
      <c r="E1653" t="s">
        <v>2029</v>
      </c>
      <c r="F1653" t="s">
        <v>2030</v>
      </c>
      <c r="G1653" t="s">
        <v>2033</v>
      </c>
      <c r="H1653" t="s">
        <v>2040</v>
      </c>
      <c r="I1653">
        <v>2</v>
      </c>
      <c r="J1653">
        <v>8</v>
      </c>
      <c r="K1653">
        <v>6</v>
      </c>
      <c r="L1653" t="s">
        <v>2041</v>
      </c>
      <c r="M1653">
        <v>290</v>
      </c>
      <c r="N1653">
        <v>6192</v>
      </c>
      <c r="O1653">
        <v>14280</v>
      </c>
      <c r="P1653" s="13">
        <f t="shared" si="175"/>
        <v>0</v>
      </c>
      <c r="Q1653" t="str">
        <f t="shared" si="176"/>
        <v>No</v>
      </c>
      <c r="R1653" t="str" cm="1">
        <f t="array" ref="R1653">_xlfn.IFS(K1653=0,"On Time",K1653&lt;=2,"Minor",K1653&lt;=5,"Major",K1653&gt;5,"Severe")</f>
        <v>Severe</v>
      </c>
      <c r="S1653">
        <f t="shared" si="177"/>
        <v>2380</v>
      </c>
      <c r="T1653">
        <f t="shared" si="178"/>
        <v>1032</v>
      </c>
      <c r="U1653">
        <f t="shared" si="179"/>
        <v>2024</v>
      </c>
      <c r="V1653">
        <f t="shared" si="180"/>
        <v>9</v>
      </c>
      <c r="W1653" s="11">
        <f t="shared" si="181"/>
        <v>1</v>
      </c>
    </row>
    <row r="1654" spans="1:23">
      <c r="A1654" t="s">
        <v>1667</v>
      </c>
      <c r="B1654" s="4">
        <v>45484</v>
      </c>
      <c r="C1654" t="s">
        <v>2015</v>
      </c>
      <c r="D1654" t="s">
        <v>2020</v>
      </c>
      <c r="E1654" t="s">
        <v>2027</v>
      </c>
      <c r="F1654" t="s">
        <v>2031</v>
      </c>
      <c r="G1654" t="s">
        <v>2033</v>
      </c>
      <c r="H1654" t="s">
        <v>2039</v>
      </c>
      <c r="I1654">
        <v>1</v>
      </c>
      <c r="J1654">
        <v>2</v>
      </c>
      <c r="K1654">
        <v>1</v>
      </c>
      <c r="L1654" t="s">
        <v>2041</v>
      </c>
      <c r="M1654">
        <v>404</v>
      </c>
      <c r="N1654">
        <v>1584</v>
      </c>
      <c r="O1654">
        <v>3995</v>
      </c>
      <c r="P1654" s="13">
        <f t="shared" si="175"/>
        <v>0</v>
      </c>
      <c r="Q1654" t="str">
        <f t="shared" si="176"/>
        <v>No</v>
      </c>
      <c r="R1654" t="str" cm="1">
        <f t="array" ref="R1654">_xlfn.IFS(K1654=0,"On Time",K1654&lt;=2,"Minor",K1654&lt;=5,"Major",K1654&gt;5,"Severe")</f>
        <v>Minor</v>
      </c>
      <c r="S1654">
        <f t="shared" si="177"/>
        <v>3995</v>
      </c>
      <c r="T1654">
        <f t="shared" si="178"/>
        <v>1584</v>
      </c>
      <c r="U1654">
        <f t="shared" si="179"/>
        <v>2024</v>
      </c>
      <c r="V1654">
        <f t="shared" si="180"/>
        <v>7</v>
      </c>
      <c r="W1654" s="11">
        <f t="shared" si="181"/>
        <v>1</v>
      </c>
    </row>
    <row r="1655" spans="1:23">
      <c r="A1655" t="s">
        <v>1668</v>
      </c>
      <c r="B1655" s="4">
        <v>45651</v>
      </c>
      <c r="C1655" t="s">
        <v>2015</v>
      </c>
      <c r="D1655" t="s">
        <v>2020</v>
      </c>
      <c r="E1655" t="s">
        <v>2027</v>
      </c>
      <c r="F1655" t="s">
        <v>2030</v>
      </c>
      <c r="G1655" t="s">
        <v>2037</v>
      </c>
      <c r="H1655" t="s">
        <v>2039</v>
      </c>
      <c r="I1655">
        <v>1</v>
      </c>
      <c r="J1655">
        <v>4</v>
      </c>
      <c r="K1655">
        <v>3</v>
      </c>
      <c r="L1655" t="s">
        <v>2041</v>
      </c>
      <c r="M1655">
        <v>416</v>
      </c>
      <c r="N1655">
        <v>4200</v>
      </c>
      <c r="O1655">
        <v>14463</v>
      </c>
      <c r="P1655" s="13">
        <f t="shared" si="175"/>
        <v>0</v>
      </c>
      <c r="Q1655" t="str">
        <f t="shared" si="176"/>
        <v>No</v>
      </c>
      <c r="R1655" t="str" cm="1">
        <f t="array" ref="R1655">_xlfn.IFS(K1655=0,"On Time",K1655&lt;=2,"Minor",K1655&lt;=5,"Major",K1655&gt;5,"Severe")</f>
        <v>Major</v>
      </c>
      <c r="S1655">
        <f t="shared" si="177"/>
        <v>4821</v>
      </c>
      <c r="T1655">
        <f t="shared" si="178"/>
        <v>1400</v>
      </c>
      <c r="U1655">
        <f t="shared" si="179"/>
        <v>2024</v>
      </c>
      <c r="V1655">
        <f t="shared" si="180"/>
        <v>12</v>
      </c>
      <c r="W1655" s="11">
        <f t="shared" si="181"/>
        <v>1</v>
      </c>
    </row>
    <row r="1656" spans="1:23">
      <c r="A1656" t="s">
        <v>1669</v>
      </c>
      <c r="B1656" s="4">
        <v>45593</v>
      </c>
      <c r="C1656" t="s">
        <v>2018</v>
      </c>
      <c r="D1656" t="s">
        <v>2026</v>
      </c>
      <c r="E1656" t="s">
        <v>2029</v>
      </c>
      <c r="F1656" t="s">
        <v>2031</v>
      </c>
      <c r="G1656" t="s">
        <v>2035</v>
      </c>
      <c r="H1656" t="s">
        <v>2039</v>
      </c>
      <c r="I1656">
        <v>2</v>
      </c>
      <c r="J1656">
        <v>2</v>
      </c>
      <c r="K1656">
        <v>0</v>
      </c>
      <c r="L1656" t="s">
        <v>2042</v>
      </c>
      <c r="M1656">
        <v>142</v>
      </c>
      <c r="N1656">
        <v>0</v>
      </c>
      <c r="O1656">
        <v>0</v>
      </c>
      <c r="P1656" s="13">
        <f t="shared" si="175"/>
        <v>1</v>
      </c>
      <c r="Q1656" t="str">
        <f t="shared" si="176"/>
        <v>No</v>
      </c>
      <c r="R1656" t="str" cm="1">
        <f t="array" ref="R1656">_xlfn.IFS(K1656=0,"On Time",K1656&lt;=2,"Minor",K1656&lt;=5,"Major",K1656&gt;5,"Severe")</f>
        <v>On Time</v>
      </c>
      <c r="S1656">
        <f t="shared" si="177"/>
        <v>0</v>
      </c>
      <c r="T1656">
        <f t="shared" si="178"/>
        <v>0</v>
      </c>
      <c r="U1656">
        <f t="shared" si="179"/>
        <v>2024</v>
      </c>
      <c r="V1656">
        <f t="shared" si="180"/>
        <v>10</v>
      </c>
      <c r="W1656" s="11">
        <f t="shared" si="181"/>
        <v>0</v>
      </c>
    </row>
    <row r="1657" spans="1:23">
      <c r="A1657" t="s">
        <v>1670</v>
      </c>
      <c r="B1657" s="4">
        <v>45514</v>
      </c>
      <c r="C1657" t="s">
        <v>2017</v>
      </c>
      <c r="D1657" t="s">
        <v>2023</v>
      </c>
      <c r="E1657" t="s">
        <v>2027</v>
      </c>
      <c r="F1657" t="s">
        <v>2032</v>
      </c>
      <c r="G1657" t="s">
        <v>2035</v>
      </c>
      <c r="H1657" t="s">
        <v>2038</v>
      </c>
      <c r="I1657">
        <v>1</v>
      </c>
      <c r="J1657">
        <v>4</v>
      </c>
      <c r="K1657">
        <v>3</v>
      </c>
      <c r="L1657" t="s">
        <v>2041</v>
      </c>
      <c r="M1657">
        <v>301</v>
      </c>
      <c r="N1657">
        <v>2643</v>
      </c>
      <c r="O1657">
        <v>14829</v>
      </c>
      <c r="P1657" s="13">
        <f t="shared" si="175"/>
        <v>0</v>
      </c>
      <c r="Q1657" t="str">
        <f t="shared" si="176"/>
        <v>No</v>
      </c>
      <c r="R1657" t="str" cm="1">
        <f t="array" ref="R1657">_xlfn.IFS(K1657=0,"On Time",K1657&lt;=2,"Minor",K1657&lt;=5,"Major",K1657&gt;5,"Severe")</f>
        <v>Major</v>
      </c>
      <c r="S1657">
        <f t="shared" si="177"/>
        <v>4943</v>
      </c>
      <c r="T1657">
        <f t="shared" si="178"/>
        <v>881</v>
      </c>
      <c r="U1657">
        <f t="shared" si="179"/>
        <v>2024</v>
      </c>
      <c r="V1657">
        <f t="shared" si="180"/>
        <v>8</v>
      </c>
      <c r="W1657" s="11">
        <f t="shared" si="181"/>
        <v>1</v>
      </c>
    </row>
    <row r="1658" spans="1:23">
      <c r="A1658" t="s">
        <v>1671</v>
      </c>
      <c r="B1658" s="4">
        <v>45425</v>
      </c>
      <c r="C1658" t="s">
        <v>2018</v>
      </c>
      <c r="D1658" t="s">
        <v>2026</v>
      </c>
      <c r="E1658" t="s">
        <v>2028</v>
      </c>
      <c r="F1658" t="s">
        <v>2031</v>
      </c>
      <c r="G1658" t="s">
        <v>2037</v>
      </c>
      <c r="H1658" t="s">
        <v>2039</v>
      </c>
      <c r="I1658">
        <v>2</v>
      </c>
      <c r="J1658">
        <v>3</v>
      </c>
      <c r="K1658">
        <v>1</v>
      </c>
      <c r="L1658" t="s">
        <v>2041</v>
      </c>
      <c r="M1658">
        <v>267</v>
      </c>
      <c r="N1658">
        <v>1871</v>
      </c>
      <c r="O1658">
        <v>1940</v>
      </c>
      <c r="P1658" s="13">
        <f t="shared" si="175"/>
        <v>0</v>
      </c>
      <c r="Q1658" t="str">
        <f t="shared" si="176"/>
        <v>No</v>
      </c>
      <c r="R1658" t="str" cm="1">
        <f t="array" ref="R1658">_xlfn.IFS(K1658=0,"On Time",K1658&lt;=2,"Minor",K1658&lt;=5,"Major",K1658&gt;5,"Severe")</f>
        <v>Minor</v>
      </c>
      <c r="S1658">
        <f t="shared" si="177"/>
        <v>1940</v>
      </c>
      <c r="T1658">
        <f t="shared" si="178"/>
        <v>1871</v>
      </c>
      <c r="U1658">
        <f t="shared" si="179"/>
        <v>2024</v>
      </c>
      <c r="V1658">
        <f t="shared" si="180"/>
        <v>5</v>
      </c>
      <c r="W1658" s="11">
        <f t="shared" si="181"/>
        <v>1</v>
      </c>
    </row>
    <row r="1659" spans="1:23">
      <c r="A1659" t="s">
        <v>1672</v>
      </c>
      <c r="B1659" s="4">
        <v>45417</v>
      </c>
      <c r="C1659" t="s">
        <v>2018</v>
      </c>
      <c r="D1659" t="s">
        <v>2024</v>
      </c>
      <c r="E1659" t="s">
        <v>2029</v>
      </c>
      <c r="F1659" t="s">
        <v>2032</v>
      </c>
      <c r="G1659" t="s">
        <v>2037</v>
      </c>
      <c r="H1659" t="s">
        <v>2039</v>
      </c>
      <c r="I1659">
        <v>3</v>
      </c>
      <c r="J1659">
        <v>6</v>
      </c>
      <c r="K1659">
        <v>3</v>
      </c>
      <c r="L1659" t="s">
        <v>2041</v>
      </c>
      <c r="M1659">
        <v>257</v>
      </c>
      <c r="N1659">
        <v>4095</v>
      </c>
      <c r="O1659">
        <v>8892</v>
      </c>
      <c r="P1659" s="13">
        <f t="shared" si="175"/>
        <v>0</v>
      </c>
      <c r="Q1659" t="str">
        <f t="shared" si="176"/>
        <v>No</v>
      </c>
      <c r="R1659" t="str" cm="1">
        <f t="array" ref="R1659">_xlfn.IFS(K1659=0,"On Time",K1659&lt;=2,"Minor",K1659&lt;=5,"Major",K1659&gt;5,"Severe")</f>
        <v>Major</v>
      </c>
      <c r="S1659">
        <f t="shared" si="177"/>
        <v>2964</v>
      </c>
      <c r="T1659">
        <f t="shared" si="178"/>
        <v>1365</v>
      </c>
      <c r="U1659">
        <f t="shared" si="179"/>
        <v>2024</v>
      </c>
      <c r="V1659">
        <f t="shared" si="180"/>
        <v>5</v>
      </c>
      <c r="W1659" s="11">
        <f t="shared" si="181"/>
        <v>1</v>
      </c>
    </row>
    <row r="1660" spans="1:23">
      <c r="A1660" t="s">
        <v>1673</v>
      </c>
      <c r="B1660" s="4">
        <v>45330</v>
      </c>
      <c r="C1660" t="s">
        <v>2016</v>
      </c>
      <c r="D1660" t="s">
        <v>2021</v>
      </c>
      <c r="E1660" t="s">
        <v>2029</v>
      </c>
      <c r="F1660" t="s">
        <v>2032</v>
      </c>
      <c r="G1660" t="s">
        <v>2033</v>
      </c>
      <c r="H1660" t="s">
        <v>2039</v>
      </c>
      <c r="I1660">
        <v>3</v>
      </c>
      <c r="J1660">
        <v>9</v>
      </c>
      <c r="K1660">
        <v>6</v>
      </c>
      <c r="L1660" t="s">
        <v>2041</v>
      </c>
      <c r="M1660">
        <v>312</v>
      </c>
      <c r="N1660">
        <v>13782</v>
      </c>
      <c r="O1660">
        <v>12234</v>
      </c>
      <c r="P1660" s="13">
        <f t="shared" si="175"/>
        <v>0</v>
      </c>
      <c r="Q1660" t="str">
        <f t="shared" si="176"/>
        <v>No</v>
      </c>
      <c r="R1660" t="str" cm="1">
        <f t="array" ref="R1660">_xlfn.IFS(K1660=0,"On Time",K1660&lt;=2,"Minor",K1660&lt;=5,"Major",K1660&gt;5,"Severe")</f>
        <v>Severe</v>
      </c>
      <c r="S1660">
        <f t="shared" si="177"/>
        <v>2039</v>
      </c>
      <c r="T1660">
        <f t="shared" si="178"/>
        <v>2297</v>
      </c>
      <c r="U1660">
        <f t="shared" si="179"/>
        <v>2024</v>
      </c>
      <c r="V1660">
        <f t="shared" si="180"/>
        <v>2</v>
      </c>
      <c r="W1660" s="11">
        <f t="shared" si="181"/>
        <v>1</v>
      </c>
    </row>
    <row r="1661" spans="1:23">
      <c r="A1661" t="s">
        <v>1674</v>
      </c>
      <c r="B1661" s="4">
        <v>45619</v>
      </c>
      <c r="C1661" t="s">
        <v>2017</v>
      </c>
      <c r="D1661" t="s">
        <v>2023</v>
      </c>
      <c r="E1661" t="s">
        <v>2027</v>
      </c>
      <c r="F1661" t="s">
        <v>2031</v>
      </c>
      <c r="G1661" t="s">
        <v>2036</v>
      </c>
      <c r="H1661" t="s">
        <v>2039</v>
      </c>
      <c r="I1661">
        <v>3</v>
      </c>
      <c r="J1661">
        <v>3</v>
      </c>
      <c r="K1661">
        <v>0</v>
      </c>
      <c r="L1661" t="s">
        <v>2042</v>
      </c>
      <c r="M1661">
        <v>134</v>
      </c>
      <c r="N1661">
        <v>0</v>
      </c>
      <c r="O1661">
        <v>0</v>
      </c>
      <c r="P1661" s="13">
        <f t="shared" si="175"/>
        <v>1</v>
      </c>
      <c r="Q1661" t="str">
        <f t="shared" si="176"/>
        <v>No</v>
      </c>
      <c r="R1661" t="str" cm="1">
        <f t="array" ref="R1661">_xlfn.IFS(K1661=0,"On Time",K1661&lt;=2,"Minor",K1661&lt;=5,"Major",K1661&gt;5,"Severe")</f>
        <v>On Time</v>
      </c>
      <c r="S1661">
        <f t="shared" si="177"/>
        <v>0</v>
      </c>
      <c r="T1661">
        <f t="shared" si="178"/>
        <v>0</v>
      </c>
      <c r="U1661">
        <f t="shared" si="179"/>
        <v>2024</v>
      </c>
      <c r="V1661">
        <f t="shared" si="180"/>
        <v>11</v>
      </c>
      <c r="W1661" s="11">
        <f t="shared" si="181"/>
        <v>0</v>
      </c>
    </row>
    <row r="1662" spans="1:23">
      <c r="A1662" t="s">
        <v>1675</v>
      </c>
      <c r="B1662" s="4">
        <v>45485</v>
      </c>
      <c r="C1662" t="s">
        <v>2017</v>
      </c>
      <c r="D1662" t="s">
        <v>2022</v>
      </c>
      <c r="E1662" t="s">
        <v>2027</v>
      </c>
      <c r="F1662" t="s">
        <v>2032</v>
      </c>
      <c r="G1662" t="s">
        <v>2033</v>
      </c>
      <c r="H1662" t="s">
        <v>2040</v>
      </c>
      <c r="I1662">
        <v>2</v>
      </c>
      <c r="J1662">
        <v>10</v>
      </c>
      <c r="K1662">
        <v>8</v>
      </c>
      <c r="L1662" t="s">
        <v>2041</v>
      </c>
      <c r="M1662">
        <v>499</v>
      </c>
      <c r="N1662">
        <v>16864</v>
      </c>
      <c r="O1662">
        <v>22832</v>
      </c>
      <c r="P1662" s="13">
        <f t="shared" si="175"/>
        <v>0</v>
      </c>
      <c r="Q1662" t="str">
        <f t="shared" si="176"/>
        <v>No</v>
      </c>
      <c r="R1662" t="str" cm="1">
        <f t="array" ref="R1662">_xlfn.IFS(K1662=0,"On Time",K1662&lt;=2,"Minor",K1662&lt;=5,"Major",K1662&gt;5,"Severe")</f>
        <v>Severe</v>
      </c>
      <c r="S1662">
        <f t="shared" si="177"/>
        <v>2854</v>
      </c>
      <c r="T1662">
        <f t="shared" si="178"/>
        <v>2108</v>
      </c>
      <c r="U1662">
        <f t="shared" si="179"/>
        <v>2024</v>
      </c>
      <c r="V1662">
        <f t="shared" si="180"/>
        <v>7</v>
      </c>
      <c r="W1662" s="11">
        <f t="shared" si="181"/>
        <v>1</v>
      </c>
    </row>
    <row r="1663" spans="1:23">
      <c r="A1663" t="s">
        <v>1676</v>
      </c>
      <c r="B1663" s="4">
        <v>45458</v>
      </c>
      <c r="C1663" t="s">
        <v>2015</v>
      </c>
      <c r="D1663" t="s">
        <v>2020</v>
      </c>
      <c r="E1663" t="s">
        <v>2028</v>
      </c>
      <c r="F1663" t="s">
        <v>2030</v>
      </c>
      <c r="G1663" t="s">
        <v>2037</v>
      </c>
      <c r="H1663" t="s">
        <v>2039</v>
      </c>
      <c r="I1663">
        <v>3</v>
      </c>
      <c r="J1663">
        <v>6</v>
      </c>
      <c r="K1663">
        <v>3</v>
      </c>
      <c r="L1663" t="s">
        <v>2041</v>
      </c>
      <c r="M1663">
        <v>411</v>
      </c>
      <c r="N1663">
        <v>2754</v>
      </c>
      <c r="O1663">
        <v>4644</v>
      </c>
      <c r="P1663" s="13">
        <f t="shared" si="175"/>
        <v>0</v>
      </c>
      <c r="Q1663" t="str">
        <f t="shared" si="176"/>
        <v>No</v>
      </c>
      <c r="R1663" t="str" cm="1">
        <f t="array" ref="R1663">_xlfn.IFS(K1663=0,"On Time",K1663&lt;=2,"Minor",K1663&lt;=5,"Major",K1663&gt;5,"Severe")</f>
        <v>Major</v>
      </c>
      <c r="S1663">
        <f t="shared" si="177"/>
        <v>1548</v>
      </c>
      <c r="T1663">
        <f t="shared" si="178"/>
        <v>918</v>
      </c>
      <c r="U1663">
        <f t="shared" si="179"/>
        <v>2024</v>
      </c>
      <c r="V1663">
        <f t="shared" si="180"/>
        <v>6</v>
      </c>
      <c r="W1663" s="11">
        <f t="shared" si="181"/>
        <v>1</v>
      </c>
    </row>
    <row r="1664" spans="1:23">
      <c r="A1664" t="s">
        <v>1677</v>
      </c>
      <c r="B1664" s="4">
        <v>45422</v>
      </c>
      <c r="C1664" t="s">
        <v>2018</v>
      </c>
      <c r="D1664" t="s">
        <v>2026</v>
      </c>
      <c r="E1664" t="s">
        <v>2028</v>
      </c>
      <c r="F1664" t="s">
        <v>2031</v>
      </c>
      <c r="G1664" t="s">
        <v>2034</v>
      </c>
      <c r="H1664" t="s">
        <v>2038</v>
      </c>
      <c r="I1664">
        <v>2</v>
      </c>
      <c r="J1664">
        <v>6</v>
      </c>
      <c r="K1664">
        <v>4</v>
      </c>
      <c r="L1664" t="s">
        <v>2041</v>
      </c>
      <c r="M1664">
        <v>346</v>
      </c>
      <c r="N1664">
        <v>4216</v>
      </c>
      <c r="O1664">
        <v>17284</v>
      </c>
      <c r="P1664" s="13">
        <f t="shared" si="175"/>
        <v>0</v>
      </c>
      <c r="Q1664" t="str">
        <f t="shared" si="176"/>
        <v>No</v>
      </c>
      <c r="R1664" t="str" cm="1">
        <f t="array" ref="R1664">_xlfn.IFS(K1664=0,"On Time",K1664&lt;=2,"Minor",K1664&lt;=5,"Major",K1664&gt;5,"Severe")</f>
        <v>Major</v>
      </c>
      <c r="S1664">
        <f t="shared" si="177"/>
        <v>4321</v>
      </c>
      <c r="T1664">
        <f t="shared" si="178"/>
        <v>1054</v>
      </c>
      <c r="U1664">
        <f t="shared" si="179"/>
        <v>2024</v>
      </c>
      <c r="V1664">
        <f t="shared" si="180"/>
        <v>5</v>
      </c>
      <c r="W1664" s="11">
        <f t="shared" si="181"/>
        <v>1</v>
      </c>
    </row>
    <row r="1665" spans="1:23">
      <c r="A1665" t="s">
        <v>1678</v>
      </c>
      <c r="B1665" s="4">
        <v>45306</v>
      </c>
      <c r="C1665" t="s">
        <v>2016</v>
      </c>
      <c r="D1665" t="s">
        <v>2021</v>
      </c>
      <c r="E1665" t="s">
        <v>2029</v>
      </c>
      <c r="F1665" t="s">
        <v>2031</v>
      </c>
      <c r="G1665" t="s">
        <v>2036</v>
      </c>
      <c r="H1665" t="s">
        <v>2039</v>
      </c>
      <c r="I1665">
        <v>1</v>
      </c>
      <c r="J1665">
        <v>1</v>
      </c>
      <c r="K1665">
        <v>0</v>
      </c>
      <c r="L1665" t="s">
        <v>2042</v>
      </c>
      <c r="M1665">
        <v>83</v>
      </c>
      <c r="N1665">
        <v>0</v>
      </c>
      <c r="O1665">
        <v>0</v>
      </c>
      <c r="P1665" s="13">
        <f t="shared" si="175"/>
        <v>1</v>
      </c>
      <c r="Q1665" t="str">
        <f t="shared" si="176"/>
        <v>No</v>
      </c>
      <c r="R1665" t="str" cm="1">
        <f t="array" ref="R1665">_xlfn.IFS(K1665=0,"On Time",K1665&lt;=2,"Minor",K1665&lt;=5,"Major",K1665&gt;5,"Severe")</f>
        <v>On Time</v>
      </c>
      <c r="S1665">
        <f t="shared" si="177"/>
        <v>0</v>
      </c>
      <c r="T1665">
        <f t="shared" si="178"/>
        <v>0</v>
      </c>
      <c r="U1665">
        <f t="shared" si="179"/>
        <v>2024</v>
      </c>
      <c r="V1665">
        <f t="shared" si="180"/>
        <v>1</v>
      </c>
      <c r="W1665" s="11">
        <f t="shared" si="181"/>
        <v>0</v>
      </c>
    </row>
    <row r="1666" spans="1:23">
      <c r="A1666" t="s">
        <v>1679</v>
      </c>
      <c r="B1666" s="4">
        <v>45332</v>
      </c>
      <c r="C1666" t="s">
        <v>2017</v>
      </c>
      <c r="D1666" t="s">
        <v>2022</v>
      </c>
      <c r="E1666" t="s">
        <v>2027</v>
      </c>
      <c r="F1666" t="s">
        <v>2032</v>
      </c>
      <c r="G1666" t="s">
        <v>2033</v>
      </c>
      <c r="H1666" t="s">
        <v>2038</v>
      </c>
      <c r="I1666">
        <v>1</v>
      </c>
      <c r="J1666">
        <v>2</v>
      </c>
      <c r="K1666">
        <v>1</v>
      </c>
      <c r="L1666" t="s">
        <v>2041</v>
      </c>
      <c r="M1666">
        <v>279</v>
      </c>
      <c r="N1666">
        <v>1179</v>
      </c>
      <c r="O1666">
        <v>3519</v>
      </c>
      <c r="P1666" s="13">
        <f t="shared" si="175"/>
        <v>0</v>
      </c>
      <c r="Q1666" t="str">
        <f t="shared" si="176"/>
        <v>No</v>
      </c>
      <c r="R1666" t="str" cm="1">
        <f t="array" ref="R1666">_xlfn.IFS(K1666=0,"On Time",K1666&lt;=2,"Minor",K1666&lt;=5,"Major",K1666&gt;5,"Severe")</f>
        <v>Minor</v>
      </c>
      <c r="S1666">
        <f t="shared" si="177"/>
        <v>3519</v>
      </c>
      <c r="T1666">
        <f t="shared" si="178"/>
        <v>1179</v>
      </c>
      <c r="U1666">
        <f t="shared" si="179"/>
        <v>2024</v>
      </c>
      <c r="V1666">
        <f t="shared" si="180"/>
        <v>2</v>
      </c>
      <c r="W1666" s="11">
        <f t="shared" si="181"/>
        <v>1</v>
      </c>
    </row>
    <row r="1667" spans="1:23">
      <c r="A1667" t="s">
        <v>1680</v>
      </c>
      <c r="B1667" s="4">
        <v>45434</v>
      </c>
      <c r="C1667" t="s">
        <v>2015</v>
      </c>
      <c r="D1667" t="s">
        <v>2019</v>
      </c>
      <c r="E1667" t="s">
        <v>2028</v>
      </c>
      <c r="F1667" t="s">
        <v>2031</v>
      </c>
      <c r="G1667" t="s">
        <v>2034</v>
      </c>
      <c r="H1667" t="s">
        <v>2040</v>
      </c>
      <c r="I1667">
        <v>2</v>
      </c>
      <c r="J1667">
        <v>8</v>
      </c>
      <c r="K1667">
        <v>6</v>
      </c>
      <c r="L1667" t="s">
        <v>2041</v>
      </c>
      <c r="M1667">
        <v>463</v>
      </c>
      <c r="N1667">
        <v>6762</v>
      </c>
      <c r="O1667">
        <v>15552</v>
      </c>
      <c r="P1667" s="13">
        <f t="shared" ref="P1667:P1730" si="182">IF(L1667="Yes",0,1)</f>
        <v>0</v>
      </c>
      <c r="Q1667" t="str">
        <f t="shared" ref="Q1667:Q1730" si="183">IF(K1667&gt;J1667,"Yes","No")</f>
        <v>No</v>
      </c>
      <c r="R1667" t="str" cm="1">
        <f t="array" ref="R1667">_xlfn.IFS(K1667=0,"On Time",K1667&lt;=2,"Minor",K1667&lt;=5,"Major",K1667&gt;5,"Severe")</f>
        <v>Severe</v>
      </c>
      <c r="S1667">
        <f t="shared" ref="S1667:S1730" si="184">IFERROR(O1667/K1667,0)</f>
        <v>2592</v>
      </c>
      <c r="T1667">
        <f t="shared" ref="T1667:T1730" si="185">IFERROR(N1667/K1667,0)</f>
        <v>1127</v>
      </c>
      <c r="U1667">
        <f t="shared" ref="U1667:U1730" si="186">YEAR(B1667)</f>
        <v>2024</v>
      </c>
      <c r="V1667">
        <f t="shared" ref="V1667:V1730" si="187">MONTH(B1667)</f>
        <v>5</v>
      </c>
      <c r="W1667" s="11">
        <f t="shared" ref="W1667:W1730" si="188">IF(L1667="Yes",1,0)</f>
        <v>1</v>
      </c>
    </row>
    <row r="1668" spans="1:23">
      <c r="A1668" t="s">
        <v>1681</v>
      </c>
      <c r="B1668" s="4">
        <v>45585</v>
      </c>
      <c r="C1668" t="s">
        <v>2017</v>
      </c>
      <c r="D1668" t="s">
        <v>2022</v>
      </c>
      <c r="E1668" t="s">
        <v>2028</v>
      </c>
      <c r="F1668" t="s">
        <v>2030</v>
      </c>
      <c r="G1668" t="s">
        <v>2033</v>
      </c>
      <c r="H1668" t="s">
        <v>2038</v>
      </c>
      <c r="I1668">
        <v>3</v>
      </c>
      <c r="J1668">
        <v>7</v>
      </c>
      <c r="K1668">
        <v>4</v>
      </c>
      <c r="L1668" t="s">
        <v>2041</v>
      </c>
      <c r="M1668">
        <v>140</v>
      </c>
      <c r="N1668">
        <v>3352</v>
      </c>
      <c r="O1668">
        <v>14720</v>
      </c>
      <c r="P1668" s="13">
        <f t="shared" si="182"/>
        <v>0</v>
      </c>
      <c r="Q1668" t="str">
        <f t="shared" si="183"/>
        <v>No</v>
      </c>
      <c r="R1668" t="str" cm="1">
        <f t="array" ref="R1668">_xlfn.IFS(K1668=0,"On Time",K1668&lt;=2,"Minor",K1668&lt;=5,"Major",K1668&gt;5,"Severe")</f>
        <v>Major</v>
      </c>
      <c r="S1668">
        <f t="shared" si="184"/>
        <v>3680</v>
      </c>
      <c r="T1668">
        <f t="shared" si="185"/>
        <v>838</v>
      </c>
      <c r="U1668">
        <f t="shared" si="186"/>
        <v>2024</v>
      </c>
      <c r="V1668">
        <f t="shared" si="187"/>
        <v>10</v>
      </c>
      <c r="W1668" s="11">
        <f t="shared" si="188"/>
        <v>1</v>
      </c>
    </row>
    <row r="1669" spans="1:23">
      <c r="A1669" t="s">
        <v>1682</v>
      </c>
      <c r="B1669" s="4">
        <v>45421</v>
      </c>
      <c r="C1669" t="s">
        <v>2018</v>
      </c>
      <c r="D1669" t="s">
        <v>2024</v>
      </c>
      <c r="E1669" t="s">
        <v>2029</v>
      </c>
      <c r="F1669" t="s">
        <v>2031</v>
      </c>
      <c r="G1669" t="s">
        <v>2033</v>
      </c>
      <c r="H1669" t="s">
        <v>2039</v>
      </c>
      <c r="I1669">
        <v>1</v>
      </c>
      <c r="J1669">
        <v>2</v>
      </c>
      <c r="K1669">
        <v>1</v>
      </c>
      <c r="L1669" t="s">
        <v>2041</v>
      </c>
      <c r="M1669">
        <v>385</v>
      </c>
      <c r="N1669">
        <v>1602</v>
      </c>
      <c r="O1669">
        <v>1771</v>
      </c>
      <c r="P1669" s="13">
        <f t="shared" si="182"/>
        <v>0</v>
      </c>
      <c r="Q1669" t="str">
        <f t="shared" si="183"/>
        <v>No</v>
      </c>
      <c r="R1669" t="str" cm="1">
        <f t="array" ref="R1669">_xlfn.IFS(K1669=0,"On Time",K1669&lt;=2,"Minor",K1669&lt;=5,"Major",K1669&gt;5,"Severe")</f>
        <v>Minor</v>
      </c>
      <c r="S1669">
        <f t="shared" si="184"/>
        <v>1771</v>
      </c>
      <c r="T1669">
        <f t="shared" si="185"/>
        <v>1602</v>
      </c>
      <c r="U1669">
        <f t="shared" si="186"/>
        <v>2024</v>
      </c>
      <c r="V1669">
        <f t="shared" si="187"/>
        <v>5</v>
      </c>
      <c r="W1669" s="11">
        <f t="shared" si="188"/>
        <v>1</v>
      </c>
    </row>
    <row r="1670" spans="1:23">
      <c r="A1670" t="s">
        <v>1683</v>
      </c>
      <c r="B1670" s="4">
        <v>45318</v>
      </c>
      <c r="C1670" t="s">
        <v>2015</v>
      </c>
      <c r="D1670" t="s">
        <v>2020</v>
      </c>
      <c r="E1670" t="s">
        <v>2029</v>
      </c>
      <c r="F1670" t="s">
        <v>2031</v>
      </c>
      <c r="G1670" t="s">
        <v>2035</v>
      </c>
      <c r="H1670" t="s">
        <v>2038</v>
      </c>
      <c r="I1670">
        <v>1</v>
      </c>
      <c r="J1670">
        <v>1</v>
      </c>
      <c r="K1670">
        <v>0</v>
      </c>
      <c r="L1670" t="s">
        <v>2042</v>
      </c>
      <c r="M1670">
        <v>398</v>
      </c>
      <c r="N1670">
        <v>0</v>
      </c>
      <c r="O1670">
        <v>0</v>
      </c>
      <c r="P1670" s="13">
        <f t="shared" si="182"/>
        <v>1</v>
      </c>
      <c r="Q1670" t="str">
        <f t="shared" si="183"/>
        <v>No</v>
      </c>
      <c r="R1670" t="str" cm="1">
        <f t="array" ref="R1670">_xlfn.IFS(K1670=0,"On Time",K1670&lt;=2,"Minor",K1670&lt;=5,"Major",K1670&gt;5,"Severe")</f>
        <v>On Time</v>
      </c>
      <c r="S1670">
        <f t="shared" si="184"/>
        <v>0</v>
      </c>
      <c r="T1670">
        <f t="shared" si="185"/>
        <v>0</v>
      </c>
      <c r="U1670">
        <f t="shared" si="186"/>
        <v>2024</v>
      </c>
      <c r="V1670">
        <f t="shared" si="187"/>
        <v>1</v>
      </c>
      <c r="W1670" s="11">
        <f t="shared" si="188"/>
        <v>0</v>
      </c>
    </row>
    <row r="1671" spans="1:23">
      <c r="A1671" t="s">
        <v>1684</v>
      </c>
      <c r="B1671" s="4">
        <v>45542</v>
      </c>
      <c r="C1671" t="s">
        <v>2015</v>
      </c>
      <c r="D1671" t="s">
        <v>2020</v>
      </c>
      <c r="E1671" t="s">
        <v>2027</v>
      </c>
      <c r="F1671" t="s">
        <v>2031</v>
      </c>
      <c r="G1671" t="s">
        <v>2035</v>
      </c>
      <c r="H1671" t="s">
        <v>2040</v>
      </c>
      <c r="I1671">
        <v>1</v>
      </c>
      <c r="J1671">
        <v>4</v>
      </c>
      <c r="K1671">
        <v>3</v>
      </c>
      <c r="L1671" t="s">
        <v>2041</v>
      </c>
      <c r="M1671">
        <v>438</v>
      </c>
      <c r="N1671">
        <v>5043</v>
      </c>
      <c r="O1671">
        <v>12252</v>
      </c>
      <c r="P1671" s="13">
        <f t="shared" si="182"/>
        <v>0</v>
      </c>
      <c r="Q1671" t="str">
        <f t="shared" si="183"/>
        <v>No</v>
      </c>
      <c r="R1671" t="str" cm="1">
        <f t="array" ref="R1671">_xlfn.IFS(K1671=0,"On Time",K1671&lt;=2,"Minor",K1671&lt;=5,"Major",K1671&gt;5,"Severe")</f>
        <v>Major</v>
      </c>
      <c r="S1671">
        <f t="shared" si="184"/>
        <v>4084</v>
      </c>
      <c r="T1671">
        <f t="shared" si="185"/>
        <v>1681</v>
      </c>
      <c r="U1671">
        <f t="shared" si="186"/>
        <v>2024</v>
      </c>
      <c r="V1671">
        <f t="shared" si="187"/>
        <v>9</v>
      </c>
      <c r="W1671" s="11">
        <f t="shared" si="188"/>
        <v>1</v>
      </c>
    </row>
    <row r="1672" spans="1:23">
      <c r="A1672" t="s">
        <v>1685</v>
      </c>
      <c r="B1672" s="4">
        <v>45333</v>
      </c>
      <c r="C1672" t="s">
        <v>2016</v>
      </c>
      <c r="D1672" t="s">
        <v>2025</v>
      </c>
      <c r="E1672" t="s">
        <v>2029</v>
      </c>
      <c r="F1672" t="s">
        <v>2032</v>
      </c>
      <c r="G1672" t="s">
        <v>2033</v>
      </c>
      <c r="H1672" t="s">
        <v>2039</v>
      </c>
      <c r="I1672">
        <v>2</v>
      </c>
      <c r="J1672">
        <v>5</v>
      </c>
      <c r="K1672">
        <v>3</v>
      </c>
      <c r="L1672" t="s">
        <v>2041</v>
      </c>
      <c r="M1672">
        <v>322</v>
      </c>
      <c r="N1672">
        <v>5277</v>
      </c>
      <c r="O1672">
        <v>14421</v>
      </c>
      <c r="P1672" s="13">
        <f t="shared" si="182"/>
        <v>0</v>
      </c>
      <c r="Q1672" t="str">
        <f t="shared" si="183"/>
        <v>No</v>
      </c>
      <c r="R1672" t="str" cm="1">
        <f t="array" ref="R1672">_xlfn.IFS(K1672=0,"On Time",K1672&lt;=2,"Minor",K1672&lt;=5,"Major",K1672&gt;5,"Severe")</f>
        <v>Major</v>
      </c>
      <c r="S1672">
        <f t="shared" si="184"/>
        <v>4807</v>
      </c>
      <c r="T1672">
        <f t="shared" si="185"/>
        <v>1759</v>
      </c>
      <c r="U1672">
        <f t="shared" si="186"/>
        <v>2024</v>
      </c>
      <c r="V1672">
        <f t="shared" si="187"/>
        <v>2</v>
      </c>
      <c r="W1672" s="11">
        <f t="shared" si="188"/>
        <v>1</v>
      </c>
    </row>
    <row r="1673" spans="1:23">
      <c r="A1673" t="s">
        <v>1686</v>
      </c>
      <c r="B1673" s="4">
        <v>45493</v>
      </c>
      <c r="C1673" t="s">
        <v>2017</v>
      </c>
      <c r="D1673" t="s">
        <v>2022</v>
      </c>
      <c r="E1673" t="s">
        <v>2029</v>
      </c>
      <c r="F1673" t="s">
        <v>2031</v>
      </c>
      <c r="G1673" t="s">
        <v>2034</v>
      </c>
      <c r="H1673" t="s">
        <v>2040</v>
      </c>
      <c r="I1673">
        <v>1</v>
      </c>
      <c r="J1673">
        <v>9</v>
      </c>
      <c r="K1673">
        <v>8</v>
      </c>
      <c r="L1673" t="s">
        <v>2041</v>
      </c>
      <c r="M1673">
        <v>87</v>
      </c>
      <c r="N1673">
        <v>13768</v>
      </c>
      <c r="O1673">
        <v>17704</v>
      </c>
      <c r="P1673" s="13">
        <f t="shared" si="182"/>
        <v>0</v>
      </c>
      <c r="Q1673" t="str">
        <f t="shared" si="183"/>
        <v>No</v>
      </c>
      <c r="R1673" t="str" cm="1">
        <f t="array" ref="R1673">_xlfn.IFS(K1673=0,"On Time",K1673&lt;=2,"Minor",K1673&lt;=5,"Major",K1673&gt;5,"Severe")</f>
        <v>Severe</v>
      </c>
      <c r="S1673">
        <f t="shared" si="184"/>
        <v>2213</v>
      </c>
      <c r="T1673">
        <f t="shared" si="185"/>
        <v>1721</v>
      </c>
      <c r="U1673">
        <f t="shared" si="186"/>
        <v>2024</v>
      </c>
      <c r="V1673">
        <f t="shared" si="187"/>
        <v>7</v>
      </c>
      <c r="W1673" s="11">
        <f t="shared" si="188"/>
        <v>1</v>
      </c>
    </row>
    <row r="1674" spans="1:23">
      <c r="A1674" t="s">
        <v>1687</v>
      </c>
      <c r="B1674" s="4">
        <v>45301</v>
      </c>
      <c r="C1674" t="s">
        <v>2017</v>
      </c>
      <c r="D1674" t="s">
        <v>2022</v>
      </c>
      <c r="E1674" t="s">
        <v>2027</v>
      </c>
      <c r="F1674" t="s">
        <v>2031</v>
      </c>
      <c r="G1674" t="s">
        <v>2036</v>
      </c>
      <c r="H1674" t="s">
        <v>2040</v>
      </c>
      <c r="I1674">
        <v>2</v>
      </c>
      <c r="J1674">
        <v>5</v>
      </c>
      <c r="K1674">
        <v>3</v>
      </c>
      <c r="L1674" t="s">
        <v>2041</v>
      </c>
      <c r="M1674">
        <v>187</v>
      </c>
      <c r="N1674">
        <v>2433</v>
      </c>
      <c r="O1674">
        <v>8994</v>
      </c>
      <c r="P1674" s="13">
        <f t="shared" si="182"/>
        <v>0</v>
      </c>
      <c r="Q1674" t="str">
        <f t="shared" si="183"/>
        <v>No</v>
      </c>
      <c r="R1674" t="str" cm="1">
        <f t="array" ref="R1674">_xlfn.IFS(K1674=0,"On Time",K1674&lt;=2,"Minor",K1674&lt;=5,"Major",K1674&gt;5,"Severe")</f>
        <v>Major</v>
      </c>
      <c r="S1674">
        <f t="shared" si="184"/>
        <v>2998</v>
      </c>
      <c r="T1674">
        <f t="shared" si="185"/>
        <v>811</v>
      </c>
      <c r="U1674">
        <f t="shared" si="186"/>
        <v>2024</v>
      </c>
      <c r="V1674">
        <f t="shared" si="187"/>
        <v>1</v>
      </c>
      <c r="W1674" s="11">
        <f t="shared" si="188"/>
        <v>1</v>
      </c>
    </row>
    <row r="1675" spans="1:23">
      <c r="A1675" t="s">
        <v>1688</v>
      </c>
      <c r="B1675" s="4">
        <v>45323</v>
      </c>
      <c r="C1675" t="s">
        <v>2016</v>
      </c>
      <c r="D1675" t="s">
        <v>2021</v>
      </c>
      <c r="E1675" t="s">
        <v>2028</v>
      </c>
      <c r="F1675" t="s">
        <v>2031</v>
      </c>
      <c r="G1675" t="s">
        <v>2033</v>
      </c>
      <c r="H1675" t="s">
        <v>2040</v>
      </c>
      <c r="I1675">
        <v>2</v>
      </c>
      <c r="J1675">
        <v>4</v>
      </c>
      <c r="K1675">
        <v>2</v>
      </c>
      <c r="L1675" t="s">
        <v>2041</v>
      </c>
      <c r="M1675">
        <v>455</v>
      </c>
      <c r="N1675">
        <v>2100</v>
      </c>
      <c r="O1675">
        <v>7466</v>
      </c>
      <c r="P1675" s="13">
        <f t="shared" si="182"/>
        <v>0</v>
      </c>
      <c r="Q1675" t="str">
        <f t="shared" si="183"/>
        <v>No</v>
      </c>
      <c r="R1675" t="str" cm="1">
        <f t="array" ref="R1675">_xlfn.IFS(K1675=0,"On Time",K1675&lt;=2,"Minor",K1675&lt;=5,"Major",K1675&gt;5,"Severe")</f>
        <v>Minor</v>
      </c>
      <c r="S1675">
        <f t="shared" si="184"/>
        <v>3733</v>
      </c>
      <c r="T1675">
        <f t="shared" si="185"/>
        <v>1050</v>
      </c>
      <c r="U1675">
        <f t="shared" si="186"/>
        <v>2024</v>
      </c>
      <c r="V1675">
        <f t="shared" si="187"/>
        <v>2</v>
      </c>
      <c r="W1675" s="11">
        <f t="shared" si="188"/>
        <v>1</v>
      </c>
    </row>
    <row r="1676" spans="1:23">
      <c r="A1676" t="s">
        <v>1689</v>
      </c>
      <c r="B1676" s="4">
        <v>45534</v>
      </c>
      <c r="C1676" t="s">
        <v>2018</v>
      </c>
      <c r="D1676" t="s">
        <v>2024</v>
      </c>
      <c r="E1676" t="s">
        <v>2027</v>
      </c>
      <c r="F1676" t="s">
        <v>2031</v>
      </c>
      <c r="G1676" t="s">
        <v>2035</v>
      </c>
      <c r="H1676" t="s">
        <v>2038</v>
      </c>
      <c r="I1676">
        <v>2</v>
      </c>
      <c r="J1676">
        <v>7</v>
      </c>
      <c r="K1676">
        <v>5</v>
      </c>
      <c r="L1676" t="s">
        <v>2041</v>
      </c>
      <c r="M1676">
        <v>141</v>
      </c>
      <c r="N1676">
        <v>8780</v>
      </c>
      <c r="O1676">
        <v>9035</v>
      </c>
      <c r="P1676" s="13">
        <f t="shared" si="182"/>
        <v>0</v>
      </c>
      <c r="Q1676" t="str">
        <f t="shared" si="183"/>
        <v>No</v>
      </c>
      <c r="R1676" t="str" cm="1">
        <f t="array" ref="R1676">_xlfn.IFS(K1676=0,"On Time",K1676&lt;=2,"Minor",K1676&lt;=5,"Major",K1676&gt;5,"Severe")</f>
        <v>Major</v>
      </c>
      <c r="S1676">
        <f t="shared" si="184"/>
        <v>1807</v>
      </c>
      <c r="T1676">
        <f t="shared" si="185"/>
        <v>1756</v>
      </c>
      <c r="U1676">
        <f t="shared" si="186"/>
        <v>2024</v>
      </c>
      <c r="V1676">
        <f t="shared" si="187"/>
        <v>8</v>
      </c>
      <c r="W1676" s="11">
        <f t="shared" si="188"/>
        <v>1</v>
      </c>
    </row>
    <row r="1677" spans="1:23">
      <c r="A1677" t="s">
        <v>1690</v>
      </c>
      <c r="B1677" s="4">
        <v>45609</v>
      </c>
      <c r="C1677" t="s">
        <v>2015</v>
      </c>
      <c r="D1677" t="s">
        <v>2020</v>
      </c>
      <c r="E1677" t="s">
        <v>2028</v>
      </c>
      <c r="F1677" t="s">
        <v>2031</v>
      </c>
      <c r="G1677" t="s">
        <v>2035</v>
      </c>
      <c r="H1677" t="s">
        <v>2038</v>
      </c>
      <c r="I1677">
        <v>3</v>
      </c>
      <c r="J1677">
        <v>8</v>
      </c>
      <c r="K1677">
        <v>5</v>
      </c>
      <c r="L1677" t="s">
        <v>2041</v>
      </c>
      <c r="M1677">
        <v>351</v>
      </c>
      <c r="N1677">
        <v>6610</v>
      </c>
      <c r="O1677">
        <v>19835</v>
      </c>
      <c r="P1677" s="13">
        <f t="shared" si="182"/>
        <v>0</v>
      </c>
      <c r="Q1677" t="str">
        <f t="shared" si="183"/>
        <v>No</v>
      </c>
      <c r="R1677" t="str" cm="1">
        <f t="array" ref="R1677">_xlfn.IFS(K1677=0,"On Time",K1677&lt;=2,"Minor",K1677&lt;=5,"Major",K1677&gt;5,"Severe")</f>
        <v>Major</v>
      </c>
      <c r="S1677">
        <f t="shared" si="184"/>
        <v>3967</v>
      </c>
      <c r="T1677">
        <f t="shared" si="185"/>
        <v>1322</v>
      </c>
      <c r="U1677">
        <f t="shared" si="186"/>
        <v>2024</v>
      </c>
      <c r="V1677">
        <f t="shared" si="187"/>
        <v>11</v>
      </c>
      <c r="W1677" s="11">
        <f t="shared" si="188"/>
        <v>1</v>
      </c>
    </row>
    <row r="1678" spans="1:23">
      <c r="A1678" t="s">
        <v>1691</v>
      </c>
      <c r="B1678" s="4">
        <v>45537</v>
      </c>
      <c r="C1678" t="s">
        <v>2018</v>
      </c>
      <c r="D1678" t="s">
        <v>2024</v>
      </c>
      <c r="E1678" t="s">
        <v>2027</v>
      </c>
      <c r="F1678" t="s">
        <v>2031</v>
      </c>
      <c r="G1678" t="s">
        <v>2035</v>
      </c>
      <c r="H1678" t="s">
        <v>2038</v>
      </c>
      <c r="I1678">
        <v>2</v>
      </c>
      <c r="J1678">
        <v>2</v>
      </c>
      <c r="K1678">
        <v>0</v>
      </c>
      <c r="L1678" t="s">
        <v>2042</v>
      </c>
      <c r="M1678">
        <v>305</v>
      </c>
      <c r="N1678">
        <v>0</v>
      </c>
      <c r="O1678">
        <v>0</v>
      </c>
      <c r="P1678" s="13">
        <f t="shared" si="182"/>
        <v>1</v>
      </c>
      <c r="Q1678" t="str">
        <f t="shared" si="183"/>
        <v>No</v>
      </c>
      <c r="R1678" t="str" cm="1">
        <f t="array" ref="R1678">_xlfn.IFS(K1678=0,"On Time",K1678&lt;=2,"Minor",K1678&lt;=5,"Major",K1678&gt;5,"Severe")</f>
        <v>On Time</v>
      </c>
      <c r="S1678">
        <f t="shared" si="184"/>
        <v>0</v>
      </c>
      <c r="T1678">
        <f t="shared" si="185"/>
        <v>0</v>
      </c>
      <c r="U1678">
        <f t="shared" si="186"/>
        <v>2024</v>
      </c>
      <c r="V1678">
        <f t="shared" si="187"/>
        <v>9</v>
      </c>
      <c r="W1678" s="11">
        <f t="shared" si="188"/>
        <v>0</v>
      </c>
    </row>
    <row r="1679" spans="1:23">
      <c r="A1679" t="s">
        <v>1692</v>
      </c>
      <c r="B1679" s="4">
        <v>45623</v>
      </c>
      <c r="C1679" t="s">
        <v>2015</v>
      </c>
      <c r="D1679" t="s">
        <v>2019</v>
      </c>
      <c r="E1679" t="s">
        <v>2027</v>
      </c>
      <c r="F1679" t="s">
        <v>2031</v>
      </c>
      <c r="G1679" t="s">
        <v>2036</v>
      </c>
      <c r="H1679" t="s">
        <v>2039</v>
      </c>
      <c r="I1679">
        <v>3</v>
      </c>
      <c r="J1679">
        <v>7</v>
      </c>
      <c r="K1679">
        <v>4</v>
      </c>
      <c r="L1679" t="s">
        <v>2041</v>
      </c>
      <c r="M1679">
        <v>413</v>
      </c>
      <c r="N1679">
        <v>6728</v>
      </c>
      <c r="O1679">
        <v>18680</v>
      </c>
      <c r="P1679" s="13">
        <f t="shared" si="182"/>
        <v>0</v>
      </c>
      <c r="Q1679" t="str">
        <f t="shared" si="183"/>
        <v>No</v>
      </c>
      <c r="R1679" t="str" cm="1">
        <f t="array" ref="R1679">_xlfn.IFS(K1679=0,"On Time",K1679&lt;=2,"Minor",K1679&lt;=5,"Major",K1679&gt;5,"Severe")</f>
        <v>Major</v>
      </c>
      <c r="S1679">
        <f t="shared" si="184"/>
        <v>4670</v>
      </c>
      <c r="T1679">
        <f t="shared" si="185"/>
        <v>1682</v>
      </c>
      <c r="U1679">
        <f t="shared" si="186"/>
        <v>2024</v>
      </c>
      <c r="V1679">
        <f t="shared" si="187"/>
        <v>11</v>
      </c>
      <c r="W1679" s="11">
        <f t="shared" si="188"/>
        <v>1</v>
      </c>
    </row>
    <row r="1680" spans="1:23">
      <c r="A1680" t="s">
        <v>1693</v>
      </c>
      <c r="B1680" s="4">
        <v>45531</v>
      </c>
      <c r="C1680" t="s">
        <v>2015</v>
      </c>
      <c r="D1680" t="s">
        <v>2020</v>
      </c>
      <c r="E1680" t="s">
        <v>2029</v>
      </c>
      <c r="F1680" t="s">
        <v>2031</v>
      </c>
      <c r="G1680" t="s">
        <v>2037</v>
      </c>
      <c r="H1680" t="s">
        <v>2038</v>
      </c>
      <c r="I1680">
        <v>2</v>
      </c>
      <c r="J1680">
        <v>4</v>
      </c>
      <c r="K1680">
        <v>2</v>
      </c>
      <c r="L1680" t="s">
        <v>2041</v>
      </c>
      <c r="M1680">
        <v>165</v>
      </c>
      <c r="N1680">
        <v>4360</v>
      </c>
      <c r="O1680">
        <v>9866</v>
      </c>
      <c r="P1680" s="13">
        <f t="shared" si="182"/>
        <v>0</v>
      </c>
      <c r="Q1680" t="str">
        <f t="shared" si="183"/>
        <v>No</v>
      </c>
      <c r="R1680" t="str" cm="1">
        <f t="array" ref="R1680">_xlfn.IFS(K1680=0,"On Time",K1680&lt;=2,"Minor",K1680&lt;=5,"Major",K1680&gt;5,"Severe")</f>
        <v>Minor</v>
      </c>
      <c r="S1680">
        <f t="shared" si="184"/>
        <v>4933</v>
      </c>
      <c r="T1680">
        <f t="shared" si="185"/>
        <v>2180</v>
      </c>
      <c r="U1680">
        <f t="shared" si="186"/>
        <v>2024</v>
      </c>
      <c r="V1680">
        <f t="shared" si="187"/>
        <v>8</v>
      </c>
      <c r="W1680" s="11">
        <f t="shared" si="188"/>
        <v>1</v>
      </c>
    </row>
    <row r="1681" spans="1:23">
      <c r="A1681" t="s">
        <v>1694</v>
      </c>
      <c r="B1681" s="4">
        <v>45650</v>
      </c>
      <c r="C1681" t="s">
        <v>2018</v>
      </c>
      <c r="D1681" t="s">
        <v>2026</v>
      </c>
      <c r="E1681" t="s">
        <v>2027</v>
      </c>
      <c r="F1681" t="s">
        <v>2031</v>
      </c>
      <c r="G1681" t="s">
        <v>2033</v>
      </c>
      <c r="H1681" t="s">
        <v>2038</v>
      </c>
      <c r="I1681">
        <v>2</v>
      </c>
      <c r="J1681">
        <v>6</v>
      </c>
      <c r="K1681">
        <v>4</v>
      </c>
      <c r="L1681" t="s">
        <v>2041</v>
      </c>
      <c r="M1681">
        <v>376</v>
      </c>
      <c r="N1681">
        <v>7480</v>
      </c>
      <c r="O1681">
        <v>13052</v>
      </c>
      <c r="P1681" s="13">
        <f t="shared" si="182"/>
        <v>0</v>
      </c>
      <c r="Q1681" t="str">
        <f t="shared" si="183"/>
        <v>No</v>
      </c>
      <c r="R1681" t="str" cm="1">
        <f t="array" ref="R1681">_xlfn.IFS(K1681=0,"On Time",K1681&lt;=2,"Minor",K1681&lt;=5,"Major",K1681&gt;5,"Severe")</f>
        <v>Major</v>
      </c>
      <c r="S1681">
        <f t="shared" si="184"/>
        <v>3263</v>
      </c>
      <c r="T1681">
        <f t="shared" si="185"/>
        <v>1870</v>
      </c>
      <c r="U1681">
        <f t="shared" si="186"/>
        <v>2024</v>
      </c>
      <c r="V1681">
        <f t="shared" si="187"/>
        <v>12</v>
      </c>
      <c r="W1681" s="11">
        <f t="shared" si="188"/>
        <v>1</v>
      </c>
    </row>
    <row r="1682" spans="1:23">
      <c r="A1682" t="s">
        <v>1695</v>
      </c>
      <c r="B1682" s="4">
        <v>45639</v>
      </c>
      <c r="C1682" t="s">
        <v>2018</v>
      </c>
      <c r="D1682" t="s">
        <v>2024</v>
      </c>
      <c r="E1682" t="s">
        <v>2029</v>
      </c>
      <c r="F1682" t="s">
        <v>2031</v>
      </c>
      <c r="G1682" t="s">
        <v>2035</v>
      </c>
      <c r="H1682" t="s">
        <v>2038</v>
      </c>
      <c r="I1682">
        <v>1</v>
      </c>
      <c r="J1682">
        <v>6</v>
      </c>
      <c r="K1682">
        <v>5</v>
      </c>
      <c r="L1682" t="s">
        <v>2041</v>
      </c>
      <c r="M1682">
        <v>469</v>
      </c>
      <c r="N1682">
        <v>6885</v>
      </c>
      <c r="O1682">
        <v>15320</v>
      </c>
      <c r="P1682" s="13">
        <f t="shared" si="182"/>
        <v>0</v>
      </c>
      <c r="Q1682" t="str">
        <f t="shared" si="183"/>
        <v>No</v>
      </c>
      <c r="R1682" t="str" cm="1">
        <f t="array" ref="R1682">_xlfn.IFS(K1682=0,"On Time",K1682&lt;=2,"Minor",K1682&lt;=5,"Major",K1682&gt;5,"Severe")</f>
        <v>Major</v>
      </c>
      <c r="S1682">
        <f t="shared" si="184"/>
        <v>3064</v>
      </c>
      <c r="T1682">
        <f t="shared" si="185"/>
        <v>1377</v>
      </c>
      <c r="U1682">
        <f t="shared" si="186"/>
        <v>2024</v>
      </c>
      <c r="V1682">
        <f t="shared" si="187"/>
        <v>12</v>
      </c>
      <c r="W1682" s="11">
        <f t="shared" si="188"/>
        <v>1</v>
      </c>
    </row>
    <row r="1683" spans="1:23">
      <c r="A1683" t="s">
        <v>1696</v>
      </c>
      <c r="B1683" s="4">
        <v>45450</v>
      </c>
      <c r="C1683" t="s">
        <v>2017</v>
      </c>
      <c r="D1683" t="s">
        <v>2022</v>
      </c>
      <c r="E1683" t="s">
        <v>2028</v>
      </c>
      <c r="F1683" t="s">
        <v>2030</v>
      </c>
      <c r="G1683" t="s">
        <v>2037</v>
      </c>
      <c r="H1683" t="s">
        <v>2039</v>
      </c>
      <c r="I1683">
        <v>3</v>
      </c>
      <c r="J1683">
        <v>6</v>
      </c>
      <c r="K1683">
        <v>3</v>
      </c>
      <c r="L1683" t="s">
        <v>2041</v>
      </c>
      <c r="M1683">
        <v>84</v>
      </c>
      <c r="N1683">
        <v>3681</v>
      </c>
      <c r="O1683">
        <v>14277</v>
      </c>
      <c r="P1683" s="13">
        <f t="shared" si="182"/>
        <v>0</v>
      </c>
      <c r="Q1683" t="str">
        <f t="shared" si="183"/>
        <v>No</v>
      </c>
      <c r="R1683" t="str" cm="1">
        <f t="array" ref="R1683">_xlfn.IFS(K1683=0,"On Time",K1683&lt;=2,"Minor",K1683&lt;=5,"Major",K1683&gt;5,"Severe")</f>
        <v>Major</v>
      </c>
      <c r="S1683">
        <f t="shared" si="184"/>
        <v>4759</v>
      </c>
      <c r="T1683">
        <f t="shared" si="185"/>
        <v>1227</v>
      </c>
      <c r="U1683">
        <f t="shared" si="186"/>
        <v>2024</v>
      </c>
      <c r="V1683">
        <f t="shared" si="187"/>
        <v>6</v>
      </c>
      <c r="W1683" s="11">
        <f t="shared" si="188"/>
        <v>1</v>
      </c>
    </row>
    <row r="1684" spans="1:23">
      <c r="A1684" t="s">
        <v>1697</v>
      </c>
      <c r="B1684" s="4">
        <v>45443</v>
      </c>
      <c r="C1684" t="s">
        <v>2015</v>
      </c>
      <c r="D1684" t="s">
        <v>2020</v>
      </c>
      <c r="E1684" t="s">
        <v>2027</v>
      </c>
      <c r="F1684" t="s">
        <v>2030</v>
      </c>
      <c r="G1684" t="s">
        <v>2034</v>
      </c>
      <c r="H1684" t="s">
        <v>2038</v>
      </c>
      <c r="I1684">
        <v>2</v>
      </c>
      <c r="J1684">
        <v>7</v>
      </c>
      <c r="K1684">
        <v>5</v>
      </c>
      <c r="L1684" t="s">
        <v>2041</v>
      </c>
      <c r="M1684">
        <v>155</v>
      </c>
      <c r="N1684">
        <v>7545</v>
      </c>
      <c r="O1684">
        <v>21980</v>
      </c>
      <c r="P1684" s="13">
        <f t="shared" si="182"/>
        <v>0</v>
      </c>
      <c r="Q1684" t="str">
        <f t="shared" si="183"/>
        <v>No</v>
      </c>
      <c r="R1684" t="str" cm="1">
        <f t="array" ref="R1684">_xlfn.IFS(K1684=0,"On Time",K1684&lt;=2,"Minor",K1684&lt;=5,"Major",K1684&gt;5,"Severe")</f>
        <v>Major</v>
      </c>
      <c r="S1684">
        <f t="shared" si="184"/>
        <v>4396</v>
      </c>
      <c r="T1684">
        <f t="shared" si="185"/>
        <v>1509</v>
      </c>
      <c r="U1684">
        <f t="shared" si="186"/>
        <v>2024</v>
      </c>
      <c r="V1684">
        <f t="shared" si="187"/>
        <v>5</v>
      </c>
      <c r="W1684" s="11">
        <f t="shared" si="188"/>
        <v>1</v>
      </c>
    </row>
    <row r="1685" spans="1:23">
      <c r="A1685" t="s">
        <v>1698</v>
      </c>
      <c r="B1685" s="4">
        <v>45502</v>
      </c>
      <c r="C1685" t="s">
        <v>2016</v>
      </c>
      <c r="D1685" t="s">
        <v>2021</v>
      </c>
      <c r="E1685" t="s">
        <v>2027</v>
      </c>
      <c r="F1685" t="s">
        <v>2032</v>
      </c>
      <c r="G1685" t="s">
        <v>2037</v>
      </c>
      <c r="H1685" t="s">
        <v>2038</v>
      </c>
      <c r="I1685">
        <v>3</v>
      </c>
      <c r="J1685">
        <v>8</v>
      </c>
      <c r="K1685">
        <v>5</v>
      </c>
      <c r="L1685" t="s">
        <v>2041</v>
      </c>
      <c r="M1685">
        <v>467</v>
      </c>
      <c r="N1685">
        <v>8190</v>
      </c>
      <c r="O1685">
        <v>24525</v>
      </c>
      <c r="P1685" s="13">
        <f t="shared" si="182"/>
        <v>0</v>
      </c>
      <c r="Q1685" t="str">
        <f t="shared" si="183"/>
        <v>No</v>
      </c>
      <c r="R1685" t="str" cm="1">
        <f t="array" ref="R1685">_xlfn.IFS(K1685=0,"On Time",K1685&lt;=2,"Minor",K1685&lt;=5,"Major",K1685&gt;5,"Severe")</f>
        <v>Major</v>
      </c>
      <c r="S1685">
        <f t="shared" si="184"/>
        <v>4905</v>
      </c>
      <c r="T1685">
        <f t="shared" si="185"/>
        <v>1638</v>
      </c>
      <c r="U1685">
        <f t="shared" si="186"/>
        <v>2024</v>
      </c>
      <c r="V1685">
        <f t="shared" si="187"/>
        <v>7</v>
      </c>
      <c r="W1685" s="11">
        <f t="shared" si="188"/>
        <v>1</v>
      </c>
    </row>
    <row r="1686" spans="1:23">
      <c r="A1686" t="s">
        <v>1699</v>
      </c>
      <c r="B1686" s="4">
        <v>45474</v>
      </c>
      <c r="C1686" t="s">
        <v>2015</v>
      </c>
      <c r="D1686" t="s">
        <v>2019</v>
      </c>
      <c r="E1686" t="s">
        <v>2027</v>
      </c>
      <c r="F1686" t="s">
        <v>2032</v>
      </c>
      <c r="G1686" t="s">
        <v>2036</v>
      </c>
      <c r="H1686" t="s">
        <v>2039</v>
      </c>
      <c r="I1686">
        <v>2</v>
      </c>
      <c r="J1686">
        <v>7</v>
      </c>
      <c r="K1686">
        <v>5</v>
      </c>
      <c r="L1686" t="s">
        <v>2041</v>
      </c>
      <c r="M1686">
        <v>271</v>
      </c>
      <c r="N1686">
        <v>10490</v>
      </c>
      <c r="O1686">
        <v>22570</v>
      </c>
      <c r="P1686" s="13">
        <f t="shared" si="182"/>
        <v>0</v>
      </c>
      <c r="Q1686" t="str">
        <f t="shared" si="183"/>
        <v>No</v>
      </c>
      <c r="R1686" t="str" cm="1">
        <f t="array" ref="R1686">_xlfn.IFS(K1686=0,"On Time",K1686&lt;=2,"Minor",K1686&lt;=5,"Major",K1686&gt;5,"Severe")</f>
        <v>Major</v>
      </c>
      <c r="S1686">
        <f t="shared" si="184"/>
        <v>4514</v>
      </c>
      <c r="T1686">
        <f t="shared" si="185"/>
        <v>2098</v>
      </c>
      <c r="U1686">
        <f t="shared" si="186"/>
        <v>2024</v>
      </c>
      <c r="V1686">
        <f t="shared" si="187"/>
        <v>7</v>
      </c>
      <c r="W1686" s="11">
        <f t="shared" si="188"/>
        <v>1</v>
      </c>
    </row>
    <row r="1687" spans="1:23">
      <c r="A1687" t="s">
        <v>1700</v>
      </c>
      <c r="B1687" s="4">
        <v>45568</v>
      </c>
      <c r="C1687" t="s">
        <v>2018</v>
      </c>
      <c r="D1687" t="s">
        <v>2024</v>
      </c>
      <c r="E1687" t="s">
        <v>2028</v>
      </c>
      <c r="F1687" t="s">
        <v>2031</v>
      </c>
      <c r="G1687" t="s">
        <v>2035</v>
      </c>
      <c r="H1687" t="s">
        <v>2038</v>
      </c>
      <c r="I1687">
        <v>1</v>
      </c>
      <c r="J1687">
        <v>4</v>
      </c>
      <c r="K1687">
        <v>3</v>
      </c>
      <c r="L1687" t="s">
        <v>2041</v>
      </c>
      <c r="M1687">
        <v>444</v>
      </c>
      <c r="N1687">
        <v>4719</v>
      </c>
      <c r="O1687">
        <v>14310</v>
      </c>
      <c r="P1687" s="13">
        <f t="shared" si="182"/>
        <v>0</v>
      </c>
      <c r="Q1687" t="str">
        <f t="shared" si="183"/>
        <v>No</v>
      </c>
      <c r="R1687" t="str" cm="1">
        <f t="array" ref="R1687">_xlfn.IFS(K1687=0,"On Time",K1687&lt;=2,"Minor",K1687&lt;=5,"Major",K1687&gt;5,"Severe")</f>
        <v>Major</v>
      </c>
      <c r="S1687">
        <f t="shared" si="184"/>
        <v>4770</v>
      </c>
      <c r="T1687">
        <f t="shared" si="185"/>
        <v>1573</v>
      </c>
      <c r="U1687">
        <f t="shared" si="186"/>
        <v>2024</v>
      </c>
      <c r="V1687">
        <f t="shared" si="187"/>
        <v>10</v>
      </c>
      <c r="W1687" s="11">
        <f t="shared" si="188"/>
        <v>1</v>
      </c>
    </row>
    <row r="1688" spans="1:23">
      <c r="A1688" t="s">
        <v>1701</v>
      </c>
      <c r="B1688" s="4">
        <v>45604</v>
      </c>
      <c r="C1688" t="s">
        <v>2015</v>
      </c>
      <c r="D1688" t="s">
        <v>2019</v>
      </c>
      <c r="E1688" t="s">
        <v>2029</v>
      </c>
      <c r="F1688" t="s">
        <v>2030</v>
      </c>
      <c r="G1688" t="s">
        <v>2034</v>
      </c>
      <c r="H1688" t="s">
        <v>2040</v>
      </c>
      <c r="I1688">
        <v>2</v>
      </c>
      <c r="J1688">
        <v>10</v>
      </c>
      <c r="K1688">
        <v>8</v>
      </c>
      <c r="L1688" t="s">
        <v>2041</v>
      </c>
      <c r="M1688">
        <v>137</v>
      </c>
      <c r="N1688">
        <v>12144</v>
      </c>
      <c r="O1688">
        <v>14344</v>
      </c>
      <c r="P1688" s="13">
        <f t="shared" si="182"/>
        <v>0</v>
      </c>
      <c r="Q1688" t="str">
        <f t="shared" si="183"/>
        <v>No</v>
      </c>
      <c r="R1688" t="str" cm="1">
        <f t="array" ref="R1688">_xlfn.IFS(K1688=0,"On Time",K1688&lt;=2,"Minor",K1688&lt;=5,"Major",K1688&gt;5,"Severe")</f>
        <v>Severe</v>
      </c>
      <c r="S1688">
        <f t="shared" si="184"/>
        <v>1793</v>
      </c>
      <c r="T1688">
        <f t="shared" si="185"/>
        <v>1518</v>
      </c>
      <c r="U1688">
        <f t="shared" si="186"/>
        <v>2024</v>
      </c>
      <c r="V1688">
        <f t="shared" si="187"/>
        <v>11</v>
      </c>
      <c r="W1688" s="11">
        <f t="shared" si="188"/>
        <v>1</v>
      </c>
    </row>
    <row r="1689" spans="1:23">
      <c r="A1689" t="s">
        <v>1702</v>
      </c>
      <c r="B1689" s="4">
        <v>45328</v>
      </c>
      <c r="C1689" t="s">
        <v>2018</v>
      </c>
      <c r="D1689" t="s">
        <v>2024</v>
      </c>
      <c r="E1689" t="s">
        <v>2029</v>
      </c>
      <c r="F1689" t="s">
        <v>2031</v>
      </c>
      <c r="G1689" t="s">
        <v>2035</v>
      </c>
      <c r="H1689" t="s">
        <v>2040</v>
      </c>
      <c r="I1689">
        <v>2</v>
      </c>
      <c r="J1689">
        <v>9</v>
      </c>
      <c r="K1689">
        <v>7</v>
      </c>
      <c r="L1689" t="s">
        <v>2041</v>
      </c>
      <c r="M1689">
        <v>92</v>
      </c>
      <c r="N1689">
        <v>16072</v>
      </c>
      <c r="O1689">
        <v>23296</v>
      </c>
      <c r="P1689" s="13">
        <f t="shared" si="182"/>
        <v>0</v>
      </c>
      <c r="Q1689" t="str">
        <f t="shared" si="183"/>
        <v>No</v>
      </c>
      <c r="R1689" t="str" cm="1">
        <f t="array" ref="R1689">_xlfn.IFS(K1689=0,"On Time",K1689&lt;=2,"Minor",K1689&lt;=5,"Major",K1689&gt;5,"Severe")</f>
        <v>Severe</v>
      </c>
      <c r="S1689">
        <f t="shared" si="184"/>
        <v>3328</v>
      </c>
      <c r="T1689">
        <f t="shared" si="185"/>
        <v>2296</v>
      </c>
      <c r="U1689">
        <f t="shared" si="186"/>
        <v>2024</v>
      </c>
      <c r="V1689">
        <f t="shared" si="187"/>
        <v>2</v>
      </c>
      <c r="W1689" s="11">
        <f t="shared" si="188"/>
        <v>1</v>
      </c>
    </row>
    <row r="1690" spans="1:23">
      <c r="A1690" t="s">
        <v>1703</v>
      </c>
      <c r="B1690" s="4">
        <v>45555</v>
      </c>
      <c r="C1690" t="s">
        <v>2018</v>
      </c>
      <c r="D1690" t="s">
        <v>2026</v>
      </c>
      <c r="E1690" t="s">
        <v>2029</v>
      </c>
      <c r="F1690" t="s">
        <v>2031</v>
      </c>
      <c r="G1690" t="s">
        <v>2037</v>
      </c>
      <c r="H1690" t="s">
        <v>2040</v>
      </c>
      <c r="I1690">
        <v>2</v>
      </c>
      <c r="J1690">
        <v>5</v>
      </c>
      <c r="K1690">
        <v>3</v>
      </c>
      <c r="L1690" t="s">
        <v>2041</v>
      </c>
      <c r="M1690">
        <v>308</v>
      </c>
      <c r="N1690">
        <v>5766</v>
      </c>
      <c r="O1690">
        <v>13557</v>
      </c>
      <c r="P1690" s="13">
        <f t="shared" si="182"/>
        <v>0</v>
      </c>
      <c r="Q1690" t="str">
        <f t="shared" si="183"/>
        <v>No</v>
      </c>
      <c r="R1690" t="str" cm="1">
        <f t="array" ref="R1690">_xlfn.IFS(K1690=0,"On Time",K1690&lt;=2,"Minor",K1690&lt;=5,"Major",K1690&gt;5,"Severe")</f>
        <v>Major</v>
      </c>
      <c r="S1690">
        <f t="shared" si="184"/>
        <v>4519</v>
      </c>
      <c r="T1690">
        <f t="shared" si="185"/>
        <v>1922</v>
      </c>
      <c r="U1690">
        <f t="shared" si="186"/>
        <v>2024</v>
      </c>
      <c r="V1690">
        <f t="shared" si="187"/>
        <v>9</v>
      </c>
      <c r="W1690" s="11">
        <f t="shared" si="188"/>
        <v>1</v>
      </c>
    </row>
    <row r="1691" spans="1:23">
      <c r="A1691" t="s">
        <v>1704</v>
      </c>
      <c r="B1691" s="4">
        <v>45435</v>
      </c>
      <c r="C1691" t="s">
        <v>2018</v>
      </c>
      <c r="D1691" t="s">
        <v>2024</v>
      </c>
      <c r="E1691" t="s">
        <v>2029</v>
      </c>
      <c r="F1691" t="s">
        <v>2031</v>
      </c>
      <c r="G1691" t="s">
        <v>2037</v>
      </c>
      <c r="H1691" t="s">
        <v>2040</v>
      </c>
      <c r="I1691">
        <v>2</v>
      </c>
      <c r="J1691">
        <v>5</v>
      </c>
      <c r="K1691">
        <v>3</v>
      </c>
      <c r="L1691" t="s">
        <v>2041</v>
      </c>
      <c r="M1691">
        <v>301</v>
      </c>
      <c r="N1691">
        <v>4311</v>
      </c>
      <c r="O1691">
        <v>13968</v>
      </c>
      <c r="P1691" s="13">
        <f t="shared" si="182"/>
        <v>0</v>
      </c>
      <c r="Q1691" t="str">
        <f t="shared" si="183"/>
        <v>No</v>
      </c>
      <c r="R1691" t="str" cm="1">
        <f t="array" ref="R1691">_xlfn.IFS(K1691=0,"On Time",K1691&lt;=2,"Minor",K1691&lt;=5,"Major",K1691&gt;5,"Severe")</f>
        <v>Major</v>
      </c>
      <c r="S1691">
        <f t="shared" si="184"/>
        <v>4656</v>
      </c>
      <c r="T1691">
        <f t="shared" si="185"/>
        <v>1437</v>
      </c>
      <c r="U1691">
        <f t="shared" si="186"/>
        <v>2024</v>
      </c>
      <c r="V1691">
        <f t="shared" si="187"/>
        <v>5</v>
      </c>
      <c r="W1691" s="11">
        <f t="shared" si="188"/>
        <v>1</v>
      </c>
    </row>
    <row r="1692" spans="1:23">
      <c r="A1692" t="s">
        <v>1705</v>
      </c>
      <c r="B1692" s="4">
        <v>45425</v>
      </c>
      <c r="C1692" t="s">
        <v>2018</v>
      </c>
      <c r="D1692" t="s">
        <v>2024</v>
      </c>
      <c r="E1692" t="s">
        <v>2029</v>
      </c>
      <c r="F1692" t="s">
        <v>2031</v>
      </c>
      <c r="G1692" t="s">
        <v>2037</v>
      </c>
      <c r="H1692" t="s">
        <v>2039</v>
      </c>
      <c r="I1692">
        <v>2</v>
      </c>
      <c r="J1692">
        <v>3</v>
      </c>
      <c r="K1692">
        <v>1</v>
      </c>
      <c r="L1692" t="s">
        <v>2041</v>
      </c>
      <c r="M1692">
        <v>211</v>
      </c>
      <c r="N1692">
        <v>1377</v>
      </c>
      <c r="O1692">
        <v>1972</v>
      </c>
      <c r="P1692" s="13">
        <f t="shared" si="182"/>
        <v>0</v>
      </c>
      <c r="Q1692" t="str">
        <f t="shared" si="183"/>
        <v>No</v>
      </c>
      <c r="R1692" t="str" cm="1">
        <f t="array" ref="R1692">_xlfn.IFS(K1692=0,"On Time",K1692&lt;=2,"Minor",K1692&lt;=5,"Major",K1692&gt;5,"Severe")</f>
        <v>Minor</v>
      </c>
      <c r="S1692">
        <f t="shared" si="184"/>
        <v>1972</v>
      </c>
      <c r="T1692">
        <f t="shared" si="185"/>
        <v>1377</v>
      </c>
      <c r="U1692">
        <f t="shared" si="186"/>
        <v>2024</v>
      </c>
      <c r="V1692">
        <f t="shared" si="187"/>
        <v>5</v>
      </c>
      <c r="W1692" s="11">
        <f t="shared" si="188"/>
        <v>1</v>
      </c>
    </row>
    <row r="1693" spans="1:23">
      <c r="A1693" t="s">
        <v>1706</v>
      </c>
      <c r="B1693" s="4">
        <v>45525</v>
      </c>
      <c r="C1693" t="s">
        <v>2017</v>
      </c>
      <c r="D1693" t="s">
        <v>2023</v>
      </c>
      <c r="E1693" t="s">
        <v>2028</v>
      </c>
      <c r="F1693" t="s">
        <v>2031</v>
      </c>
      <c r="G1693" t="s">
        <v>2037</v>
      </c>
      <c r="H1693" t="s">
        <v>2040</v>
      </c>
      <c r="I1693">
        <v>1</v>
      </c>
      <c r="J1693">
        <v>5</v>
      </c>
      <c r="K1693">
        <v>4</v>
      </c>
      <c r="L1693" t="s">
        <v>2041</v>
      </c>
      <c r="M1693">
        <v>178</v>
      </c>
      <c r="N1693">
        <v>3960</v>
      </c>
      <c r="O1693">
        <v>10292</v>
      </c>
      <c r="P1693" s="13">
        <f t="shared" si="182"/>
        <v>0</v>
      </c>
      <c r="Q1693" t="str">
        <f t="shared" si="183"/>
        <v>No</v>
      </c>
      <c r="R1693" t="str" cm="1">
        <f t="array" ref="R1693">_xlfn.IFS(K1693=0,"On Time",K1693&lt;=2,"Minor",K1693&lt;=5,"Major",K1693&gt;5,"Severe")</f>
        <v>Major</v>
      </c>
      <c r="S1693">
        <f t="shared" si="184"/>
        <v>2573</v>
      </c>
      <c r="T1693">
        <f t="shared" si="185"/>
        <v>990</v>
      </c>
      <c r="U1693">
        <f t="shared" si="186"/>
        <v>2024</v>
      </c>
      <c r="V1693">
        <f t="shared" si="187"/>
        <v>8</v>
      </c>
      <c r="W1693" s="11">
        <f t="shared" si="188"/>
        <v>1</v>
      </c>
    </row>
    <row r="1694" spans="1:23">
      <c r="A1694" t="s">
        <v>1707</v>
      </c>
      <c r="B1694" s="4">
        <v>45379</v>
      </c>
      <c r="C1694" t="s">
        <v>2015</v>
      </c>
      <c r="D1694" t="s">
        <v>2019</v>
      </c>
      <c r="E1694" t="s">
        <v>2029</v>
      </c>
      <c r="F1694" t="s">
        <v>2031</v>
      </c>
      <c r="G1694" t="s">
        <v>2033</v>
      </c>
      <c r="H1694" t="s">
        <v>2039</v>
      </c>
      <c r="I1694">
        <v>2</v>
      </c>
      <c r="J1694">
        <v>3</v>
      </c>
      <c r="K1694">
        <v>1</v>
      </c>
      <c r="L1694" t="s">
        <v>2041</v>
      </c>
      <c r="M1694">
        <v>117</v>
      </c>
      <c r="N1694">
        <v>2097</v>
      </c>
      <c r="O1694">
        <v>2214</v>
      </c>
      <c r="P1694" s="13">
        <f t="shared" si="182"/>
        <v>0</v>
      </c>
      <c r="Q1694" t="str">
        <f t="shared" si="183"/>
        <v>No</v>
      </c>
      <c r="R1694" t="str" cm="1">
        <f t="array" ref="R1694">_xlfn.IFS(K1694=0,"On Time",K1694&lt;=2,"Minor",K1694&lt;=5,"Major",K1694&gt;5,"Severe")</f>
        <v>Minor</v>
      </c>
      <c r="S1694">
        <f t="shared" si="184"/>
        <v>2214</v>
      </c>
      <c r="T1694">
        <f t="shared" si="185"/>
        <v>2097</v>
      </c>
      <c r="U1694">
        <f t="shared" si="186"/>
        <v>2024</v>
      </c>
      <c r="V1694">
        <f t="shared" si="187"/>
        <v>3</v>
      </c>
      <c r="W1694" s="11">
        <f t="shared" si="188"/>
        <v>1</v>
      </c>
    </row>
    <row r="1695" spans="1:23">
      <c r="A1695" t="s">
        <v>1708</v>
      </c>
      <c r="B1695" s="4">
        <v>45620</v>
      </c>
      <c r="C1695" t="s">
        <v>2017</v>
      </c>
      <c r="D1695" t="s">
        <v>2022</v>
      </c>
      <c r="E1695" t="s">
        <v>2027</v>
      </c>
      <c r="F1695" t="s">
        <v>2031</v>
      </c>
      <c r="G1695" t="s">
        <v>2033</v>
      </c>
      <c r="H1695" t="s">
        <v>2038</v>
      </c>
      <c r="I1695">
        <v>5</v>
      </c>
      <c r="J1695">
        <v>9</v>
      </c>
      <c r="K1695">
        <v>4</v>
      </c>
      <c r="L1695" t="s">
        <v>2041</v>
      </c>
      <c r="M1695">
        <v>453</v>
      </c>
      <c r="N1695">
        <v>5716</v>
      </c>
      <c r="O1695">
        <v>14136</v>
      </c>
      <c r="P1695" s="13">
        <f t="shared" si="182"/>
        <v>0</v>
      </c>
      <c r="Q1695" t="str">
        <f t="shared" si="183"/>
        <v>No</v>
      </c>
      <c r="R1695" t="str" cm="1">
        <f t="array" ref="R1695">_xlfn.IFS(K1695=0,"On Time",K1695&lt;=2,"Minor",K1695&lt;=5,"Major",K1695&gt;5,"Severe")</f>
        <v>Major</v>
      </c>
      <c r="S1695">
        <f t="shared" si="184"/>
        <v>3534</v>
      </c>
      <c r="T1695">
        <f t="shared" si="185"/>
        <v>1429</v>
      </c>
      <c r="U1695">
        <f t="shared" si="186"/>
        <v>2024</v>
      </c>
      <c r="V1695">
        <f t="shared" si="187"/>
        <v>11</v>
      </c>
      <c r="W1695" s="11">
        <f t="shared" si="188"/>
        <v>1</v>
      </c>
    </row>
    <row r="1696" spans="1:23">
      <c r="A1696" t="s">
        <v>1709</v>
      </c>
      <c r="B1696" s="4">
        <v>45460</v>
      </c>
      <c r="C1696" t="s">
        <v>2018</v>
      </c>
      <c r="D1696" t="s">
        <v>2026</v>
      </c>
      <c r="E1696" t="s">
        <v>2028</v>
      </c>
      <c r="F1696" t="s">
        <v>2031</v>
      </c>
      <c r="G1696" t="s">
        <v>2037</v>
      </c>
      <c r="H1696" t="s">
        <v>2039</v>
      </c>
      <c r="I1696">
        <v>1</v>
      </c>
      <c r="J1696">
        <v>1</v>
      </c>
      <c r="K1696">
        <v>0</v>
      </c>
      <c r="L1696" t="s">
        <v>2042</v>
      </c>
      <c r="M1696">
        <v>190</v>
      </c>
      <c r="N1696">
        <v>0</v>
      </c>
      <c r="O1696">
        <v>0</v>
      </c>
      <c r="P1696" s="13">
        <f t="shared" si="182"/>
        <v>1</v>
      </c>
      <c r="Q1696" t="str">
        <f t="shared" si="183"/>
        <v>No</v>
      </c>
      <c r="R1696" t="str" cm="1">
        <f t="array" ref="R1696">_xlfn.IFS(K1696=0,"On Time",K1696&lt;=2,"Minor",K1696&lt;=5,"Major",K1696&gt;5,"Severe")</f>
        <v>On Time</v>
      </c>
      <c r="S1696">
        <f t="shared" si="184"/>
        <v>0</v>
      </c>
      <c r="T1696">
        <f t="shared" si="185"/>
        <v>0</v>
      </c>
      <c r="U1696">
        <f t="shared" si="186"/>
        <v>2024</v>
      </c>
      <c r="V1696">
        <f t="shared" si="187"/>
        <v>6</v>
      </c>
      <c r="W1696" s="11">
        <f t="shared" si="188"/>
        <v>0</v>
      </c>
    </row>
    <row r="1697" spans="1:23">
      <c r="A1697" t="s">
        <v>1710</v>
      </c>
      <c r="B1697" s="4">
        <v>45577</v>
      </c>
      <c r="C1697" t="s">
        <v>2018</v>
      </c>
      <c r="D1697" t="s">
        <v>2026</v>
      </c>
      <c r="E1697" t="s">
        <v>2027</v>
      </c>
      <c r="F1697" t="s">
        <v>2031</v>
      </c>
      <c r="G1697" t="s">
        <v>2033</v>
      </c>
      <c r="H1697" t="s">
        <v>2040</v>
      </c>
      <c r="I1697">
        <v>1</v>
      </c>
      <c r="J1697">
        <v>8</v>
      </c>
      <c r="K1697">
        <v>7</v>
      </c>
      <c r="L1697" t="s">
        <v>2041</v>
      </c>
      <c r="M1697">
        <v>260</v>
      </c>
      <c r="N1697">
        <v>9422</v>
      </c>
      <c r="O1697">
        <v>26670</v>
      </c>
      <c r="P1697" s="13">
        <f t="shared" si="182"/>
        <v>0</v>
      </c>
      <c r="Q1697" t="str">
        <f t="shared" si="183"/>
        <v>No</v>
      </c>
      <c r="R1697" t="str" cm="1">
        <f t="array" ref="R1697">_xlfn.IFS(K1697=0,"On Time",K1697&lt;=2,"Minor",K1697&lt;=5,"Major",K1697&gt;5,"Severe")</f>
        <v>Severe</v>
      </c>
      <c r="S1697">
        <f t="shared" si="184"/>
        <v>3810</v>
      </c>
      <c r="T1697">
        <f t="shared" si="185"/>
        <v>1346</v>
      </c>
      <c r="U1697">
        <f t="shared" si="186"/>
        <v>2024</v>
      </c>
      <c r="V1697">
        <f t="shared" si="187"/>
        <v>10</v>
      </c>
      <c r="W1697" s="11">
        <f t="shared" si="188"/>
        <v>1</v>
      </c>
    </row>
    <row r="1698" spans="1:23">
      <c r="A1698" t="s">
        <v>1711</v>
      </c>
      <c r="B1698" s="4">
        <v>45601</v>
      </c>
      <c r="C1698" t="s">
        <v>2018</v>
      </c>
      <c r="D1698" t="s">
        <v>2026</v>
      </c>
      <c r="E1698" t="s">
        <v>2029</v>
      </c>
      <c r="F1698" t="s">
        <v>2031</v>
      </c>
      <c r="G1698" t="s">
        <v>2035</v>
      </c>
      <c r="H1698" t="s">
        <v>2038</v>
      </c>
      <c r="I1698">
        <v>2</v>
      </c>
      <c r="J1698">
        <v>7</v>
      </c>
      <c r="K1698">
        <v>5</v>
      </c>
      <c r="L1698" t="s">
        <v>2041</v>
      </c>
      <c r="M1698">
        <v>137</v>
      </c>
      <c r="N1698">
        <v>9545</v>
      </c>
      <c r="O1698">
        <v>23220</v>
      </c>
      <c r="P1698" s="13">
        <f t="shared" si="182"/>
        <v>0</v>
      </c>
      <c r="Q1698" t="str">
        <f t="shared" si="183"/>
        <v>No</v>
      </c>
      <c r="R1698" t="str" cm="1">
        <f t="array" ref="R1698">_xlfn.IFS(K1698=0,"On Time",K1698&lt;=2,"Minor",K1698&lt;=5,"Major",K1698&gt;5,"Severe")</f>
        <v>Major</v>
      </c>
      <c r="S1698">
        <f t="shared" si="184"/>
        <v>4644</v>
      </c>
      <c r="T1698">
        <f t="shared" si="185"/>
        <v>1909</v>
      </c>
      <c r="U1698">
        <f t="shared" si="186"/>
        <v>2024</v>
      </c>
      <c r="V1698">
        <f t="shared" si="187"/>
        <v>11</v>
      </c>
      <c r="W1698" s="11">
        <f t="shared" si="188"/>
        <v>1</v>
      </c>
    </row>
    <row r="1699" spans="1:23">
      <c r="A1699" t="s">
        <v>1712</v>
      </c>
      <c r="B1699" s="4">
        <v>45508</v>
      </c>
      <c r="C1699" t="s">
        <v>2018</v>
      </c>
      <c r="D1699" t="s">
        <v>2026</v>
      </c>
      <c r="E1699" t="s">
        <v>2027</v>
      </c>
      <c r="F1699" t="s">
        <v>2031</v>
      </c>
      <c r="G1699" t="s">
        <v>2033</v>
      </c>
      <c r="H1699" t="s">
        <v>2038</v>
      </c>
      <c r="I1699">
        <v>2</v>
      </c>
      <c r="J1699">
        <v>2</v>
      </c>
      <c r="K1699">
        <v>0</v>
      </c>
      <c r="L1699" t="s">
        <v>2042</v>
      </c>
      <c r="M1699">
        <v>283</v>
      </c>
      <c r="N1699">
        <v>0</v>
      </c>
      <c r="O1699">
        <v>0</v>
      </c>
      <c r="P1699" s="13">
        <f t="shared" si="182"/>
        <v>1</v>
      </c>
      <c r="Q1699" t="str">
        <f t="shared" si="183"/>
        <v>No</v>
      </c>
      <c r="R1699" t="str" cm="1">
        <f t="array" ref="R1699">_xlfn.IFS(K1699=0,"On Time",K1699&lt;=2,"Minor",K1699&lt;=5,"Major",K1699&gt;5,"Severe")</f>
        <v>On Time</v>
      </c>
      <c r="S1699">
        <f t="shared" si="184"/>
        <v>0</v>
      </c>
      <c r="T1699">
        <f t="shared" si="185"/>
        <v>0</v>
      </c>
      <c r="U1699">
        <f t="shared" si="186"/>
        <v>2024</v>
      </c>
      <c r="V1699">
        <f t="shared" si="187"/>
        <v>8</v>
      </c>
      <c r="W1699" s="11">
        <f t="shared" si="188"/>
        <v>0</v>
      </c>
    </row>
    <row r="1700" spans="1:23">
      <c r="A1700" t="s">
        <v>1713</v>
      </c>
      <c r="B1700" s="4">
        <v>45457</v>
      </c>
      <c r="C1700" t="s">
        <v>2017</v>
      </c>
      <c r="D1700" t="s">
        <v>2022</v>
      </c>
      <c r="E1700" t="s">
        <v>2027</v>
      </c>
      <c r="F1700" t="s">
        <v>2031</v>
      </c>
      <c r="G1700" t="s">
        <v>2033</v>
      </c>
      <c r="H1700" t="s">
        <v>2038</v>
      </c>
      <c r="I1700">
        <v>2</v>
      </c>
      <c r="J1700">
        <v>3</v>
      </c>
      <c r="K1700">
        <v>1</v>
      </c>
      <c r="L1700" t="s">
        <v>2041</v>
      </c>
      <c r="M1700">
        <v>329</v>
      </c>
      <c r="N1700">
        <v>1925</v>
      </c>
      <c r="O1700">
        <v>4466</v>
      </c>
      <c r="P1700" s="13">
        <f t="shared" si="182"/>
        <v>0</v>
      </c>
      <c r="Q1700" t="str">
        <f t="shared" si="183"/>
        <v>No</v>
      </c>
      <c r="R1700" t="str" cm="1">
        <f t="array" ref="R1700">_xlfn.IFS(K1700=0,"On Time",K1700&lt;=2,"Minor",K1700&lt;=5,"Major",K1700&gt;5,"Severe")</f>
        <v>Minor</v>
      </c>
      <c r="S1700">
        <f t="shared" si="184"/>
        <v>4466</v>
      </c>
      <c r="T1700">
        <f t="shared" si="185"/>
        <v>1925</v>
      </c>
      <c r="U1700">
        <f t="shared" si="186"/>
        <v>2024</v>
      </c>
      <c r="V1700">
        <f t="shared" si="187"/>
        <v>6</v>
      </c>
      <c r="W1700" s="11">
        <f t="shared" si="188"/>
        <v>1</v>
      </c>
    </row>
    <row r="1701" spans="1:23">
      <c r="A1701" t="s">
        <v>1714</v>
      </c>
      <c r="B1701" s="4">
        <v>45499</v>
      </c>
      <c r="C1701" t="s">
        <v>2017</v>
      </c>
      <c r="D1701" t="s">
        <v>2022</v>
      </c>
      <c r="E1701" t="s">
        <v>2029</v>
      </c>
      <c r="F1701" t="s">
        <v>2031</v>
      </c>
      <c r="G1701" t="s">
        <v>2034</v>
      </c>
      <c r="H1701" t="s">
        <v>2040</v>
      </c>
      <c r="I1701">
        <v>2</v>
      </c>
      <c r="J1701">
        <v>4</v>
      </c>
      <c r="K1701">
        <v>2</v>
      </c>
      <c r="L1701" t="s">
        <v>2041</v>
      </c>
      <c r="M1701">
        <v>92</v>
      </c>
      <c r="N1701">
        <v>3958</v>
      </c>
      <c r="O1701">
        <v>6468</v>
      </c>
      <c r="P1701" s="13">
        <f t="shared" si="182"/>
        <v>0</v>
      </c>
      <c r="Q1701" t="str">
        <f t="shared" si="183"/>
        <v>No</v>
      </c>
      <c r="R1701" t="str" cm="1">
        <f t="array" ref="R1701">_xlfn.IFS(K1701=0,"On Time",K1701&lt;=2,"Minor",K1701&lt;=5,"Major",K1701&gt;5,"Severe")</f>
        <v>Minor</v>
      </c>
      <c r="S1701">
        <f t="shared" si="184"/>
        <v>3234</v>
      </c>
      <c r="T1701">
        <f t="shared" si="185"/>
        <v>1979</v>
      </c>
      <c r="U1701">
        <f t="shared" si="186"/>
        <v>2024</v>
      </c>
      <c r="V1701">
        <f t="shared" si="187"/>
        <v>7</v>
      </c>
      <c r="W1701" s="11">
        <f t="shared" si="188"/>
        <v>1</v>
      </c>
    </row>
    <row r="1702" spans="1:23">
      <c r="A1702" t="s">
        <v>1715</v>
      </c>
      <c r="B1702" s="4">
        <v>45579</v>
      </c>
      <c r="C1702" t="s">
        <v>2016</v>
      </c>
      <c r="D1702" t="s">
        <v>2025</v>
      </c>
      <c r="E1702" t="s">
        <v>2028</v>
      </c>
      <c r="F1702" t="s">
        <v>2031</v>
      </c>
      <c r="G1702" t="s">
        <v>2034</v>
      </c>
      <c r="H1702" t="s">
        <v>2039</v>
      </c>
      <c r="I1702">
        <v>1</v>
      </c>
      <c r="J1702">
        <v>2</v>
      </c>
      <c r="K1702">
        <v>1</v>
      </c>
      <c r="L1702" t="s">
        <v>2041</v>
      </c>
      <c r="M1702">
        <v>354</v>
      </c>
      <c r="N1702">
        <v>1481</v>
      </c>
      <c r="O1702">
        <v>3598</v>
      </c>
      <c r="P1702" s="13">
        <f t="shared" si="182"/>
        <v>0</v>
      </c>
      <c r="Q1702" t="str">
        <f t="shared" si="183"/>
        <v>No</v>
      </c>
      <c r="R1702" t="str" cm="1">
        <f t="array" ref="R1702">_xlfn.IFS(K1702=0,"On Time",K1702&lt;=2,"Minor",K1702&lt;=5,"Major",K1702&gt;5,"Severe")</f>
        <v>Minor</v>
      </c>
      <c r="S1702">
        <f t="shared" si="184"/>
        <v>3598</v>
      </c>
      <c r="T1702">
        <f t="shared" si="185"/>
        <v>1481</v>
      </c>
      <c r="U1702">
        <f t="shared" si="186"/>
        <v>2024</v>
      </c>
      <c r="V1702">
        <f t="shared" si="187"/>
        <v>10</v>
      </c>
      <c r="W1702" s="11">
        <f t="shared" si="188"/>
        <v>1</v>
      </c>
    </row>
    <row r="1703" spans="1:23">
      <c r="A1703" t="s">
        <v>1716</v>
      </c>
      <c r="B1703" s="4">
        <v>45632</v>
      </c>
      <c r="C1703" t="s">
        <v>2017</v>
      </c>
      <c r="D1703" t="s">
        <v>2023</v>
      </c>
      <c r="E1703" t="s">
        <v>2027</v>
      </c>
      <c r="F1703" t="s">
        <v>2031</v>
      </c>
      <c r="G1703" t="s">
        <v>2037</v>
      </c>
      <c r="H1703" t="s">
        <v>2038</v>
      </c>
      <c r="I1703">
        <v>2</v>
      </c>
      <c r="J1703">
        <v>5</v>
      </c>
      <c r="K1703">
        <v>3</v>
      </c>
      <c r="L1703" t="s">
        <v>2041</v>
      </c>
      <c r="M1703">
        <v>284</v>
      </c>
      <c r="N1703">
        <v>3210</v>
      </c>
      <c r="O1703">
        <v>11685</v>
      </c>
      <c r="P1703" s="13">
        <f t="shared" si="182"/>
        <v>0</v>
      </c>
      <c r="Q1703" t="str">
        <f t="shared" si="183"/>
        <v>No</v>
      </c>
      <c r="R1703" t="str" cm="1">
        <f t="array" ref="R1703">_xlfn.IFS(K1703=0,"On Time",K1703&lt;=2,"Minor",K1703&lt;=5,"Major",K1703&gt;5,"Severe")</f>
        <v>Major</v>
      </c>
      <c r="S1703">
        <f t="shared" si="184"/>
        <v>3895</v>
      </c>
      <c r="T1703">
        <f t="shared" si="185"/>
        <v>1070</v>
      </c>
      <c r="U1703">
        <f t="shared" si="186"/>
        <v>2024</v>
      </c>
      <c r="V1703">
        <f t="shared" si="187"/>
        <v>12</v>
      </c>
      <c r="W1703" s="11">
        <f t="shared" si="188"/>
        <v>1</v>
      </c>
    </row>
    <row r="1704" spans="1:23">
      <c r="A1704" t="s">
        <v>1717</v>
      </c>
      <c r="B1704" s="4">
        <v>45417</v>
      </c>
      <c r="C1704" t="s">
        <v>2017</v>
      </c>
      <c r="D1704" t="s">
        <v>2023</v>
      </c>
      <c r="E1704" t="s">
        <v>2027</v>
      </c>
      <c r="F1704" t="s">
        <v>2030</v>
      </c>
      <c r="G1704" t="s">
        <v>2037</v>
      </c>
      <c r="H1704" t="s">
        <v>2040</v>
      </c>
      <c r="I1704">
        <v>1</v>
      </c>
      <c r="J1704">
        <v>7</v>
      </c>
      <c r="K1704">
        <v>6</v>
      </c>
      <c r="L1704" t="s">
        <v>2041</v>
      </c>
      <c r="M1704">
        <v>164</v>
      </c>
      <c r="N1704">
        <v>7362</v>
      </c>
      <c r="O1704">
        <v>22764</v>
      </c>
      <c r="P1704" s="13">
        <f t="shared" si="182"/>
        <v>0</v>
      </c>
      <c r="Q1704" t="str">
        <f t="shared" si="183"/>
        <v>No</v>
      </c>
      <c r="R1704" t="str" cm="1">
        <f t="array" ref="R1704">_xlfn.IFS(K1704=0,"On Time",K1704&lt;=2,"Minor",K1704&lt;=5,"Major",K1704&gt;5,"Severe")</f>
        <v>Severe</v>
      </c>
      <c r="S1704">
        <f t="shared" si="184"/>
        <v>3794</v>
      </c>
      <c r="T1704">
        <f t="shared" si="185"/>
        <v>1227</v>
      </c>
      <c r="U1704">
        <f t="shared" si="186"/>
        <v>2024</v>
      </c>
      <c r="V1704">
        <f t="shared" si="187"/>
        <v>5</v>
      </c>
      <c r="W1704" s="11">
        <f t="shared" si="188"/>
        <v>1</v>
      </c>
    </row>
    <row r="1705" spans="1:23">
      <c r="A1705" t="s">
        <v>1718</v>
      </c>
      <c r="B1705" s="4">
        <v>45451</v>
      </c>
      <c r="C1705" t="s">
        <v>2018</v>
      </c>
      <c r="D1705" t="s">
        <v>2024</v>
      </c>
      <c r="E1705" t="s">
        <v>2028</v>
      </c>
      <c r="F1705" t="s">
        <v>2031</v>
      </c>
      <c r="G1705" t="s">
        <v>2036</v>
      </c>
      <c r="H1705" t="s">
        <v>2039</v>
      </c>
      <c r="I1705">
        <v>2</v>
      </c>
      <c r="J1705">
        <v>3</v>
      </c>
      <c r="K1705">
        <v>1</v>
      </c>
      <c r="L1705" t="s">
        <v>2041</v>
      </c>
      <c r="M1705">
        <v>347</v>
      </c>
      <c r="N1705">
        <v>1423</v>
      </c>
      <c r="O1705">
        <v>3605</v>
      </c>
      <c r="P1705" s="13">
        <f t="shared" si="182"/>
        <v>0</v>
      </c>
      <c r="Q1705" t="str">
        <f t="shared" si="183"/>
        <v>No</v>
      </c>
      <c r="R1705" t="str" cm="1">
        <f t="array" ref="R1705">_xlfn.IFS(K1705=0,"On Time",K1705&lt;=2,"Minor",K1705&lt;=5,"Major",K1705&gt;5,"Severe")</f>
        <v>Minor</v>
      </c>
      <c r="S1705">
        <f t="shared" si="184"/>
        <v>3605</v>
      </c>
      <c r="T1705">
        <f t="shared" si="185"/>
        <v>1423</v>
      </c>
      <c r="U1705">
        <f t="shared" si="186"/>
        <v>2024</v>
      </c>
      <c r="V1705">
        <f t="shared" si="187"/>
        <v>6</v>
      </c>
      <c r="W1705" s="11">
        <f t="shared" si="188"/>
        <v>1</v>
      </c>
    </row>
    <row r="1706" spans="1:23">
      <c r="A1706" t="s">
        <v>1719</v>
      </c>
      <c r="B1706" s="4">
        <v>45523</v>
      </c>
      <c r="C1706" t="s">
        <v>2016</v>
      </c>
      <c r="D1706" t="s">
        <v>2025</v>
      </c>
      <c r="E1706" t="s">
        <v>2029</v>
      </c>
      <c r="F1706" t="s">
        <v>2030</v>
      </c>
      <c r="G1706" t="s">
        <v>2037</v>
      </c>
      <c r="H1706" t="s">
        <v>2038</v>
      </c>
      <c r="I1706">
        <v>2</v>
      </c>
      <c r="J1706">
        <v>4</v>
      </c>
      <c r="K1706">
        <v>2</v>
      </c>
      <c r="L1706" t="s">
        <v>2041</v>
      </c>
      <c r="M1706">
        <v>497</v>
      </c>
      <c r="N1706">
        <v>4470</v>
      </c>
      <c r="O1706">
        <v>3162</v>
      </c>
      <c r="P1706" s="13">
        <f t="shared" si="182"/>
        <v>0</v>
      </c>
      <c r="Q1706" t="str">
        <f t="shared" si="183"/>
        <v>No</v>
      </c>
      <c r="R1706" t="str" cm="1">
        <f t="array" ref="R1706">_xlfn.IFS(K1706=0,"On Time",K1706&lt;=2,"Minor",K1706&lt;=5,"Major",K1706&gt;5,"Severe")</f>
        <v>Minor</v>
      </c>
      <c r="S1706">
        <f t="shared" si="184"/>
        <v>1581</v>
      </c>
      <c r="T1706">
        <f t="shared" si="185"/>
        <v>2235</v>
      </c>
      <c r="U1706">
        <f t="shared" si="186"/>
        <v>2024</v>
      </c>
      <c r="V1706">
        <f t="shared" si="187"/>
        <v>8</v>
      </c>
      <c r="W1706" s="11">
        <f t="shared" si="188"/>
        <v>1</v>
      </c>
    </row>
    <row r="1707" spans="1:23">
      <c r="A1707" t="s">
        <v>1720</v>
      </c>
      <c r="B1707" s="4">
        <v>45584</v>
      </c>
      <c r="C1707" t="s">
        <v>2017</v>
      </c>
      <c r="D1707" t="s">
        <v>2023</v>
      </c>
      <c r="E1707" t="s">
        <v>2027</v>
      </c>
      <c r="F1707" t="s">
        <v>2030</v>
      </c>
      <c r="G1707" t="s">
        <v>2034</v>
      </c>
      <c r="H1707" t="s">
        <v>2040</v>
      </c>
      <c r="I1707">
        <v>2</v>
      </c>
      <c r="J1707">
        <v>6</v>
      </c>
      <c r="K1707">
        <v>4</v>
      </c>
      <c r="L1707" t="s">
        <v>2041</v>
      </c>
      <c r="M1707">
        <v>172</v>
      </c>
      <c r="N1707">
        <v>8240</v>
      </c>
      <c r="O1707">
        <v>18312</v>
      </c>
      <c r="P1707" s="13">
        <f t="shared" si="182"/>
        <v>0</v>
      </c>
      <c r="Q1707" t="str">
        <f t="shared" si="183"/>
        <v>No</v>
      </c>
      <c r="R1707" t="str" cm="1">
        <f t="array" ref="R1707">_xlfn.IFS(K1707=0,"On Time",K1707&lt;=2,"Minor",K1707&lt;=5,"Major",K1707&gt;5,"Severe")</f>
        <v>Major</v>
      </c>
      <c r="S1707">
        <f t="shared" si="184"/>
        <v>4578</v>
      </c>
      <c r="T1707">
        <f t="shared" si="185"/>
        <v>2060</v>
      </c>
      <c r="U1707">
        <f t="shared" si="186"/>
        <v>2024</v>
      </c>
      <c r="V1707">
        <f t="shared" si="187"/>
        <v>10</v>
      </c>
      <c r="W1707" s="11">
        <f t="shared" si="188"/>
        <v>1</v>
      </c>
    </row>
    <row r="1708" spans="1:23">
      <c r="A1708" t="s">
        <v>1721</v>
      </c>
      <c r="B1708" s="4">
        <v>45564</v>
      </c>
      <c r="C1708" t="s">
        <v>2018</v>
      </c>
      <c r="D1708" t="s">
        <v>2024</v>
      </c>
      <c r="E1708" t="s">
        <v>2027</v>
      </c>
      <c r="F1708" t="s">
        <v>2030</v>
      </c>
      <c r="G1708" t="s">
        <v>2033</v>
      </c>
      <c r="H1708" t="s">
        <v>2039</v>
      </c>
      <c r="I1708">
        <v>1</v>
      </c>
      <c r="J1708">
        <v>4</v>
      </c>
      <c r="K1708">
        <v>3</v>
      </c>
      <c r="L1708" t="s">
        <v>2041</v>
      </c>
      <c r="M1708">
        <v>265</v>
      </c>
      <c r="N1708">
        <v>3123</v>
      </c>
      <c r="O1708">
        <v>9543</v>
      </c>
      <c r="P1708" s="13">
        <f t="shared" si="182"/>
        <v>0</v>
      </c>
      <c r="Q1708" t="str">
        <f t="shared" si="183"/>
        <v>No</v>
      </c>
      <c r="R1708" t="str" cm="1">
        <f t="array" ref="R1708">_xlfn.IFS(K1708=0,"On Time",K1708&lt;=2,"Minor",K1708&lt;=5,"Major",K1708&gt;5,"Severe")</f>
        <v>Major</v>
      </c>
      <c r="S1708">
        <f t="shared" si="184"/>
        <v>3181</v>
      </c>
      <c r="T1708">
        <f t="shared" si="185"/>
        <v>1041</v>
      </c>
      <c r="U1708">
        <f t="shared" si="186"/>
        <v>2024</v>
      </c>
      <c r="V1708">
        <f t="shared" si="187"/>
        <v>9</v>
      </c>
      <c r="W1708" s="11">
        <f t="shared" si="188"/>
        <v>1</v>
      </c>
    </row>
    <row r="1709" spans="1:23">
      <c r="A1709" t="s">
        <v>1722</v>
      </c>
      <c r="B1709" s="4">
        <v>45515</v>
      </c>
      <c r="C1709" t="s">
        <v>2016</v>
      </c>
      <c r="D1709" t="s">
        <v>2025</v>
      </c>
      <c r="E1709" t="s">
        <v>2029</v>
      </c>
      <c r="F1709" t="s">
        <v>2030</v>
      </c>
      <c r="G1709" t="s">
        <v>2034</v>
      </c>
      <c r="H1709" t="s">
        <v>2040</v>
      </c>
      <c r="I1709">
        <v>3</v>
      </c>
      <c r="J1709">
        <v>5</v>
      </c>
      <c r="K1709">
        <v>2</v>
      </c>
      <c r="L1709" t="s">
        <v>2041</v>
      </c>
      <c r="M1709">
        <v>372</v>
      </c>
      <c r="N1709">
        <v>3988</v>
      </c>
      <c r="O1709">
        <v>5346</v>
      </c>
      <c r="P1709" s="13">
        <f t="shared" si="182"/>
        <v>0</v>
      </c>
      <c r="Q1709" t="str">
        <f t="shared" si="183"/>
        <v>No</v>
      </c>
      <c r="R1709" t="str" cm="1">
        <f t="array" ref="R1709">_xlfn.IFS(K1709=0,"On Time",K1709&lt;=2,"Minor",K1709&lt;=5,"Major",K1709&gt;5,"Severe")</f>
        <v>Minor</v>
      </c>
      <c r="S1709">
        <f t="shared" si="184"/>
        <v>2673</v>
      </c>
      <c r="T1709">
        <f t="shared" si="185"/>
        <v>1994</v>
      </c>
      <c r="U1709">
        <f t="shared" si="186"/>
        <v>2024</v>
      </c>
      <c r="V1709">
        <f t="shared" si="187"/>
        <v>8</v>
      </c>
      <c r="W1709" s="11">
        <f t="shared" si="188"/>
        <v>1</v>
      </c>
    </row>
    <row r="1710" spans="1:23">
      <c r="A1710" t="s">
        <v>1723</v>
      </c>
      <c r="B1710" s="4">
        <v>45402</v>
      </c>
      <c r="C1710" t="s">
        <v>2015</v>
      </c>
      <c r="D1710" t="s">
        <v>2019</v>
      </c>
      <c r="E1710" t="s">
        <v>2028</v>
      </c>
      <c r="F1710" t="s">
        <v>2032</v>
      </c>
      <c r="G1710" t="s">
        <v>2033</v>
      </c>
      <c r="H1710" t="s">
        <v>2038</v>
      </c>
      <c r="I1710">
        <v>2</v>
      </c>
      <c r="J1710">
        <v>8</v>
      </c>
      <c r="K1710">
        <v>6</v>
      </c>
      <c r="L1710" t="s">
        <v>2041</v>
      </c>
      <c r="M1710">
        <v>480</v>
      </c>
      <c r="N1710">
        <v>10560</v>
      </c>
      <c r="O1710">
        <v>13728</v>
      </c>
      <c r="P1710" s="13">
        <f t="shared" si="182"/>
        <v>0</v>
      </c>
      <c r="Q1710" t="str">
        <f t="shared" si="183"/>
        <v>No</v>
      </c>
      <c r="R1710" t="str" cm="1">
        <f t="array" ref="R1710">_xlfn.IFS(K1710=0,"On Time",K1710&lt;=2,"Minor",K1710&lt;=5,"Major",K1710&gt;5,"Severe")</f>
        <v>Severe</v>
      </c>
      <c r="S1710">
        <f t="shared" si="184"/>
        <v>2288</v>
      </c>
      <c r="T1710">
        <f t="shared" si="185"/>
        <v>1760</v>
      </c>
      <c r="U1710">
        <f t="shared" si="186"/>
        <v>2024</v>
      </c>
      <c r="V1710">
        <f t="shared" si="187"/>
        <v>4</v>
      </c>
      <c r="W1710" s="11">
        <f t="shared" si="188"/>
        <v>1</v>
      </c>
    </row>
    <row r="1711" spans="1:23">
      <c r="A1711" t="s">
        <v>1724</v>
      </c>
      <c r="B1711" s="4">
        <v>45379</v>
      </c>
      <c r="C1711" t="s">
        <v>2016</v>
      </c>
      <c r="D1711" t="s">
        <v>2025</v>
      </c>
      <c r="E1711" t="s">
        <v>2028</v>
      </c>
      <c r="F1711" t="s">
        <v>2032</v>
      </c>
      <c r="G1711" t="s">
        <v>2035</v>
      </c>
      <c r="H1711" t="s">
        <v>2038</v>
      </c>
      <c r="I1711">
        <v>3</v>
      </c>
      <c r="J1711">
        <v>7</v>
      </c>
      <c r="K1711">
        <v>4</v>
      </c>
      <c r="L1711" t="s">
        <v>2041</v>
      </c>
      <c r="M1711">
        <v>332</v>
      </c>
      <c r="N1711">
        <v>8292</v>
      </c>
      <c r="O1711">
        <v>9964</v>
      </c>
      <c r="P1711" s="13">
        <f t="shared" si="182"/>
        <v>0</v>
      </c>
      <c r="Q1711" t="str">
        <f t="shared" si="183"/>
        <v>No</v>
      </c>
      <c r="R1711" t="str" cm="1">
        <f t="array" ref="R1711">_xlfn.IFS(K1711=0,"On Time",K1711&lt;=2,"Minor",K1711&lt;=5,"Major",K1711&gt;5,"Severe")</f>
        <v>Major</v>
      </c>
      <c r="S1711">
        <f t="shared" si="184"/>
        <v>2491</v>
      </c>
      <c r="T1711">
        <f t="shared" si="185"/>
        <v>2073</v>
      </c>
      <c r="U1711">
        <f t="shared" si="186"/>
        <v>2024</v>
      </c>
      <c r="V1711">
        <f t="shared" si="187"/>
        <v>3</v>
      </c>
      <c r="W1711" s="11">
        <f t="shared" si="188"/>
        <v>1</v>
      </c>
    </row>
    <row r="1712" spans="1:23">
      <c r="A1712" t="s">
        <v>1725</v>
      </c>
      <c r="B1712" s="4">
        <v>45548</v>
      </c>
      <c r="C1712" t="s">
        <v>2016</v>
      </c>
      <c r="D1712" t="s">
        <v>2021</v>
      </c>
      <c r="E1712" t="s">
        <v>2028</v>
      </c>
      <c r="F1712" t="s">
        <v>2031</v>
      </c>
      <c r="G1712" t="s">
        <v>2035</v>
      </c>
      <c r="H1712" t="s">
        <v>2038</v>
      </c>
      <c r="I1712">
        <v>2</v>
      </c>
      <c r="J1712">
        <v>5</v>
      </c>
      <c r="K1712">
        <v>3</v>
      </c>
      <c r="L1712" t="s">
        <v>2041</v>
      </c>
      <c r="M1712">
        <v>64</v>
      </c>
      <c r="N1712">
        <v>5223</v>
      </c>
      <c r="O1712">
        <v>11454</v>
      </c>
      <c r="P1712" s="13">
        <f t="shared" si="182"/>
        <v>0</v>
      </c>
      <c r="Q1712" t="str">
        <f t="shared" si="183"/>
        <v>No</v>
      </c>
      <c r="R1712" t="str" cm="1">
        <f t="array" ref="R1712">_xlfn.IFS(K1712=0,"On Time",K1712&lt;=2,"Minor",K1712&lt;=5,"Major",K1712&gt;5,"Severe")</f>
        <v>Major</v>
      </c>
      <c r="S1712">
        <f t="shared" si="184"/>
        <v>3818</v>
      </c>
      <c r="T1712">
        <f t="shared" si="185"/>
        <v>1741</v>
      </c>
      <c r="U1712">
        <f t="shared" si="186"/>
        <v>2024</v>
      </c>
      <c r="V1712">
        <f t="shared" si="187"/>
        <v>9</v>
      </c>
      <c r="W1712" s="11">
        <f t="shared" si="188"/>
        <v>1</v>
      </c>
    </row>
    <row r="1713" spans="1:23">
      <c r="A1713" t="s">
        <v>1726</v>
      </c>
      <c r="B1713" s="4">
        <v>45336</v>
      </c>
      <c r="C1713" t="s">
        <v>2018</v>
      </c>
      <c r="D1713" t="s">
        <v>2026</v>
      </c>
      <c r="E1713" t="s">
        <v>2029</v>
      </c>
      <c r="F1713" t="s">
        <v>2032</v>
      </c>
      <c r="G1713" t="s">
        <v>2035</v>
      </c>
      <c r="H1713" t="s">
        <v>2038</v>
      </c>
      <c r="I1713">
        <v>2</v>
      </c>
      <c r="J1713">
        <v>6</v>
      </c>
      <c r="K1713">
        <v>4</v>
      </c>
      <c r="L1713" t="s">
        <v>2041</v>
      </c>
      <c r="M1713">
        <v>164</v>
      </c>
      <c r="N1713">
        <v>7504</v>
      </c>
      <c r="O1713">
        <v>9008</v>
      </c>
      <c r="P1713" s="13">
        <f t="shared" si="182"/>
        <v>0</v>
      </c>
      <c r="Q1713" t="str">
        <f t="shared" si="183"/>
        <v>No</v>
      </c>
      <c r="R1713" t="str" cm="1">
        <f t="array" ref="R1713">_xlfn.IFS(K1713=0,"On Time",K1713&lt;=2,"Minor",K1713&lt;=5,"Major",K1713&gt;5,"Severe")</f>
        <v>Major</v>
      </c>
      <c r="S1713">
        <f t="shared" si="184"/>
        <v>2252</v>
      </c>
      <c r="T1713">
        <f t="shared" si="185"/>
        <v>1876</v>
      </c>
      <c r="U1713">
        <f t="shared" si="186"/>
        <v>2024</v>
      </c>
      <c r="V1713">
        <f t="shared" si="187"/>
        <v>2</v>
      </c>
      <c r="W1713" s="11">
        <f t="shared" si="188"/>
        <v>1</v>
      </c>
    </row>
    <row r="1714" spans="1:23">
      <c r="A1714" t="s">
        <v>1727</v>
      </c>
      <c r="B1714" s="4">
        <v>45611</v>
      </c>
      <c r="C1714" t="s">
        <v>2017</v>
      </c>
      <c r="D1714" t="s">
        <v>2022</v>
      </c>
      <c r="E1714" t="s">
        <v>2029</v>
      </c>
      <c r="F1714" t="s">
        <v>2031</v>
      </c>
      <c r="G1714" t="s">
        <v>2035</v>
      </c>
      <c r="H1714" t="s">
        <v>2038</v>
      </c>
      <c r="I1714">
        <v>3</v>
      </c>
      <c r="J1714">
        <v>5</v>
      </c>
      <c r="K1714">
        <v>2</v>
      </c>
      <c r="L1714" t="s">
        <v>2041</v>
      </c>
      <c r="M1714">
        <v>463</v>
      </c>
      <c r="N1714">
        <v>2286</v>
      </c>
      <c r="O1714">
        <v>5476</v>
      </c>
      <c r="P1714" s="13">
        <f t="shared" si="182"/>
        <v>0</v>
      </c>
      <c r="Q1714" t="str">
        <f t="shared" si="183"/>
        <v>No</v>
      </c>
      <c r="R1714" t="str" cm="1">
        <f t="array" ref="R1714">_xlfn.IFS(K1714=0,"On Time",K1714&lt;=2,"Minor",K1714&lt;=5,"Major",K1714&gt;5,"Severe")</f>
        <v>Minor</v>
      </c>
      <c r="S1714">
        <f t="shared" si="184"/>
        <v>2738</v>
      </c>
      <c r="T1714">
        <f t="shared" si="185"/>
        <v>1143</v>
      </c>
      <c r="U1714">
        <f t="shared" si="186"/>
        <v>2024</v>
      </c>
      <c r="V1714">
        <f t="shared" si="187"/>
        <v>11</v>
      </c>
      <c r="W1714" s="11">
        <f t="shared" si="188"/>
        <v>1</v>
      </c>
    </row>
    <row r="1715" spans="1:23">
      <c r="A1715" t="s">
        <v>1728</v>
      </c>
      <c r="B1715" s="4">
        <v>45397</v>
      </c>
      <c r="C1715" t="s">
        <v>2017</v>
      </c>
      <c r="D1715" t="s">
        <v>2023</v>
      </c>
      <c r="E1715" t="s">
        <v>2029</v>
      </c>
      <c r="F1715" t="s">
        <v>2031</v>
      </c>
      <c r="G1715" t="s">
        <v>2036</v>
      </c>
      <c r="H1715" t="s">
        <v>2038</v>
      </c>
      <c r="I1715">
        <v>2</v>
      </c>
      <c r="J1715">
        <v>4</v>
      </c>
      <c r="K1715">
        <v>2</v>
      </c>
      <c r="L1715" t="s">
        <v>2041</v>
      </c>
      <c r="M1715">
        <v>359</v>
      </c>
      <c r="N1715">
        <v>4592</v>
      </c>
      <c r="O1715">
        <v>6014</v>
      </c>
      <c r="P1715" s="13">
        <f t="shared" si="182"/>
        <v>0</v>
      </c>
      <c r="Q1715" t="str">
        <f t="shared" si="183"/>
        <v>No</v>
      </c>
      <c r="R1715" t="str" cm="1">
        <f t="array" ref="R1715">_xlfn.IFS(K1715=0,"On Time",K1715&lt;=2,"Minor",K1715&lt;=5,"Major",K1715&gt;5,"Severe")</f>
        <v>Minor</v>
      </c>
      <c r="S1715">
        <f t="shared" si="184"/>
        <v>3007</v>
      </c>
      <c r="T1715">
        <f t="shared" si="185"/>
        <v>2296</v>
      </c>
      <c r="U1715">
        <f t="shared" si="186"/>
        <v>2024</v>
      </c>
      <c r="V1715">
        <f t="shared" si="187"/>
        <v>4</v>
      </c>
      <c r="W1715" s="11">
        <f t="shared" si="188"/>
        <v>1</v>
      </c>
    </row>
    <row r="1716" spans="1:23">
      <c r="A1716" t="s">
        <v>1729</v>
      </c>
      <c r="B1716" s="4">
        <v>45577</v>
      </c>
      <c r="C1716" t="s">
        <v>2016</v>
      </c>
      <c r="D1716" t="s">
        <v>2021</v>
      </c>
      <c r="E1716" t="s">
        <v>2028</v>
      </c>
      <c r="F1716" t="s">
        <v>2031</v>
      </c>
      <c r="G1716" t="s">
        <v>2035</v>
      </c>
      <c r="H1716" t="s">
        <v>2039</v>
      </c>
      <c r="I1716">
        <v>3</v>
      </c>
      <c r="J1716">
        <v>6</v>
      </c>
      <c r="K1716">
        <v>3</v>
      </c>
      <c r="L1716" t="s">
        <v>2041</v>
      </c>
      <c r="M1716">
        <v>316</v>
      </c>
      <c r="N1716">
        <v>6081</v>
      </c>
      <c r="O1716">
        <v>8955</v>
      </c>
      <c r="P1716" s="13">
        <f t="shared" si="182"/>
        <v>0</v>
      </c>
      <c r="Q1716" t="str">
        <f t="shared" si="183"/>
        <v>No</v>
      </c>
      <c r="R1716" t="str" cm="1">
        <f t="array" ref="R1716">_xlfn.IFS(K1716=0,"On Time",K1716&lt;=2,"Minor",K1716&lt;=5,"Major",K1716&gt;5,"Severe")</f>
        <v>Major</v>
      </c>
      <c r="S1716">
        <f t="shared" si="184"/>
        <v>2985</v>
      </c>
      <c r="T1716">
        <f t="shared" si="185"/>
        <v>2027</v>
      </c>
      <c r="U1716">
        <f t="shared" si="186"/>
        <v>2024</v>
      </c>
      <c r="V1716">
        <f t="shared" si="187"/>
        <v>10</v>
      </c>
      <c r="W1716" s="11">
        <f t="shared" si="188"/>
        <v>1</v>
      </c>
    </row>
    <row r="1717" spans="1:23">
      <c r="A1717" t="s">
        <v>1730</v>
      </c>
      <c r="B1717" s="4">
        <v>45410</v>
      </c>
      <c r="C1717" t="s">
        <v>2015</v>
      </c>
      <c r="D1717" t="s">
        <v>2020</v>
      </c>
      <c r="E1717" t="s">
        <v>2027</v>
      </c>
      <c r="F1717" t="s">
        <v>2030</v>
      </c>
      <c r="G1717" t="s">
        <v>2033</v>
      </c>
      <c r="H1717" t="s">
        <v>2040</v>
      </c>
      <c r="I1717">
        <v>1</v>
      </c>
      <c r="J1717">
        <v>6</v>
      </c>
      <c r="K1717">
        <v>5</v>
      </c>
      <c r="L1717" t="s">
        <v>2041</v>
      </c>
      <c r="M1717">
        <v>320</v>
      </c>
      <c r="N1717">
        <v>11650</v>
      </c>
      <c r="O1717">
        <v>24680</v>
      </c>
      <c r="P1717" s="13">
        <f t="shared" si="182"/>
        <v>0</v>
      </c>
      <c r="Q1717" t="str">
        <f t="shared" si="183"/>
        <v>No</v>
      </c>
      <c r="R1717" t="str" cm="1">
        <f t="array" ref="R1717">_xlfn.IFS(K1717=0,"On Time",K1717&lt;=2,"Minor",K1717&lt;=5,"Major",K1717&gt;5,"Severe")</f>
        <v>Major</v>
      </c>
      <c r="S1717">
        <f t="shared" si="184"/>
        <v>4936</v>
      </c>
      <c r="T1717">
        <f t="shared" si="185"/>
        <v>2330</v>
      </c>
      <c r="U1717">
        <f t="shared" si="186"/>
        <v>2024</v>
      </c>
      <c r="V1717">
        <f t="shared" si="187"/>
        <v>4</v>
      </c>
      <c r="W1717" s="11">
        <f t="shared" si="188"/>
        <v>1</v>
      </c>
    </row>
    <row r="1718" spans="1:23">
      <c r="A1718" t="s">
        <v>1731</v>
      </c>
      <c r="B1718" s="4">
        <v>45517</v>
      </c>
      <c r="C1718" t="s">
        <v>2015</v>
      </c>
      <c r="D1718" t="s">
        <v>2019</v>
      </c>
      <c r="E1718" t="s">
        <v>2028</v>
      </c>
      <c r="F1718" t="s">
        <v>2030</v>
      </c>
      <c r="G1718" t="s">
        <v>2033</v>
      </c>
      <c r="H1718" t="s">
        <v>2038</v>
      </c>
      <c r="I1718">
        <v>2</v>
      </c>
      <c r="J1718">
        <v>5</v>
      </c>
      <c r="K1718">
        <v>3</v>
      </c>
      <c r="L1718" t="s">
        <v>2041</v>
      </c>
      <c r="M1718">
        <v>457</v>
      </c>
      <c r="N1718">
        <v>5091</v>
      </c>
      <c r="O1718">
        <v>14997</v>
      </c>
      <c r="P1718" s="13">
        <f t="shared" si="182"/>
        <v>0</v>
      </c>
      <c r="Q1718" t="str">
        <f t="shared" si="183"/>
        <v>No</v>
      </c>
      <c r="R1718" t="str" cm="1">
        <f t="array" ref="R1718">_xlfn.IFS(K1718=0,"On Time",K1718&lt;=2,"Minor",K1718&lt;=5,"Major",K1718&gt;5,"Severe")</f>
        <v>Major</v>
      </c>
      <c r="S1718">
        <f t="shared" si="184"/>
        <v>4999</v>
      </c>
      <c r="T1718">
        <f t="shared" si="185"/>
        <v>1697</v>
      </c>
      <c r="U1718">
        <f t="shared" si="186"/>
        <v>2024</v>
      </c>
      <c r="V1718">
        <f t="shared" si="187"/>
        <v>8</v>
      </c>
      <c r="W1718" s="11">
        <f t="shared" si="188"/>
        <v>1</v>
      </c>
    </row>
    <row r="1719" spans="1:23">
      <c r="A1719" t="s">
        <v>1732</v>
      </c>
      <c r="B1719" s="4">
        <v>45397</v>
      </c>
      <c r="C1719" t="s">
        <v>2017</v>
      </c>
      <c r="D1719" t="s">
        <v>2023</v>
      </c>
      <c r="E1719" t="s">
        <v>2027</v>
      </c>
      <c r="F1719" t="s">
        <v>2030</v>
      </c>
      <c r="G1719" t="s">
        <v>2034</v>
      </c>
      <c r="H1719" t="s">
        <v>2039</v>
      </c>
      <c r="I1719">
        <v>1</v>
      </c>
      <c r="J1719">
        <v>6</v>
      </c>
      <c r="K1719">
        <v>5</v>
      </c>
      <c r="L1719" t="s">
        <v>2041</v>
      </c>
      <c r="M1719">
        <v>441</v>
      </c>
      <c r="N1719">
        <v>6605</v>
      </c>
      <c r="O1719">
        <v>14790</v>
      </c>
      <c r="P1719" s="13">
        <f t="shared" si="182"/>
        <v>0</v>
      </c>
      <c r="Q1719" t="str">
        <f t="shared" si="183"/>
        <v>No</v>
      </c>
      <c r="R1719" t="str" cm="1">
        <f t="array" ref="R1719">_xlfn.IFS(K1719=0,"On Time",K1719&lt;=2,"Minor",K1719&lt;=5,"Major",K1719&gt;5,"Severe")</f>
        <v>Major</v>
      </c>
      <c r="S1719">
        <f t="shared" si="184"/>
        <v>2958</v>
      </c>
      <c r="T1719">
        <f t="shared" si="185"/>
        <v>1321</v>
      </c>
      <c r="U1719">
        <f t="shared" si="186"/>
        <v>2024</v>
      </c>
      <c r="V1719">
        <f t="shared" si="187"/>
        <v>4</v>
      </c>
      <c r="W1719" s="11">
        <f t="shared" si="188"/>
        <v>1</v>
      </c>
    </row>
    <row r="1720" spans="1:23">
      <c r="A1720" t="s">
        <v>1733</v>
      </c>
      <c r="B1720" s="4">
        <v>45431</v>
      </c>
      <c r="C1720" t="s">
        <v>2016</v>
      </c>
      <c r="D1720" t="s">
        <v>2021</v>
      </c>
      <c r="E1720" t="s">
        <v>2029</v>
      </c>
      <c r="F1720" t="s">
        <v>2031</v>
      </c>
      <c r="G1720" t="s">
        <v>2037</v>
      </c>
      <c r="H1720" t="s">
        <v>2038</v>
      </c>
      <c r="I1720">
        <v>3</v>
      </c>
      <c r="J1720">
        <v>6</v>
      </c>
      <c r="K1720">
        <v>3</v>
      </c>
      <c r="L1720" t="s">
        <v>2041</v>
      </c>
      <c r="M1720">
        <v>485</v>
      </c>
      <c r="N1720">
        <v>3843</v>
      </c>
      <c r="O1720">
        <v>6324</v>
      </c>
      <c r="P1720" s="13">
        <f t="shared" si="182"/>
        <v>0</v>
      </c>
      <c r="Q1720" t="str">
        <f t="shared" si="183"/>
        <v>No</v>
      </c>
      <c r="R1720" t="str" cm="1">
        <f t="array" ref="R1720">_xlfn.IFS(K1720=0,"On Time",K1720&lt;=2,"Minor",K1720&lt;=5,"Major",K1720&gt;5,"Severe")</f>
        <v>Major</v>
      </c>
      <c r="S1720">
        <f t="shared" si="184"/>
        <v>2108</v>
      </c>
      <c r="T1720">
        <f t="shared" si="185"/>
        <v>1281</v>
      </c>
      <c r="U1720">
        <f t="shared" si="186"/>
        <v>2024</v>
      </c>
      <c r="V1720">
        <f t="shared" si="187"/>
        <v>5</v>
      </c>
      <c r="W1720" s="11">
        <f t="shared" si="188"/>
        <v>1</v>
      </c>
    </row>
    <row r="1721" spans="1:23">
      <c r="A1721" t="s">
        <v>1734</v>
      </c>
      <c r="B1721" s="4">
        <v>45554</v>
      </c>
      <c r="C1721" t="s">
        <v>2015</v>
      </c>
      <c r="D1721" t="s">
        <v>2019</v>
      </c>
      <c r="E1721" t="s">
        <v>2028</v>
      </c>
      <c r="F1721" t="s">
        <v>2031</v>
      </c>
      <c r="G1721" t="s">
        <v>2036</v>
      </c>
      <c r="H1721" t="s">
        <v>2039</v>
      </c>
      <c r="I1721">
        <v>5</v>
      </c>
      <c r="J1721">
        <v>9</v>
      </c>
      <c r="K1721">
        <v>4</v>
      </c>
      <c r="L1721" t="s">
        <v>2041</v>
      </c>
      <c r="M1721">
        <v>113</v>
      </c>
      <c r="N1721">
        <v>7316</v>
      </c>
      <c r="O1721">
        <v>17992</v>
      </c>
      <c r="P1721" s="13">
        <f t="shared" si="182"/>
        <v>0</v>
      </c>
      <c r="Q1721" t="str">
        <f t="shared" si="183"/>
        <v>No</v>
      </c>
      <c r="R1721" t="str" cm="1">
        <f t="array" ref="R1721">_xlfn.IFS(K1721=0,"On Time",K1721&lt;=2,"Minor",K1721&lt;=5,"Major",K1721&gt;5,"Severe")</f>
        <v>Major</v>
      </c>
      <c r="S1721">
        <f t="shared" si="184"/>
        <v>4498</v>
      </c>
      <c r="T1721">
        <f t="shared" si="185"/>
        <v>1829</v>
      </c>
      <c r="U1721">
        <f t="shared" si="186"/>
        <v>2024</v>
      </c>
      <c r="V1721">
        <f t="shared" si="187"/>
        <v>9</v>
      </c>
      <c r="W1721" s="11">
        <f t="shared" si="188"/>
        <v>1</v>
      </c>
    </row>
    <row r="1722" spans="1:23">
      <c r="A1722" t="s">
        <v>1735</v>
      </c>
      <c r="B1722" s="4">
        <v>45624</v>
      </c>
      <c r="C1722" t="s">
        <v>2018</v>
      </c>
      <c r="D1722" t="s">
        <v>2024</v>
      </c>
      <c r="E1722" t="s">
        <v>2029</v>
      </c>
      <c r="F1722" t="s">
        <v>2030</v>
      </c>
      <c r="G1722" t="s">
        <v>2037</v>
      </c>
      <c r="H1722" t="s">
        <v>2039</v>
      </c>
      <c r="I1722">
        <v>3</v>
      </c>
      <c r="J1722">
        <v>8</v>
      </c>
      <c r="K1722">
        <v>5</v>
      </c>
      <c r="L1722" t="s">
        <v>2041</v>
      </c>
      <c r="M1722">
        <v>120</v>
      </c>
      <c r="N1722">
        <v>11175</v>
      </c>
      <c r="O1722">
        <v>13260</v>
      </c>
      <c r="P1722" s="13">
        <f t="shared" si="182"/>
        <v>0</v>
      </c>
      <c r="Q1722" t="str">
        <f t="shared" si="183"/>
        <v>No</v>
      </c>
      <c r="R1722" t="str" cm="1">
        <f t="array" ref="R1722">_xlfn.IFS(K1722=0,"On Time",K1722&lt;=2,"Minor",K1722&lt;=5,"Major",K1722&gt;5,"Severe")</f>
        <v>Major</v>
      </c>
      <c r="S1722">
        <f t="shared" si="184"/>
        <v>2652</v>
      </c>
      <c r="T1722">
        <f t="shared" si="185"/>
        <v>2235</v>
      </c>
      <c r="U1722">
        <f t="shared" si="186"/>
        <v>2024</v>
      </c>
      <c r="V1722">
        <f t="shared" si="187"/>
        <v>11</v>
      </c>
      <c r="W1722" s="11">
        <f t="shared" si="188"/>
        <v>1</v>
      </c>
    </row>
    <row r="1723" spans="1:23">
      <c r="A1723" t="s">
        <v>1736</v>
      </c>
      <c r="B1723" s="4">
        <v>45543</v>
      </c>
      <c r="C1723" t="s">
        <v>2015</v>
      </c>
      <c r="D1723" t="s">
        <v>2020</v>
      </c>
      <c r="E1723" t="s">
        <v>2028</v>
      </c>
      <c r="F1723" t="s">
        <v>2031</v>
      </c>
      <c r="G1723" t="s">
        <v>2034</v>
      </c>
      <c r="H1723" t="s">
        <v>2038</v>
      </c>
      <c r="I1723">
        <v>1</v>
      </c>
      <c r="J1723">
        <v>5</v>
      </c>
      <c r="K1723">
        <v>4</v>
      </c>
      <c r="L1723" t="s">
        <v>2041</v>
      </c>
      <c r="M1723">
        <v>332</v>
      </c>
      <c r="N1723">
        <v>7200</v>
      </c>
      <c r="O1723">
        <v>13504</v>
      </c>
      <c r="P1723" s="13">
        <f t="shared" si="182"/>
        <v>0</v>
      </c>
      <c r="Q1723" t="str">
        <f t="shared" si="183"/>
        <v>No</v>
      </c>
      <c r="R1723" t="str" cm="1">
        <f t="array" ref="R1723">_xlfn.IFS(K1723=0,"On Time",K1723&lt;=2,"Minor",K1723&lt;=5,"Major",K1723&gt;5,"Severe")</f>
        <v>Major</v>
      </c>
      <c r="S1723">
        <f t="shared" si="184"/>
        <v>3376</v>
      </c>
      <c r="T1723">
        <f t="shared" si="185"/>
        <v>1800</v>
      </c>
      <c r="U1723">
        <f t="shared" si="186"/>
        <v>2024</v>
      </c>
      <c r="V1723">
        <f t="shared" si="187"/>
        <v>9</v>
      </c>
      <c r="W1723" s="11">
        <f t="shared" si="188"/>
        <v>1</v>
      </c>
    </row>
    <row r="1724" spans="1:23">
      <c r="A1724" t="s">
        <v>1737</v>
      </c>
      <c r="B1724" s="4">
        <v>45514</v>
      </c>
      <c r="C1724" t="s">
        <v>2016</v>
      </c>
      <c r="D1724" t="s">
        <v>2025</v>
      </c>
      <c r="E1724" t="s">
        <v>2028</v>
      </c>
      <c r="F1724" t="s">
        <v>2031</v>
      </c>
      <c r="G1724" t="s">
        <v>2037</v>
      </c>
      <c r="H1724" t="s">
        <v>2039</v>
      </c>
      <c r="I1724">
        <v>2</v>
      </c>
      <c r="J1724">
        <v>4</v>
      </c>
      <c r="K1724">
        <v>2</v>
      </c>
      <c r="L1724" t="s">
        <v>2041</v>
      </c>
      <c r="M1724">
        <v>311</v>
      </c>
      <c r="N1724">
        <v>2932</v>
      </c>
      <c r="O1724">
        <v>4000</v>
      </c>
      <c r="P1724" s="13">
        <f t="shared" si="182"/>
        <v>0</v>
      </c>
      <c r="Q1724" t="str">
        <f t="shared" si="183"/>
        <v>No</v>
      </c>
      <c r="R1724" t="str" cm="1">
        <f t="array" ref="R1724">_xlfn.IFS(K1724=0,"On Time",K1724&lt;=2,"Minor",K1724&lt;=5,"Major",K1724&gt;5,"Severe")</f>
        <v>Minor</v>
      </c>
      <c r="S1724">
        <f t="shared" si="184"/>
        <v>2000</v>
      </c>
      <c r="T1724">
        <f t="shared" si="185"/>
        <v>1466</v>
      </c>
      <c r="U1724">
        <f t="shared" si="186"/>
        <v>2024</v>
      </c>
      <c r="V1724">
        <f t="shared" si="187"/>
        <v>8</v>
      </c>
      <c r="W1724" s="11">
        <f t="shared" si="188"/>
        <v>1</v>
      </c>
    </row>
    <row r="1725" spans="1:23">
      <c r="A1725" t="s">
        <v>1738</v>
      </c>
      <c r="B1725" s="4">
        <v>45562</v>
      </c>
      <c r="C1725" t="s">
        <v>2015</v>
      </c>
      <c r="D1725" t="s">
        <v>2019</v>
      </c>
      <c r="E1725" t="s">
        <v>2027</v>
      </c>
      <c r="F1725" t="s">
        <v>2031</v>
      </c>
      <c r="G1725" t="s">
        <v>2037</v>
      </c>
      <c r="H1725" t="s">
        <v>2039</v>
      </c>
      <c r="I1725">
        <v>3</v>
      </c>
      <c r="J1725">
        <v>3</v>
      </c>
      <c r="K1725">
        <v>0</v>
      </c>
      <c r="L1725" t="s">
        <v>2042</v>
      </c>
      <c r="M1725">
        <v>437</v>
      </c>
      <c r="N1725">
        <v>0</v>
      </c>
      <c r="O1725">
        <v>0</v>
      </c>
      <c r="P1725" s="13">
        <f t="shared" si="182"/>
        <v>1</v>
      </c>
      <c r="Q1725" t="str">
        <f t="shared" si="183"/>
        <v>No</v>
      </c>
      <c r="R1725" t="str" cm="1">
        <f t="array" ref="R1725">_xlfn.IFS(K1725=0,"On Time",K1725&lt;=2,"Minor",K1725&lt;=5,"Major",K1725&gt;5,"Severe")</f>
        <v>On Time</v>
      </c>
      <c r="S1725">
        <f t="shared" si="184"/>
        <v>0</v>
      </c>
      <c r="T1725">
        <f t="shared" si="185"/>
        <v>0</v>
      </c>
      <c r="U1725">
        <f t="shared" si="186"/>
        <v>2024</v>
      </c>
      <c r="V1725">
        <f t="shared" si="187"/>
        <v>9</v>
      </c>
      <c r="W1725" s="11">
        <f t="shared" si="188"/>
        <v>0</v>
      </c>
    </row>
    <row r="1726" spans="1:23">
      <c r="A1726" t="s">
        <v>1739</v>
      </c>
      <c r="B1726" s="4">
        <v>45351</v>
      </c>
      <c r="C1726" t="s">
        <v>2017</v>
      </c>
      <c r="D1726" t="s">
        <v>2022</v>
      </c>
      <c r="E1726" t="s">
        <v>2029</v>
      </c>
      <c r="F1726" t="s">
        <v>2030</v>
      </c>
      <c r="G1726" t="s">
        <v>2037</v>
      </c>
      <c r="H1726" t="s">
        <v>2039</v>
      </c>
      <c r="I1726">
        <v>2</v>
      </c>
      <c r="J1726">
        <v>4</v>
      </c>
      <c r="K1726">
        <v>2</v>
      </c>
      <c r="L1726" t="s">
        <v>2041</v>
      </c>
      <c r="M1726">
        <v>260</v>
      </c>
      <c r="N1726">
        <v>2264</v>
      </c>
      <c r="O1726">
        <v>9804</v>
      </c>
      <c r="P1726" s="13">
        <f t="shared" si="182"/>
        <v>0</v>
      </c>
      <c r="Q1726" t="str">
        <f t="shared" si="183"/>
        <v>No</v>
      </c>
      <c r="R1726" t="str" cm="1">
        <f t="array" ref="R1726">_xlfn.IFS(K1726=0,"On Time",K1726&lt;=2,"Minor",K1726&lt;=5,"Major",K1726&gt;5,"Severe")</f>
        <v>Minor</v>
      </c>
      <c r="S1726">
        <f t="shared" si="184"/>
        <v>4902</v>
      </c>
      <c r="T1726">
        <f t="shared" si="185"/>
        <v>1132</v>
      </c>
      <c r="U1726">
        <f t="shared" si="186"/>
        <v>2024</v>
      </c>
      <c r="V1726">
        <f t="shared" si="187"/>
        <v>2</v>
      </c>
      <c r="W1726" s="11">
        <f t="shared" si="188"/>
        <v>1</v>
      </c>
    </row>
    <row r="1727" spans="1:23">
      <c r="A1727" t="s">
        <v>1740</v>
      </c>
      <c r="B1727" s="4">
        <v>45306</v>
      </c>
      <c r="C1727" t="s">
        <v>2016</v>
      </c>
      <c r="D1727" t="s">
        <v>2025</v>
      </c>
      <c r="E1727" t="s">
        <v>2029</v>
      </c>
      <c r="F1727" t="s">
        <v>2030</v>
      </c>
      <c r="G1727" t="s">
        <v>2033</v>
      </c>
      <c r="H1727" t="s">
        <v>2039</v>
      </c>
      <c r="I1727">
        <v>1</v>
      </c>
      <c r="J1727">
        <v>6</v>
      </c>
      <c r="K1727">
        <v>5</v>
      </c>
      <c r="L1727" t="s">
        <v>2041</v>
      </c>
      <c r="M1727">
        <v>482</v>
      </c>
      <c r="N1727">
        <v>8455</v>
      </c>
      <c r="O1727">
        <v>8210</v>
      </c>
      <c r="P1727" s="13">
        <f t="shared" si="182"/>
        <v>0</v>
      </c>
      <c r="Q1727" t="str">
        <f t="shared" si="183"/>
        <v>No</v>
      </c>
      <c r="R1727" t="str" cm="1">
        <f t="array" ref="R1727">_xlfn.IFS(K1727=0,"On Time",K1727&lt;=2,"Minor",K1727&lt;=5,"Major",K1727&gt;5,"Severe")</f>
        <v>Major</v>
      </c>
      <c r="S1727">
        <f t="shared" si="184"/>
        <v>1642</v>
      </c>
      <c r="T1727">
        <f t="shared" si="185"/>
        <v>1691</v>
      </c>
      <c r="U1727">
        <f t="shared" si="186"/>
        <v>2024</v>
      </c>
      <c r="V1727">
        <f t="shared" si="187"/>
        <v>1</v>
      </c>
      <c r="W1727" s="11">
        <f t="shared" si="188"/>
        <v>1</v>
      </c>
    </row>
    <row r="1728" spans="1:23">
      <c r="A1728" t="s">
        <v>1741</v>
      </c>
      <c r="B1728" s="4">
        <v>45375</v>
      </c>
      <c r="C1728" t="s">
        <v>2017</v>
      </c>
      <c r="D1728" t="s">
        <v>2023</v>
      </c>
      <c r="E1728" t="s">
        <v>2027</v>
      </c>
      <c r="F1728" t="s">
        <v>2031</v>
      </c>
      <c r="G1728" t="s">
        <v>2037</v>
      </c>
      <c r="H1728" t="s">
        <v>2038</v>
      </c>
      <c r="I1728">
        <v>2</v>
      </c>
      <c r="J1728">
        <v>2</v>
      </c>
      <c r="K1728">
        <v>0</v>
      </c>
      <c r="L1728" t="s">
        <v>2042</v>
      </c>
      <c r="M1728">
        <v>415</v>
      </c>
      <c r="N1728">
        <v>0</v>
      </c>
      <c r="O1728">
        <v>0</v>
      </c>
      <c r="P1728" s="13">
        <f t="shared" si="182"/>
        <v>1</v>
      </c>
      <c r="Q1728" t="str">
        <f t="shared" si="183"/>
        <v>No</v>
      </c>
      <c r="R1728" t="str" cm="1">
        <f t="array" ref="R1728">_xlfn.IFS(K1728=0,"On Time",K1728&lt;=2,"Minor",K1728&lt;=5,"Major",K1728&gt;5,"Severe")</f>
        <v>On Time</v>
      </c>
      <c r="S1728">
        <f t="shared" si="184"/>
        <v>0</v>
      </c>
      <c r="T1728">
        <f t="shared" si="185"/>
        <v>0</v>
      </c>
      <c r="U1728">
        <f t="shared" si="186"/>
        <v>2024</v>
      </c>
      <c r="V1728">
        <f t="shared" si="187"/>
        <v>3</v>
      </c>
      <c r="W1728" s="11">
        <f t="shared" si="188"/>
        <v>0</v>
      </c>
    </row>
    <row r="1729" spans="1:23">
      <c r="A1729" t="s">
        <v>1742</v>
      </c>
      <c r="B1729" s="4">
        <v>45460</v>
      </c>
      <c r="C1729" t="s">
        <v>2015</v>
      </c>
      <c r="D1729" t="s">
        <v>2019</v>
      </c>
      <c r="E1729" t="s">
        <v>2028</v>
      </c>
      <c r="F1729" t="s">
        <v>2031</v>
      </c>
      <c r="G1729" t="s">
        <v>2033</v>
      </c>
      <c r="H1729" t="s">
        <v>2038</v>
      </c>
      <c r="I1729">
        <v>3</v>
      </c>
      <c r="J1729">
        <v>3</v>
      </c>
      <c r="K1729">
        <v>0</v>
      </c>
      <c r="L1729" t="s">
        <v>2042</v>
      </c>
      <c r="M1729">
        <v>234</v>
      </c>
      <c r="N1729">
        <v>0</v>
      </c>
      <c r="O1729">
        <v>0</v>
      </c>
      <c r="P1729" s="13">
        <f t="shared" si="182"/>
        <v>1</v>
      </c>
      <c r="Q1729" t="str">
        <f t="shared" si="183"/>
        <v>No</v>
      </c>
      <c r="R1729" t="str" cm="1">
        <f t="array" ref="R1729">_xlfn.IFS(K1729=0,"On Time",K1729&lt;=2,"Minor",K1729&lt;=5,"Major",K1729&gt;5,"Severe")</f>
        <v>On Time</v>
      </c>
      <c r="S1729">
        <f t="shared" si="184"/>
        <v>0</v>
      </c>
      <c r="T1729">
        <f t="shared" si="185"/>
        <v>0</v>
      </c>
      <c r="U1729">
        <f t="shared" si="186"/>
        <v>2024</v>
      </c>
      <c r="V1729">
        <f t="shared" si="187"/>
        <v>6</v>
      </c>
      <c r="W1729" s="11">
        <f t="shared" si="188"/>
        <v>0</v>
      </c>
    </row>
    <row r="1730" spans="1:23">
      <c r="A1730" t="s">
        <v>1743</v>
      </c>
      <c r="B1730" s="4">
        <v>45638</v>
      </c>
      <c r="C1730" t="s">
        <v>2018</v>
      </c>
      <c r="D1730" t="s">
        <v>2026</v>
      </c>
      <c r="E1730" t="s">
        <v>2027</v>
      </c>
      <c r="F1730" t="s">
        <v>2031</v>
      </c>
      <c r="G1730" t="s">
        <v>2033</v>
      </c>
      <c r="H1730" t="s">
        <v>2039</v>
      </c>
      <c r="I1730">
        <v>2</v>
      </c>
      <c r="J1730">
        <v>3</v>
      </c>
      <c r="K1730">
        <v>1</v>
      </c>
      <c r="L1730" t="s">
        <v>2041</v>
      </c>
      <c r="M1730">
        <v>172</v>
      </c>
      <c r="N1730">
        <v>1667</v>
      </c>
      <c r="O1730">
        <v>3525</v>
      </c>
      <c r="P1730" s="13">
        <f t="shared" si="182"/>
        <v>0</v>
      </c>
      <c r="Q1730" t="str">
        <f t="shared" si="183"/>
        <v>No</v>
      </c>
      <c r="R1730" t="str" cm="1">
        <f t="array" ref="R1730">_xlfn.IFS(K1730=0,"On Time",K1730&lt;=2,"Minor",K1730&lt;=5,"Major",K1730&gt;5,"Severe")</f>
        <v>Minor</v>
      </c>
      <c r="S1730">
        <f t="shared" si="184"/>
        <v>3525</v>
      </c>
      <c r="T1730">
        <f t="shared" si="185"/>
        <v>1667</v>
      </c>
      <c r="U1730">
        <f t="shared" si="186"/>
        <v>2024</v>
      </c>
      <c r="V1730">
        <f t="shared" si="187"/>
        <v>12</v>
      </c>
      <c r="W1730" s="11">
        <f t="shared" si="188"/>
        <v>1</v>
      </c>
    </row>
    <row r="1731" spans="1:23">
      <c r="A1731" t="s">
        <v>1744</v>
      </c>
      <c r="B1731" s="4">
        <v>45442</v>
      </c>
      <c r="C1731" t="s">
        <v>2018</v>
      </c>
      <c r="D1731" t="s">
        <v>2026</v>
      </c>
      <c r="E1731" t="s">
        <v>2029</v>
      </c>
      <c r="F1731" t="s">
        <v>2031</v>
      </c>
      <c r="G1731" t="s">
        <v>2033</v>
      </c>
      <c r="H1731" t="s">
        <v>2038</v>
      </c>
      <c r="I1731">
        <v>1</v>
      </c>
      <c r="J1731">
        <v>4</v>
      </c>
      <c r="K1731">
        <v>3</v>
      </c>
      <c r="L1731" t="s">
        <v>2041</v>
      </c>
      <c r="M1731">
        <v>298</v>
      </c>
      <c r="N1731">
        <v>5031</v>
      </c>
      <c r="O1731">
        <v>11763</v>
      </c>
      <c r="P1731" s="13">
        <f t="shared" ref="P1731:P1794" si="189">IF(L1731="Yes",0,1)</f>
        <v>0</v>
      </c>
      <c r="Q1731" t="str">
        <f t="shared" ref="Q1731:Q1794" si="190">IF(K1731&gt;J1731,"Yes","No")</f>
        <v>No</v>
      </c>
      <c r="R1731" t="str" cm="1">
        <f t="array" ref="R1731">_xlfn.IFS(K1731=0,"On Time",K1731&lt;=2,"Minor",K1731&lt;=5,"Major",K1731&gt;5,"Severe")</f>
        <v>Major</v>
      </c>
      <c r="S1731">
        <f t="shared" ref="S1731:S1794" si="191">IFERROR(O1731/K1731,0)</f>
        <v>3921</v>
      </c>
      <c r="T1731">
        <f t="shared" ref="T1731:T1794" si="192">IFERROR(N1731/K1731,0)</f>
        <v>1677</v>
      </c>
      <c r="U1731">
        <f t="shared" ref="U1731:U1794" si="193">YEAR(B1731)</f>
        <v>2024</v>
      </c>
      <c r="V1731">
        <f t="shared" ref="V1731:V1794" si="194">MONTH(B1731)</f>
        <v>5</v>
      </c>
      <c r="W1731" s="11">
        <f t="shared" ref="W1731:W1794" si="195">IF(L1731="Yes",1,0)</f>
        <v>1</v>
      </c>
    </row>
    <row r="1732" spans="1:23">
      <c r="A1732" t="s">
        <v>1745</v>
      </c>
      <c r="B1732" s="4">
        <v>45587</v>
      </c>
      <c r="C1732" t="s">
        <v>2016</v>
      </c>
      <c r="D1732" t="s">
        <v>2021</v>
      </c>
      <c r="E1732" t="s">
        <v>2027</v>
      </c>
      <c r="F1732" t="s">
        <v>2031</v>
      </c>
      <c r="G1732" t="s">
        <v>2035</v>
      </c>
      <c r="H1732" t="s">
        <v>2038</v>
      </c>
      <c r="I1732">
        <v>3</v>
      </c>
      <c r="J1732">
        <v>3</v>
      </c>
      <c r="K1732">
        <v>0</v>
      </c>
      <c r="L1732" t="s">
        <v>2042</v>
      </c>
      <c r="M1732">
        <v>491</v>
      </c>
      <c r="N1732">
        <v>0</v>
      </c>
      <c r="O1732">
        <v>0</v>
      </c>
      <c r="P1732" s="13">
        <f t="shared" si="189"/>
        <v>1</v>
      </c>
      <c r="Q1732" t="str">
        <f t="shared" si="190"/>
        <v>No</v>
      </c>
      <c r="R1732" t="str" cm="1">
        <f t="array" ref="R1732">_xlfn.IFS(K1732=0,"On Time",K1732&lt;=2,"Minor",K1732&lt;=5,"Major",K1732&gt;5,"Severe")</f>
        <v>On Time</v>
      </c>
      <c r="S1732">
        <f t="shared" si="191"/>
        <v>0</v>
      </c>
      <c r="T1732">
        <f t="shared" si="192"/>
        <v>0</v>
      </c>
      <c r="U1732">
        <f t="shared" si="193"/>
        <v>2024</v>
      </c>
      <c r="V1732">
        <f t="shared" si="194"/>
        <v>10</v>
      </c>
      <c r="W1732" s="11">
        <f t="shared" si="195"/>
        <v>0</v>
      </c>
    </row>
    <row r="1733" spans="1:23">
      <c r="A1733" t="s">
        <v>1746</v>
      </c>
      <c r="B1733" s="4">
        <v>45486</v>
      </c>
      <c r="C1733" t="s">
        <v>2017</v>
      </c>
      <c r="D1733" t="s">
        <v>2023</v>
      </c>
      <c r="E1733" t="s">
        <v>2027</v>
      </c>
      <c r="F1733" t="s">
        <v>2030</v>
      </c>
      <c r="G1733" t="s">
        <v>2036</v>
      </c>
      <c r="H1733" t="s">
        <v>2038</v>
      </c>
      <c r="I1733">
        <v>2</v>
      </c>
      <c r="J1733">
        <v>4</v>
      </c>
      <c r="K1733">
        <v>2</v>
      </c>
      <c r="L1733" t="s">
        <v>2041</v>
      </c>
      <c r="M1733">
        <v>419</v>
      </c>
      <c r="N1733">
        <v>3466</v>
      </c>
      <c r="O1733">
        <v>5506</v>
      </c>
      <c r="P1733" s="13">
        <f t="shared" si="189"/>
        <v>0</v>
      </c>
      <c r="Q1733" t="str">
        <f t="shared" si="190"/>
        <v>No</v>
      </c>
      <c r="R1733" t="str" cm="1">
        <f t="array" ref="R1733">_xlfn.IFS(K1733=0,"On Time",K1733&lt;=2,"Minor",K1733&lt;=5,"Major",K1733&gt;5,"Severe")</f>
        <v>Minor</v>
      </c>
      <c r="S1733">
        <f t="shared" si="191"/>
        <v>2753</v>
      </c>
      <c r="T1733">
        <f t="shared" si="192"/>
        <v>1733</v>
      </c>
      <c r="U1733">
        <f t="shared" si="193"/>
        <v>2024</v>
      </c>
      <c r="V1733">
        <f t="shared" si="194"/>
        <v>7</v>
      </c>
      <c r="W1733" s="11">
        <f t="shared" si="195"/>
        <v>1</v>
      </c>
    </row>
    <row r="1734" spans="1:23">
      <c r="A1734" t="s">
        <v>1747</v>
      </c>
      <c r="B1734" s="4">
        <v>45620</v>
      </c>
      <c r="C1734" t="s">
        <v>2015</v>
      </c>
      <c r="D1734" t="s">
        <v>2019</v>
      </c>
      <c r="E1734" t="s">
        <v>2027</v>
      </c>
      <c r="F1734" t="s">
        <v>2031</v>
      </c>
      <c r="G1734" t="s">
        <v>2033</v>
      </c>
      <c r="H1734" t="s">
        <v>2040</v>
      </c>
      <c r="I1734">
        <v>1</v>
      </c>
      <c r="J1734">
        <v>4</v>
      </c>
      <c r="K1734">
        <v>3</v>
      </c>
      <c r="L1734" t="s">
        <v>2041</v>
      </c>
      <c r="M1734">
        <v>456</v>
      </c>
      <c r="N1734">
        <v>3744</v>
      </c>
      <c r="O1734">
        <v>4638</v>
      </c>
      <c r="P1734" s="13">
        <f t="shared" si="189"/>
        <v>0</v>
      </c>
      <c r="Q1734" t="str">
        <f t="shared" si="190"/>
        <v>No</v>
      </c>
      <c r="R1734" t="str" cm="1">
        <f t="array" ref="R1734">_xlfn.IFS(K1734=0,"On Time",K1734&lt;=2,"Minor",K1734&lt;=5,"Major",K1734&gt;5,"Severe")</f>
        <v>Major</v>
      </c>
      <c r="S1734">
        <f t="shared" si="191"/>
        <v>1546</v>
      </c>
      <c r="T1734">
        <f t="shared" si="192"/>
        <v>1248</v>
      </c>
      <c r="U1734">
        <f t="shared" si="193"/>
        <v>2024</v>
      </c>
      <c r="V1734">
        <f t="shared" si="194"/>
        <v>11</v>
      </c>
      <c r="W1734" s="11">
        <f t="shared" si="195"/>
        <v>1</v>
      </c>
    </row>
    <row r="1735" spans="1:23">
      <c r="A1735" t="s">
        <v>1748</v>
      </c>
      <c r="B1735" s="4">
        <v>45399</v>
      </c>
      <c r="C1735" t="s">
        <v>2016</v>
      </c>
      <c r="D1735" t="s">
        <v>2025</v>
      </c>
      <c r="E1735" t="s">
        <v>2027</v>
      </c>
      <c r="F1735" t="s">
        <v>2031</v>
      </c>
      <c r="G1735" t="s">
        <v>2037</v>
      </c>
      <c r="H1735" t="s">
        <v>2040</v>
      </c>
      <c r="I1735">
        <v>1</v>
      </c>
      <c r="J1735">
        <v>8</v>
      </c>
      <c r="K1735">
        <v>7</v>
      </c>
      <c r="L1735" t="s">
        <v>2041</v>
      </c>
      <c r="M1735">
        <v>69</v>
      </c>
      <c r="N1735">
        <v>9765</v>
      </c>
      <c r="O1735">
        <v>16681</v>
      </c>
      <c r="P1735" s="13">
        <f t="shared" si="189"/>
        <v>0</v>
      </c>
      <c r="Q1735" t="str">
        <f t="shared" si="190"/>
        <v>No</v>
      </c>
      <c r="R1735" t="str" cm="1">
        <f t="array" ref="R1735">_xlfn.IFS(K1735=0,"On Time",K1735&lt;=2,"Minor",K1735&lt;=5,"Major",K1735&gt;5,"Severe")</f>
        <v>Severe</v>
      </c>
      <c r="S1735">
        <f t="shared" si="191"/>
        <v>2383</v>
      </c>
      <c r="T1735">
        <f t="shared" si="192"/>
        <v>1395</v>
      </c>
      <c r="U1735">
        <f t="shared" si="193"/>
        <v>2024</v>
      </c>
      <c r="V1735">
        <f t="shared" si="194"/>
        <v>4</v>
      </c>
      <c r="W1735" s="11">
        <f t="shared" si="195"/>
        <v>1</v>
      </c>
    </row>
    <row r="1736" spans="1:23">
      <c r="A1736" t="s">
        <v>1749</v>
      </c>
      <c r="B1736" s="4">
        <v>45510</v>
      </c>
      <c r="C1736" t="s">
        <v>2017</v>
      </c>
      <c r="D1736" t="s">
        <v>2023</v>
      </c>
      <c r="E1736" t="s">
        <v>2029</v>
      </c>
      <c r="F1736" t="s">
        <v>2031</v>
      </c>
      <c r="G1736" t="s">
        <v>2036</v>
      </c>
      <c r="H1736" t="s">
        <v>2038</v>
      </c>
      <c r="I1736">
        <v>2</v>
      </c>
      <c r="J1736">
        <v>2</v>
      </c>
      <c r="K1736">
        <v>0</v>
      </c>
      <c r="L1736" t="s">
        <v>2042</v>
      </c>
      <c r="M1736">
        <v>114</v>
      </c>
      <c r="N1736">
        <v>0</v>
      </c>
      <c r="O1736">
        <v>0</v>
      </c>
      <c r="P1736" s="13">
        <f t="shared" si="189"/>
        <v>1</v>
      </c>
      <c r="Q1736" t="str">
        <f t="shared" si="190"/>
        <v>No</v>
      </c>
      <c r="R1736" t="str" cm="1">
        <f t="array" ref="R1736">_xlfn.IFS(K1736=0,"On Time",K1736&lt;=2,"Minor",K1736&lt;=5,"Major",K1736&gt;5,"Severe")</f>
        <v>On Time</v>
      </c>
      <c r="S1736">
        <f t="shared" si="191"/>
        <v>0</v>
      </c>
      <c r="T1736">
        <f t="shared" si="192"/>
        <v>0</v>
      </c>
      <c r="U1736">
        <f t="shared" si="193"/>
        <v>2024</v>
      </c>
      <c r="V1736">
        <f t="shared" si="194"/>
        <v>8</v>
      </c>
      <c r="W1736" s="11">
        <f t="shared" si="195"/>
        <v>0</v>
      </c>
    </row>
    <row r="1737" spans="1:23">
      <c r="A1737" t="s">
        <v>1750</v>
      </c>
      <c r="B1737" s="4">
        <v>45364</v>
      </c>
      <c r="C1737" t="s">
        <v>2016</v>
      </c>
      <c r="D1737" t="s">
        <v>2021</v>
      </c>
      <c r="E1737" t="s">
        <v>2028</v>
      </c>
      <c r="F1737" t="s">
        <v>2031</v>
      </c>
      <c r="G1737" t="s">
        <v>2037</v>
      </c>
      <c r="H1737" t="s">
        <v>2038</v>
      </c>
      <c r="I1737">
        <v>1</v>
      </c>
      <c r="J1737">
        <v>4</v>
      </c>
      <c r="K1737">
        <v>3</v>
      </c>
      <c r="L1737" t="s">
        <v>2041</v>
      </c>
      <c r="M1737">
        <v>92</v>
      </c>
      <c r="N1737">
        <v>3459</v>
      </c>
      <c r="O1737">
        <v>10803</v>
      </c>
      <c r="P1737" s="13">
        <f t="shared" si="189"/>
        <v>0</v>
      </c>
      <c r="Q1737" t="str">
        <f t="shared" si="190"/>
        <v>No</v>
      </c>
      <c r="R1737" t="str" cm="1">
        <f t="array" ref="R1737">_xlfn.IFS(K1737=0,"On Time",K1737&lt;=2,"Minor",K1737&lt;=5,"Major",K1737&gt;5,"Severe")</f>
        <v>Major</v>
      </c>
      <c r="S1737">
        <f t="shared" si="191"/>
        <v>3601</v>
      </c>
      <c r="T1737">
        <f t="shared" si="192"/>
        <v>1153</v>
      </c>
      <c r="U1737">
        <f t="shared" si="193"/>
        <v>2024</v>
      </c>
      <c r="V1737">
        <f t="shared" si="194"/>
        <v>3</v>
      </c>
      <c r="W1737" s="11">
        <f t="shared" si="195"/>
        <v>1</v>
      </c>
    </row>
    <row r="1738" spans="1:23">
      <c r="A1738" t="s">
        <v>1751</v>
      </c>
      <c r="B1738" s="4">
        <v>45292</v>
      </c>
      <c r="C1738" t="s">
        <v>2018</v>
      </c>
      <c r="D1738" t="s">
        <v>2026</v>
      </c>
      <c r="E1738" t="s">
        <v>2029</v>
      </c>
      <c r="F1738" t="s">
        <v>2030</v>
      </c>
      <c r="G1738" t="s">
        <v>2035</v>
      </c>
      <c r="H1738" t="s">
        <v>2038</v>
      </c>
      <c r="I1738">
        <v>3</v>
      </c>
      <c r="J1738">
        <v>7</v>
      </c>
      <c r="K1738">
        <v>4</v>
      </c>
      <c r="L1738" t="s">
        <v>2041</v>
      </c>
      <c r="M1738">
        <v>361</v>
      </c>
      <c r="N1738">
        <v>6324</v>
      </c>
      <c r="O1738">
        <v>9144</v>
      </c>
      <c r="P1738" s="13">
        <f t="shared" si="189"/>
        <v>0</v>
      </c>
      <c r="Q1738" t="str">
        <f t="shared" si="190"/>
        <v>No</v>
      </c>
      <c r="R1738" t="str" cm="1">
        <f t="array" ref="R1738">_xlfn.IFS(K1738=0,"On Time",K1738&lt;=2,"Minor",K1738&lt;=5,"Major",K1738&gt;5,"Severe")</f>
        <v>Major</v>
      </c>
      <c r="S1738">
        <f t="shared" si="191"/>
        <v>2286</v>
      </c>
      <c r="T1738">
        <f t="shared" si="192"/>
        <v>1581</v>
      </c>
      <c r="U1738">
        <f t="shared" si="193"/>
        <v>2024</v>
      </c>
      <c r="V1738">
        <f t="shared" si="194"/>
        <v>1</v>
      </c>
      <c r="W1738" s="11">
        <f t="shared" si="195"/>
        <v>1</v>
      </c>
    </row>
    <row r="1739" spans="1:23">
      <c r="A1739" t="s">
        <v>1752</v>
      </c>
      <c r="B1739" s="4">
        <v>45408</v>
      </c>
      <c r="C1739" t="s">
        <v>2018</v>
      </c>
      <c r="D1739" t="s">
        <v>2026</v>
      </c>
      <c r="E1739" t="s">
        <v>2029</v>
      </c>
      <c r="F1739" t="s">
        <v>2030</v>
      </c>
      <c r="G1739" t="s">
        <v>2033</v>
      </c>
      <c r="H1739" t="s">
        <v>2040</v>
      </c>
      <c r="I1739">
        <v>5</v>
      </c>
      <c r="J1739">
        <v>9</v>
      </c>
      <c r="K1739">
        <v>4</v>
      </c>
      <c r="L1739" t="s">
        <v>2041</v>
      </c>
      <c r="M1739">
        <v>142</v>
      </c>
      <c r="N1739">
        <v>4844</v>
      </c>
      <c r="O1739">
        <v>17196</v>
      </c>
      <c r="P1739" s="13">
        <f t="shared" si="189"/>
        <v>0</v>
      </c>
      <c r="Q1739" t="str">
        <f t="shared" si="190"/>
        <v>No</v>
      </c>
      <c r="R1739" t="str" cm="1">
        <f t="array" ref="R1739">_xlfn.IFS(K1739=0,"On Time",K1739&lt;=2,"Minor",K1739&lt;=5,"Major",K1739&gt;5,"Severe")</f>
        <v>Major</v>
      </c>
      <c r="S1739">
        <f t="shared" si="191"/>
        <v>4299</v>
      </c>
      <c r="T1739">
        <f t="shared" si="192"/>
        <v>1211</v>
      </c>
      <c r="U1739">
        <f t="shared" si="193"/>
        <v>2024</v>
      </c>
      <c r="V1739">
        <f t="shared" si="194"/>
        <v>4</v>
      </c>
      <c r="W1739" s="11">
        <f t="shared" si="195"/>
        <v>1</v>
      </c>
    </row>
    <row r="1740" spans="1:23">
      <c r="A1740" t="s">
        <v>1753</v>
      </c>
      <c r="B1740" s="4">
        <v>45540</v>
      </c>
      <c r="C1740" t="s">
        <v>2015</v>
      </c>
      <c r="D1740" t="s">
        <v>2020</v>
      </c>
      <c r="E1740" t="s">
        <v>2027</v>
      </c>
      <c r="F1740" t="s">
        <v>2031</v>
      </c>
      <c r="G1740" t="s">
        <v>2037</v>
      </c>
      <c r="H1740" t="s">
        <v>2039</v>
      </c>
      <c r="I1740">
        <v>2</v>
      </c>
      <c r="J1740">
        <v>6</v>
      </c>
      <c r="K1740">
        <v>4</v>
      </c>
      <c r="L1740" t="s">
        <v>2041</v>
      </c>
      <c r="M1740">
        <v>176</v>
      </c>
      <c r="N1740">
        <v>4340</v>
      </c>
      <c r="O1740">
        <v>12896</v>
      </c>
      <c r="P1740" s="13">
        <f t="shared" si="189"/>
        <v>0</v>
      </c>
      <c r="Q1740" t="str">
        <f t="shared" si="190"/>
        <v>No</v>
      </c>
      <c r="R1740" t="str" cm="1">
        <f t="array" ref="R1740">_xlfn.IFS(K1740=0,"On Time",K1740&lt;=2,"Minor",K1740&lt;=5,"Major",K1740&gt;5,"Severe")</f>
        <v>Major</v>
      </c>
      <c r="S1740">
        <f t="shared" si="191"/>
        <v>3224</v>
      </c>
      <c r="T1740">
        <f t="shared" si="192"/>
        <v>1085</v>
      </c>
      <c r="U1740">
        <f t="shared" si="193"/>
        <v>2024</v>
      </c>
      <c r="V1740">
        <f t="shared" si="194"/>
        <v>9</v>
      </c>
      <c r="W1740" s="11">
        <f t="shared" si="195"/>
        <v>1</v>
      </c>
    </row>
    <row r="1741" spans="1:23">
      <c r="A1741" t="s">
        <v>1754</v>
      </c>
      <c r="B1741" s="4">
        <v>45321</v>
      </c>
      <c r="C1741" t="s">
        <v>2017</v>
      </c>
      <c r="D1741" t="s">
        <v>2022</v>
      </c>
      <c r="E1741" t="s">
        <v>2028</v>
      </c>
      <c r="F1741" t="s">
        <v>2030</v>
      </c>
      <c r="G1741" t="s">
        <v>2037</v>
      </c>
      <c r="H1741" t="s">
        <v>2040</v>
      </c>
      <c r="I1741">
        <v>1</v>
      </c>
      <c r="J1741">
        <v>4</v>
      </c>
      <c r="K1741">
        <v>3</v>
      </c>
      <c r="L1741" t="s">
        <v>2041</v>
      </c>
      <c r="M1741">
        <v>135</v>
      </c>
      <c r="N1741">
        <v>5133</v>
      </c>
      <c r="O1741">
        <v>11439</v>
      </c>
      <c r="P1741" s="13">
        <f t="shared" si="189"/>
        <v>0</v>
      </c>
      <c r="Q1741" t="str">
        <f t="shared" si="190"/>
        <v>No</v>
      </c>
      <c r="R1741" t="str" cm="1">
        <f t="array" ref="R1741">_xlfn.IFS(K1741=0,"On Time",K1741&lt;=2,"Minor",K1741&lt;=5,"Major",K1741&gt;5,"Severe")</f>
        <v>Major</v>
      </c>
      <c r="S1741">
        <f t="shared" si="191"/>
        <v>3813</v>
      </c>
      <c r="T1741">
        <f t="shared" si="192"/>
        <v>1711</v>
      </c>
      <c r="U1741">
        <f t="shared" si="193"/>
        <v>2024</v>
      </c>
      <c r="V1741">
        <f t="shared" si="194"/>
        <v>1</v>
      </c>
      <c r="W1741" s="11">
        <f t="shared" si="195"/>
        <v>1</v>
      </c>
    </row>
    <row r="1742" spans="1:23">
      <c r="A1742" t="s">
        <v>1755</v>
      </c>
      <c r="B1742" s="4">
        <v>45396</v>
      </c>
      <c r="C1742" t="s">
        <v>2018</v>
      </c>
      <c r="D1742" t="s">
        <v>2024</v>
      </c>
      <c r="E1742" t="s">
        <v>2029</v>
      </c>
      <c r="F1742" t="s">
        <v>2031</v>
      </c>
      <c r="G1742" t="s">
        <v>2033</v>
      </c>
      <c r="H1742" t="s">
        <v>2039</v>
      </c>
      <c r="I1742">
        <v>1</v>
      </c>
      <c r="J1742">
        <v>1</v>
      </c>
      <c r="K1742">
        <v>0</v>
      </c>
      <c r="L1742" t="s">
        <v>2042</v>
      </c>
      <c r="M1742">
        <v>183</v>
      </c>
      <c r="N1742">
        <v>0</v>
      </c>
      <c r="O1742">
        <v>0</v>
      </c>
      <c r="P1742" s="13">
        <f t="shared" si="189"/>
        <v>1</v>
      </c>
      <c r="Q1742" t="str">
        <f t="shared" si="190"/>
        <v>No</v>
      </c>
      <c r="R1742" t="str" cm="1">
        <f t="array" ref="R1742">_xlfn.IFS(K1742=0,"On Time",K1742&lt;=2,"Minor",K1742&lt;=5,"Major",K1742&gt;5,"Severe")</f>
        <v>On Time</v>
      </c>
      <c r="S1742">
        <f t="shared" si="191"/>
        <v>0</v>
      </c>
      <c r="T1742">
        <f t="shared" si="192"/>
        <v>0</v>
      </c>
      <c r="U1742">
        <f t="shared" si="193"/>
        <v>2024</v>
      </c>
      <c r="V1742">
        <f t="shared" si="194"/>
        <v>4</v>
      </c>
      <c r="W1742" s="11">
        <f t="shared" si="195"/>
        <v>0</v>
      </c>
    </row>
    <row r="1743" spans="1:23">
      <c r="A1743" t="s">
        <v>1756</v>
      </c>
      <c r="B1743" s="4">
        <v>45430</v>
      </c>
      <c r="C1743" t="s">
        <v>2018</v>
      </c>
      <c r="D1743" t="s">
        <v>2026</v>
      </c>
      <c r="E1743" t="s">
        <v>2029</v>
      </c>
      <c r="F1743" t="s">
        <v>2031</v>
      </c>
      <c r="G1743" t="s">
        <v>2033</v>
      </c>
      <c r="H1743" t="s">
        <v>2038</v>
      </c>
      <c r="I1743">
        <v>2</v>
      </c>
      <c r="J1743">
        <v>2</v>
      </c>
      <c r="K1743">
        <v>0</v>
      </c>
      <c r="L1743" t="s">
        <v>2042</v>
      </c>
      <c r="M1743">
        <v>95</v>
      </c>
      <c r="N1743">
        <v>0</v>
      </c>
      <c r="O1743">
        <v>0</v>
      </c>
      <c r="P1743" s="13">
        <f t="shared" si="189"/>
        <v>1</v>
      </c>
      <c r="Q1743" t="str">
        <f t="shared" si="190"/>
        <v>No</v>
      </c>
      <c r="R1743" t="str" cm="1">
        <f t="array" ref="R1743">_xlfn.IFS(K1743=0,"On Time",K1743&lt;=2,"Minor",K1743&lt;=5,"Major",K1743&gt;5,"Severe")</f>
        <v>On Time</v>
      </c>
      <c r="S1743">
        <f t="shared" si="191"/>
        <v>0</v>
      </c>
      <c r="T1743">
        <f t="shared" si="192"/>
        <v>0</v>
      </c>
      <c r="U1743">
        <f t="shared" si="193"/>
        <v>2024</v>
      </c>
      <c r="V1743">
        <f t="shared" si="194"/>
        <v>5</v>
      </c>
      <c r="W1743" s="11">
        <f t="shared" si="195"/>
        <v>0</v>
      </c>
    </row>
    <row r="1744" spans="1:23">
      <c r="A1744" t="s">
        <v>1757</v>
      </c>
      <c r="B1744" s="4">
        <v>45324</v>
      </c>
      <c r="C1744" t="s">
        <v>2016</v>
      </c>
      <c r="D1744" t="s">
        <v>2021</v>
      </c>
      <c r="E1744" t="s">
        <v>2027</v>
      </c>
      <c r="F1744" t="s">
        <v>2031</v>
      </c>
      <c r="G1744" t="s">
        <v>2036</v>
      </c>
      <c r="H1744" t="s">
        <v>2039</v>
      </c>
      <c r="I1744">
        <v>1</v>
      </c>
      <c r="J1744">
        <v>6</v>
      </c>
      <c r="K1744">
        <v>5</v>
      </c>
      <c r="L1744" t="s">
        <v>2041</v>
      </c>
      <c r="M1744">
        <v>437</v>
      </c>
      <c r="N1744">
        <v>7855</v>
      </c>
      <c r="O1744">
        <v>13400</v>
      </c>
      <c r="P1744" s="13">
        <f t="shared" si="189"/>
        <v>0</v>
      </c>
      <c r="Q1744" t="str">
        <f t="shared" si="190"/>
        <v>No</v>
      </c>
      <c r="R1744" t="str" cm="1">
        <f t="array" ref="R1744">_xlfn.IFS(K1744=0,"On Time",K1744&lt;=2,"Minor",K1744&lt;=5,"Major",K1744&gt;5,"Severe")</f>
        <v>Major</v>
      </c>
      <c r="S1744">
        <f t="shared" si="191"/>
        <v>2680</v>
      </c>
      <c r="T1744">
        <f t="shared" si="192"/>
        <v>1571</v>
      </c>
      <c r="U1744">
        <f t="shared" si="193"/>
        <v>2024</v>
      </c>
      <c r="V1744">
        <f t="shared" si="194"/>
        <v>2</v>
      </c>
      <c r="W1744" s="11">
        <f t="shared" si="195"/>
        <v>1</v>
      </c>
    </row>
    <row r="1745" spans="1:23">
      <c r="A1745" t="s">
        <v>1758</v>
      </c>
      <c r="B1745" s="4">
        <v>45403</v>
      </c>
      <c r="C1745" t="s">
        <v>2016</v>
      </c>
      <c r="D1745" t="s">
        <v>2021</v>
      </c>
      <c r="E1745" t="s">
        <v>2029</v>
      </c>
      <c r="F1745" t="s">
        <v>2030</v>
      </c>
      <c r="G1745" t="s">
        <v>2033</v>
      </c>
      <c r="H1745" t="s">
        <v>2040</v>
      </c>
      <c r="I1745">
        <v>1</v>
      </c>
      <c r="J1745">
        <v>8</v>
      </c>
      <c r="K1745">
        <v>7</v>
      </c>
      <c r="L1745" t="s">
        <v>2041</v>
      </c>
      <c r="M1745">
        <v>449</v>
      </c>
      <c r="N1745">
        <v>8603</v>
      </c>
      <c r="O1745">
        <v>18508</v>
      </c>
      <c r="P1745" s="13">
        <f t="shared" si="189"/>
        <v>0</v>
      </c>
      <c r="Q1745" t="str">
        <f t="shared" si="190"/>
        <v>No</v>
      </c>
      <c r="R1745" t="str" cm="1">
        <f t="array" ref="R1745">_xlfn.IFS(K1745=0,"On Time",K1745&lt;=2,"Minor",K1745&lt;=5,"Major",K1745&gt;5,"Severe")</f>
        <v>Severe</v>
      </c>
      <c r="S1745">
        <f t="shared" si="191"/>
        <v>2644</v>
      </c>
      <c r="T1745">
        <f t="shared" si="192"/>
        <v>1229</v>
      </c>
      <c r="U1745">
        <f t="shared" si="193"/>
        <v>2024</v>
      </c>
      <c r="V1745">
        <f t="shared" si="194"/>
        <v>4</v>
      </c>
      <c r="W1745" s="11">
        <f t="shared" si="195"/>
        <v>1</v>
      </c>
    </row>
    <row r="1746" spans="1:23">
      <c r="A1746" t="s">
        <v>1759</v>
      </c>
      <c r="B1746" s="4">
        <v>45523</v>
      </c>
      <c r="C1746" t="s">
        <v>2016</v>
      </c>
      <c r="D1746" t="s">
        <v>2021</v>
      </c>
      <c r="E1746" t="s">
        <v>2029</v>
      </c>
      <c r="F1746" t="s">
        <v>2031</v>
      </c>
      <c r="G1746" t="s">
        <v>2033</v>
      </c>
      <c r="H1746" t="s">
        <v>2038</v>
      </c>
      <c r="I1746">
        <v>1</v>
      </c>
      <c r="J1746">
        <v>2</v>
      </c>
      <c r="K1746">
        <v>1</v>
      </c>
      <c r="L1746" t="s">
        <v>2041</v>
      </c>
      <c r="M1746">
        <v>141</v>
      </c>
      <c r="N1746">
        <v>1139</v>
      </c>
      <c r="O1746">
        <v>1710</v>
      </c>
      <c r="P1746" s="13">
        <f t="shared" si="189"/>
        <v>0</v>
      </c>
      <c r="Q1746" t="str">
        <f t="shared" si="190"/>
        <v>No</v>
      </c>
      <c r="R1746" t="str" cm="1">
        <f t="array" ref="R1746">_xlfn.IFS(K1746=0,"On Time",K1746&lt;=2,"Minor",K1746&lt;=5,"Major",K1746&gt;5,"Severe")</f>
        <v>Minor</v>
      </c>
      <c r="S1746">
        <f t="shared" si="191"/>
        <v>1710</v>
      </c>
      <c r="T1746">
        <f t="shared" si="192"/>
        <v>1139</v>
      </c>
      <c r="U1746">
        <f t="shared" si="193"/>
        <v>2024</v>
      </c>
      <c r="V1746">
        <f t="shared" si="194"/>
        <v>8</v>
      </c>
      <c r="W1746" s="11">
        <f t="shared" si="195"/>
        <v>1</v>
      </c>
    </row>
    <row r="1747" spans="1:23">
      <c r="A1747" t="s">
        <v>1760</v>
      </c>
      <c r="B1747" s="4">
        <v>45513</v>
      </c>
      <c r="C1747" t="s">
        <v>2017</v>
      </c>
      <c r="D1747" t="s">
        <v>2022</v>
      </c>
      <c r="E1747" t="s">
        <v>2029</v>
      </c>
      <c r="F1747" t="s">
        <v>2031</v>
      </c>
      <c r="G1747" t="s">
        <v>2036</v>
      </c>
      <c r="H1747" t="s">
        <v>2040</v>
      </c>
      <c r="I1747">
        <v>2</v>
      </c>
      <c r="J1747">
        <v>5</v>
      </c>
      <c r="K1747">
        <v>3</v>
      </c>
      <c r="L1747" t="s">
        <v>2041</v>
      </c>
      <c r="M1747">
        <v>472</v>
      </c>
      <c r="N1747">
        <v>5589</v>
      </c>
      <c r="O1747">
        <v>13968</v>
      </c>
      <c r="P1747" s="13">
        <f t="shared" si="189"/>
        <v>0</v>
      </c>
      <c r="Q1747" t="str">
        <f t="shared" si="190"/>
        <v>No</v>
      </c>
      <c r="R1747" t="str" cm="1">
        <f t="array" ref="R1747">_xlfn.IFS(K1747=0,"On Time",K1747&lt;=2,"Minor",K1747&lt;=5,"Major",K1747&gt;5,"Severe")</f>
        <v>Major</v>
      </c>
      <c r="S1747">
        <f t="shared" si="191"/>
        <v>4656</v>
      </c>
      <c r="T1747">
        <f t="shared" si="192"/>
        <v>1863</v>
      </c>
      <c r="U1747">
        <f t="shared" si="193"/>
        <v>2024</v>
      </c>
      <c r="V1747">
        <f t="shared" si="194"/>
        <v>8</v>
      </c>
      <c r="W1747" s="11">
        <f t="shared" si="195"/>
        <v>1</v>
      </c>
    </row>
    <row r="1748" spans="1:23">
      <c r="A1748" t="s">
        <v>1761</v>
      </c>
      <c r="B1748" s="4">
        <v>45590</v>
      </c>
      <c r="C1748" t="s">
        <v>2015</v>
      </c>
      <c r="D1748" t="s">
        <v>2019</v>
      </c>
      <c r="E1748" t="s">
        <v>2029</v>
      </c>
      <c r="F1748" t="s">
        <v>2030</v>
      </c>
      <c r="G1748" t="s">
        <v>2036</v>
      </c>
      <c r="H1748" t="s">
        <v>2039</v>
      </c>
      <c r="I1748">
        <v>3</v>
      </c>
      <c r="J1748">
        <v>3</v>
      </c>
      <c r="K1748">
        <v>0</v>
      </c>
      <c r="L1748" t="s">
        <v>2042</v>
      </c>
      <c r="M1748">
        <v>420</v>
      </c>
      <c r="N1748">
        <v>0</v>
      </c>
      <c r="O1748">
        <v>0</v>
      </c>
      <c r="P1748" s="13">
        <f t="shared" si="189"/>
        <v>1</v>
      </c>
      <c r="Q1748" t="str">
        <f t="shared" si="190"/>
        <v>No</v>
      </c>
      <c r="R1748" t="str" cm="1">
        <f t="array" ref="R1748">_xlfn.IFS(K1748=0,"On Time",K1748&lt;=2,"Minor",K1748&lt;=5,"Major",K1748&gt;5,"Severe")</f>
        <v>On Time</v>
      </c>
      <c r="S1748">
        <f t="shared" si="191"/>
        <v>0</v>
      </c>
      <c r="T1748">
        <f t="shared" si="192"/>
        <v>0</v>
      </c>
      <c r="U1748">
        <f t="shared" si="193"/>
        <v>2024</v>
      </c>
      <c r="V1748">
        <f t="shared" si="194"/>
        <v>10</v>
      </c>
      <c r="W1748" s="11">
        <f t="shared" si="195"/>
        <v>0</v>
      </c>
    </row>
    <row r="1749" spans="1:23">
      <c r="A1749" t="s">
        <v>1762</v>
      </c>
      <c r="B1749" s="4">
        <v>45574</v>
      </c>
      <c r="C1749" t="s">
        <v>2017</v>
      </c>
      <c r="D1749" t="s">
        <v>2022</v>
      </c>
      <c r="E1749" t="s">
        <v>2029</v>
      </c>
      <c r="F1749" t="s">
        <v>2031</v>
      </c>
      <c r="G1749" t="s">
        <v>2034</v>
      </c>
      <c r="H1749" t="s">
        <v>2039</v>
      </c>
      <c r="I1749">
        <v>2</v>
      </c>
      <c r="J1749">
        <v>5</v>
      </c>
      <c r="K1749">
        <v>3</v>
      </c>
      <c r="L1749" t="s">
        <v>2041</v>
      </c>
      <c r="M1749">
        <v>281</v>
      </c>
      <c r="N1749">
        <v>4098</v>
      </c>
      <c r="O1749">
        <v>14457</v>
      </c>
      <c r="P1749" s="13">
        <f t="shared" si="189"/>
        <v>0</v>
      </c>
      <c r="Q1749" t="str">
        <f t="shared" si="190"/>
        <v>No</v>
      </c>
      <c r="R1749" t="str" cm="1">
        <f t="array" ref="R1749">_xlfn.IFS(K1749=0,"On Time",K1749&lt;=2,"Minor",K1749&lt;=5,"Major",K1749&gt;5,"Severe")</f>
        <v>Major</v>
      </c>
      <c r="S1749">
        <f t="shared" si="191"/>
        <v>4819</v>
      </c>
      <c r="T1749">
        <f t="shared" si="192"/>
        <v>1366</v>
      </c>
      <c r="U1749">
        <f t="shared" si="193"/>
        <v>2024</v>
      </c>
      <c r="V1749">
        <f t="shared" si="194"/>
        <v>10</v>
      </c>
      <c r="W1749" s="11">
        <f t="shared" si="195"/>
        <v>1</v>
      </c>
    </row>
    <row r="1750" spans="1:23">
      <c r="A1750" t="s">
        <v>1763</v>
      </c>
      <c r="B1750" s="4">
        <v>45325</v>
      </c>
      <c r="C1750" t="s">
        <v>2018</v>
      </c>
      <c r="D1750" t="s">
        <v>2024</v>
      </c>
      <c r="E1750" t="s">
        <v>2028</v>
      </c>
      <c r="F1750" t="s">
        <v>2030</v>
      </c>
      <c r="G1750" t="s">
        <v>2034</v>
      </c>
      <c r="H1750" t="s">
        <v>2038</v>
      </c>
      <c r="I1750">
        <v>1</v>
      </c>
      <c r="J1750">
        <v>6</v>
      </c>
      <c r="K1750">
        <v>5</v>
      </c>
      <c r="L1750" t="s">
        <v>2041</v>
      </c>
      <c r="M1750">
        <v>155</v>
      </c>
      <c r="N1750">
        <v>5325</v>
      </c>
      <c r="O1750">
        <v>23745</v>
      </c>
      <c r="P1750" s="13">
        <f t="shared" si="189"/>
        <v>0</v>
      </c>
      <c r="Q1750" t="str">
        <f t="shared" si="190"/>
        <v>No</v>
      </c>
      <c r="R1750" t="str" cm="1">
        <f t="array" ref="R1750">_xlfn.IFS(K1750=0,"On Time",K1750&lt;=2,"Minor",K1750&lt;=5,"Major",K1750&gt;5,"Severe")</f>
        <v>Major</v>
      </c>
      <c r="S1750">
        <f t="shared" si="191"/>
        <v>4749</v>
      </c>
      <c r="T1750">
        <f t="shared" si="192"/>
        <v>1065</v>
      </c>
      <c r="U1750">
        <f t="shared" si="193"/>
        <v>2024</v>
      </c>
      <c r="V1750">
        <f t="shared" si="194"/>
        <v>2</v>
      </c>
      <c r="W1750" s="11">
        <f t="shared" si="195"/>
        <v>1</v>
      </c>
    </row>
    <row r="1751" spans="1:23">
      <c r="A1751" t="s">
        <v>1764</v>
      </c>
      <c r="B1751" s="4">
        <v>45482</v>
      </c>
      <c r="C1751" t="s">
        <v>2018</v>
      </c>
      <c r="D1751" t="s">
        <v>2024</v>
      </c>
      <c r="E1751" t="s">
        <v>2029</v>
      </c>
      <c r="F1751" t="s">
        <v>2030</v>
      </c>
      <c r="G1751" t="s">
        <v>2035</v>
      </c>
      <c r="H1751" t="s">
        <v>2039</v>
      </c>
      <c r="I1751">
        <v>1</v>
      </c>
      <c r="J1751">
        <v>3</v>
      </c>
      <c r="K1751">
        <v>2</v>
      </c>
      <c r="L1751" t="s">
        <v>2041</v>
      </c>
      <c r="M1751">
        <v>462</v>
      </c>
      <c r="N1751">
        <v>1624</v>
      </c>
      <c r="O1751">
        <v>9986</v>
      </c>
      <c r="P1751" s="13">
        <f t="shared" si="189"/>
        <v>0</v>
      </c>
      <c r="Q1751" t="str">
        <f t="shared" si="190"/>
        <v>No</v>
      </c>
      <c r="R1751" t="str" cm="1">
        <f t="array" ref="R1751">_xlfn.IFS(K1751=0,"On Time",K1751&lt;=2,"Minor",K1751&lt;=5,"Major",K1751&gt;5,"Severe")</f>
        <v>Minor</v>
      </c>
      <c r="S1751">
        <f t="shared" si="191"/>
        <v>4993</v>
      </c>
      <c r="T1751">
        <f t="shared" si="192"/>
        <v>812</v>
      </c>
      <c r="U1751">
        <f t="shared" si="193"/>
        <v>2024</v>
      </c>
      <c r="V1751">
        <f t="shared" si="194"/>
        <v>7</v>
      </c>
      <c r="W1751" s="11">
        <f t="shared" si="195"/>
        <v>1</v>
      </c>
    </row>
    <row r="1752" spans="1:23">
      <c r="A1752" t="s">
        <v>1765</v>
      </c>
      <c r="B1752" s="4">
        <v>45454</v>
      </c>
      <c r="C1752" t="s">
        <v>2015</v>
      </c>
      <c r="D1752" t="s">
        <v>2020</v>
      </c>
      <c r="E1752" t="s">
        <v>2029</v>
      </c>
      <c r="F1752" t="s">
        <v>2031</v>
      </c>
      <c r="G1752" t="s">
        <v>2033</v>
      </c>
      <c r="H1752" t="s">
        <v>2039</v>
      </c>
      <c r="I1752">
        <v>1</v>
      </c>
      <c r="J1752">
        <v>5</v>
      </c>
      <c r="K1752">
        <v>4</v>
      </c>
      <c r="L1752" t="s">
        <v>2041</v>
      </c>
      <c r="M1752">
        <v>204</v>
      </c>
      <c r="N1752">
        <v>8176</v>
      </c>
      <c r="O1752">
        <v>15944</v>
      </c>
      <c r="P1752" s="13">
        <f t="shared" si="189"/>
        <v>0</v>
      </c>
      <c r="Q1752" t="str">
        <f t="shared" si="190"/>
        <v>No</v>
      </c>
      <c r="R1752" t="str" cm="1">
        <f t="array" ref="R1752">_xlfn.IFS(K1752=0,"On Time",K1752&lt;=2,"Minor",K1752&lt;=5,"Major",K1752&gt;5,"Severe")</f>
        <v>Major</v>
      </c>
      <c r="S1752">
        <f t="shared" si="191"/>
        <v>3986</v>
      </c>
      <c r="T1752">
        <f t="shared" si="192"/>
        <v>2044</v>
      </c>
      <c r="U1752">
        <f t="shared" si="193"/>
        <v>2024</v>
      </c>
      <c r="V1752">
        <f t="shared" si="194"/>
        <v>6</v>
      </c>
      <c r="W1752" s="11">
        <f t="shared" si="195"/>
        <v>1</v>
      </c>
    </row>
    <row r="1753" spans="1:23">
      <c r="A1753" t="s">
        <v>1766</v>
      </c>
      <c r="B1753" s="4">
        <v>45293</v>
      </c>
      <c r="C1753" t="s">
        <v>2018</v>
      </c>
      <c r="D1753" t="s">
        <v>2024</v>
      </c>
      <c r="E1753" t="s">
        <v>2028</v>
      </c>
      <c r="F1753" t="s">
        <v>2031</v>
      </c>
      <c r="G1753" t="s">
        <v>2033</v>
      </c>
      <c r="H1753" t="s">
        <v>2039</v>
      </c>
      <c r="I1753">
        <v>3</v>
      </c>
      <c r="J1753">
        <v>7</v>
      </c>
      <c r="K1753">
        <v>4</v>
      </c>
      <c r="L1753" t="s">
        <v>2041</v>
      </c>
      <c r="M1753">
        <v>191</v>
      </c>
      <c r="N1753">
        <v>5340</v>
      </c>
      <c r="O1753">
        <v>13876</v>
      </c>
      <c r="P1753" s="13">
        <f t="shared" si="189"/>
        <v>0</v>
      </c>
      <c r="Q1753" t="str">
        <f t="shared" si="190"/>
        <v>No</v>
      </c>
      <c r="R1753" t="str" cm="1">
        <f t="array" ref="R1753">_xlfn.IFS(K1753=0,"On Time",K1753&lt;=2,"Minor",K1753&lt;=5,"Major",K1753&gt;5,"Severe")</f>
        <v>Major</v>
      </c>
      <c r="S1753">
        <f t="shared" si="191"/>
        <v>3469</v>
      </c>
      <c r="T1753">
        <f t="shared" si="192"/>
        <v>1335</v>
      </c>
      <c r="U1753">
        <f t="shared" si="193"/>
        <v>2024</v>
      </c>
      <c r="V1753">
        <f t="shared" si="194"/>
        <v>1</v>
      </c>
      <c r="W1753" s="11">
        <f t="shared" si="195"/>
        <v>1</v>
      </c>
    </row>
    <row r="1754" spans="1:23">
      <c r="A1754" t="s">
        <v>1767</v>
      </c>
      <c r="B1754" s="4">
        <v>45446</v>
      </c>
      <c r="C1754" t="s">
        <v>2018</v>
      </c>
      <c r="D1754" t="s">
        <v>2026</v>
      </c>
      <c r="E1754" t="s">
        <v>2028</v>
      </c>
      <c r="F1754" t="s">
        <v>2031</v>
      </c>
      <c r="G1754" t="s">
        <v>2036</v>
      </c>
      <c r="H1754" t="s">
        <v>2039</v>
      </c>
      <c r="I1754">
        <v>2</v>
      </c>
      <c r="J1754">
        <v>6</v>
      </c>
      <c r="K1754">
        <v>4</v>
      </c>
      <c r="L1754" t="s">
        <v>2041</v>
      </c>
      <c r="M1754">
        <v>185</v>
      </c>
      <c r="N1754">
        <v>8844</v>
      </c>
      <c r="O1754">
        <v>18816</v>
      </c>
      <c r="P1754" s="13">
        <f t="shared" si="189"/>
        <v>0</v>
      </c>
      <c r="Q1754" t="str">
        <f t="shared" si="190"/>
        <v>No</v>
      </c>
      <c r="R1754" t="str" cm="1">
        <f t="array" ref="R1754">_xlfn.IFS(K1754=0,"On Time",K1754&lt;=2,"Minor",K1754&lt;=5,"Major",K1754&gt;5,"Severe")</f>
        <v>Major</v>
      </c>
      <c r="S1754">
        <f t="shared" si="191"/>
        <v>4704</v>
      </c>
      <c r="T1754">
        <f t="shared" si="192"/>
        <v>2211</v>
      </c>
      <c r="U1754">
        <f t="shared" si="193"/>
        <v>2024</v>
      </c>
      <c r="V1754">
        <f t="shared" si="194"/>
        <v>6</v>
      </c>
      <c r="W1754" s="11">
        <f t="shared" si="195"/>
        <v>1</v>
      </c>
    </row>
    <row r="1755" spans="1:23">
      <c r="A1755" t="s">
        <v>1768</v>
      </c>
      <c r="B1755" s="4">
        <v>45451</v>
      </c>
      <c r="C1755" t="s">
        <v>2017</v>
      </c>
      <c r="D1755" t="s">
        <v>2023</v>
      </c>
      <c r="E1755" t="s">
        <v>2027</v>
      </c>
      <c r="F1755" t="s">
        <v>2032</v>
      </c>
      <c r="G1755" t="s">
        <v>2033</v>
      </c>
      <c r="H1755" t="s">
        <v>2040</v>
      </c>
      <c r="I1755">
        <v>1</v>
      </c>
      <c r="J1755">
        <v>11</v>
      </c>
      <c r="K1755">
        <v>10</v>
      </c>
      <c r="L1755" t="s">
        <v>2041</v>
      </c>
      <c r="M1755">
        <v>433</v>
      </c>
      <c r="N1755">
        <v>8400</v>
      </c>
      <c r="O1755">
        <v>47160</v>
      </c>
      <c r="P1755" s="13">
        <f t="shared" si="189"/>
        <v>0</v>
      </c>
      <c r="Q1755" t="str">
        <f t="shared" si="190"/>
        <v>No</v>
      </c>
      <c r="R1755" t="str" cm="1">
        <f t="array" ref="R1755">_xlfn.IFS(K1755=0,"On Time",K1755&lt;=2,"Minor",K1755&lt;=5,"Major",K1755&gt;5,"Severe")</f>
        <v>Severe</v>
      </c>
      <c r="S1755">
        <f t="shared" si="191"/>
        <v>4716</v>
      </c>
      <c r="T1755">
        <f t="shared" si="192"/>
        <v>840</v>
      </c>
      <c r="U1755">
        <f t="shared" si="193"/>
        <v>2024</v>
      </c>
      <c r="V1755">
        <f t="shared" si="194"/>
        <v>6</v>
      </c>
      <c r="W1755" s="11">
        <f t="shared" si="195"/>
        <v>1</v>
      </c>
    </row>
    <row r="1756" spans="1:23">
      <c r="A1756" t="s">
        <v>1769</v>
      </c>
      <c r="B1756" s="4">
        <v>45594</v>
      </c>
      <c r="C1756" t="s">
        <v>2018</v>
      </c>
      <c r="D1756" t="s">
        <v>2024</v>
      </c>
      <c r="E1756" t="s">
        <v>2028</v>
      </c>
      <c r="F1756" t="s">
        <v>2031</v>
      </c>
      <c r="G1756" t="s">
        <v>2037</v>
      </c>
      <c r="H1756" t="s">
        <v>2039</v>
      </c>
      <c r="I1756">
        <v>5</v>
      </c>
      <c r="J1756">
        <v>9</v>
      </c>
      <c r="K1756">
        <v>4</v>
      </c>
      <c r="L1756" t="s">
        <v>2041</v>
      </c>
      <c r="M1756">
        <v>278</v>
      </c>
      <c r="N1756">
        <v>8112</v>
      </c>
      <c r="O1756">
        <v>6992</v>
      </c>
      <c r="P1756" s="13">
        <f t="shared" si="189"/>
        <v>0</v>
      </c>
      <c r="Q1756" t="str">
        <f t="shared" si="190"/>
        <v>No</v>
      </c>
      <c r="R1756" t="str" cm="1">
        <f t="array" ref="R1756">_xlfn.IFS(K1756=0,"On Time",K1756&lt;=2,"Minor",K1756&lt;=5,"Major",K1756&gt;5,"Severe")</f>
        <v>Major</v>
      </c>
      <c r="S1756">
        <f t="shared" si="191"/>
        <v>1748</v>
      </c>
      <c r="T1756">
        <f t="shared" si="192"/>
        <v>2028</v>
      </c>
      <c r="U1756">
        <f t="shared" si="193"/>
        <v>2024</v>
      </c>
      <c r="V1756">
        <f t="shared" si="194"/>
        <v>10</v>
      </c>
      <c r="W1756" s="11">
        <f t="shared" si="195"/>
        <v>1</v>
      </c>
    </row>
    <row r="1757" spans="1:23">
      <c r="A1757" t="s">
        <v>1770</v>
      </c>
      <c r="B1757" s="4">
        <v>45420</v>
      </c>
      <c r="C1757" t="s">
        <v>2017</v>
      </c>
      <c r="D1757" t="s">
        <v>2023</v>
      </c>
      <c r="E1757" t="s">
        <v>2027</v>
      </c>
      <c r="F1757" t="s">
        <v>2032</v>
      </c>
      <c r="G1757" t="s">
        <v>2037</v>
      </c>
      <c r="H1757" t="s">
        <v>2039</v>
      </c>
      <c r="I1757">
        <v>1</v>
      </c>
      <c r="J1757">
        <v>3</v>
      </c>
      <c r="K1757">
        <v>2</v>
      </c>
      <c r="L1757" t="s">
        <v>2041</v>
      </c>
      <c r="M1757">
        <v>63</v>
      </c>
      <c r="N1757">
        <v>1916</v>
      </c>
      <c r="O1757">
        <v>5544</v>
      </c>
      <c r="P1757" s="13">
        <f t="shared" si="189"/>
        <v>0</v>
      </c>
      <c r="Q1757" t="str">
        <f t="shared" si="190"/>
        <v>No</v>
      </c>
      <c r="R1757" t="str" cm="1">
        <f t="array" ref="R1757">_xlfn.IFS(K1757=0,"On Time",K1757&lt;=2,"Minor",K1757&lt;=5,"Major",K1757&gt;5,"Severe")</f>
        <v>Minor</v>
      </c>
      <c r="S1757">
        <f t="shared" si="191"/>
        <v>2772</v>
      </c>
      <c r="T1757">
        <f t="shared" si="192"/>
        <v>958</v>
      </c>
      <c r="U1757">
        <f t="shared" si="193"/>
        <v>2024</v>
      </c>
      <c r="V1757">
        <f t="shared" si="194"/>
        <v>5</v>
      </c>
      <c r="W1757" s="11">
        <f t="shared" si="195"/>
        <v>1</v>
      </c>
    </row>
    <row r="1758" spans="1:23">
      <c r="A1758" t="s">
        <v>1771</v>
      </c>
      <c r="B1758" s="4">
        <v>45467</v>
      </c>
      <c r="C1758" t="s">
        <v>2016</v>
      </c>
      <c r="D1758" t="s">
        <v>2025</v>
      </c>
      <c r="E1758" t="s">
        <v>2027</v>
      </c>
      <c r="F1758" t="s">
        <v>2030</v>
      </c>
      <c r="G1758" t="s">
        <v>2033</v>
      </c>
      <c r="H1758" t="s">
        <v>2039</v>
      </c>
      <c r="I1758">
        <v>3</v>
      </c>
      <c r="J1758">
        <v>3</v>
      </c>
      <c r="K1758">
        <v>0</v>
      </c>
      <c r="L1758" t="s">
        <v>2042</v>
      </c>
      <c r="M1758">
        <v>102</v>
      </c>
      <c r="N1758">
        <v>0</v>
      </c>
      <c r="O1758">
        <v>0</v>
      </c>
      <c r="P1758" s="13">
        <f t="shared" si="189"/>
        <v>1</v>
      </c>
      <c r="Q1758" t="str">
        <f t="shared" si="190"/>
        <v>No</v>
      </c>
      <c r="R1758" t="str" cm="1">
        <f t="array" ref="R1758">_xlfn.IFS(K1758=0,"On Time",K1758&lt;=2,"Minor",K1758&lt;=5,"Major",K1758&gt;5,"Severe")</f>
        <v>On Time</v>
      </c>
      <c r="S1758">
        <f t="shared" si="191"/>
        <v>0</v>
      </c>
      <c r="T1758">
        <f t="shared" si="192"/>
        <v>0</v>
      </c>
      <c r="U1758">
        <f t="shared" si="193"/>
        <v>2024</v>
      </c>
      <c r="V1758">
        <f t="shared" si="194"/>
        <v>6</v>
      </c>
      <c r="W1758" s="11">
        <f t="shared" si="195"/>
        <v>0</v>
      </c>
    </row>
    <row r="1759" spans="1:23">
      <c r="A1759" t="s">
        <v>1772</v>
      </c>
      <c r="B1759" s="4">
        <v>45600</v>
      </c>
      <c r="C1759" t="s">
        <v>2017</v>
      </c>
      <c r="D1759" t="s">
        <v>2022</v>
      </c>
      <c r="E1759" t="s">
        <v>2029</v>
      </c>
      <c r="F1759" t="s">
        <v>2031</v>
      </c>
      <c r="G1759" t="s">
        <v>2033</v>
      </c>
      <c r="H1759" t="s">
        <v>2038</v>
      </c>
      <c r="I1759">
        <v>2</v>
      </c>
      <c r="J1759">
        <v>7</v>
      </c>
      <c r="K1759">
        <v>5</v>
      </c>
      <c r="L1759" t="s">
        <v>2041</v>
      </c>
      <c r="M1759">
        <v>252</v>
      </c>
      <c r="N1759">
        <v>9705</v>
      </c>
      <c r="O1759">
        <v>18050</v>
      </c>
      <c r="P1759" s="13">
        <f t="shared" si="189"/>
        <v>0</v>
      </c>
      <c r="Q1759" t="str">
        <f t="shared" si="190"/>
        <v>No</v>
      </c>
      <c r="R1759" t="str" cm="1">
        <f t="array" ref="R1759">_xlfn.IFS(K1759=0,"On Time",K1759&lt;=2,"Minor",K1759&lt;=5,"Major",K1759&gt;5,"Severe")</f>
        <v>Major</v>
      </c>
      <c r="S1759">
        <f t="shared" si="191"/>
        <v>3610</v>
      </c>
      <c r="T1759">
        <f t="shared" si="192"/>
        <v>1941</v>
      </c>
      <c r="U1759">
        <f t="shared" si="193"/>
        <v>2024</v>
      </c>
      <c r="V1759">
        <f t="shared" si="194"/>
        <v>11</v>
      </c>
      <c r="W1759" s="11">
        <f t="shared" si="195"/>
        <v>1</v>
      </c>
    </row>
    <row r="1760" spans="1:23">
      <c r="A1760" t="s">
        <v>1773</v>
      </c>
      <c r="B1760" s="4">
        <v>45471</v>
      </c>
      <c r="C1760" t="s">
        <v>2015</v>
      </c>
      <c r="D1760" t="s">
        <v>2019</v>
      </c>
      <c r="E1760" t="s">
        <v>2027</v>
      </c>
      <c r="F1760" t="s">
        <v>2031</v>
      </c>
      <c r="G1760" t="s">
        <v>2033</v>
      </c>
      <c r="H1760" t="s">
        <v>2040</v>
      </c>
      <c r="I1760">
        <v>2</v>
      </c>
      <c r="J1760">
        <v>5</v>
      </c>
      <c r="K1760">
        <v>3</v>
      </c>
      <c r="L1760" t="s">
        <v>2041</v>
      </c>
      <c r="M1760">
        <v>421</v>
      </c>
      <c r="N1760">
        <v>3762</v>
      </c>
      <c r="O1760">
        <v>10557</v>
      </c>
      <c r="P1760" s="13">
        <f t="shared" si="189"/>
        <v>0</v>
      </c>
      <c r="Q1760" t="str">
        <f t="shared" si="190"/>
        <v>No</v>
      </c>
      <c r="R1760" t="str" cm="1">
        <f t="array" ref="R1760">_xlfn.IFS(K1760=0,"On Time",K1760&lt;=2,"Minor",K1760&lt;=5,"Major",K1760&gt;5,"Severe")</f>
        <v>Major</v>
      </c>
      <c r="S1760">
        <f t="shared" si="191"/>
        <v>3519</v>
      </c>
      <c r="T1760">
        <f t="shared" si="192"/>
        <v>1254</v>
      </c>
      <c r="U1760">
        <f t="shared" si="193"/>
        <v>2024</v>
      </c>
      <c r="V1760">
        <f t="shared" si="194"/>
        <v>6</v>
      </c>
      <c r="W1760" s="11">
        <f t="shared" si="195"/>
        <v>1</v>
      </c>
    </row>
    <row r="1761" spans="1:23">
      <c r="A1761" t="s">
        <v>1774</v>
      </c>
      <c r="B1761" s="4">
        <v>45531</v>
      </c>
      <c r="C1761" t="s">
        <v>2015</v>
      </c>
      <c r="D1761" t="s">
        <v>2020</v>
      </c>
      <c r="E1761" t="s">
        <v>2027</v>
      </c>
      <c r="F1761" t="s">
        <v>2031</v>
      </c>
      <c r="G1761" t="s">
        <v>2034</v>
      </c>
      <c r="H1761" t="s">
        <v>2039</v>
      </c>
      <c r="I1761">
        <v>1</v>
      </c>
      <c r="J1761">
        <v>2</v>
      </c>
      <c r="K1761">
        <v>1</v>
      </c>
      <c r="L1761" t="s">
        <v>2041</v>
      </c>
      <c r="M1761">
        <v>402</v>
      </c>
      <c r="N1761">
        <v>969</v>
      </c>
      <c r="O1761">
        <v>4016</v>
      </c>
      <c r="P1761" s="13">
        <f t="shared" si="189"/>
        <v>0</v>
      </c>
      <c r="Q1761" t="str">
        <f t="shared" si="190"/>
        <v>No</v>
      </c>
      <c r="R1761" t="str" cm="1">
        <f t="array" ref="R1761">_xlfn.IFS(K1761=0,"On Time",K1761&lt;=2,"Minor",K1761&lt;=5,"Major",K1761&gt;5,"Severe")</f>
        <v>Minor</v>
      </c>
      <c r="S1761">
        <f t="shared" si="191"/>
        <v>4016</v>
      </c>
      <c r="T1761">
        <f t="shared" si="192"/>
        <v>969</v>
      </c>
      <c r="U1761">
        <f t="shared" si="193"/>
        <v>2024</v>
      </c>
      <c r="V1761">
        <f t="shared" si="194"/>
        <v>8</v>
      </c>
      <c r="W1761" s="11">
        <f t="shared" si="195"/>
        <v>1</v>
      </c>
    </row>
    <row r="1762" spans="1:23">
      <c r="A1762" t="s">
        <v>1775</v>
      </c>
      <c r="B1762" s="4">
        <v>45419</v>
      </c>
      <c r="C1762" t="s">
        <v>2015</v>
      </c>
      <c r="D1762" t="s">
        <v>2019</v>
      </c>
      <c r="E1762" t="s">
        <v>2029</v>
      </c>
      <c r="F1762" t="s">
        <v>2031</v>
      </c>
      <c r="G1762" t="s">
        <v>2037</v>
      </c>
      <c r="H1762" t="s">
        <v>2040</v>
      </c>
      <c r="I1762">
        <v>2</v>
      </c>
      <c r="J1762">
        <v>7</v>
      </c>
      <c r="K1762">
        <v>5</v>
      </c>
      <c r="L1762" t="s">
        <v>2041</v>
      </c>
      <c r="M1762">
        <v>121</v>
      </c>
      <c r="N1762">
        <v>9510</v>
      </c>
      <c r="O1762">
        <v>12360</v>
      </c>
      <c r="P1762" s="13">
        <f t="shared" si="189"/>
        <v>0</v>
      </c>
      <c r="Q1762" t="str">
        <f t="shared" si="190"/>
        <v>No</v>
      </c>
      <c r="R1762" t="str" cm="1">
        <f t="array" ref="R1762">_xlfn.IFS(K1762=0,"On Time",K1762&lt;=2,"Minor",K1762&lt;=5,"Major",K1762&gt;5,"Severe")</f>
        <v>Major</v>
      </c>
      <c r="S1762">
        <f t="shared" si="191"/>
        <v>2472</v>
      </c>
      <c r="T1762">
        <f t="shared" si="192"/>
        <v>1902</v>
      </c>
      <c r="U1762">
        <f t="shared" si="193"/>
        <v>2024</v>
      </c>
      <c r="V1762">
        <f t="shared" si="194"/>
        <v>5</v>
      </c>
      <c r="W1762" s="11">
        <f t="shared" si="195"/>
        <v>1</v>
      </c>
    </row>
    <row r="1763" spans="1:23">
      <c r="A1763" t="s">
        <v>1776</v>
      </c>
      <c r="B1763" s="4">
        <v>45425</v>
      </c>
      <c r="C1763" t="s">
        <v>2018</v>
      </c>
      <c r="D1763" t="s">
        <v>2024</v>
      </c>
      <c r="E1763" t="s">
        <v>2029</v>
      </c>
      <c r="F1763" t="s">
        <v>2032</v>
      </c>
      <c r="G1763" t="s">
        <v>2033</v>
      </c>
      <c r="H1763" t="s">
        <v>2038</v>
      </c>
      <c r="I1763">
        <v>3</v>
      </c>
      <c r="J1763">
        <v>9</v>
      </c>
      <c r="K1763">
        <v>6</v>
      </c>
      <c r="L1763" t="s">
        <v>2041</v>
      </c>
      <c r="M1763">
        <v>189</v>
      </c>
      <c r="N1763">
        <v>8754</v>
      </c>
      <c r="O1763">
        <v>26382</v>
      </c>
      <c r="P1763" s="13">
        <f t="shared" si="189"/>
        <v>0</v>
      </c>
      <c r="Q1763" t="str">
        <f t="shared" si="190"/>
        <v>No</v>
      </c>
      <c r="R1763" t="str" cm="1">
        <f t="array" ref="R1763">_xlfn.IFS(K1763=0,"On Time",K1763&lt;=2,"Minor",K1763&lt;=5,"Major",K1763&gt;5,"Severe")</f>
        <v>Severe</v>
      </c>
      <c r="S1763">
        <f t="shared" si="191"/>
        <v>4397</v>
      </c>
      <c r="T1763">
        <f t="shared" si="192"/>
        <v>1459</v>
      </c>
      <c r="U1763">
        <f t="shared" si="193"/>
        <v>2024</v>
      </c>
      <c r="V1763">
        <f t="shared" si="194"/>
        <v>5</v>
      </c>
      <c r="W1763" s="11">
        <f t="shared" si="195"/>
        <v>1</v>
      </c>
    </row>
    <row r="1764" spans="1:23">
      <c r="A1764" t="s">
        <v>1777</v>
      </c>
      <c r="B1764" s="4">
        <v>45443</v>
      </c>
      <c r="C1764" t="s">
        <v>2017</v>
      </c>
      <c r="D1764" t="s">
        <v>2022</v>
      </c>
      <c r="E1764" t="s">
        <v>2027</v>
      </c>
      <c r="F1764" t="s">
        <v>2031</v>
      </c>
      <c r="G1764" t="s">
        <v>2033</v>
      </c>
      <c r="H1764" t="s">
        <v>2040</v>
      </c>
      <c r="I1764">
        <v>3</v>
      </c>
      <c r="J1764">
        <v>7</v>
      </c>
      <c r="K1764">
        <v>4</v>
      </c>
      <c r="L1764" t="s">
        <v>2041</v>
      </c>
      <c r="M1764">
        <v>450</v>
      </c>
      <c r="N1764">
        <v>3640</v>
      </c>
      <c r="O1764">
        <v>19460</v>
      </c>
      <c r="P1764" s="13">
        <f t="shared" si="189"/>
        <v>0</v>
      </c>
      <c r="Q1764" t="str">
        <f t="shared" si="190"/>
        <v>No</v>
      </c>
      <c r="R1764" t="str" cm="1">
        <f t="array" ref="R1764">_xlfn.IFS(K1764=0,"On Time",K1764&lt;=2,"Minor",K1764&lt;=5,"Major",K1764&gt;5,"Severe")</f>
        <v>Major</v>
      </c>
      <c r="S1764">
        <f t="shared" si="191"/>
        <v>4865</v>
      </c>
      <c r="T1764">
        <f t="shared" si="192"/>
        <v>910</v>
      </c>
      <c r="U1764">
        <f t="shared" si="193"/>
        <v>2024</v>
      </c>
      <c r="V1764">
        <f t="shared" si="194"/>
        <v>5</v>
      </c>
      <c r="W1764" s="11">
        <f t="shared" si="195"/>
        <v>1</v>
      </c>
    </row>
    <row r="1765" spans="1:23">
      <c r="A1765" t="s">
        <v>1778</v>
      </c>
      <c r="B1765" s="4">
        <v>45334</v>
      </c>
      <c r="C1765" t="s">
        <v>2015</v>
      </c>
      <c r="D1765" t="s">
        <v>2020</v>
      </c>
      <c r="E1765" t="s">
        <v>2027</v>
      </c>
      <c r="F1765" t="s">
        <v>2032</v>
      </c>
      <c r="G1765" t="s">
        <v>2034</v>
      </c>
      <c r="H1765" t="s">
        <v>2038</v>
      </c>
      <c r="I1765">
        <v>1</v>
      </c>
      <c r="J1765">
        <v>5</v>
      </c>
      <c r="K1765">
        <v>4</v>
      </c>
      <c r="L1765" t="s">
        <v>2041</v>
      </c>
      <c r="M1765">
        <v>415</v>
      </c>
      <c r="N1765">
        <v>9092</v>
      </c>
      <c r="O1765">
        <v>12112</v>
      </c>
      <c r="P1765" s="13">
        <f t="shared" si="189"/>
        <v>0</v>
      </c>
      <c r="Q1765" t="str">
        <f t="shared" si="190"/>
        <v>No</v>
      </c>
      <c r="R1765" t="str" cm="1">
        <f t="array" ref="R1765">_xlfn.IFS(K1765=0,"On Time",K1765&lt;=2,"Minor",K1765&lt;=5,"Major",K1765&gt;5,"Severe")</f>
        <v>Major</v>
      </c>
      <c r="S1765">
        <f t="shared" si="191"/>
        <v>3028</v>
      </c>
      <c r="T1765">
        <f t="shared" si="192"/>
        <v>2273</v>
      </c>
      <c r="U1765">
        <f t="shared" si="193"/>
        <v>2024</v>
      </c>
      <c r="V1765">
        <f t="shared" si="194"/>
        <v>2</v>
      </c>
      <c r="W1765" s="11">
        <f t="shared" si="195"/>
        <v>1</v>
      </c>
    </row>
    <row r="1766" spans="1:23">
      <c r="A1766" t="s">
        <v>1779</v>
      </c>
      <c r="B1766" s="4">
        <v>45356</v>
      </c>
      <c r="C1766" t="s">
        <v>2018</v>
      </c>
      <c r="D1766" t="s">
        <v>2024</v>
      </c>
      <c r="E1766" t="s">
        <v>2029</v>
      </c>
      <c r="F1766" t="s">
        <v>2030</v>
      </c>
      <c r="G1766" t="s">
        <v>2036</v>
      </c>
      <c r="H1766" t="s">
        <v>2038</v>
      </c>
      <c r="I1766">
        <v>3</v>
      </c>
      <c r="J1766">
        <v>4</v>
      </c>
      <c r="K1766">
        <v>1</v>
      </c>
      <c r="L1766" t="s">
        <v>2041</v>
      </c>
      <c r="M1766">
        <v>334</v>
      </c>
      <c r="N1766">
        <v>1984</v>
      </c>
      <c r="O1766">
        <v>1814</v>
      </c>
      <c r="P1766" s="13">
        <f t="shared" si="189"/>
        <v>0</v>
      </c>
      <c r="Q1766" t="str">
        <f t="shared" si="190"/>
        <v>No</v>
      </c>
      <c r="R1766" t="str" cm="1">
        <f t="array" ref="R1766">_xlfn.IFS(K1766=0,"On Time",K1766&lt;=2,"Minor",K1766&lt;=5,"Major",K1766&gt;5,"Severe")</f>
        <v>Minor</v>
      </c>
      <c r="S1766">
        <f t="shared" si="191"/>
        <v>1814</v>
      </c>
      <c r="T1766">
        <f t="shared" si="192"/>
        <v>1984</v>
      </c>
      <c r="U1766">
        <f t="shared" si="193"/>
        <v>2024</v>
      </c>
      <c r="V1766">
        <f t="shared" si="194"/>
        <v>3</v>
      </c>
      <c r="W1766" s="11">
        <f t="shared" si="195"/>
        <v>1</v>
      </c>
    </row>
    <row r="1767" spans="1:23">
      <c r="A1767" t="s">
        <v>1780</v>
      </c>
      <c r="B1767" s="4">
        <v>45293</v>
      </c>
      <c r="C1767" t="s">
        <v>2015</v>
      </c>
      <c r="D1767" t="s">
        <v>2020</v>
      </c>
      <c r="E1767" t="s">
        <v>2027</v>
      </c>
      <c r="F1767" t="s">
        <v>2031</v>
      </c>
      <c r="G1767" t="s">
        <v>2037</v>
      </c>
      <c r="H1767" t="s">
        <v>2039</v>
      </c>
      <c r="I1767">
        <v>5</v>
      </c>
      <c r="J1767">
        <v>9</v>
      </c>
      <c r="K1767">
        <v>4</v>
      </c>
      <c r="L1767" t="s">
        <v>2041</v>
      </c>
      <c r="M1767">
        <v>191</v>
      </c>
      <c r="N1767">
        <v>5160</v>
      </c>
      <c r="O1767">
        <v>14680</v>
      </c>
      <c r="P1767" s="13">
        <f t="shared" si="189"/>
        <v>0</v>
      </c>
      <c r="Q1767" t="str">
        <f t="shared" si="190"/>
        <v>No</v>
      </c>
      <c r="R1767" t="str" cm="1">
        <f t="array" ref="R1767">_xlfn.IFS(K1767=0,"On Time",K1767&lt;=2,"Minor",K1767&lt;=5,"Major",K1767&gt;5,"Severe")</f>
        <v>Major</v>
      </c>
      <c r="S1767">
        <f t="shared" si="191"/>
        <v>3670</v>
      </c>
      <c r="T1767">
        <f t="shared" si="192"/>
        <v>1290</v>
      </c>
      <c r="U1767">
        <f t="shared" si="193"/>
        <v>2024</v>
      </c>
      <c r="V1767">
        <f t="shared" si="194"/>
        <v>1</v>
      </c>
      <c r="W1767" s="11">
        <f t="shared" si="195"/>
        <v>1</v>
      </c>
    </row>
    <row r="1768" spans="1:23">
      <c r="A1768" t="s">
        <v>1781</v>
      </c>
      <c r="B1768" s="4">
        <v>45525</v>
      </c>
      <c r="C1768" t="s">
        <v>2018</v>
      </c>
      <c r="D1768" t="s">
        <v>2024</v>
      </c>
      <c r="E1768" t="s">
        <v>2027</v>
      </c>
      <c r="F1768" t="s">
        <v>2030</v>
      </c>
      <c r="G1768" t="s">
        <v>2034</v>
      </c>
      <c r="H1768" t="s">
        <v>2040</v>
      </c>
      <c r="I1768">
        <v>2</v>
      </c>
      <c r="J1768">
        <v>5</v>
      </c>
      <c r="K1768">
        <v>3</v>
      </c>
      <c r="L1768" t="s">
        <v>2041</v>
      </c>
      <c r="M1768">
        <v>326</v>
      </c>
      <c r="N1768">
        <v>5325</v>
      </c>
      <c r="O1768">
        <v>7209</v>
      </c>
      <c r="P1768" s="13">
        <f t="shared" si="189"/>
        <v>0</v>
      </c>
      <c r="Q1768" t="str">
        <f t="shared" si="190"/>
        <v>No</v>
      </c>
      <c r="R1768" t="str" cm="1">
        <f t="array" ref="R1768">_xlfn.IFS(K1768=0,"On Time",K1768&lt;=2,"Minor",K1768&lt;=5,"Major",K1768&gt;5,"Severe")</f>
        <v>Major</v>
      </c>
      <c r="S1768">
        <f t="shared" si="191"/>
        <v>2403</v>
      </c>
      <c r="T1768">
        <f t="shared" si="192"/>
        <v>1775</v>
      </c>
      <c r="U1768">
        <f t="shared" si="193"/>
        <v>2024</v>
      </c>
      <c r="V1768">
        <f t="shared" si="194"/>
        <v>8</v>
      </c>
      <c r="W1768" s="11">
        <f t="shared" si="195"/>
        <v>1</v>
      </c>
    </row>
    <row r="1769" spans="1:23">
      <c r="A1769" t="s">
        <v>1782</v>
      </c>
      <c r="B1769" s="4">
        <v>45605</v>
      </c>
      <c r="C1769" t="s">
        <v>2017</v>
      </c>
      <c r="D1769" t="s">
        <v>2023</v>
      </c>
      <c r="E1769" t="s">
        <v>2027</v>
      </c>
      <c r="F1769" t="s">
        <v>2031</v>
      </c>
      <c r="G1769" t="s">
        <v>2033</v>
      </c>
      <c r="H1769" t="s">
        <v>2039</v>
      </c>
      <c r="I1769">
        <v>2</v>
      </c>
      <c r="J1769">
        <v>5</v>
      </c>
      <c r="K1769">
        <v>3</v>
      </c>
      <c r="L1769" t="s">
        <v>2041</v>
      </c>
      <c r="M1769">
        <v>141</v>
      </c>
      <c r="N1769">
        <v>2772</v>
      </c>
      <c r="O1769">
        <v>14331</v>
      </c>
      <c r="P1769" s="13">
        <f t="shared" si="189"/>
        <v>0</v>
      </c>
      <c r="Q1769" t="str">
        <f t="shared" si="190"/>
        <v>No</v>
      </c>
      <c r="R1769" t="str" cm="1">
        <f t="array" ref="R1769">_xlfn.IFS(K1769=0,"On Time",K1769&lt;=2,"Minor",K1769&lt;=5,"Major",K1769&gt;5,"Severe")</f>
        <v>Major</v>
      </c>
      <c r="S1769">
        <f t="shared" si="191"/>
        <v>4777</v>
      </c>
      <c r="T1769">
        <f t="shared" si="192"/>
        <v>924</v>
      </c>
      <c r="U1769">
        <f t="shared" si="193"/>
        <v>2024</v>
      </c>
      <c r="V1769">
        <f t="shared" si="194"/>
        <v>11</v>
      </c>
      <c r="W1769" s="11">
        <f t="shared" si="195"/>
        <v>1</v>
      </c>
    </row>
    <row r="1770" spans="1:23">
      <c r="A1770" t="s">
        <v>1783</v>
      </c>
      <c r="B1770" s="4">
        <v>45384</v>
      </c>
      <c r="C1770" t="s">
        <v>2015</v>
      </c>
      <c r="D1770" t="s">
        <v>2020</v>
      </c>
      <c r="E1770" t="s">
        <v>2028</v>
      </c>
      <c r="F1770" t="s">
        <v>2032</v>
      </c>
      <c r="G1770" t="s">
        <v>2037</v>
      </c>
      <c r="H1770" t="s">
        <v>2039</v>
      </c>
      <c r="I1770">
        <v>1</v>
      </c>
      <c r="J1770">
        <v>7</v>
      </c>
      <c r="K1770">
        <v>6</v>
      </c>
      <c r="L1770" t="s">
        <v>2041</v>
      </c>
      <c r="M1770">
        <v>325</v>
      </c>
      <c r="N1770">
        <v>12048</v>
      </c>
      <c r="O1770">
        <v>20838</v>
      </c>
      <c r="P1770" s="13">
        <f t="shared" si="189"/>
        <v>0</v>
      </c>
      <c r="Q1770" t="str">
        <f t="shared" si="190"/>
        <v>No</v>
      </c>
      <c r="R1770" t="str" cm="1">
        <f t="array" ref="R1770">_xlfn.IFS(K1770=0,"On Time",K1770&lt;=2,"Minor",K1770&lt;=5,"Major",K1770&gt;5,"Severe")</f>
        <v>Severe</v>
      </c>
      <c r="S1770">
        <f t="shared" si="191"/>
        <v>3473</v>
      </c>
      <c r="T1770">
        <f t="shared" si="192"/>
        <v>2008</v>
      </c>
      <c r="U1770">
        <f t="shared" si="193"/>
        <v>2024</v>
      </c>
      <c r="V1770">
        <f t="shared" si="194"/>
        <v>4</v>
      </c>
      <c r="W1770" s="11">
        <f t="shared" si="195"/>
        <v>1</v>
      </c>
    </row>
    <row r="1771" spans="1:23">
      <c r="A1771" t="s">
        <v>1784</v>
      </c>
      <c r="B1771" s="4">
        <v>45586</v>
      </c>
      <c r="C1771" t="s">
        <v>2017</v>
      </c>
      <c r="D1771" t="s">
        <v>2023</v>
      </c>
      <c r="E1771" t="s">
        <v>2029</v>
      </c>
      <c r="F1771" t="s">
        <v>2030</v>
      </c>
      <c r="G1771" t="s">
        <v>2035</v>
      </c>
      <c r="H1771" t="s">
        <v>2038</v>
      </c>
      <c r="I1771">
        <v>2</v>
      </c>
      <c r="J1771">
        <v>7</v>
      </c>
      <c r="K1771">
        <v>5</v>
      </c>
      <c r="L1771" t="s">
        <v>2041</v>
      </c>
      <c r="M1771">
        <v>238</v>
      </c>
      <c r="N1771">
        <v>5345</v>
      </c>
      <c r="O1771">
        <v>19195</v>
      </c>
      <c r="P1771" s="13">
        <f t="shared" si="189"/>
        <v>0</v>
      </c>
      <c r="Q1771" t="str">
        <f t="shared" si="190"/>
        <v>No</v>
      </c>
      <c r="R1771" t="str" cm="1">
        <f t="array" ref="R1771">_xlfn.IFS(K1771=0,"On Time",K1771&lt;=2,"Minor",K1771&lt;=5,"Major",K1771&gt;5,"Severe")</f>
        <v>Major</v>
      </c>
      <c r="S1771">
        <f t="shared" si="191"/>
        <v>3839</v>
      </c>
      <c r="T1771">
        <f t="shared" si="192"/>
        <v>1069</v>
      </c>
      <c r="U1771">
        <f t="shared" si="193"/>
        <v>2024</v>
      </c>
      <c r="V1771">
        <f t="shared" si="194"/>
        <v>10</v>
      </c>
      <c r="W1771" s="11">
        <f t="shared" si="195"/>
        <v>1</v>
      </c>
    </row>
    <row r="1772" spans="1:23">
      <c r="A1772" t="s">
        <v>1785</v>
      </c>
      <c r="B1772" s="4">
        <v>45311</v>
      </c>
      <c r="C1772" t="s">
        <v>2018</v>
      </c>
      <c r="D1772" t="s">
        <v>2026</v>
      </c>
      <c r="E1772" t="s">
        <v>2028</v>
      </c>
      <c r="F1772" t="s">
        <v>2031</v>
      </c>
      <c r="G1772" t="s">
        <v>2033</v>
      </c>
      <c r="H1772" t="s">
        <v>2039</v>
      </c>
      <c r="I1772">
        <v>3</v>
      </c>
      <c r="J1772">
        <v>5</v>
      </c>
      <c r="K1772">
        <v>2</v>
      </c>
      <c r="L1772" t="s">
        <v>2041</v>
      </c>
      <c r="M1772">
        <v>282</v>
      </c>
      <c r="N1772">
        <v>4802</v>
      </c>
      <c r="O1772">
        <v>9360</v>
      </c>
      <c r="P1772" s="13">
        <f t="shared" si="189"/>
        <v>0</v>
      </c>
      <c r="Q1772" t="str">
        <f t="shared" si="190"/>
        <v>No</v>
      </c>
      <c r="R1772" t="str" cm="1">
        <f t="array" ref="R1772">_xlfn.IFS(K1772=0,"On Time",K1772&lt;=2,"Minor",K1772&lt;=5,"Major",K1772&gt;5,"Severe")</f>
        <v>Minor</v>
      </c>
      <c r="S1772">
        <f t="shared" si="191"/>
        <v>4680</v>
      </c>
      <c r="T1772">
        <f t="shared" si="192"/>
        <v>2401</v>
      </c>
      <c r="U1772">
        <f t="shared" si="193"/>
        <v>2024</v>
      </c>
      <c r="V1772">
        <f t="shared" si="194"/>
        <v>1</v>
      </c>
      <c r="W1772" s="11">
        <f t="shared" si="195"/>
        <v>1</v>
      </c>
    </row>
    <row r="1773" spans="1:23">
      <c r="A1773" t="s">
        <v>1786</v>
      </c>
      <c r="B1773" s="4">
        <v>45565</v>
      </c>
      <c r="C1773" t="s">
        <v>2018</v>
      </c>
      <c r="D1773" t="s">
        <v>2026</v>
      </c>
      <c r="E1773" t="s">
        <v>2027</v>
      </c>
      <c r="F1773" t="s">
        <v>2031</v>
      </c>
      <c r="G1773" t="s">
        <v>2037</v>
      </c>
      <c r="H1773" t="s">
        <v>2039</v>
      </c>
      <c r="I1773">
        <v>5</v>
      </c>
      <c r="J1773">
        <v>8</v>
      </c>
      <c r="K1773">
        <v>3</v>
      </c>
      <c r="L1773" t="s">
        <v>2041</v>
      </c>
      <c r="M1773">
        <v>197</v>
      </c>
      <c r="N1773">
        <v>7401</v>
      </c>
      <c r="O1773">
        <v>12423</v>
      </c>
      <c r="P1773" s="13">
        <f t="shared" si="189"/>
        <v>0</v>
      </c>
      <c r="Q1773" t="str">
        <f t="shared" si="190"/>
        <v>No</v>
      </c>
      <c r="R1773" t="str" cm="1">
        <f t="array" ref="R1773">_xlfn.IFS(K1773=0,"On Time",K1773&lt;=2,"Minor",K1773&lt;=5,"Major",K1773&gt;5,"Severe")</f>
        <v>Major</v>
      </c>
      <c r="S1773">
        <f t="shared" si="191"/>
        <v>4141</v>
      </c>
      <c r="T1773">
        <f t="shared" si="192"/>
        <v>2467</v>
      </c>
      <c r="U1773">
        <f t="shared" si="193"/>
        <v>2024</v>
      </c>
      <c r="V1773">
        <f t="shared" si="194"/>
        <v>9</v>
      </c>
      <c r="W1773" s="11">
        <f t="shared" si="195"/>
        <v>1</v>
      </c>
    </row>
    <row r="1774" spans="1:23">
      <c r="A1774" t="s">
        <v>1787</v>
      </c>
      <c r="B1774" s="4">
        <v>45444</v>
      </c>
      <c r="C1774" t="s">
        <v>2018</v>
      </c>
      <c r="D1774" t="s">
        <v>2024</v>
      </c>
      <c r="E1774" t="s">
        <v>2028</v>
      </c>
      <c r="F1774" t="s">
        <v>2032</v>
      </c>
      <c r="G1774" t="s">
        <v>2037</v>
      </c>
      <c r="H1774" t="s">
        <v>2040</v>
      </c>
      <c r="I1774">
        <v>5</v>
      </c>
      <c r="J1774">
        <v>12</v>
      </c>
      <c r="K1774">
        <v>7</v>
      </c>
      <c r="L1774" t="s">
        <v>2041</v>
      </c>
      <c r="M1774">
        <v>113</v>
      </c>
      <c r="N1774">
        <v>6195</v>
      </c>
      <c r="O1774">
        <v>11732</v>
      </c>
      <c r="P1774" s="13">
        <f t="shared" si="189"/>
        <v>0</v>
      </c>
      <c r="Q1774" t="str">
        <f t="shared" si="190"/>
        <v>No</v>
      </c>
      <c r="R1774" t="str" cm="1">
        <f t="array" ref="R1774">_xlfn.IFS(K1774=0,"On Time",K1774&lt;=2,"Minor",K1774&lt;=5,"Major",K1774&gt;5,"Severe")</f>
        <v>Severe</v>
      </c>
      <c r="S1774">
        <f t="shared" si="191"/>
        <v>1676</v>
      </c>
      <c r="T1774">
        <f t="shared" si="192"/>
        <v>885</v>
      </c>
      <c r="U1774">
        <f t="shared" si="193"/>
        <v>2024</v>
      </c>
      <c r="V1774">
        <f t="shared" si="194"/>
        <v>6</v>
      </c>
      <c r="W1774" s="11">
        <f t="shared" si="195"/>
        <v>1</v>
      </c>
    </row>
    <row r="1775" spans="1:23">
      <c r="A1775" t="s">
        <v>1788</v>
      </c>
      <c r="B1775" s="4">
        <v>45638</v>
      </c>
      <c r="C1775" t="s">
        <v>2017</v>
      </c>
      <c r="D1775" t="s">
        <v>2023</v>
      </c>
      <c r="E1775" t="s">
        <v>2028</v>
      </c>
      <c r="F1775" t="s">
        <v>2031</v>
      </c>
      <c r="G1775" t="s">
        <v>2036</v>
      </c>
      <c r="H1775" t="s">
        <v>2040</v>
      </c>
      <c r="I1775">
        <v>3</v>
      </c>
      <c r="J1775">
        <v>8</v>
      </c>
      <c r="K1775">
        <v>5</v>
      </c>
      <c r="L1775" t="s">
        <v>2041</v>
      </c>
      <c r="M1775">
        <v>313</v>
      </c>
      <c r="N1775">
        <v>11610</v>
      </c>
      <c r="O1775">
        <v>8375</v>
      </c>
      <c r="P1775" s="13">
        <f t="shared" si="189"/>
        <v>0</v>
      </c>
      <c r="Q1775" t="str">
        <f t="shared" si="190"/>
        <v>No</v>
      </c>
      <c r="R1775" t="str" cm="1">
        <f t="array" ref="R1775">_xlfn.IFS(K1775=0,"On Time",K1775&lt;=2,"Minor",K1775&lt;=5,"Major",K1775&gt;5,"Severe")</f>
        <v>Major</v>
      </c>
      <c r="S1775">
        <f t="shared" si="191"/>
        <v>1675</v>
      </c>
      <c r="T1775">
        <f t="shared" si="192"/>
        <v>2322</v>
      </c>
      <c r="U1775">
        <f t="shared" si="193"/>
        <v>2024</v>
      </c>
      <c r="V1775">
        <f t="shared" si="194"/>
        <v>12</v>
      </c>
      <c r="W1775" s="11">
        <f t="shared" si="195"/>
        <v>1</v>
      </c>
    </row>
    <row r="1776" spans="1:23">
      <c r="A1776" t="s">
        <v>1789</v>
      </c>
      <c r="B1776" s="4">
        <v>45656</v>
      </c>
      <c r="C1776" t="s">
        <v>2017</v>
      </c>
      <c r="D1776" t="s">
        <v>2023</v>
      </c>
      <c r="E1776" t="s">
        <v>2029</v>
      </c>
      <c r="F1776" t="s">
        <v>2031</v>
      </c>
      <c r="G1776" t="s">
        <v>2033</v>
      </c>
      <c r="H1776" t="s">
        <v>2038</v>
      </c>
      <c r="I1776">
        <v>2</v>
      </c>
      <c r="J1776">
        <v>7</v>
      </c>
      <c r="K1776">
        <v>5</v>
      </c>
      <c r="L1776" t="s">
        <v>2041</v>
      </c>
      <c r="M1776">
        <v>418</v>
      </c>
      <c r="N1776">
        <v>11790</v>
      </c>
      <c r="O1776">
        <v>18365</v>
      </c>
      <c r="P1776" s="13">
        <f t="shared" si="189"/>
        <v>0</v>
      </c>
      <c r="Q1776" t="str">
        <f t="shared" si="190"/>
        <v>No</v>
      </c>
      <c r="R1776" t="str" cm="1">
        <f t="array" ref="R1776">_xlfn.IFS(K1776=0,"On Time",K1776&lt;=2,"Minor",K1776&lt;=5,"Major",K1776&gt;5,"Severe")</f>
        <v>Major</v>
      </c>
      <c r="S1776">
        <f t="shared" si="191"/>
        <v>3673</v>
      </c>
      <c r="T1776">
        <f t="shared" si="192"/>
        <v>2358</v>
      </c>
      <c r="U1776">
        <f t="shared" si="193"/>
        <v>2024</v>
      </c>
      <c r="V1776">
        <f t="shared" si="194"/>
        <v>12</v>
      </c>
      <c r="W1776" s="11">
        <f t="shared" si="195"/>
        <v>1</v>
      </c>
    </row>
    <row r="1777" spans="1:23">
      <c r="A1777" t="s">
        <v>1790</v>
      </c>
      <c r="B1777" s="4">
        <v>45428</v>
      </c>
      <c r="C1777" t="s">
        <v>2016</v>
      </c>
      <c r="D1777" t="s">
        <v>2021</v>
      </c>
      <c r="E1777" t="s">
        <v>2029</v>
      </c>
      <c r="F1777" t="s">
        <v>2031</v>
      </c>
      <c r="G1777" t="s">
        <v>2035</v>
      </c>
      <c r="H1777" t="s">
        <v>2040</v>
      </c>
      <c r="I1777">
        <v>3</v>
      </c>
      <c r="J1777">
        <v>11</v>
      </c>
      <c r="K1777">
        <v>8</v>
      </c>
      <c r="L1777" t="s">
        <v>2041</v>
      </c>
      <c r="M1777">
        <v>496</v>
      </c>
      <c r="N1777">
        <v>11640</v>
      </c>
      <c r="O1777">
        <v>29376</v>
      </c>
      <c r="P1777" s="13">
        <f t="shared" si="189"/>
        <v>0</v>
      </c>
      <c r="Q1777" t="str">
        <f t="shared" si="190"/>
        <v>No</v>
      </c>
      <c r="R1777" t="str" cm="1">
        <f t="array" ref="R1777">_xlfn.IFS(K1777=0,"On Time",K1777&lt;=2,"Minor",K1777&lt;=5,"Major",K1777&gt;5,"Severe")</f>
        <v>Severe</v>
      </c>
      <c r="S1777">
        <f t="shared" si="191"/>
        <v>3672</v>
      </c>
      <c r="T1777">
        <f t="shared" si="192"/>
        <v>1455</v>
      </c>
      <c r="U1777">
        <f t="shared" si="193"/>
        <v>2024</v>
      </c>
      <c r="V1777">
        <f t="shared" si="194"/>
        <v>5</v>
      </c>
      <c r="W1777" s="11">
        <f t="shared" si="195"/>
        <v>1</v>
      </c>
    </row>
    <row r="1778" spans="1:23">
      <c r="A1778" t="s">
        <v>1791</v>
      </c>
      <c r="B1778" s="4">
        <v>45386</v>
      </c>
      <c r="C1778" t="s">
        <v>2018</v>
      </c>
      <c r="D1778" t="s">
        <v>2026</v>
      </c>
      <c r="E1778" t="s">
        <v>2027</v>
      </c>
      <c r="F1778" t="s">
        <v>2032</v>
      </c>
      <c r="G1778" t="s">
        <v>2035</v>
      </c>
      <c r="H1778" t="s">
        <v>2040</v>
      </c>
      <c r="I1778">
        <v>2</v>
      </c>
      <c r="J1778">
        <v>11</v>
      </c>
      <c r="K1778">
        <v>9</v>
      </c>
      <c r="L1778" t="s">
        <v>2041</v>
      </c>
      <c r="M1778">
        <v>376</v>
      </c>
      <c r="N1778">
        <v>14760</v>
      </c>
      <c r="O1778">
        <v>20916</v>
      </c>
      <c r="P1778" s="13">
        <f t="shared" si="189"/>
        <v>0</v>
      </c>
      <c r="Q1778" t="str">
        <f t="shared" si="190"/>
        <v>No</v>
      </c>
      <c r="R1778" t="str" cm="1">
        <f t="array" ref="R1778">_xlfn.IFS(K1778=0,"On Time",K1778&lt;=2,"Minor",K1778&lt;=5,"Major",K1778&gt;5,"Severe")</f>
        <v>Severe</v>
      </c>
      <c r="S1778">
        <f t="shared" si="191"/>
        <v>2324</v>
      </c>
      <c r="T1778">
        <f t="shared" si="192"/>
        <v>1640</v>
      </c>
      <c r="U1778">
        <f t="shared" si="193"/>
        <v>2024</v>
      </c>
      <c r="V1778">
        <f t="shared" si="194"/>
        <v>4</v>
      </c>
      <c r="W1778" s="11">
        <f t="shared" si="195"/>
        <v>1</v>
      </c>
    </row>
    <row r="1779" spans="1:23">
      <c r="A1779" t="s">
        <v>1792</v>
      </c>
      <c r="B1779" s="4">
        <v>45648</v>
      </c>
      <c r="C1779" t="s">
        <v>2016</v>
      </c>
      <c r="D1779" t="s">
        <v>2025</v>
      </c>
      <c r="E1779" t="s">
        <v>2029</v>
      </c>
      <c r="F1779" t="s">
        <v>2032</v>
      </c>
      <c r="G1779" t="s">
        <v>2037</v>
      </c>
      <c r="H1779" t="s">
        <v>2040</v>
      </c>
      <c r="I1779">
        <v>2</v>
      </c>
      <c r="J1779">
        <v>10</v>
      </c>
      <c r="K1779">
        <v>8</v>
      </c>
      <c r="L1779" t="s">
        <v>2041</v>
      </c>
      <c r="M1779">
        <v>154</v>
      </c>
      <c r="N1779">
        <v>18080</v>
      </c>
      <c r="O1779">
        <v>24024</v>
      </c>
      <c r="P1779" s="13">
        <f t="shared" si="189"/>
        <v>0</v>
      </c>
      <c r="Q1779" t="str">
        <f t="shared" si="190"/>
        <v>No</v>
      </c>
      <c r="R1779" t="str" cm="1">
        <f t="array" ref="R1779">_xlfn.IFS(K1779=0,"On Time",K1779&lt;=2,"Minor",K1779&lt;=5,"Major",K1779&gt;5,"Severe")</f>
        <v>Severe</v>
      </c>
      <c r="S1779">
        <f t="shared" si="191"/>
        <v>3003</v>
      </c>
      <c r="T1779">
        <f t="shared" si="192"/>
        <v>2260</v>
      </c>
      <c r="U1779">
        <f t="shared" si="193"/>
        <v>2024</v>
      </c>
      <c r="V1779">
        <f t="shared" si="194"/>
        <v>12</v>
      </c>
      <c r="W1779" s="11">
        <f t="shared" si="195"/>
        <v>1</v>
      </c>
    </row>
    <row r="1780" spans="1:23">
      <c r="A1780" t="s">
        <v>1793</v>
      </c>
      <c r="B1780" s="4">
        <v>45420</v>
      </c>
      <c r="C1780" t="s">
        <v>2016</v>
      </c>
      <c r="D1780" t="s">
        <v>2021</v>
      </c>
      <c r="E1780" t="s">
        <v>2027</v>
      </c>
      <c r="F1780" t="s">
        <v>2031</v>
      </c>
      <c r="G1780" t="s">
        <v>2033</v>
      </c>
      <c r="H1780" t="s">
        <v>2038</v>
      </c>
      <c r="I1780">
        <v>2</v>
      </c>
      <c r="J1780">
        <v>5</v>
      </c>
      <c r="K1780">
        <v>3</v>
      </c>
      <c r="L1780" t="s">
        <v>2041</v>
      </c>
      <c r="M1780">
        <v>225</v>
      </c>
      <c r="N1780">
        <v>5898</v>
      </c>
      <c r="O1780">
        <v>10611</v>
      </c>
      <c r="P1780" s="13">
        <f t="shared" si="189"/>
        <v>0</v>
      </c>
      <c r="Q1780" t="str">
        <f t="shared" si="190"/>
        <v>No</v>
      </c>
      <c r="R1780" t="str" cm="1">
        <f t="array" ref="R1780">_xlfn.IFS(K1780=0,"On Time",K1780&lt;=2,"Minor",K1780&lt;=5,"Major",K1780&gt;5,"Severe")</f>
        <v>Major</v>
      </c>
      <c r="S1780">
        <f t="shared" si="191"/>
        <v>3537</v>
      </c>
      <c r="T1780">
        <f t="shared" si="192"/>
        <v>1966</v>
      </c>
      <c r="U1780">
        <f t="shared" si="193"/>
        <v>2024</v>
      </c>
      <c r="V1780">
        <f t="shared" si="194"/>
        <v>5</v>
      </c>
      <c r="W1780" s="11">
        <f t="shared" si="195"/>
        <v>1</v>
      </c>
    </row>
    <row r="1781" spans="1:23">
      <c r="A1781" t="s">
        <v>1794</v>
      </c>
      <c r="B1781" s="4">
        <v>45477</v>
      </c>
      <c r="C1781" t="s">
        <v>2017</v>
      </c>
      <c r="D1781" t="s">
        <v>2023</v>
      </c>
      <c r="E1781" t="s">
        <v>2029</v>
      </c>
      <c r="F1781" t="s">
        <v>2031</v>
      </c>
      <c r="G1781" t="s">
        <v>2034</v>
      </c>
      <c r="H1781" t="s">
        <v>2039</v>
      </c>
      <c r="I1781">
        <v>2</v>
      </c>
      <c r="J1781">
        <v>2</v>
      </c>
      <c r="K1781">
        <v>0</v>
      </c>
      <c r="L1781" t="s">
        <v>2042</v>
      </c>
      <c r="M1781">
        <v>165</v>
      </c>
      <c r="N1781">
        <v>0</v>
      </c>
      <c r="O1781">
        <v>0</v>
      </c>
      <c r="P1781" s="13">
        <f t="shared" si="189"/>
        <v>1</v>
      </c>
      <c r="Q1781" t="str">
        <f t="shared" si="190"/>
        <v>No</v>
      </c>
      <c r="R1781" t="str" cm="1">
        <f t="array" ref="R1781">_xlfn.IFS(K1781=0,"On Time",K1781&lt;=2,"Minor",K1781&lt;=5,"Major",K1781&gt;5,"Severe")</f>
        <v>On Time</v>
      </c>
      <c r="S1781">
        <f t="shared" si="191"/>
        <v>0</v>
      </c>
      <c r="T1781">
        <f t="shared" si="192"/>
        <v>0</v>
      </c>
      <c r="U1781">
        <f t="shared" si="193"/>
        <v>2024</v>
      </c>
      <c r="V1781">
        <f t="shared" si="194"/>
        <v>7</v>
      </c>
      <c r="W1781" s="11">
        <f t="shared" si="195"/>
        <v>0</v>
      </c>
    </row>
    <row r="1782" spans="1:23">
      <c r="A1782" t="s">
        <v>1795</v>
      </c>
      <c r="B1782" s="4">
        <v>45593</v>
      </c>
      <c r="C1782" t="s">
        <v>2017</v>
      </c>
      <c r="D1782" t="s">
        <v>2023</v>
      </c>
      <c r="E1782" t="s">
        <v>2029</v>
      </c>
      <c r="F1782" t="s">
        <v>2031</v>
      </c>
      <c r="G1782" t="s">
        <v>2035</v>
      </c>
      <c r="H1782" t="s">
        <v>2039</v>
      </c>
      <c r="I1782">
        <v>1</v>
      </c>
      <c r="J1782">
        <v>4</v>
      </c>
      <c r="K1782">
        <v>3</v>
      </c>
      <c r="L1782" t="s">
        <v>2041</v>
      </c>
      <c r="M1782">
        <v>456</v>
      </c>
      <c r="N1782">
        <v>3573</v>
      </c>
      <c r="O1782">
        <v>12363</v>
      </c>
      <c r="P1782" s="13">
        <f t="shared" si="189"/>
        <v>0</v>
      </c>
      <c r="Q1782" t="str">
        <f t="shared" si="190"/>
        <v>No</v>
      </c>
      <c r="R1782" t="str" cm="1">
        <f t="array" ref="R1782">_xlfn.IFS(K1782=0,"On Time",K1782&lt;=2,"Minor",K1782&lt;=5,"Major",K1782&gt;5,"Severe")</f>
        <v>Major</v>
      </c>
      <c r="S1782">
        <f t="shared" si="191"/>
        <v>4121</v>
      </c>
      <c r="T1782">
        <f t="shared" si="192"/>
        <v>1191</v>
      </c>
      <c r="U1782">
        <f t="shared" si="193"/>
        <v>2024</v>
      </c>
      <c r="V1782">
        <f t="shared" si="194"/>
        <v>10</v>
      </c>
      <c r="W1782" s="11">
        <f t="shared" si="195"/>
        <v>1</v>
      </c>
    </row>
    <row r="1783" spans="1:23">
      <c r="A1783" t="s">
        <v>1796</v>
      </c>
      <c r="B1783" s="4">
        <v>45493</v>
      </c>
      <c r="C1783" t="s">
        <v>2018</v>
      </c>
      <c r="D1783" t="s">
        <v>2026</v>
      </c>
      <c r="E1783" t="s">
        <v>2029</v>
      </c>
      <c r="F1783" t="s">
        <v>2032</v>
      </c>
      <c r="G1783" t="s">
        <v>2034</v>
      </c>
      <c r="H1783" t="s">
        <v>2038</v>
      </c>
      <c r="I1783">
        <v>1</v>
      </c>
      <c r="J1783">
        <v>4</v>
      </c>
      <c r="K1783">
        <v>3</v>
      </c>
      <c r="L1783" t="s">
        <v>2041</v>
      </c>
      <c r="M1783">
        <v>155</v>
      </c>
      <c r="N1783">
        <v>4257</v>
      </c>
      <c r="O1783">
        <v>14991</v>
      </c>
      <c r="P1783" s="13">
        <f t="shared" si="189"/>
        <v>0</v>
      </c>
      <c r="Q1783" t="str">
        <f t="shared" si="190"/>
        <v>No</v>
      </c>
      <c r="R1783" t="str" cm="1">
        <f t="array" ref="R1783">_xlfn.IFS(K1783=0,"On Time",K1783&lt;=2,"Minor",K1783&lt;=5,"Major",K1783&gt;5,"Severe")</f>
        <v>Major</v>
      </c>
      <c r="S1783">
        <f t="shared" si="191"/>
        <v>4997</v>
      </c>
      <c r="T1783">
        <f t="shared" si="192"/>
        <v>1419</v>
      </c>
      <c r="U1783">
        <f t="shared" si="193"/>
        <v>2024</v>
      </c>
      <c r="V1783">
        <f t="shared" si="194"/>
        <v>7</v>
      </c>
      <c r="W1783" s="11">
        <f t="shared" si="195"/>
        <v>1</v>
      </c>
    </row>
    <row r="1784" spans="1:23">
      <c r="A1784" t="s">
        <v>1797</v>
      </c>
      <c r="B1784" s="4">
        <v>45555</v>
      </c>
      <c r="C1784" t="s">
        <v>2016</v>
      </c>
      <c r="D1784" t="s">
        <v>2025</v>
      </c>
      <c r="E1784" t="s">
        <v>2029</v>
      </c>
      <c r="F1784" t="s">
        <v>2032</v>
      </c>
      <c r="G1784" t="s">
        <v>2033</v>
      </c>
      <c r="H1784" t="s">
        <v>2038</v>
      </c>
      <c r="I1784">
        <v>3</v>
      </c>
      <c r="J1784">
        <v>5</v>
      </c>
      <c r="K1784">
        <v>2</v>
      </c>
      <c r="L1784" t="s">
        <v>2041</v>
      </c>
      <c r="M1784">
        <v>58</v>
      </c>
      <c r="N1784">
        <v>2974</v>
      </c>
      <c r="O1784">
        <v>7160</v>
      </c>
      <c r="P1784" s="13">
        <f t="shared" si="189"/>
        <v>0</v>
      </c>
      <c r="Q1784" t="str">
        <f t="shared" si="190"/>
        <v>No</v>
      </c>
      <c r="R1784" t="str" cm="1">
        <f t="array" ref="R1784">_xlfn.IFS(K1784=0,"On Time",K1784&lt;=2,"Minor",K1784&lt;=5,"Major",K1784&gt;5,"Severe")</f>
        <v>Minor</v>
      </c>
      <c r="S1784">
        <f t="shared" si="191"/>
        <v>3580</v>
      </c>
      <c r="T1784">
        <f t="shared" si="192"/>
        <v>1487</v>
      </c>
      <c r="U1784">
        <f t="shared" si="193"/>
        <v>2024</v>
      </c>
      <c r="V1784">
        <f t="shared" si="194"/>
        <v>9</v>
      </c>
      <c r="W1784" s="11">
        <f t="shared" si="195"/>
        <v>1</v>
      </c>
    </row>
    <row r="1785" spans="1:23">
      <c r="A1785" t="s">
        <v>1798</v>
      </c>
      <c r="B1785" s="4">
        <v>45298</v>
      </c>
      <c r="C1785" t="s">
        <v>2016</v>
      </c>
      <c r="D1785" t="s">
        <v>2021</v>
      </c>
      <c r="E1785" t="s">
        <v>2027</v>
      </c>
      <c r="F1785" t="s">
        <v>2031</v>
      </c>
      <c r="G1785" t="s">
        <v>2033</v>
      </c>
      <c r="H1785" t="s">
        <v>2038</v>
      </c>
      <c r="I1785">
        <v>1</v>
      </c>
      <c r="J1785">
        <v>1</v>
      </c>
      <c r="K1785">
        <v>0</v>
      </c>
      <c r="L1785" t="s">
        <v>2042</v>
      </c>
      <c r="M1785">
        <v>181</v>
      </c>
      <c r="N1785">
        <v>0</v>
      </c>
      <c r="O1785">
        <v>0</v>
      </c>
      <c r="P1785" s="13">
        <f t="shared" si="189"/>
        <v>1</v>
      </c>
      <c r="Q1785" t="str">
        <f t="shared" si="190"/>
        <v>No</v>
      </c>
      <c r="R1785" t="str" cm="1">
        <f t="array" ref="R1785">_xlfn.IFS(K1785=0,"On Time",K1785&lt;=2,"Minor",K1785&lt;=5,"Major",K1785&gt;5,"Severe")</f>
        <v>On Time</v>
      </c>
      <c r="S1785">
        <f t="shared" si="191"/>
        <v>0</v>
      </c>
      <c r="T1785">
        <f t="shared" si="192"/>
        <v>0</v>
      </c>
      <c r="U1785">
        <f t="shared" si="193"/>
        <v>2024</v>
      </c>
      <c r="V1785">
        <f t="shared" si="194"/>
        <v>1</v>
      </c>
      <c r="W1785" s="11">
        <f t="shared" si="195"/>
        <v>0</v>
      </c>
    </row>
    <row r="1786" spans="1:23">
      <c r="A1786" t="s">
        <v>1799</v>
      </c>
      <c r="B1786" s="4">
        <v>45368</v>
      </c>
      <c r="C1786" t="s">
        <v>2018</v>
      </c>
      <c r="D1786" t="s">
        <v>2024</v>
      </c>
      <c r="E1786" t="s">
        <v>2028</v>
      </c>
      <c r="F1786" t="s">
        <v>2030</v>
      </c>
      <c r="G1786" t="s">
        <v>2033</v>
      </c>
      <c r="H1786" t="s">
        <v>2039</v>
      </c>
      <c r="I1786">
        <v>1</v>
      </c>
      <c r="J1786">
        <v>4</v>
      </c>
      <c r="K1786">
        <v>3</v>
      </c>
      <c r="L1786" t="s">
        <v>2041</v>
      </c>
      <c r="M1786">
        <v>346</v>
      </c>
      <c r="N1786">
        <v>4344</v>
      </c>
      <c r="O1786">
        <v>6159</v>
      </c>
      <c r="P1786" s="13">
        <f t="shared" si="189"/>
        <v>0</v>
      </c>
      <c r="Q1786" t="str">
        <f t="shared" si="190"/>
        <v>No</v>
      </c>
      <c r="R1786" t="str" cm="1">
        <f t="array" ref="R1786">_xlfn.IFS(K1786=0,"On Time",K1786&lt;=2,"Minor",K1786&lt;=5,"Major",K1786&gt;5,"Severe")</f>
        <v>Major</v>
      </c>
      <c r="S1786">
        <f t="shared" si="191"/>
        <v>2053</v>
      </c>
      <c r="T1786">
        <f t="shared" si="192"/>
        <v>1448</v>
      </c>
      <c r="U1786">
        <f t="shared" si="193"/>
        <v>2024</v>
      </c>
      <c r="V1786">
        <f t="shared" si="194"/>
        <v>3</v>
      </c>
      <c r="W1786" s="11">
        <f t="shared" si="195"/>
        <v>1</v>
      </c>
    </row>
    <row r="1787" spans="1:23">
      <c r="A1787" t="s">
        <v>1800</v>
      </c>
      <c r="B1787" s="4">
        <v>45442</v>
      </c>
      <c r="C1787" t="s">
        <v>2018</v>
      </c>
      <c r="D1787" t="s">
        <v>2024</v>
      </c>
      <c r="E1787" t="s">
        <v>2028</v>
      </c>
      <c r="F1787" t="s">
        <v>2030</v>
      </c>
      <c r="G1787" t="s">
        <v>2035</v>
      </c>
      <c r="H1787" t="s">
        <v>2038</v>
      </c>
      <c r="I1787">
        <v>2</v>
      </c>
      <c r="J1787">
        <v>6</v>
      </c>
      <c r="K1787">
        <v>4</v>
      </c>
      <c r="L1787" t="s">
        <v>2041</v>
      </c>
      <c r="M1787">
        <v>399</v>
      </c>
      <c r="N1787">
        <v>5884</v>
      </c>
      <c r="O1787">
        <v>16780</v>
      </c>
      <c r="P1787" s="13">
        <f t="shared" si="189"/>
        <v>0</v>
      </c>
      <c r="Q1787" t="str">
        <f t="shared" si="190"/>
        <v>No</v>
      </c>
      <c r="R1787" t="str" cm="1">
        <f t="array" ref="R1787">_xlfn.IFS(K1787=0,"On Time",K1787&lt;=2,"Minor",K1787&lt;=5,"Major",K1787&gt;5,"Severe")</f>
        <v>Major</v>
      </c>
      <c r="S1787">
        <f t="shared" si="191"/>
        <v>4195</v>
      </c>
      <c r="T1787">
        <f t="shared" si="192"/>
        <v>1471</v>
      </c>
      <c r="U1787">
        <f t="shared" si="193"/>
        <v>2024</v>
      </c>
      <c r="V1787">
        <f t="shared" si="194"/>
        <v>5</v>
      </c>
      <c r="W1787" s="11">
        <f t="shared" si="195"/>
        <v>1</v>
      </c>
    </row>
    <row r="1788" spans="1:23">
      <c r="A1788" t="s">
        <v>1801</v>
      </c>
      <c r="B1788" s="4">
        <v>45582</v>
      </c>
      <c r="C1788" t="s">
        <v>2017</v>
      </c>
      <c r="D1788" t="s">
        <v>2023</v>
      </c>
      <c r="E1788" t="s">
        <v>2027</v>
      </c>
      <c r="F1788" t="s">
        <v>2031</v>
      </c>
      <c r="G1788" t="s">
        <v>2035</v>
      </c>
      <c r="H1788" t="s">
        <v>2039</v>
      </c>
      <c r="I1788">
        <v>3</v>
      </c>
      <c r="J1788">
        <v>7</v>
      </c>
      <c r="K1788">
        <v>4</v>
      </c>
      <c r="L1788" t="s">
        <v>2041</v>
      </c>
      <c r="M1788">
        <v>451</v>
      </c>
      <c r="N1788">
        <v>8500</v>
      </c>
      <c r="O1788">
        <v>19048</v>
      </c>
      <c r="P1788" s="13">
        <f t="shared" si="189"/>
        <v>0</v>
      </c>
      <c r="Q1788" t="str">
        <f t="shared" si="190"/>
        <v>No</v>
      </c>
      <c r="R1788" t="str" cm="1">
        <f t="array" ref="R1788">_xlfn.IFS(K1788=0,"On Time",K1788&lt;=2,"Minor",K1788&lt;=5,"Major",K1788&gt;5,"Severe")</f>
        <v>Major</v>
      </c>
      <c r="S1788">
        <f t="shared" si="191"/>
        <v>4762</v>
      </c>
      <c r="T1788">
        <f t="shared" si="192"/>
        <v>2125</v>
      </c>
      <c r="U1788">
        <f t="shared" si="193"/>
        <v>2024</v>
      </c>
      <c r="V1788">
        <f t="shared" si="194"/>
        <v>10</v>
      </c>
      <c r="W1788" s="11">
        <f t="shared" si="195"/>
        <v>1</v>
      </c>
    </row>
    <row r="1789" spans="1:23">
      <c r="A1789" t="s">
        <v>1802</v>
      </c>
      <c r="B1789" s="4">
        <v>45543</v>
      </c>
      <c r="C1789" t="s">
        <v>2016</v>
      </c>
      <c r="D1789" t="s">
        <v>2021</v>
      </c>
      <c r="E1789" t="s">
        <v>2029</v>
      </c>
      <c r="F1789" t="s">
        <v>2031</v>
      </c>
      <c r="G1789" t="s">
        <v>2034</v>
      </c>
      <c r="H1789" t="s">
        <v>2039</v>
      </c>
      <c r="I1789">
        <v>2</v>
      </c>
      <c r="J1789">
        <v>5</v>
      </c>
      <c r="K1789">
        <v>3</v>
      </c>
      <c r="L1789" t="s">
        <v>2041</v>
      </c>
      <c r="M1789">
        <v>379</v>
      </c>
      <c r="N1789">
        <v>3723</v>
      </c>
      <c r="O1789">
        <v>5088</v>
      </c>
      <c r="P1789" s="13">
        <f t="shared" si="189"/>
        <v>0</v>
      </c>
      <c r="Q1789" t="str">
        <f t="shared" si="190"/>
        <v>No</v>
      </c>
      <c r="R1789" t="str" cm="1">
        <f t="array" ref="R1789">_xlfn.IFS(K1789=0,"On Time",K1789&lt;=2,"Minor",K1789&lt;=5,"Major",K1789&gt;5,"Severe")</f>
        <v>Major</v>
      </c>
      <c r="S1789">
        <f t="shared" si="191"/>
        <v>1696</v>
      </c>
      <c r="T1789">
        <f t="shared" si="192"/>
        <v>1241</v>
      </c>
      <c r="U1789">
        <f t="shared" si="193"/>
        <v>2024</v>
      </c>
      <c r="V1789">
        <f t="shared" si="194"/>
        <v>9</v>
      </c>
      <c r="W1789" s="11">
        <f t="shared" si="195"/>
        <v>1</v>
      </c>
    </row>
    <row r="1790" spans="1:23">
      <c r="A1790" t="s">
        <v>1803</v>
      </c>
      <c r="B1790" s="4">
        <v>45626</v>
      </c>
      <c r="C1790" t="s">
        <v>2015</v>
      </c>
      <c r="D1790" t="s">
        <v>2020</v>
      </c>
      <c r="E1790" t="s">
        <v>2028</v>
      </c>
      <c r="F1790" t="s">
        <v>2032</v>
      </c>
      <c r="G1790" t="s">
        <v>2033</v>
      </c>
      <c r="H1790" t="s">
        <v>2038</v>
      </c>
      <c r="I1790">
        <v>2</v>
      </c>
      <c r="J1790">
        <v>5</v>
      </c>
      <c r="K1790">
        <v>3</v>
      </c>
      <c r="L1790" t="s">
        <v>2041</v>
      </c>
      <c r="M1790">
        <v>342</v>
      </c>
      <c r="N1790">
        <v>5970</v>
      </c>
      <c r="O1790">
        <v>10956</v>
      </c>
      <c r="P1790" s="13">
        <f t="shared" si="189"/>
        <v>0</v>
      </c>
      <c r="Q1790" t="str">
        <f t="shared" si="190"/>
        <v>No</v>
      </c>
      <c r="R1790" t="str" cm="1">
        <f t="array" ref="R1790">_xlfn.IFS(K1790=0,"On Time",K1790&lt;=2,"Minor",K1790&lt;=5,"Major",K1790&gt;5,"Severe")</f>
        <v>Major</v>
      </c>
      <c r="S1790">
        <f t="shared" si="191"/>
        <v>3652</v>
      </c>
      <c r="T1790">
        <f t="shared" si="192"/>
        <v>1990</v>
      </c>
      <c r="U1790">
        <f t="shared" si="193"/>
        <v>2024</v>
      </c>
      <c r="V1790">
        <f t="shared" si="194"/>
        <v>11</v>
      </c>
      <c r="W1790" s="11">
        <f t="shared" si="195"/>
        <v>1</v>
      </c>
    </row>
    <row r="1791" spans="1:23">
      <c r="A1791" t="s">
        <v>1804</v>
      </c>
      <c r="B1791" s="4">
        <v>45456</v>
      </c>
      <c r="C1791" t="s">
        <v>2015</v>
      </c>
      <c r="D1791" t="s">
        <v>2019</v>
      </c>
      <c r="E1791" t="s">
        <v>2027</v>
      </c>
      <c r="F1791" t="s">
        <v>2031</v>
      </c>
      <c r="G1791" t="s">
        <v>2033</v>
      </c>
      <c r="H1791" t="s">
        <v>2038</v>
      </c>
      <c r="I1791">
        <v>1</v>
      </c>
      <c r="J1791">
        <v>3</v>
      </c>
      <c r="K1791">
        <v>2</v>
      </c>
      <c r="L1791" t="s">
        <v>2041</v>
      </c>
      <c r="M1791">
        <v>174</v>
      </c>
      <c r="N1791">
        <v>2686</v>
      </c>
      <c r="O1791">
        <v>4402</v>
      </c>
      <c r="P1791" s="13">
        <f t="shared" si="189"/>
        <v>0</v>
      </c>
      <c r="Q1791" t="str">
        <f t="shared" si="190"/>
        <v>No</v>
      </c>
      <c r="R1791" t="str" cm="1">
        <f t="array" ref="R1791">_xlfn.IFS(K1791=0,"On Time",K1791&lt;=2,"Minor",K1791&lt;=5,"Major",K1791&gt;5,"Severe")</f>
        <v>Minor</v>
      </c>
      <c r="S1791">
        <f t="shared" si="191"/>
        <v>2201</v>
      </c>
      <c r="T1791">
        <f t="shared" si="192"/>
        <v>1343</v>
      </c>
      <c r="U1791">
        <f t="shared" si="193"/>
        <v>2024</v>
      </c>
      <c r="V1791">
        <f t="shared" si="194"/>
        <v>6</v>
      </c>
      <c r="W1791" s="11">
        <f t="shared" si="195"/>
        <v>1</v>
      </c>
    </row>
    <row r="1792" spans="1:23">
      <c r="A1792" t="s">
        <v>1805</v>
      </c>
      <c r="B1792" s="4">
        <v>45358</v>
      </c>
      <c r="C1792" t="s">
        <v>2016</v>
      </c>
      <c r="D1792" t="s">
        <v>2025</v>
      </c>
      <c r="E1792" t="s">
        <v>2028</v>
      </c>
      <c r="F1792" t="s">
        <v>2030</v>
      </c>
      <c r="G1792" t="s">
        <v>2035</v>
      </c>
      <c r="H1792" t="s">
        <v>2039</v>
      </c>
      <c r="I1792">
        <v>3</v>
      </c>
      <c r="J1792">
        <v>7</v>
      </c>
      <c r="K1792">
        <v>4</v>
      </c>
      <c r="L1792" t="s">
        <v>2041</v>
      </c>
      <c r="M1792">
        <v>101</v>
      </c>
      <c r="N1792">
        <v>5232</v>
      </c>
      <c r="O1792">
        <v>11360</v>
      </c>
      <c r="P1792" s="13">
        <f t="shared" si="189"/>
        <v>0</v>
      </c>
      <c r="Q1792" t="str">
        <f t="shared" si="190"/>
        <v>No</v>
      </c>
      <c r="R1792" t="str" cm="1">
        <f t="array" ref="R1792">_xlfn.IFS(K1792=0,"On Time",K1792&lt;=2,"Minor",K1792&lt;=5,"Major",K1792&gt;5,"Severe")</f>
        <v>Major</v>
      </c>
      <c r="S1792">
        <f t="shared" si="191"/>
        <v>2840</v>
      </c>
      <c r="T1792">
        <f t="shared" si="192"/>
        <v>1308</v>
      </c>
      <c r="U1792">
        <f t="shared" si="193"/>
        <v>2024</v>
      </c>
      <c r="V1792">
        <f t="shared" si="194"/>
        <v>3</v>
      </c>
      <c r="W1792" s="11">
        <f t="shared" si="195"/>
        <v>1</v>
      </c>
    </row>
    <row r="1793" spans="1:23">
      <c r="A1793" t="s">
        <v>1806</v>
      </c>
      <c r="B1793" s="4">
        <v>45441</v>
      </c>
      <c r="C1793" t="s">
        <v>2017</v>
      </c>
      <c r="D1793" t="s">
        <v>2022</v>
      </c>
      <c r="E1793" t="s">
        <v>2029</v>
      </c>
      <c r="F1793" t="s">
        <v>2030</v>
      </c>
      <c r="G1793" t="s">
        <v>2033</v>
      </c>
      <c r="H1793" t="s">
        <v>2038</v>
      </c>
      <c r="I1793">
        <v>1</v>
      </c>
      <c r="J1793">
        <v>5</v>
      </c>
      <c r="K1793">
        <v>4</v>
      </c>
      <c r="L1793" t="s">
        <v>2041</v>
      </c>
      <c r="M1793">
        <v>345</v>
      </c>
      <c r="N1793">
        <v>9688</v>
      </c>
      <c r="O1793">
        <v>6116</v>
      </c>
      <c r="P1793" s="13">
        <f t="shared" si="189"/>
        <v>0</v>
      </c>
      <c r="Q1793" t="str">
        <f t="shared" si="190"/>
        <v>No</v>
      </c>
      <c r="R1793" t="str" cm="1">
        <f t="array" ref="R1793">_xlfn.IFS(K1793=0,"On Time",K1793&lt;=2,"Minor",K1793&lt;=5,"Major",K1793&gt;5,"Severe")</f>
        <v>Major</v>
      </c>
      <c r="S1793">
        <f t="shared" si="191"/>
        <v>1529</v>
      </c>
      <c r="T1793">
        <f t="shared" si="192"/>
        <v>2422</v>
      </c>
      <c r="U1793">
        <f t="shared" si="193"/>
        <v>2024</v>
      </c>
      <c r="V1793">
        <f t="shared" si="194"/>
        <v>5</v>
      </c>
      <c r="W1793" s="11">
        <f t="shared" si="195"/>
        <v>1</v>
      </c>
    </row>
    <row r="1794" spans="1:23">
      <c r="A1794" t="s">
        <v>1807</v>
      </c>
      <c r="B1794" s="4">
        <v>45327</v>
      </c>
      <c r="C1794" t="s">
        <v>2017</v>
      </c>
      <c r="D1794" t="s">
        <v>2022</v>
      </c>
      <c r="E1794" t="s">
        <v>2029</v>
      </c>
      <c r="F1794" t="s">
        <v>2032</v>
      </c>
      <c r="G1794" t="s">
        <v>2033</v>
      </c>
      <c r="H1794" t="s">
        <v>2038</v>
      </c>
      <c r="I1794">
        <v>3</v>
      </c>
      <c r="J1794">
        <v>6</v>
      </c>
      <c r="K1794">
        <v>3</v>
      </c>
      <c r="L1794" t="s">
        <v>2041</v>
      </c>
      <c r="M1794">
        <v>138</v>
      </c>
      <c r="N1794">
        <v>6123</v>
      </c>
      <c r="O1794">
        <v>11673</v>
      </c>
      <c r="P1794" s="13">
        <f t="shared" si="189"/>
        <v>0</v>
      </c>
      <c r="Q1794" t="str">
        <f t="shared" si="190"/>
        <v>No</v>
      </c>
      <c r="R1794" t="str" cm="1">
        <f t="array" ref="R1794">_xlfn.IFS(K1794=0,"On Time",K1794&lt;=2,"Minor",K1794&lt;=5,"Major",K1794&gt;5,"Severe")</f>
        <v>Major</v>
      </c>
      <c r="S1794">
        <f t="shared" si="191"/>
        <v>3891</v>
      </c>
      <c r="T1794">
        <f t="shared" si="192"/>
        <v>2041</v>
      </c>
      <c r="U1794">
        <f t="shared" si="193"/>
        <v>2024</v>
      </c>
      <c r="V1794">
        <f t="shared" si="194"/>
        <v>2</v>
      </c>
      <c r="W1794" s="11">
        <f t="shared" si="195"/>
        <v>1</v>
      </c>
    </row>
    <row r="1795" spans="1:23">
      <c r="A1795" t="s">
        <v>1808</v>
      </c>
      <c r="B1795" s="4">
        <v>45524</v>
      </c>
      <c r="C1795" t="s">
        <v>2017</v>
      </c>
      <c r="D1795" t="s">
        <v>2023</v>
      </c>
      <c r="E1795" t="s">
        <v>2027</v>
      </c>
      <c r="F1795" t="s">
        <v>2031</v>
      </c>
      <c r="G1795" t="s">
        <v>2037</v>
      </c>
      <c r="H1795" t="s">
        <v>2038</v>
      </c>
      <c r="I1795">
        <v>2</v>
      </c>
      <c r="J1795">
        <v>2</v>
      </c>
      <c r="K1795">
        <v>0</v>
      </c>
      <c r="L1795" t="s">
        <v>2042</v>
      </c>
      <c r="M1795">
        <v>426</v>
      </c>
      <c r="N1795">
        <v>0</v>
      </c>
      <c r="O1795">
        <v>0</v>
      </c>
      <c r="P1795" s="13">
        <f t="shared" ref="P1795:P1858" si="196">IF(L1795="Yes",0,1)</f>
        <v>1</v>
      </c>
      <c r="Q1795" t="str">
        <f t="shared" ref="Q1795:Q1858" si="197">IF(K1795&gt;J1795,"Yes","No")</f>
        <v>No</v>
      </c>
      <c r="R1795" t="str" cm="1">
        <f t="array" ref="R1795">_xlfn.IFS(K1795=0,"On Time",K1795&lt;=2,"Minor",K1795&lt;=5,"Major",K1795&gt;5,"Severe")</f>
        <v>On Time</v>
      </c>
      <c r="S1795">
        <f t="shared" ref="S1795:S1858" si="198">IFERROR(O1795/K1795,0)</f>
        <v>0</v>
      </c>
      <c r="T1795">
        <f t="shared" ref="T1795:T1858" si="199">IFERROR(N1795/K1795,0)</f>
        <v>0</v>
      </c>
      <c r="U1795">
        <f t="shared" ref="U1795:U1858" si="200">YEAR(B1795)</f>
        <v>2024</v>
      </c>
      <c r="V1795">
        <f t="shared" ref="V1795:V1858" si="201">MONTH(B1795)</f>
        <v>8</v>
      </c>
      <c r="W1795" s="11">
        <f t="shared" ref="W1795:W1858" si="202">IF(L1795="Yes",1,0)</f>
        <v>0</v>
      </c>
    </row>
    <row r="1796" spans="1:23">
      <c r="A1796" t="s">
        <v>1809</v>
      </c>
      <c r="B1796" s="4">
        <v>45503</v>
      </c>
      <c r="C1796" t="s">
        <v>2018</v>
      </c>
      <c r="D1796" t="s">
        <v>2026</v>
      </c>
      <c r="E1796" t="s">
        <v>2029</v>
      </c>
      <c r="F1796" t="s">
        <v>2031</v>
      </c>
      <c r="G1796" t="s">
        <v>2035</v>
      </c>
      <c r="H1796" t="s">
        <v>2038</v>
      </c>
      <c r="I1796">
        <v>1</v>
      </c>
      <c r="J1796">
        <v>1</v>
      </c>
      <c r="K1796">
        <v>0</v>
      </c>
      <c r="L1796" t="s">
        <v>2042</v>
      </c>
      <c r="M1796">
        <v>357</v>
      </c>
      <c r="N1796">
        <v>0</v>
      </c>
      <c r="O1796">
        <v>0</v>
      </c>
      <c r="P1796" s="13">
        <f t="shared" si="196"/>
        <v>1</v>
      </c>
      <c r="Q1796" t="str">
        <f t="shared" si="197"/>
        <v>No</v>
      </c>
      <c r="R1796" t="str" cm="1">
        <f t="array" ref="R1796">_xlfn.IFS(K1796=0,"On Time",K1796&lt;=2,"Minor",K1796&lt;=5,"Major",K1796&gt;5,"Severe")</f>
        <v>On Time</v>
      </c>
      <c r="S1796">
        <f t="shared" si="198"/>
        <v>0</v>
      </c>
      <c r="T1796">
        <f t="shared" si="199"/>
        <v>0</v>
      </c>
      <c r="U1796">
        <f t="shared" si="200"/>
        <v>2024</v>
      </c>
      <c r="V1796">
        <f t="shared" si="201"/>
        <v>7</v>
      </c>
      <c r="W1796" s="11">
        <f t="shared" si="202"/>
        <v>0</v>
      </c>
    </row>
    <row r="1797" spans="1:23">
      <c r="A1797" t="s">
        <v>1810</v>
      </c>
      <c r="B1797" s="4">
        <v>45504</v>
      </c>
      <c r="C1797" t="s">
        <v>2018</v>
      </c>
      <c r="D1797" t="s">
        <v>2024</v>
      </c>
      <c r="E1797" t="s">
        <v>2029</v>
      </c>
      <c r="F1797" t="s">
        <v>2032</v>
      </c>
      <c r="G1797" t="s">
        <v>2033</v>
      </c>
      <c r="H1797" t="s">
        <v>2038</v>
      </c>
      <c r="I1797">
        <v>1</v>
      </c>
      <c r="J1797">
        <v>5</v>
      </c>
      <c r="K1797">
        <v>4</v>
      </c>
      <c r="L1797" t="s">
        <v>2041</v>
      </c>
      <c r="M1797">
        <v>88</v>
      </c>
      <c r="N1797">
        <v>3696</v>
      </c>
      <c r="O1797">
        <v>10292</v>
      </c>
      <c r="P1797" s="13">
        <f t="shared" si="196"/>
        <v>0</v>
      </c>
      <c r="Q1797" t="str">
        <f t="shared" si="197"/>
        <v>No</v>
      </c>
      <c r="R1797" t="str" cm="1">
        <f t="array" ref="R1797">_xlfn.IFS(K1797=0,"On Time",K1797&lt;=2,"Minor",K1797&lt;=5,"Major",K1797&gt;5,"Severe")</f>
        <v>Major</v>
      </c>
      <c r="S1797">
        <f t="shared" si="198"/>
        <v>2573</v>
      </c>
      <c r="T1797">
        <f t="shared" si="199"/>
        <v>924</v>
      </c>
      <c r="U1797">
        <f t="shared" si="200"/>
        <v>2024</v>
      </c>
      <c r="V1797">
        <f t="shared" si="201"/>
        <v>7</v>
      </c>
      <c r="W1797" s="11">
        <f t="shared" si="202"/>
        <v>1</v>
      </c>
    </row>
    <row r="1798" spans="1:23">
      <c r="A1798" t="s">
        <v>1811</v>
      </c>
      <c r="B1798" s="4">
        <v>45394</v>
      </c>
      <c r="C1798" t="s">
        <v>2016</v>
      </c>
      <c r="D1798" t="s">
        <v>2021</v>
      </c>
      <c r="E1798" t="s">
        <v>2027</v>
      </c>
      <c r="F1798" t="s">
        <v>2031</v>
      </c>
      <c r="G1798" t="s">
        <v>2035</v>
      </c>
      <c r="H1798" t="s">
        <v>2038</v>
      </c>
      <c r="I1798">
        <v>3</v>
      </c>
      <c r="J1798">
        <v>4</v>
      </c>
      <c r="K1798">
        <v>1</v>
      </c>
      <c r="L1798" t="s">
        <v>2041</v>
      </c>
      <c r="M1798">
        <v>92</v>
      </c>
      <c r="N1798">
        <v>834</v>
      </c>
      <c r="O1798">
        <v>4652</v>
      </c>
      <c r="P1798" s="13">
        <f t="shared" si="196"/>
        <v>0</v>
      </c>
      <c r="Q1798" t="str">
        <f t="shared" si="197"/>
        <v>No</v>
      </c>
      <c r="R1798" t="str" cm="1">
        <f t="array" ref="R1798">_xlfn.IFS(K1798=0,"On Time",K1798&lt;=2,"Minor",K1798&lt;=5,"Major",K1798&gt;5,"Severe")</f>
        <v>Minor</v>
      </c>
      <c r="S1798">
        <f t="shared" si="198"/>
        <v>4652</v>
      </c>
      <c r="T1798">
        <f t="shared" si="199"/>
        <v>834</v>
      </c>
      <c r="U1798">
        <f t="shared" si="200"/>
        <v>2024</v>
      </c>
      <c r="V1798">
        <f t="shared" si="201"/>
        <v>4</v>
      </c>
      <c r="W1798" s="11">
        <f t="shared" si="202"/>
        <v>1</v>
      </c>
    </row>
    <row r="1799" spans="1:23">
      <c r="A1799" t="s">
        <v>1812</v>
      </c>
      <c r="B1799" s="4">
        <v>45372</v>
      </c>
      <c r="C1799" t="s">
        <v>2015</v>
      </c>
      <c r="D1799" t="s">
        <v>2019</v>
      </c>
      <c r="E1799" t="s">
        <v>2029</v>
      </c>
      <c r="F1799" t="s">
        <v>2032</v>
      </c>
      <c r="G1799" t="s">
        <v>2036</v>
      </c>
      <c r="H1799" t="s">
        <v>2040</v>
      </c>
      <c r="I1799">
        <v>2</v>
      </c>
      <c r="J1799">
        <v>6</v>
      </c>
      <c r="K1799">
        <v>4</v>
      </c>
      <c r="L1799" t="s">
        <v>2041</v>
      </c>
      <c r="M1799">
        <v>374</v>
      </c>
      <c r="N1799">
        <v>3872</v>
      </c>
      <c r="O1799">
        <v>15344</v>
      </c>
      <c r="P1799" s="13">
        <f t="shared" si="196"/>
        <v>0</v>
      </c>
      <c r="Q1799" t="str">
        <f t="shared" si="197"/>
        <v>No</v>
      </c>
      <c r="R1799" t="str" cm="1">
        <f t="array" ref="R1799">_xlfn.IFS(K1799=0,"On Time",K1799&lt;=2,"Minor",K1799&lt;=5,"Major",K1799&gt;5,"Severe")</f>
        <v>Major</v>
      </c>
      <c r="S1799">
        <f t="shared" si="198"/>
        <v>3836</v>
      </c>
      <c r="T1799">
        <f t="shared" si="199"/>
        <v>968</v>
      </c>
      <c r="U1799">
        <f t="shared" si="200"/>
        <v>2024</v>
      </c>
      <c r="V1799">
        <f t="shared" si="201"/>
        <v>3</v>
      </c>
      <c r="W1799" s="11">
        <f t="shared" si="202"/>
        <v>1</v>
      </c>
    </row>
    <row r="1800" spans="1:23">
      <c r="A1800" t="s">
        <v>1813</v>
      </c>
      <c r="B1800" s="4">
        <v>45651</v>
      </c>
      <c r="C1800" t="s">
        <v>2018</v>
      </c>
      <c r="D1800" t="s">
        <v>2024</v>
      </c>
      <c r="E1800" t="s">
        <v>2027</v>
      </c>
      <c r="F1800" t="s">
        <v>2030</v>
      </c>
      <c r="G1800" t="s">
        <v>2034</v>
      </c>
      <c r="H1800" t="s">
        <v>2039</v>
      </c>
      <c r="I1800">
        <v>1</v>
      </c>
      <c r="J1800">
        <v>3</v>
      </c>
      <c r="K1800">
        <v>2</v>
      </c>
      <c r="L1800" t="s">
        <v>2041</v>
      </c>
      <c r="M1800">
        <v>268</v>
      </c>
      <c r="N1800">
        <v>3072</v>
      </c>
      <c r="O1800">
        <v>8508</v>
      </c>
      <c r="P1800" s="13">
        <f t="shared" si="196"/>
        <v>0</v>
      </c>
      <c r="Q1800" t="str">
        <f t="shared" si="197"/>
        <v>No</v>
      </c>
      <c r="R1800" t="str" cm="1">
        <f t="array" ref="R1800">_xlfn.IFS(K1800=0,"On Time",K1800&lt;=2,"Minor",K1800&lt;=5,"Major",K1800&gt;5,"Severe")</f>
        <v>Minor</v>
      </c>
      <c r="S1800">
        <f t="shared" si="198"/>
        <v>4254</v>
      </c>
      <c r="T1800">
        <f t="shared" si="199"/>
        <v>1536</v>
      </c>
      <c r="U1800">
        <f t="shared" si="200"/>
        <v>2024</v>
      </c>
      <c r="V1800">
        <f t="shared" si="201"/>
        <v>12</v>
      </c>
      <c r="W1800" s="11">
        <f t="shared" si="202"/>
        <v>1</v>
      </c>
    </row>
    <row r="1801" spans="1:23">
      <c r="A1801" t="s">
        <v>1814</v>
      </c>
      <c r="B1801" s="4">
        <v>45425</v>
      </c>
      <c r="C1801" t="s">
        <v>2018</v>
      </c>
      <c r="D1801" t="s">
        <v>2026</v>
      </c>
      <c r="E1801" t="s">
        <v>2029</v>
      </c>
      <c r="F1801" t="s">
        <v>2031</v>
      </c>
      <c r="G1801" t="s">
        <v>2033</v>
      </c>
      <c r="H1801" t="s">
        <v>2040</v>
      </c>
      <c r="I1801">
        <v>2</v>
      </c>
      <c r="J1801">
        <v>8</v>
      </c>
      <c r="K1801">
        <v>6</v>
      </c>
      <c r="L1801" t="s">
        <v>2041</v>
      </c>
      <c r="M1801">
        <v>470</v>
      </c>
      <c r="N1801">
        <v>10188</v>
      </c>
      <c r="O1801">
        <v>21822</v>
      </c>
      <c r="P1801" s="13">
        <f t="shared" si="196"/>
        <v>0</v>
      </c>
      <c r="Q1801" t="str">
        <f t="shared" si="197"/>
        <v>No</v>
      </c>
      <c r="R1801" t="str" cm="1">
        <f t="array" ref="R1801">_xlfn.IFS(K1801=0,"On Time",K1801&lt;=2,"Minor",K1801&lt;=5,"Major",K1801&gt;5,"Severe")</f>
        <v>Severe</v>
      </c>
      <c r="S1801">
        <f t="shared" si="198"/>
        <v>3637</v>
      </c>
      <c r="T1801">
        <f t="shared" si="199"/>
        <v>1698</v>
      </c>
      <c r="U1801">
        <f t="shared" si="200"/>
        <v>2024</v>
      </c>
      <c r="V1801">
        <f t="shared" si="201"/>
        <v>5</v>
      </c>
      <c r="W1801" s="11">
        <f t="shared" si="202"/>
        <v>1</v>
      </c>
    </row>
    <row r="1802" spans="1:23">
      <c r="A1802" t="s">
        <v>1815</v>
      </c>
      <c r="B1802" s="4">
        <v>45517</v>
      </c>
      <c r="C1802" t="s">
        <v>2017</v>
      </c>
      <c r="D1802" t="s">
        <v>2023</v>
      </c>
      <c r="E1802" t="s">
        <v>2027</v>
      </c>
      <c r="F1802" t="s">
        <v>2030</v>
      </c>
      <c r="G1802" t="s">
        <v>2033</v>
      </c>
      <c r="H1802" t="s">
        <v>2039</v>
      </c>
      <c r="I1802">
        <v>5</v>
      </c>
      <c r="J1802">
        <v>5</v>
      </c>
      <c r="K1802">
        <v>0</v>
      </c>
      <c r="L1802" t="s">
        <v>2042</v>
      </c>
      <c r="M1802">
        <v>345</v>
      </c>
      <c r="N1802">
        <v>0</v>
      </c>
      <c r="O1802">
        <v>0</v>
      </c>
      <c r="P1802" s="13">
        <f t="shared" si="196"/>
        <v>1</v>
      </c>
      <c r="Q1802" t="str">
        <f t="shared" si="197"/>
        <v>No</v>
      </c>
      <c r="R1802" t="str" cm="1">
        <f t="array" ref="R1802">_xlfn.IFS(K1802=0,"On Time",K1802&lt;=2,"Minor",K1802&lt;=5,"Major",K1802&gt;5,"Severe")</f>
        <v>On Time</v>
      </c>
      <c r="S1802">
        <f t="shared" si="198"/>
        <v>0</v>
      </c>
      <c r="T1802">
        <f t="shared" si="199"/>
        <v>0</v>
      </c>
      <c r="U1802">
        <f t="shared" si="200"/>
        <v>2024</v>
      </c>
      <c r="V1802">
        <f t="shared" si="201"/>
        <v>8</v>
      </c>
      <c r="W1802" s="11">
        <f t="shared" si="202"/>
        <v>0</v>
      </c>
    </row>
    <row r="1803" spans="1:23">
      <c r="A1803" t="s">
        <v>1816</v>
      </c>
      <c r="B1803" s="4">
        <v>45358</v>
      </c>
      <c r="C1803" t="s">
        <v>2016</v>
      </c>
      <c r="D1803" t="s">
        <v>2021</v>
      </c>
      <c r="E1803" t="s">
        <v>2029</v>
      </c>
      <c r="F1803" t="s">
        <v>2030</v>
      </c>
      <c r="G1803" t="s">
        <v>2034</v>
      </c>
      <c r="H1803" t="s">
        <v>2040</v>
      </c>
      <c r="I1803">
        <v>5</v>
      </c>
      <c r="J1803">
        <v>12</v>
      </c>
      <c r="K1803">
        <v>7</v>
      </c>
      <c r="L1803" t="s">
        <v>2041</v>
      </c>
      <c r="M1803">
        <v>57</v>
      </c>
      <c r="N1803">
        <v>13713</v>
      </c>
      <c r="O1803">
        <v>20615</v>
      </c>
      <c r="P1803" s="13">
        <f t="shared" si="196"/>
        <v>0</v>
      </c>
      <c r="Q1803" t="str">
        <f t="shared" si="197"/>
        <v>No</v>
      </c>
      <c r="R1803" t="str" cm="1">
        <f t="array" ref="R1803">_xlfn.IFS(K1803=0,"On Time",K1803&lt;=2,"Minor",K1803&lt;=5,"Major",K1803&gt;5,"Severe")</f>
        <v>Severe</v>
      </c>
      <c r="S1803">
        <f t="shared" si="198"/>
        <v>2945</v>
      </c>
      <c r="T1803">
        <f t="shared" si="199"/>
        <v>1959</v>
      </c>
      <c r="U1803">
        <f t="shared" si="200"/>
        <v>2024</v>
      </c>
      <c r="V1803">
        <f t="shared" si="201"/>
        <v>3</v>
      </c>
      <c r="W1803" s="11">
        <f t="shared" si="202"/>
        <v>1</v>
      </c>
    </row>
    <row r="1804" spans="1:23">
      <c r="A1804" t="s">
        <v>1817</v>
      </c>
      <c r="B1804" s="4">
        <v>45566</v>
      </c>
      <c r="C1804" t="s">
        <v>2018</v>
      </c>
      <c r="D1804" t="s">
        <v>2024</v>
      </c>
      <c r="E1804" t="s">
        <v>2027</v>
      </c>
      <c r="F1804" t="s">
        <v>2032</v>
      </c>
      <c r="G1804" t="s">
        <v>2037</v>
      </c>
      <c r="H1804" t="s">
        <v>2040</v>
      </c>
      <c r="I1804">
        <v>2</v>
      </c>
      <c r="J1804">
        <v>11</v>
      </c>
      <c r="K1804">
        <v>9</v>
      </c>
      <c r="L1804" t="s">
        <v>2041</v>
      </c>
      <c r="M1804">
        <v>396</v>
      </c>
      <c r="N1804">
        <v>16209</v>
      </c>
      <c r="O1804">
        <v>41310</v>
      </c>
      <c r="P1804" s="13">
        <f t="shared" si="196"/>
        <v>0</v>
      </c>
      <c r="Q1804" t="str">
        <f t="shared" si="197"/>
        <v>No</v>
      </c>
      <c r="R1804" t="str" cm="1">
        <f t="array" ref="R1804">_xlfn.IFS(K1804=0,"On Time",K1804&lt;=2,"Minor",K1804&lt;=5,"Major",K1804&gt;5,"Severe")</f>
        <v>Severe</v>
      </c>
      <c r="S1804">
        <f t="shared" si="198"/>
        <v>4590</v>
      </c>
      <c r="T1804">
        <f t="shared" si="199"/>
        <v>1801</v>
      </c>
      <c r="U1804">
        <f t="shared" si="200"/>
        <v>2024</v>
      </c>
      <c r="V1804">
        <f t="shared" si="201"/>
        <v>10</v>
      </c>
      <c r="W1804" s="11">
        <f t="shared" si="202"/>
        <v>1</v>
      </c>
    </row>
    <row r="1805" spans="1:23">
      <c r="A1805" t="s">
        <v>1818</v>
      </c>
      <c r="B1805" s="4">
        <v>45417</v>
      </c>
      <c r="C1805" t="s">
        <v>2016</v>
      </c>
      <c r="D1805" t="s">
        <v>2025</v>
      </c>
      <c r="E1805" t="s">
        <v>2029</v>
      </c>
      <c r="F1805" t="s">
        <v>2031</v>
      </c>
      <c r="G1805" t="s">
        <v>2035</v>
      </c>
      <c r="H1805" t="s">
        <v>2039</v>
      </c>
      <c r="I1805">
        <v>1</v>
      </c>
      <c r="J1805">
        <v>6</v>
      </c>
      <c r="K1805">
        <v>5</v>
      </c>
      <c r="L1805" t="s">
        <v>2041</v>
      </c>
      <c r="M1805">
        <v>192</v>
      </c>
      <c r="N1805">
        <v>8045</v>
      </c>
      <c r="O1805">
        <v>19400</v>
      </c>
      <c r="P1805" s="13">
        <f t="shared" si="196"/>
        <v>0</v>
      </c>
      <c r="Q1805" t="str">
        <f t="shared" si="197"/>
        <v>No</v>
      </c>
      <c r="R1805" t="str" cm="1">
        <f t="array" ref="R1805">_xlfn.IFS(K1805=0,"On Time",K1805&lt;=2,"Minor",K1805&lt;=5,"Major",K1805&gt;5,"Severe")</f>
        <v>Major</v>
      </c>
      <c r="S1805">
        <f t="shared" si="198"/>
        <v>3880</v>
      </c>
      <c r="T1805">
        <f t="shared" si="199"/>
        <v>1609</v>
      </c>
      <c r="U1805">
        <f t="shared" si="200"/>
        <v>2024</v>
      </c>
      <c r="V1805">
        <f t="shared" si="201"/>
        <v>5</v>
      </c>
      <c r="W1805" s="11">
        <f t="shared" si="202"/>
        <v>1</v>
      </c>
    </row>
    <row r="1806" spans="1:23">
      <c r="A1806" t="s">
        <v>1819</v>
      </c>
      <c r="B1806" s="4">
        <v>45562</v>
      </c>
      <c r="C1806" t="s">
        <v>2017</v>
      </c>
      <c r="D1806" t="s">
        <v>2022</v>
      </c>
      <c r="E1806" t="s">
        <v>2029</v>
      </c>
      <c r="F1806" t="s">
        <v>2032</v>
      </c>
      <c r="G1806" t="s">
        <v>2036</v>
      </c>
      <c r="H1806" t="s">
        <v>2039</v>
      </c>
      <c r="I1806">
        <v>1</v>
      </c>
      <c r="J1806">
        <v>3</v>
      </c>
      <c r="K1806">
        <v>2</v>
      </c>
      <c r="L1806" t="s">
        <v>2041</v>
      </c>
      <c r="M1806">
        <v>461</v>
      </c>
      <c r="N1806">
        <v>3260</v>
      </c>
      <c r="O1806">
        <v>8166</v>
      </c>
      <c r="P1806" s="13">
        <f t="shared" si="196"/>
        <v>0</v>
      </c>
      <c r="Q1806" t="str">
        <f t="shared" si="197"/>
        <v>No</v>
      </c>
      <c r="R1806" t="str" cm="1">
        <f t="array" ref="R1806">_xlfn.IFS(K1806=0,"On Time",K1806&lt;=2,"Minor",K1806&lt;=5,"Major",K1806&gt;5,"Severe")</f>
        <v>Minor</v>
      </c>
      <c r="S1806">
        <f t="shared" si="198"/>
        <v>4083</v>
      </c>
      <c r="T1806">
        <f t="shared" si="199"/>
        <v>1630</v>
      </c>
      <c r="U1806">
        <f t="shared" si="200"/>
        <v>2024</v>
      </c>
      <c r="V1806">
        <f t="shared" si="201"/>
        <v>9</v>
      </c>
      <c r="W1806" s="11">
        <f t="shared" si="202"/>
        <v>1</v>
      </c>
    </row>
    <row r="1807" spans="1:23">
      <c r="A1807" t="s">
        <v>1820</v>
      </c>
      <c r="B1807" s="4">
        <v>45568</v>
      </c>
      <c r="C1807" t="s">
        <v>2015</v>
      </c>
      <c r="D1807" t="s">
        <v>2019</v>
      </c>
      <c r="E1807" t="s">
        <v>2028</v>
      </c>
      <c r="F1807" t="s">
        <v>2030</v>
      </c>
      <c r="G1807" t="s">
        <v>2036</v>
      </c>
      <c r="H1807" t="s">
        <v>2038</v>
      </c>
      <c r="I1807">
        <v>3</v>
      </c>
      <c r="J1807">
        <v>7</v>
      </c>
      <c r="K1807">
        <v>4</v>
      </c>
      <c r="L1807" t="s">
        <v>2041</v>
      </c>
      <c r="M1807">
        <v>201</v>
      </c>
      <c r="N1807">
        <v>6452</v>
      </c>
      <c r="O1807">
        <v>17908</v>
      </c>
      <c r="P1807" s="13">
        <f t="shared" si="196"/>
        <v>0</v>
      </c>
      <c r="Q1807" t="str">
        <f t="shared" si="197"/>
        <v>No</v>
      </c>
      <c r="R1807" t="str" cm="1">
        <f t="array" ref="R1807">_xlfn.IFS(K1807=0,"On Time",K1807&lt;=2,"Minor",K1807&lt;=5,"Major",K1807&gt;5,"Severe")</f>
        <v>Major</v>
      </c>
      <c r="S1807">
        <f t="shared" si="198"/>
        <v>4477</v>
      </c>
      <c r="T1807">
        <f t="shared" si="199"/>
        <v>1613</v>
      </c>
      <c r="U1807">
        <f t="shared" si="200"/>
        <v>2024</v>
      </c>
      <c r="V1807">
        <f t="shared" si="201"/>
        <v>10</v>
      </c>
      <c r="W1807" s="11">
        <f t="shared" si="202"/>
        <v>1</v>
      </c>
    </row>
    <row r="1808" spans="1:23">
      <c r="A1808" t="s">
        <v>1821</v>
      </c>
      <c r="B1808" s="4">
        <v>45317</v>
      </c>
      <c r="C1808" t="s">
        <v>2016</v>
      </c>
      <c r="D1808" t="s">
        <v>2021</v>
      </c>
      <c r="E1808" t="s">
        <v>2027</v>
      </c>
      <c r="F1808" t="s">
        <v>2031</v>
      </c>
      <c r="G1808" t="s">
        <v>2037</v>
      </c>
      <c r="H1808" t="s">
        <v>2038</v>
      </c>
      <c r="I1808">
        <v>5</v>
      </c>
      <c r="J1808">
        <v>10</v>
      </c>
      <c r="K1808">
        <v>5</v>
      </c>
      <c r="L1808" t="s">
        <v>2041</v>
      </c>
      <c r="M1808">
        <v>215</v>
      </c>
      <c r="N1808">
        <v>4050</v>
      </c>
      <c r="O1808">
        <v>23265</v>
      </c>
      <c r="P1808" s="13">
        <f t="shared" si="196"/>
        <v>0</v>
      </c>
      <c r="Q1808" t="str">
        <f t="shared" si="197"/>
        <v>No</v>
      </c>
      <c r="R1808" t="str" cm="1">
        <f t="array" ref="R1808">_xlfn.IFS(K1808=0,"On Time",K1808&lt;=2,"Minor",K1808&lt;=5,"Major",K1808&gt;5,"Severe")</f>
        <v>Major</v>
      </c>
      <c r="S1808">
        <f t="shared" si="198"/>
        <v>4653</v>
      </c>
      <c r="T1808">
        <f t="shared" si="199"/>
        <v>810</v>
      </c>
      <c r="U1808">
        <f t="shared" si="200"/>
        <v>2024</v>
      </c>
      <c r="V1808">
        <f t="shared" si="201"/>
        <v>1</v>
      </c>
      <c r="W1808" s="11">
        <f t="shared" si="202"/>
        <v>1</v>
      </c>
    </row>
    <row r="1809" spans="1:23">
      <c r="A1809" t="s">
        <v>1822</v>
      </c>
      <c r="B1809" s="4">
        <v>45489</v>
      </c>
      <c r="C1809" t="s">
        <v>2015</v>
      </c>
      <c r="D1809" t="s">
        <v>2020</v>
      </c>
      <c r="E1809" t="s">
        <v>2028</v>
      </c>
      <c r="F1809" t="s">
        <v>2031</v>
      </c>
      <c r="G1809" t="s">
        <v>2035</v>
      </c>
      <c r="H1809" t="s">
        <v>2038</v>
      </c>
      <c r="I1809">
        <v>3</v>
      </c>
      <c r="J1809">
        <v>8</v>
      </c>
      <c r="K1809">
        <v>5</v>
      </c>
      <c r="L1809" t="s">
        <v>2041</v>
      </c>
      <c r="M1809">
        <v>448</v>
      </c>
      <c r="N1809">
        <v>8490</v>
      </c>
      <c r="O1809">
        <v>15285</v>
      </c>
      <c r="P1809" s="13">
        <f t="shared" si="196"/>
        <v>0</v>
      </c>
      <c r="Q1809" t="str">
        <f t="shared" si="197"/>
        <v>No</v>
      </c>
      <c r="R1809" t="str" cm="1">
        <f t="array" ref="R1809">_xlfn.IFS(K1809=0,"On Time",K1809&lt;=2,"Minor",K1809&lt;=5,"Major",K1809&gt;5,"Severe")</f>
        <v>Major</v>
      </c>
      <c r="S1809">
        <f t="shared" si="198"/>
        <v>3057</v>
      </c>
      <c r="T1809">
        <f t="shared" si="199"/>
        <v>1698</v>
      </c>
      <c r="U1809">
        <f t="shared" si="200"/>
        <v>2024</v>
      </c>
      <c r="V1809">
        <f t="shared" si="201"/>
        <v>7</v>
      </c>
      <c r="W1809" s="11">
        <f t="shared" si="202"/>
        <v>1</v>
      </c>
    </row>
    <row r="1810" spans="1:23">
      <c r="A1810" t="s">
        <v>1823</v>
      </c>
      <c r="B1810" s="4">
        <v>45414</v>
      </c>
      <c r="C1810" t="s">
        <v>2016</v>
      </c>
      <c r="D1810" t="s">
        <v>2021</v>
      </c>
      <c r="E1810" t="s">
        <v>2029</v>
      </c>
      <c r="F1810" t="s">
        <v>2031</v>
      </c>
      <c r="G1810" t="s">
        <v>2034</v>
      </c>
      <c r="H1810" t="s">
        <v>2039</v>
      </c>
      <c r="I1810">
        <v>1</v>
      </c>
      <c r="J1810">
        <v>5</v>
      </c>
      <c r="K1810">
        <v>4</v>
      </c>
      <c r="L1810" t="s">
        <v>2041</v>
      </c>
      <c r="M1810">
        <v>64</v>
      </c>
      <c r="N1810">
        <v>3440</v>
      </c>
      <c r="O1810">
        <v>12056</v>
      </c>
      <c r="P1810" s="13">
        <f t="shared" si="196"/>
        <v>0</v>
      </c>
      <c r="Q1810" t="str">
        <f t="shared" si="197"/>
        <v>No</v>
      </c>
      <c r="R1810" t="str" cm="1">
        <f t="array" ref="R1810">_xlfn.IFS(K1810=0,"On Time",K1810&lt;=2,"Minor",K1810&lt;=5,"Major",K1810&gt;5,"Severe")</f>
        <v>Major</v>
      </c>
      <c r="S1810">
        <f t="shared" si="198"/>
        <v>3014</v>
      </c>
      <c r="T1810">
        <f t="shared" si="199"/>
        <v>860</v>
      </c>
      <c r="U1810">
        <f t="shared" si="200"/>
        <v>2024</v>
      </c>
      <c r="V1810">
        <f t="shared" si="201"/>
        <v>5</v>
      </c>
      <c r="W1810" s="11">
        <f t="shared" si="202"/>
        <v>1</v>
      </c>
    </row>
    <row r="1811" spans="1:23">
      <c r="A1811" t="s">
        <v>1824</v>
      </c>
      <c r="B1811" s="4">
        <v>45545</v>
      </c>
      <c r="C1811" t="s">
        <v>2015</v>
      </c>
      <c r="D1811" t="s">
        <v>2019</v>
      </c>
      <c r="E1811" t="s">
        <v>2028</v>
      </c>
      <c r="F1811" t="s">
        <v>2031</v>
      </c>
      <c r="G1811" t="s">
        <v>2036</v>
      </c>
      <c r="H1811" t="s">
        <v>2038</v>
      </c>
      <c r="I1811">
        <v>2</v>
      </c>
      <c r="J1811">
        <v>4</v>
      </c>
      <c r="K1811">
        <v>2</v>
      </c>
      <c r="L1811" t="s">
        <v>2041</v>
      </c>
      <c r="M1811">
        <v>146</v>
      </c>
      <c r="N1811">
        <v>4904</v>
      </c>
      <c r="O1811">
        <v>4752</v>
      </c>
      <c r="P1811" s="13">
        <f t="shared" si="196"/>
        <v>0</v>
      </c>
      <c r="Q1811" t="str">
        <f t="shared" si="197"/>
        <v>No</v>
      </c>
      <c r="R1811" t="str" cm="1">
        <f t="array" ref="R1811">_xlfn.IFS(K1811=0,"On Time",K1811&lt;=2,"Minor",K1811&lt;=5,"Major",K1811&gt;5,"Severe")</f>
        <v>Minor</v>
      </c>
      <c r="S1811">
        <f t="shared" si="198"/>
        <v>2376</v>
      </c>
      <c r="T1811">
        <f t="shared" si="199"/>
        <v>2452</v>
      </c>
      <c r="U1811">
        <f t="shared" si="200"/>
        <v>2024</v>
      </c>
      <c r="V1811">
        <f t="shared" si="201"/>
        <v>9</v>
      </c>
      <c r="W1811" s="11">
        <f t="shared" si="202"/>
        <v>1</v>
      </c>
    </row>
    <row r="1812" spans="1:23">
      <c r="A1812" t="s">
        <v>1825</v>
      </c>
      <c r="B1812" s="4">
        <v>45457</v>
      </c>
      <c r="C1812" t="s">
        <v>2017</v>
      </c>
      <c r="D1812" t="s">
        <v>2023</v>
      </c>
      <c r="E1812" t="s">
        <v>2029</v>
      </c>
      <c r="F1812" t="s">
        <v>2032</v>
      </c>
      <c r="G1812" t="s">
        <v>2034</v>
      </c>
      <c r="H1812" t="s">
        <v>2039</v>
      </c>
      <c r="I1812">
        <v>1</v>
      </c>
      <c r="J1812">
        <v>4</v>
      </c>
      <c r="K1812">
        <v>3</v>
      </c>
      <c r="L1812" t="s">
        <v>2041</v>
      </c>
      <c r="M1812">
        <v>390</v>
      </c>
      <c r="N1812">
        <v>5331</v>
      </c>
      <c r="O1812">
        <v>5211</v>
      </c>
      <c r="P1812" s="13">
        <f t="shared" si="196"/>
        <v>0</v>
      </c>
      <c r="Q1812" t="str">
        <f t="shared" si="197"/>
        <v>No</v>
      </c>
      <c r="R1812" t="str" cm="1">
        <f t="array" ref="R1812">_xlfn.IFS(K1812=0,"On Time",K1812&lt;=2,"Minor",K1812&lt;=5,"Major",K1812&gt;5,"Severe")</f>
        <v>Major</v>
      </c>
      <c r="S1812">
        <f t="shared" si="198"/>
        <v>1737</v>
      </c>
      <c r="T1812">
        <f t="shared" si="199"/>
        <v>1777</v>
      </c>
      <c r="U1812">
        <f t="shared" si="200"/>
        <v>2024</v>
      </c>
      <c r="V1812">
        <f t="shared" si="201"/>
        <v>6</v>
      </c>
      <c r="W1812" s="11">
        <f t="shared" si="202"/>
        <v>1</v>
      </c>
    </row>
    <row r="1813" spans="1:23">
      <c r="A1813" t="s">
        <v>1826</v>
      </c>
      <c r="B1813" s="4">
        <v>45414</v>
      </c>
      <c r="C1813" t="s">
        <v>2016</v>
      </c>
      <c r="D1813" t="s">
        <v>2025</v>
      </c>
      <c r="E1813" t="s">
        <v>2027</v>
      </c>
      <c r="F1813" t="s">
        <v>2032</v>
      </c>
      <c r="G1813" t="s">
        <v>2035</v>
      </c>
      <c r="H1813" t="s">
        <v>2040</v>
      </c>
      <c r="I1813">
        <v>1</v>
      </c>
      <c r="J1813">
        <v>7</v>
      </c>
      <c r="K1813">
        <v>6</v>
      </c>
      <c r="L1813" t="s">
        <v>2041</v>
      </c>
      <c r="M1813">
        <v>252</v>
      </c>
      <c r="N1813">
        <v>11886</v>
      </c>
      <c r="O1813">
        <v>11976</v>
      </c>
      <c r="P1813" s="13">
        <f t="shared" si="196"/>
        <v>0</v>
      </c>
      <c r="Q1813" t="str">
        <f t="shared" si="197"/>
        <v>No</v>
      </c>
      <c r="R1813" t="str" cm="1">
        <f t="array" ref="R1813">_xlfn.IFS(K1813=0,"On Time",K1813&lt;=2,"Minor",K1813&lt;=5,"Major",K1813&gt;5,"Severe")</f>
        <v>Severe</v>
      </c>
      <c r="S1813">
        <f t="shared" si="198"/>
        <v>1996</v>
      </c>
      <c r="T1813">
        <f t="shared" si="199"/>
        <v>1981</v>
      </c>
      <c r="U1813">
        <f t="shared" si="200"/>
        <v>2024</v>
      </c>
      <c r="V1813">
        <f t="shared" si="201"/>
        <v>5</v>
      </c>
      <c r="W1813" s="11">
        <f t="shared" si="202"/>
        <v>1</v>
      </c>
    </row>
    <row r="1814" spans="1:23">
      <c r="A1814" t="s">
        <v>1827</v>
      </c>
      <c r="B1814" s="4">
        <v>45607</v>
      </c>
      <c r="C1814" t="s">
        <v>2016</v>
      </c>
      <c r="D1814" t="s">
        <v>2025</v>
      </c>
      <c r="E1814" t="s">
        <v>2029</v>
      </c>
      <c r="F1814" t="s">
        <v>2031</v>
      </c>
      <c r="G1814" t="s">
        <v>2034</v>
      </c>
      <c r="H1814" t="s">
        <v>2040</v>
      </c>
      <c r="I1814">
        <v>5</v>
      </c>
      <c r="J1814">
        <v>7</v>
      </c>
      <c r="K1814">
        <v>2</v>
      </c>
      <c r="L1814" t="s">
        <v>2041</v>
      </c>
      <c r="M1814">
        <v>167</v>
      </c>
      <c r="N1814">
        <v>4740</v>
      </c>
      <c r="O1814">
        <v>7042</v>
      </c>
      <c r="P1814" s="13">
        <f t="shared" si="196"/>
        <v>0</v>
      </c>
      <c r="Q1814" t="str">
        <f t="shared" si="197"/>
        <v>No</v>
      </c>
      <c r="R1814" t="str" cm="1">
        <f t="array" ref="R1814">_xlfn.IFS(K1814=0,"On Time",K1814&lt;=2,"Minor",K1814&lt;=5,"Major",K1814&gt;5,"Severe")</f>
        <v>Minor</v>
      </c>
      <c r="S1814">
        <f t="shared" si="198"/>
        <v>3521</v>
      </c>
      <c r="T1814">
        <f t="shared" si="199"/>
        <v>2370</v>
      </c>
      <c r="U1814">
        <f t="shared" si="200"/>
        <v>2024</v>
      </c>
      <c r="V1814">
        <f t="shared" si="201"/>
        <v>11</v>
      </c>
      <c r="W1814" s="11">
        <f t="shared" si="202"/>
        <v>1</v>
      </c>
    </row>
    <row r="1815" spans="1:23">
      <c r="A1815" t="s">
        <v>1828</v>
      </c>
      <c r="B1815" s="4">
        <v>45317</v>
      </c>
      <c r="C1815" t="s">
        <v>2016</v>
      </c>
      <c r="D1815" t="s">
        <v>2021</v>
      </c>
      <c r="E1815" t="s">
        <v>2029</v>
      </c>
      <c r="F1815" t="s">
        <v>2031</v>
      </c>
      <c r="G1815" t="s">
        <v>2036</v>
      </c>
      <c r="H1815" t="s">
        <v>2038</v>
      </c>
      <c r="I1815">
        <v>3</v>
      </c>
      <c r="J1815">
        <v>7</v>
      </c>
      <c r="K1815">
        <v>4</v>
      </c>
      <c r="L1815" t="s">
        <v>2041</v>
      </c>
      <c r="M1815">
        <v>158</v>
      </c>
      <c r="N1815">
        <v>4612</v>
      </c>
      <c r="O1815">
        <v>6308</v>
      </c>
      <c r="P1815" s="13">
        <f t="shared" si="196"/>
        <v>0</v>
      </c>
      <c r="Q1815" t="str">
        <f t="shared" si="197"/>
        <v>No</v>
      </c>
      <c r="R1815" t="str" cm="1">
        <f t="array" ref="R1815">_xlfn.IFS(K1815=0,"On Time",K1815&lt;=2,"Minor",K1815&lt;=5,"Major",K1815&gt;5,"Severe")</f>
        <v>Major</v>
      </c>
      <c r="S1815">
        <f t="shared" si="198"/>
        <v>1577</v>
      </c>
      <c r="T1815">
        <f t="shared" si="199"/>
        <v>1153</v>
      </c>
      <c r="U1815">
        <f t="shared" si="200"/>
        <v>2024</v>
      </c>
      <c r="V1815">
        <f t="shared" si="201"/>
        <v>1</v>
      </c>
      <c r="W1815" s="11">
        <f t="shared" si="202"/>
        <v>1</v>
      </c>
    </row>
    <row r="1816" spans="1:23">
      <c r="A1816" t="s">
        <v>1829</v>
      </c>
      <c r="B1816" s="4">
        <v>45593</v>
      </c>
      <c r="C1816" t="s">
        <v>2017</v>
      </c>
      <c r="D1816" t="s">
        <v>2023</v>
      </c>
      <c r="E1816" t="s">
        <v>2028</v>
      </c>
      <c r="F1816" t="s">
        <v>2031</v>
      </c>
      <c r="G1816" t="s">
        <v>2035</v>
      </c>
      <c r="H1816" t="s">
        <v>2039</v>
      </c>
      <c r="I1816">
        <v>3</v>
      </c>
      <c r="J1816">
        <v>3</v>
      </c>
      <c r="K1816">
        <v>0</v>
      </c>
      <c r="L1816" t="s">
        <v>2042</v>
      </c>
      <c r="M1816">
        <v>135</v>
      </c>
      <c r="N1816">
        <v>0</v>
      </c>
      <c r="O1816">
        <v>0</v>
      </c>
      <c r="P1816" s="13">
        <f t="shared" si="196"/>
        <v>1</v>
      </c>
      <c r="Q1816" t="str">
        <f t="shared" si="197"/>
        <v>No</v>
      </c>
      <c r="R1816" t="str" cm="1">
        <f t="array" ref="R1816">_xlfn.IFS(K1816=0,"On Time",K1816&lt;=2,"Minor",K1816&lt;=5,"Major",K1816&gt;5,"Severe")</f>
        <v>On Time</v>
      </c>
      <c r="S1816">
        <f t="shared" si="198"/>
        <v>0</v>
      </c>
      <c r="T1816">
        <f t="shared" si="199"/>
        <v>0</v>
      </c>
      <c r="U1816">
        <f t="shared" si="200"/>
        <v>2024</v>
      </c>
      <c r="V1816">
        <f t="shared" si="201"/>
        <v>10</v>
      </c>
      <c r="W1816" s="11">
        <f t="shared" si="202"/>
        <v>0</v>
      </c>
    </row>
    <row r="1817" spans="1:23">
      <c r="A1817" t="s">
        <v>1830</v>
      </c>
      <c r="B1817" s="4">
        <v>45515</v>
      </c>
      <c r="C1817" t="s">
        <v>2018</v>
      </c>
      <c r="D1817" t="s">
        <v>2024</v>
      </c>
      <c r="E1817" t="s">
        <v>2027</v>
      </c>
      <c r="F1817" t="s">
        <v>2031</v>
      </c>
      <c r="G1817" t="s">
        <v>2035</v>
      </c>
      <c r="H1817" t="s">
        <v>2039</v>
      </c>
      <c r="I1817">
        <v>2</v>
      </c>
      <c r="J1817">
        <v>7</v>
      </c>
      <c r="K1817">
        <v>5</v>
      </c>
      <c r="L1817" t="s">
        <v>2041</v>
      </c>
      <c r="M1817">
        <v>165</v>
      </c>
      <c r="N1817">
        <v>10085</v>
      </c>
      <c r="O1817">
        <v>24660</v>
      </c>
      <c r="P1817" s="13">
        <f t="shared" si="196"/>
        <v>0</v>
      </c>
      <c r="Q1817" t="str">
        <f t="shared" si="197"/>
        <v>No</v>
      </c>
      <c r="R1817" t="str" cm="1">
        <f t="array" ref="R1817">_xlfn.IFS(K1817=0,"On Time",K1817&lt;=2,"Minor",K1817&lt;=5,"Major",K1817&gt;5,"Severe")</f>
        <v>Major</v>
      </c>
      <c r="S1817">
        <f t="shared" si="198"/>
        <v>4932</v>
      </c>
      <c r="T1817">
        <f t="shared" si="199"/>
        <v>2017</v>
      </c>
      <c r="U1817">
        <f t="shared" si="200"/>
        <v>2024</v>
      </c>
      <c r="V1817">
        <f t="shared" si="201"/>
        <v>8</v>
      </c>
      <c r="W1817" s="11">
        <f t="shared" si="202"/>
        <v>1</v>
      </c>
    </row>
    <row r="1818" spans="1:23">
      <c r="A1818" t="s">
        <v>1831</v>
      </c>
      <c r="B1818" s="4">
        <v>45382</v>
      </c>
      <c r="C1818" t="s">
        <v>2018</v>
      </c>
      <c r="D1818" t="s">
        <v>2024</v>
      </c>
      <c r="E1818" t="s">
        <v>2027</v>
      </c>
      <c r="F1818" t="s">
        <v>2031</v>
      </c>
      <c r="G1818" t="s">
        <v>2037</v>
      </c>
      <c r="H1818" t="s">
        <v>2038</v>
      </c>
      <c r="I1818">
        <v>3</v>
      </c>
      <c r="J1818">
        <v>6</v>
      </c>
      <c r="K1818">
        <v>3</v>
      </c>
      <c r="L1818" t="s">
        <v>2041</v>
      </c>
      <c r="M1818">
        <v>397</v>
      </c>
      <c r="N1818">
        <v>4905</v>
      </c>
      <c r="O1818">
        <v>8001</v>
      </c>
      <c r="P1818" s="13">
        <f t="shared" si="196"/>
        <v>0</v>
      </c>
      <c r="Q1818" t="str">
        <f t="shared" si="197"/>
        <v>No</v>
      </c>
      <c r="R1818" t="str" cm="1">
        <f t="array" ref="R1818">_xlfn.IFS(K1818=0,"On Time",K1818&lt;=2,"Minor",K1818&lt;=5,"Major",K1818&gt;5,"Severe")</f>
        <v>Major</v>
      </c>
      <c r="S1818">
        <f t="shared" si="198"/>
        <v>2667</v>
      </c>
      <c r="T1818">
        <f t="shared" si="199"/>
        <v>1635</v>
      </c>
      <c r="U1818">
        <f t="shared" si="200"/>
        <v>2024</v>
      </c>
      <c r="V1818">
        <f t="shared" si="201"/>
        <v>3</v>
      </c>
      <c r="W1818" s="11">
        <f t="shared" si="202"/>
        <v>1</v>
      </c>
    </row>
    <row r="1819" spans="1:23">
      <c r="A1819" t="s">
        <v>1832</v>
      </c>
      <c r="B1819" s="4">
        <v>45357</v>
      </c>
      <c r="C1819" t="s">
        <v>2016</v>
      </c>
      <c r="D1819" t="s">
        <v>2021</v>
      </c>
      <c r="E1819" t="s">
        <v>2028</v>
      </c>
      <c r="F1819" t="s">
        <v>2031</v>
      </c>
      <c r="G1819" t="s">
        <v>2033</v>
      </c>
      <c r="H1819" t="s">
        <v>2039</v>
      </c>
      <c r="I1819">
        <v>2</v>
      </c>
      <c r="J1819">
        <v>3</v>
      </c>
      <c r="K1819">
        <v>1</v>
      </c>
      <c r="L1819" t="s">
        <v>2041</v>
      </c>
      <c r="M1819">
        <v>368</v>
      </c>
      <c r="N1819">
        <v>1177</v>
      </c>
      <c r="O1819">
        <v>2248</v>
      </c>
      <c r="P1819" s="13">
        <f t="shared" si="196"/>
        <v>0</v>
      </c>
      <c r="Q1819" t="str">
        <f t="shared" si="197"/>
        <v>No</v>
      </c>
      <c r="R1819" t="str" cm="1">
        <f t="array" ref="R1819">_xlfn.IFS(K1819=0,"On Time",K1819&lt;=2,"Minor",K1819&lt;=5,"Major",K1819&gt;5,"Severe")</f>
        <v>Minor</v>
      </c>
      <c r="S1819">
        <f t="shared" si="198"/>
        <v>2248</v>
      </c>
      <c r="T1819">
        <f t="shared" si="199"/>
        <v>1177</v>
      </c>
      <c r="U1819">
        <f t="shared" si="200"/>
        <v>2024</v>
      </c>
      <c r="V1819">
        <f t="shared" si="201"/>
        <v>3</v>
      </c>
      <c r="W1819" s="11">
        <f t="shared" si="202"/>
        <v>1</v>
      </c>
    </row>
    <row r="1820" spans="1:23">
      <c r="A1820" t="s">
        <v>1833</v>
      </c>
      <c r="B1820" s="4">
        <v>45451</v>
      </c>
      <c r="C1820" t="s">
        <v>2015</v>
      </c>
      <c r="D1820" t="s">
        <v>2019</v>
      </c>
      <c r="E1820" t="s">
        <v>2027</v>
      </c>
      <c r="F1820" t="s">
        <v>2031</v>
      </c>
      <c r="G1820" t="s">
        <v>2033</v>
      </c>
      <c r="H1820" t="s">
        <v>2039</v>
      </c>
      <c r="I1820">
        <v>1</v>
      </c>
      <c r="J1820">
        <v>5</v>
      </c>
      <c r="K1820">
        <v>4</v>
      </c>
      <c r="L1820" t="s">
        <v>2041</v>
      </c>
      <c r="M1820">
        <v>489</v>
      </c>
      <c r="N1820">
        <v>5784</v>
      </c>
      <c r="O1820">
        <v>17716</v>
      </c>
      <c r="P1820" s="13">
        <f t="shared" si="196"/>
        <v>0</v>
      </c>
      <c r="Q1820" t="str">
        <f t="shared" si="197"/>
        <v>No</v>
      </c>
      <c r="R1820" t="str" cm="1">
        <f t="array" ref="R1820">_xlfn.IFS(K1820=0,"On Time",K1820&lt;=2,"Minor",K1820&lt;=5,"Major",K1820&gt;5,"Severe")</f>
        <v>Major</v>
      </c>
      <c r="S1820">
        <f t="shared" si="198"/>
        <v>4429</v>
      </c>
      <c r="T1820">
        <f t="shared" si="199"/>
        <v>1446</v>
      </c>
      <c r="U1820">
        <f t="shared" si="200"/>
        <v>2024</v>
      </c>
      <c r="V1820">
        <f t="shared" si="201"/>
        <v>6</v>
      </c>
      <c r="W1820" s="11">
        <f t="shared" si="202"/>
        <v>1</v>
      </c>
    </row>
    <row r="1821" spans="1:23">
      <c r="A1821" t="s">
        <v>1834</v>
      </c>
      <c r="B1821" s="4">
        <v>45634</v>
      </c>
      <c r="C1821" t="s">
        <v>2015</v>
      </c>
      <c r="D1821" t="s">
        <v>2019</v>
      </c>
      <c r="E1821" t="s">
        <v>2028</v>
      </c>
      <c r="F1821" t="s">
        <v>2030</v>
      </c>
      <c r="G1821" t="s">
        <v>2033</v>
      </c>
      <c r="H1821" t="s">
        <v>2038</v>
      </c>
      <c r="I1821">
        <v>1</v>
      </c>
      <c r="J1821">
        <v>3</v>
      </c>
      <c r="K1821">
        <v>2</v>
      </c>
      <c r="L1821" t="s">
        <v>2041</v>
      </c>
      <c r="M1821">
        <v>185</v>
      </c>
      <c r="N1821">
        <v>4030</v>
      </c>
      <c r="O1821">
        <v>3540</v>
      </c>
      <c r="P1821" s="13">
        <f t="shared" si="196"/>
        <v>0</v>
      </c>
      <c r="Q1821" t="str">
        <f t="shared" si="197"/>
        <v>No</v>
      </c>
      <c r="R1821" t="str" cm="1">
        <f t="array" ref="R1821">_xlfn.IFS(K1821=0,"On Time",K1821&lt;=2,"Minor",K1821&lt;=5,"Major",K1821&gt;5,"Severe")</f>
        <v>Minor</v>
      </c>
      <c r="S1821">
        <f t="shared" si="198"/>
        <v>1770</v>
      </c>
      <c r="T1821">
        <f t="shared" si="199"/>
        <v>2015</v>
      </c>
      <c r="U1821">
        <f t="shared" si="200"/>
        <v>2024</v>
      </c>
      <c r="V1821">
        <f t="shared" si="201"/>
        <v>12</v>
      </c>
      <c r="W1821" s="11">
        <f t="shared" si="202"/>
        <v>1</v>
      </c>
    </row>
    <row r="1822" spans="1:23">
      <c r="A1822" t="s">
        <v>1835</v>
      </c>
      <c r="B1822" s="4">
        <v>45505</v>
      </c>
      <c r="C1822" t="s">
        <v>2015</v>
      </c>
      <c r="D1822" t="s">
        <v>2019</v>
      </c>
      <c r="E1822" t="s">
        <v>2029</v>
      </c>
      <c r="F1822" t="s">
        <v>2032</v>
      </c>
      <c r="G1822" t="s">
        <v>2033</v>
      </c>
      <c r="H1822" t="s">
        <v>2040</v>
      </c>
      <c r="I1822">
        <v>2</v>
      </c>
      <c r="J1822">
        <v>8</v>
      </c>
      <c r="K1822">
        <v>6</v>
      </c>
      <c r="L1822" t="s">
        <v>2041</v>
      </c>
      <c r="M1822">
        <v>92</v>
      </c>
      <c r="N1822">
        <v>10698</v>
      </c>
      <c r="O1822">
        <v>13182</v>
      </c>
      <c r="P1822" s="13">
        <f t="shared" si="196"/>
        <v>0</v>
      </c>
      <c r="Q1822" t="str">
        <f t="shared" si="197"/>
        <v>No</v>
      </c>
      <c r="R1822" t="str" cm="1">
        <f t="array" ref="R1822">_xlfn.IFS(K1822=0,"On Time",K1822&lt;=2,"Minor",K1822&lt;=5,"Major",K1822&gt;5,"Severe")</f>
        <v>Severe</v>
      </c>
      <c r="S1822">
        <f t="shared" si="198"/>
        <v>2197</v>
      </c>
      <c r="T1822">
        <f t="shared" si="199"/>
        <v>1783</v>
      </c>
      <c r="U1822">
        <f t="shared" si="200"/>
        <v>2024</v>
      </c>
      <c r="V1822">
        <f t="shared" si="201"/>
        <v>8</v>
      </c>
      <c r="W1822" s="11">
        <f t="shared" si="202"/>
        <v>1</v>
      </c>
    </row>
    <row r="1823" spans="1:23">
      <c r="A1823" t="s">
        <v>1836</v>
      </c>
      <c r="B1823" s="4">
        <v>45427</v>
      </c>
      <c r="C1823" t="s">
        <v>2015</v>
      </c>
      <c r="D1823" t="s">
        <v>2020</v>
      </c>
      <c r="E1823" t="s">
        <v>2029</v>
      </c>
      <c r="F1823" t="s">
        <v>2031</v>
      </c>
      <c r="G1823" t="s">
        <v>2035</v>
      </c>
      <c r="H1823" t="s">
        <v>2040</v>
      </c>
      <c r="I1823">
        <v>1</v>
      </c>
      <c r="J1823">
        <v>7</v>
      </c>
      <c r="K1823">
        <v>6</v>
      </c>
      <c r="L1823" t="s">
        <v>2041</v>
      </c>
      <c r="M1823">
        <v>146</v>
      </c>
      <c r="N1823">
        <v>12990</v>
      </c>
      <c r="O1823">
        <v>25452</v>
      </c>
      <c r="P1823" s="13">
        <f t="shared" si="196"/>
        <v>0</v>
      </c>
      <c r="Q1823" t="str">
        <f t="shared" si="197"/>
        <v>No</v>
      </c>
      <c r="R1823" t="str" cm="1">
        <f t="array" ref="R1823">_xlfn.IFS(K1823=0,"On Time",K1823&lt;=2,"Minor",K1823&lt;=5,"Major",K1823&gt;5,"Severe")</f>
        <v>Severe</v>
      </c>
      <c r="S1823">
        <f t="shared" si="198"/>
        <v>4242</v>
      </c>
      <c r="T1823">
        <f t="shared" si="199"/>
        <v>2165</v>
      </c>
      <c r="U1823">
        <f t="shared" si="200"/>
        <v>2024</v>
      </c>
      <c r="V1823">
        <f t="shared" si="201"/>
        <v>5</v>
      </c>
      <c r="W1823" s="11">
        <f t="shared" si="202"/>
        <v>1</v>
      </c>
    </row>
    <row r="1824" spans="1:23">
      <c r="A1824" t="s">
        <v>1837</v>
      </c>
      <c r="B1824" s="4">
        <v>45591</v>
      </c>
      <c r="C1824" t="s">
        <v>2017</v>
      </c>
      <c r="D1824" t="s">
        <v>2022</v>
      </c>
      <c r="E1824" t="s">
        <v>2029</v>
      </c>
      <c r="F1824" t="s">
        <v>2031</v>
      </c>
      <c r="G1824" t="s">
        <v>2037</v>
      </c>
      <c r="H1824" t="s">
        <v>2038</v>
      </c>
      <c r="I1824">
        <v>5</v>
      </c>
      <c r="J1824">
        <v>10</v>
      </c>
      <c r="K1824">
        <v>5</v>
      </c>
      <c r="L1824" t="s">
        <v>2041</v>
      </c>
      <c r="M1824">
        <v>411</v>
      </c>
      <c r="N1824">
        <v>5100</v>
      </c>
      <c r="O1824">
        <v>17030</v>
      </c>
      <c r="P1824" s="13">
        <f t="shared" si="196"/>
        <v>0</v>
      </c>
      <c r="Q1824" t="str">
        <f t="shared" si="197"/>
        <v>No</v>
      </c>
      <c r="R1824" t="str" cm="1">
        <f t="array" ref="R1824">_xlfn.IFS(K1824=0,"On Time",K1824&lt;=2,"Minor",K1824&lt;=5,"Major",K1824&gt;5,"Severe")</f>
        <v>Major</v>
      </c>
      <c r="S1824">
        <f t="shared" si="198"/>
        <v>3406</v>
      </c>
      <c r="T1824">
        <f t="shared" si="199"/>
        <v>1020</v>
      </c>
      <c r="U1824">
        <f t="shared" si="200"/>
        <v>2024</v>
      </c>
      <c r="V1824">
        <f t="shared" si="201"/>
        <v>10</v>
      </c>
      <c r="W1824" s="11">
        <f t="shared" si="202"/>
        <v>1</v>
      </c>
    </row>
    <row r="1825" spans="1:23">
      <c r="A1825" t="s">
        <v>1838</v>
      </c>
      <c r="B1825" s="4">
        <v>45567</v>
      </c>
      <c r="C1825" t="s">
        <v>2018</v>
      </c>
      <c r="D1825" t="s">
        <v>2026</v>
      </c>
      <c r="E1825" t="s">
        <v>2029</v>
      </c>
      <c r="F1825" t="s">
        <v>2031</v>
      </c>
      <c r="G1825" t="s">
        <v>2033</v>
      </c>
      <c r="H1825" t="s">
        <v>2039</v>
      </c>
      <c r="I1825">
        <v>1</v>
      </c>
      <c r="J1825">
        <v>4</v>
      </c>
      <c r="K1825">
        <v>3</v>
      </c>
      <c r="L1825" t="s">
        <v>2041</v>
      </c>
      <c r="M1825">
        <v>143</v>
      </c>
      <c r="N1825">
        <v>5277</v>
      </c>
      <c r="O1825">
        <v>12459</v>
      </c>
      <c r="P1825" s="13">
        <f t="shared" si="196"/>
        <v>0</v>
      </c>
      <c r="Q1825" t="str">
        <f t="shared" si="197"/>
        <v>No</v>
      </c>
      <c r="R1825" t="str" cm="1">
        <f t="array" ref="R1825">_xlfn.IFS(K1825=0,"On Time",K1825&lt;=2,"Minor",K1825&lt;=5,"Major",K1825&gt;5,"Severe")</f>
        <v>Major</v>
      </c>
      <c r="S1825">
        <f t="shared" si="198"/>
        <v>4153</v>
      </c>
      <c r="T1825">
        <f t="shared" si="199"/>
        <v>1759</v>
      </c>
      <c r="U1825">
        <f t="shared" si="200"/>
        <v>2024</v>
      </c>
      <c r="V1825">
        <f t="shared" si="201"/>
        <v>10</v>
      </c>
      <c r="W1825" s="11">
        <f t="shared" si="202"/>
        <v>1</v>
      </c>
    </row>
    <row r="1826" spans="1:23">
      <c r="A1826" t="s">
        <v>1839</v>
      </c>
      <c r="B1826" s="4">
        <v>45655</v>
      </c>
      <c r="C1826" t="s">
        <v>2016</v>
      </c>
      <c r="D1826" t="s">
        <v>2021</v>
      </c>
      <c r="E1826" t="s">
        <v>2028</v>
      </c>
      <c r="F1826" t="s">
        <v>2031</v>
      </c>
      <c r="G1826" t="s">
        <v>2037</v>
      </c>
      <c r="H1826" t="s">
        <v>2038</v>
      </c>
      <c r="I1826">
        <v>1</v>
      </c>
      <c r="J1826">
        <v>3</v>
      </c>
      <c r="K1826">
        <v>2</v>
      </c>
      <c r="L1826" t="s">
        <v>2041</v>
      </c>
      <c r="M1826">
        <v>67</v>
      </c>
      <c r="N1826">
        <v>2040</v>
      </c>
      <c r="O1826">
        <v>3882</v>
      </c>
      <c r="P1826" s="13">
        <f t="shared" si="196"/>
        <v>0</v>
      </c>
      <c r="Q1826" t="str">
        <f t="shared" si="197"/>
        <v>No</v>
      </c>
      <c r="R1826" t="str" cm="1">
        <f t="array" ref="R1826">_xlfn.IFS(K1826=0,"On Time",K1826&lt;=2,"Minor",K1826&lt;=5,"Major",K1826&gt;5,"Severe")</f>
        <v>Minor</v>
      </c>
      <c r="S1826">
        <f t="shared" si="198"/>
        <v>1941</v>
      </c>
      <c r="T1826">
        <f t="shared" si="199"/>
        <v>1020</v>
      </c>
      <c r="U1826">
        <f t="shared" si="200"/>
        <v>2024</v>
      </c>
      <c r="V1826">
        <f t="shared" si="201"/>
        <v>12</v>
      </c>
      <c r="W1826" s="11">
        <f t="shared" si="202"/>
        <v>1</v>
      </c>
    </row>
    <row r="1827" spans="1:23">
      <c r="A1827" t="s">
        <v>1840</v>
      </c>
      <c r="B1827" s="4">
        <v>45364</v>
      </c>
      <c r="C1827" t="s">
        <v>2018</v>
      </c>
      <c r="D1827" t="s">
        <v>2026</v>
      </c>
      <c r="E1827" t="s">
        <v>2028</v>
      </c>
      <c r="F1827" t="s">
        <v>2031</v>
      </c>
      <c r="G1827" t="s">
        <v>2034</v>
      </c>
      <c r="H1827" t="s">
        <v>2040</v>
      </c>
      <c r="I1827">
        <v>1</v>
      </c>
      <c r="J1827">
        <v>5</v>
      </c>
      <c r="K1827">
        <v>4</v>
      </c>
      <c r="L1827" t="s">
        <v>2041</v>
      </c>
      <c r="M1827">
        <v>140</v>
      </c>
      <c r="N1827">
        <v>5440</v>
      </c>
      <c r="O1827">
        <v>17984</v>
      </c>
      <c r="P1827" s="13">
        <f t="shared" si="196"/>
        <v>0</v>
      </c>
      <c r="Q1827" t="str">
        <f t="shared" si="197"/>
        <v>No</v>
      </c>
      <c r="R1827" t="str" cm="1">
        <f t="array" ref="R1827">_xlfn.IFS(K1827=0,"On Time",K1827&lt;=2,"Minor",K1827&lt;=5,"Major",K1827&gt;5,"Severe")</f>
        <v>Major</v>
      </c>
      <c r="S1827">
        <f t="shared" si="198"/>
        <v>4496</v>
      </c>
      <c r="T1827">
        <f t="shared" si="199"/>
        <v>1360</v>
      </c>
      <c r="U1827">
        <f t="shared" si="200"/>
        <v>2024</v>
      </c>
      <c r="V1827">
        <f t="shared" si="201"/>
        <v>3</v>
      </c>
      <c r="W1827" s="11">
        <f t="shared" si="202"/>
        <v>1</v>
      </c>
    </row>
    <row r="1828" spans="1:23">
      <c r="A1828" t="s">
        <v>1841</v>
      </c>
      <c r="B1828" s="4">
        <v>45495</v>
      </c>
      <c r="C1828" t="s">
        <v>2018</v>
      </c>
      <c r="D1828" t="s">
        <v>2026</v>
      </c>
      <c r="E1828" t="s">
        <v>2027</v>
      </c>
      <c r="F1828" t="s">
        <v>2032</v>
      </c>
      <c r="G1828" t="s">
        <v>2033</v>
      </c>
      <c r="H1828" t="s">
        <v>2039</v>
      </c>
      <c r="I1828">
        <v>1</v>
      </c>
      <c r="J1828">
        <v>7</v>
      </c>
      <c r="K1828">
        <v>6</v>
      </c>
      <c r="L1828" t="s">
        <v>2041</v>
      </c>
      <c r="M1828">
        <v>254</v>
      </c>
      <c r="N1828">
        <v>10590</v>
      </c>
      <c r="O1828">
        <v>25200</v>
      </c>
      <c r="P1828" s="13">
        <f t="shared" si="196"/>
        <v>0</v>
      </c>
      <c r="Q1828" t="str">
        <f t="shared" si="197"/>
        <v>No</v>
      </c>
      <c r="R1828" t="str" cm="1">
        <f t="array" ref="R1828">_xlfn.IFS(K1828=0,"On Time",K1828&lt;=2,"Minor",K1828&lt;=5,"Major",K1828&gt;5,"Severe")</f>
        <v>Severe</v>
      </c>
      <c r="S1828">
        <f t="shared" si="198"/>
        <v>4200</v>
      </c>
      <c r="T1828">
        <f t="shared" si="199"/>
        <v>1765</v>
      </c>
      <c r="U1828">
        <f t="shared" si="200"/>
        <v>2024</v>
      </c>
      <c r="V1828">
        <f t="shared" si="201"/>
        <v>7</v>
      </c>
      <c r="W1828" s="11">
        <f t="shared" si="202"/>
        <v>1</v>
      </c>
    </row>
    <row r="1829" spans="1:23">
      <c r="A1829" t="s">
        <v>1842</v>
      </c>
      <c r="B1829" s="4">
        <v>45545</v>
      </c>
      <c r="C1829" t="s">
        <v>2017</v>
      </c>
      <c r="D1829" t="s">
        <v>2022</v>
      </c>
      <c r="E1829" t="s">
        <v>2028</v>
      </c>
      <c r="F1829" t="s">
        <v>2031</v>
      </c>
      <c r="G1829" t="s">
        <v>2036</v>
      </c>
      <c r="H1829" t="s">
        <v>2040</v>
      </c>
      <c r="I1829">
        <v>2</v>
      </c>
      <c r="J1829">
        <v>5</v>
      </c>
      <c r="K1829">
        <v>3</v>
      </c>
      <c r="L1829" t="s">
        <v>2041</v>
      </c>
      <c r="M1829">
        <v>323</v>
      </c>
      <c r="N1829">
        <v>4386</v>
      </c>
      <c r="O1829">
        <v>12825</v>
      </c>
      <c r="P1829" s="13">
        <f t="shared" si="196"/>
        <v>0</v>
      </c>
      <c r="Q1829" t="str">
        <f t="shared" si="197"/>
        <v>No</v>
      </c>
      <c r="R1829" t="str" cm="1">
        <f t="array" ref="R1829">_xlfn.IFS(K1829=0,"On Time",K1829&lt;=2,"Minor",K1829&lt;=5,"Major",K1829&gt;5,"Severe")</f>
        <v>Major</v>
      </c>
      <c r="S1829">
        <f t="shared" si="198"/>
        <v>4275</v>
      </c>
      <c r="T1829">
        <f t="shared" si="199"/>
        <v>1462</v>
      </c>
      <c r="U1829">
        <f t="shared" si="200"/>
        <v>2024</v>
      </c>
      <c r="V1829">
        <f t="shared" si="201"/>
        <v>9</v>
      </c>
      <c r="W1829" s="11">
        <f t="shared" si="202"/>
        <v>1</v>
      </c>
    </row>
    <row r="1830" spans="1:23">
      <c r="A1830" t="s">
        <v>1843</v>
      </c>
      <c r="B1830" s="4">
        <v>45301</v>
      </c>
      <c r="C1830" t="s">
        <v>2016</v>
      </c>
      <c r="D1830" t="s">
        <v>2021</v>
      </c>
      <c r="E1830" t="s">
        <v>2029</v>
      </c>
      <c r="F1830" t="s">
        <v>2030</v>
      </c>
      <c r="G1830" t="s">
        <v>2037</v>
      </c>
      <c r="H1830" t="s">
        <v>2038</v>
      </c>
      <c r="I1830">
        <v>2</v>
      </c>
      <c r="J1830">
        <v>2</v>
      </c>
      <c r="K1830">
        <v>0</v>
      </c>
      <c r="L1830" t="s">
        <v>2042</v>
      </c>
      <c r="M1830">
        <v>453</v>
      </c>
      <c r="N1830">
        <v>0</v>
      </c>
      <c r="O1830">
        <v>0</v>
      </c>
      <c r="P1830" s="13">
        <f t="shared" si="196"/>
        <v>1</v>
      </c>
      <c r="Q1830" t="str">
        <f t="shared" si="197"/>
        <v>No</v>
      </c>
      <c r="R1830" t="str" cm="1">
        <f t="array" ref="R1830">_xlfn.IFS(K1830=0,"On Time",K1830&lt;=2,"Minor",K1830&lt;=5,"Major",K1830&gt;5,"Severe")</f>
        <v>On Time</v>
      </c>
      <c r="S1830">
        <f t="shared" si="198"/>
        <v>0</v>
      </c>
      <c r="T1830">
        <f t="shared" si="199"/>
        <v>0</v>
      </c>
      <c r="U1830">
        <f t="shared" si="200"/>
        <v>2024</v>
      </c>
      <c r="V1830">
        <f t="shared" si="201"/>
        <v>1</v>
      </c>
      <c r="W1830" s="11">
        <f t="shared" si="202"/>
        <v>0</v>
      </c>
    </row>
    <row r="1831" spans="1:23">
      <c r="A1831" t="s">
        <v>1844</v>
      </c>
      <c r="B1831" s="4">
        <v>45532</v>
      </c>
      <c r="C1831" t="s">
        <v>2015</v>
      </c>
      <c r="D1831" t="s">
        <v>2020</v>
      </c>
      <c r="E1831" t="s">
        <v>2029</v>
      </c>
      <c r="F1831" t="s">
        <v>2032</v>
      </c>
      <c r="G1831" t="s">
        <v>2037</v>
      </c>
      <c r="H1831" t="s">
        <v>2039</v>
      </c>
      <c r="I1831">
        <v>1</v>
      </c>
      <c r="J1831">
        <v>3</v>
      </c>
      <c r="K1831">
        <v>2</v>
      </c>
      <c r="L1831" t="s">
        <v>2041</v>
      </c>
      <c r="M1831">
        <v>494</v>
      </c>
      <c r="N1831">
        <v>3126</v>
      </c>
      <c r="O1831">
        <v>4942</v>
      </c>
      <c r="P1831" s="13">
        <f t="shared" si="196"/>
        <v>0</v>
      </c>
      <c r="Q1831" t="str">
        <f t="shared" si="197"/>
        <v>No</v>
      </c>
      <c r="R1831" t="str" cm="1">
        <f t="array" ref="R1831">_xlfn.IFS(K1831=0,"On Time",K1831&lt;=2,"Minor",K1831&lt;=5,"Major",K1831&gt;5,"Severe")</f>
        <v>Minor</v>
      </c>
      <c r="S1831">
        <f t="shared" si="198"/>
        <v>2471</v>
      </c>
      <c r="T1831">
        <f t="shared" si="199"/>
        <v>1563</v>
      </c>
      <c r="U1831">
        <f t="shared" si="200"/>
        <v>2024</v>
      </c>
      <c r="V1831">
        <f t="shared" si="201"/>
        <v>8</v>
      </c>
      <c r="W1831" s="11">
        <f t="shared" si="202"/>
        <v>1</v>
      </c>
    </row>
    <row r="1832" spans="1:23">
      <c r="A1832" t="s">
        <v>1845</v>
      </c>
      <c r="B1832" s="4">
        <v>45322</v>
      </c>
      <c r="C1832" t="s">
        <v>2017</v>
      </c>
      <c r="D1832" t="s">
        <v>2023</v>
      </c>
      <c r="E1832" t="s">
        <v>2029</v>
      </c>
      <c r="F1832" t="s">
        <v>2031</v>
      </c>
      <c r="G1832" t="s">
        <v>2036</v>
      </c>
      <c r="H1832" t="s">
        <v>2038</v>
      </c>
      <c r="I1832">
        <v>3</v>
      </c>
      <c r="J1832">
        <v>4</v>
      </c>
      <c r="K1832">
        <v>1</v>
      </c>
      <c r="L1832" t="s">
        <v>2041</v>
      </c>
      <c r="M1832">
        <v>210</v>
      </c>
      <c r="N1832">
        <v>2447</v>
      </c>
      <c r="O1832">
        <v>2015</v>
      </c>
      <c r="P1832" s="13">
        <f t="shared" si="196"/>
        <v>0</v>
      </c>
      <c r="Q1832" t="str">
        <f t="shared" si="197"/>
        <v>No</v>
      </c>
      <c r="R1832" t="str" cm="1">
        <f t="array" ref="R1832">_xlfn.IFS(K1832=0,"On Time",K1832&lt;=2,"Minor",K1832&lt;=5,"Major",K1832&gt;5,"Severe")</f>
        <v>Minor</v>
      </c>
      <c r="S1832">
        <f t="shared" si="198"/>
        <v>2015</v>
      </c>
      <c r="T1832">
        <f t="shared" si="199"/>
        <v>2447</v>
      </c>
      <c r="U1832">
        <f t="shared" si="200"/>
        <v>2024</v>
      </c>
      <c r="V1832">
        <f t="shared" si="201"/>
        <v>1</v>
      </c>
      <c r="W1832" s="11">
        <f t="shared" si="202"/>
        <v>1</v>
      </c>
    </row>
    <row r="1833" spans="1:23">
      <c r="A1833" t="s">
        <v>1846</v>
      </c>
      <c r="B1833" s="4">
        <v>45361</v>
      </c>
      <c r="C1833" t="s">
        <v>2018</v>
      </c>
      <c r="D1833" t="s">
        <v>2026</v>
      </c>
      <c r="E1833" t="s">
        <v>2027</v>
      </c>
      <c r="F1833" t="s">
        <v>2031</v>
      </c>
      <c r="G1833" t="s">
        <v>2036</v>
      </c>
      <c r="H1833" t="s">
        <v>2040</v>
      </c>
      <c r="I1833">
        <v>5</v>
      </c>
      <c r="J1833">
        <v>9</v>
      </c>
      <c r="K1833">
        <v>4</v>
      </c>
      <c r="L1833" t="s">
        <v>2041</v>
      </c>
      <c r="M1833">
        <v>344</v>
      </c>
      <c r="N1833">
        <v>3368</v>
      </c>
      <c r="O1833">
        <v>15352</v>
      </c>
      <c r="P1833" s="13">
        <f t="shared" si="196"/>
        <v>0</v>
      </c>
      <c r="Q1833" t="str">
        <f t="shared" si="197"/>
        <v>No</v>
      </c>
      <c r="R1833" t="str" cm="1">
        <f t="array" ref="R1833">_xlfn.IFS(K1833=0,"On Time",K1833&lt;=2,"Minor",K1833&lt;=5,"Major",K1833&gt;5,"Severe")</f>
        <v>Major</v>
      </c>
      <c r="S1833">
        <f t="shared" si="198"/>
        <v>3838</v>
      </c>
      <c r="T1833">
        <f t="shared" si="199"/>
        <v>842</v>
      </c>
      <c r="U1833">
        <f t="shared" si="200"/>
        <v>2024</v>
      </c>
      <c r="V1833">
        <f t="shared" si="201"/>
        <v>3</v>
      </c>
      <c r="W1833" s="11">
        <f t="shared" si="202"/>
        <v>1</v>
      </c>
    </row>
    <row r="1834" spans="1:23">
      <c r="A1834" t="s">
        <v>1847</v>
      </c>
      <c r="B1834" s="4">
        <v>45639</v>
      </c>
      <c r="C1834" t="s">
        <v>2016</v>
      </c>
      <c r="D1834" t="s">
        <v>2021</v>
      </c>
      <c r="E1834" t="s">
        <v>2028</v>
      </c>
      <c r="F1834" t="s">
        <v>2031</v>
      </c>
      <c r="G1834" t="s">
        <v>2033</v>
      </c>
      <c r="H1834" t="s">
        <v>2039</v>
      </c>
      <c r="I1834">
        <v>2</v>
      </c>
      <c r="J1834">
        <v>7</v>
      </c>
      <c r="K1834">
        <v>5</v>
      </c>
      <c r="L1834" t="s">
        <v>2041</v>
      </c>
      <c r="M1834">
        <v>58</v>
      </c>
      <c r="N1834">
        <v>4545</v>
      </c>
      <c r="O1834">
        <v>22295</v>
      </c>
      <c r="P1834" s="13">
        <f t="shared" si="196"/>
        <v>0</v>
      </c>
      <c r="Q1834" t="str">
        <f t="shared" si="197"/>
        <v>No</v>
      </c>
      <c r="R1834" t="str" cm="1">
        <f t="array" ref="R1834">_xlfn.IFS(K1834=0,"On Time",K1834&lt;=2,"Minor",K1834&lt;=5,"Major",K1834&gt;5,"Severe")</f>
        <v>Major</v>
      </c>
      <c r="S1834">
        <f t="shared" si="198"/>
        <v>4459</v>
      </c>
      <c r="T1834">
        <f t="shared" si="199"/>
        <v>909</v>
      </c>
      <c r="U1834">
        <f t="shared" si="200"/>
        <v>2024</v>
      </c>
      <c r="V1834">
        <f t="shared" si="201"/>
        <v>12</v>
      </c>
      <c r="W1834" s="11">
        <f t="shared" si="202"/>
        <v>1</v>
      </c>
    </row>
    <row r="1835" spans="1:23">
      <c r="A1835" t="s">
        <v>1848</v>
      </c>
      <c r="B1835" s="4">
        <v>45626</v>
      </c>
      <c r="C1835" t="s">
        <v>2017</v>
      </c>
      <c r="D1835" t="s">
        <v>2022</v>
      </c>
      <c r="E1835" t="s">
        <v>2028</v>
      </c>
      <c r="F1835" t="s">
        <v>2031</v>
      </c>
      <c r="G1835" t="s">
        <v>2037</v>
      </c>
      <c r="H1835" t="s">
        <v>2038</v>
      </c>
      <c r="I1835">
        <v>3</v>
      </c>
      <c r="J1835">
        <v>8</v>
      </c>
      <c r="K1835">
        <v>5</v>
      </c>
      <c r="L1835" t="s">
        <v>2041</v>
      </c>
      <c r="M1835">
        <v>361</v>
      </c>
      <c r="N1835">
        <v>8400</v>
      </c>
      <c r="O1835">
        <v>15680</v>
      </c>
      <c r="P1835" s="13">
        <f t="shared" si="196"/>
        <v>0</v>
      </c>
      <c r="Q1835" t="str">
        <f t="shared" si="197"/>
        <v>No</v>
      </c>
      <c r="R1835" t="str" cm="1">
        <f t="array" ref="R1835">_xlfn.IFS(K1835=0,"On Time",K1835&lt;=2,"Minor",K1835&lt;=5,"Major",K1835&gt;5,"Severe")</f>
        <v>Major</v>
      </c>
      <c r="S1835">
        <f t="shared" si="198"/>
        <v>3136</v>
      </c>
      <c r="T1835">
        <f t="shared" si="199"/>
        <v>1680</v>
      </c>
      <c r="U1835">
        <f t="shared" si="200"/>
        <v>2024</v>
      </c>
      <c r="V1835">
        <f t="shared" si="201"/>
        <v>11</v>
      </c>
      <c r="W1835" s="11">
        <f t="shared" si="202"/>
        <v>1</v>
      </c>
    </row>
    <row r="1836" spans="1:23">
      <c r="A1836" t="s">
        <v>1849</v>
      </c>
      <c r="B1836" s="4">
        <v>45583</v>
      </c>
      <c r="C1836" t="s">
        <v>2016</v>
      </c>
      <c r="D1836" t="s">
        <v>2025</v>
      </c>
      <c r="E1836" t="s">
        <v>2029</v>
      </c>
      <c r="F1836" t="s">
        <v>2030</v>
      </c>
      <c r="G1836" t="s">
        <v>2034</v>
      </c>
      <c r="H1836" t="s">
        <v>2039</v>
      </c>
      <c r="I1836">
        <v>3</v>
      </c>
      <c r="J1836">
        <v>5</v>
      </c>
      <c r="K1836">
        <v>2</v>
      </c>
      <c r="L1836" t="s">
        <v>2041</v>
      </c>
      <c r="M1836">
        <v>259</v>
      </c>
      <c r="N1836">
        <v>4516</v>
      </c>
      <c r="O1836">
        <v>4590</v>
      </c>
      <c r="P1836" s="13">
        <f t="shared" si="196"/>
        <v>0</v>
      </c>
      <c r="Q1836" t="str">
        <f t="shared" si="197"/>
        <v>No</v>
      </c>
      <c r="R1836" t="str" cm="1">
        <f t="array" ref="R1836">_xlfn.IFS(K1836=0,"On Time",K1836&lt;=2,"Minor",K1836&lt;=5,"Major",K1836&gt;5,"Severe")</f>
        <v>Minor</v>
      </c>
      <c r="S1836">
        <f t="shared" si="198"/>
        <v>2295</v>
      </c>
      <c r="T1836">
        <f t="shared" si="199"/>
        <v>2258</v>
      </c>
      <c r="U1836">
        <f t="shared" si="200"/>
        <v>2024</v>
      </c>
      <c r="V1836">
        <f t="shared" si="201"/>
        <v>10</v>
      </c>
      <c r="W1836" s="11">
        <f t="shared" si="202"/>
        <v>1</v>
      </c>
    </row>
    <row r="1837" spans="1:23">
      <c r="A1837" t="s">
        <v>1850</v>
      </c>
      <c r="B1837" s="4">
        <v>45536</v>
      </c>
      <c r="C1837" t="s">
        <v>2018</v>
      </c>
      <c r="D1837" t="s">
        <v>2024</v>
      </c>
      <c r="E1837" t="s">
        <v>2028</v>
      </c>
      <c r="F1837" t="s">
        <v>2031</v>
      </c>
      <c r="G1837" t="s">
        <v>2037</v>
      </c>
      <c r="H1837" t="s">
        <v>2040</v>
      </c>
      <c r="I1837">
        <v>1</v>
      </c>
      <c r="J1837">
        <v>8</v>
      </c>
      <c r="K1837">
        <v>7</v>
      </c>
      <c r="L1837" t="s">
        <v>2041</v>
      </c>
      <c r="M1837">
        <v>371</v>
      </c>
      <c r="N1837">
        <v>11879</v>
      </c>
      <c r="O1837">
        <v>26292</v>
      </c>
      <c r="P1837" s="13">
        <f t="shared" si="196"/>
        <v>0</v>
      </c>
      <c r="Q1837" t="str">
        <f t="shared" si="197"/>
        <v>No</v>
      </c>
      <c r="R1837" t="str" cm="1">
        <f t="array" ref="R1837">_xlfn.IFS(K1837=0,"On Time",K1837&lt;=2,"Minor",K1837&lt;=5,"Major",K1837&gt;5,"Severe")</f>
        <v>Severe</v>
      </c>
      <c r="S1837">
        <f t="shared" si="198"/>
        <v>3756</v>
      </c>
      <c r="T1837">
        <f t="shared" si="199"/>
        <v>1697</v>
      </c>
      <c r="U1837">
        <f t="shared" si="200"/>
        <v>2024</v>
      </c>
      <c r="V1837">
        <f t="shared" si="201"/>
        <v>9</v>
      </c>
      <c r="W1837" s="11">
        <f t="shared" si="202"/>
        <v>1</v>
      </c>
    </row>
    <row r="1838" spans="1:23">
      <c r="A1838" t="s">
        <v>1851</v>
      </c>
      <c r="B1838" s="4">
        <v>45540</v>
      </c>
      <c r="C1838" t="s">
        <v>2017</v>
      </c>
      <c r="D1838" t="s">
        <v>2022</v>
      </c>
      <c r="E1838" t="s">
        <v>2027</v>
      </c>
      <c r="F1838" t="s">
        <v>2031</v>
      </c>
      <c r="G1838" t="s">
        <v>2035</v>
      </c>
      <c r="H1838" t="s">
        <v>2038</v>
      </c>
      <c r="I1838">
        <v>2</v>
      </c>
      <c r="J1838">
        <v>3</v>
      </c>
      <c r="K1838">
        <v>1</v>
      </c>
      <c r="L1838" t="s">
        <v>2041</v>
      </c>
      <c r="M1838">
        <v>486</v>
      </c>
      <c r="N1838">
        <v>1401</v>
      </c>
      <c r="O1838">
        <v>2965</v>
      </c>
      <c r="P1838" s="13">
        <f t="shared" si="196"/>
        <v>0</v>
      </c>
      <c r="Q1838" t="str">
        <f t="shared" si="197"/>
        <v>No</v>
      </c>
      <c r="R1838" t="str" cm="1">
        <f t="array" ref="R1838">_xlfn.IFS(K1838=0,"On Time",K1838&lt;=2,"Minor",K1838&lt;=5,"Major",K1838&gt;5,"Severe")</f>
        <v>Minor</v>
      </c>
      <c r="S1838">
        <f t="shared" si="198"/>
        <v>2965</v>
      </c>
      <c r="T1838">
        <f t="shared" si="199"/>
        <v>1401</v>
      </c>
      <c r="U1838">
        <f t="shared" si="200"/>
        <v>2024</v>
      </c>
      <c r="V1838">
        <f t="shared" si="201"/>
        <v>9</v>
      </c>
      <c r="W1838" s="11">
        <f t="shared" si="202"/>
        <v>1</v>
      </c>
    </row>
    <row r="1839" spans="1:23">
      <c r="A1839" t="s">
        <v>1852</v>
      </c>
      <c r="B1839" s="4">
        <v>45421</v>
      </c>
      <c r="C1839" t="s">
        <v>2015</v>
      </c>
      <c r="D1839" t="s">
        <v>2020</v>
      </c>
      <c r="E1839" t="s">
        <v>2029</v>
      </c>
      <c r="F1839" t="s">
        <v>2032</v>
      </c>
      <c r="G1839" t="s">
        <v>2035</v>
      </c>
      <c r="H1839" t="s">
        <v>2038</v>
      </c>
      <c r="I1839">
        <v>1</v>
      </c>
      <c r="J1839">
        <v>6</v>
      </c>
      <c r="K1839">
        <v>5</v>
      </c>
      <c r="L1839" t="s">
        <v>2041</v>
      </c>
      <c r="M1839">
        <v>266</v>
      </c>
      <c r="N1839">
        <v>5195</v>
      </c>
      <c r="O1839">
        <v>9455</v>
      </c>
      <c r="P1839" s="13">
        <f t="shared" si="196"/>
        <v>0</v>
      </c>
      <c r="Q1839" t="str">
        <f t="shared" si="197"/>
        <v>No</v>
      </c>
      <c r="R1839" t="str" cm="1">
        <f t="array" ref="R1839">_xlfn.IFS(K1839=0,"On Time",K1839&lt;=2,"Minor",K1839&lt;=5,"Major",K1839&gt;5,"Severe")</f>
        <v>Major</v>
      </c>
      <c r="S1839">
        <f t="shared" si="198"/>
        <v>1891</v>
      </c>
      <c r="T1839">
        <f t="shared" si="199"/>
        <v>1039</v>
      </c>
      <c r="U1839">
        <f t="shared" si="200"/>
        <v>2024</v>
      </c>
      <c r="V1839">
        <f t="shared" si="201"/>
        <v>5</v>
      </c>
      <c r="W1839" s="11">
        <f t="shared" si="202"/>
        <v>1</v>
      </c>
    </row>
    <row r="1840" spans="1:23">
      <c r="A1840" t="s">
        <v>1853</v>
      </c>
      <c r="B1840" s="4">
        <v>45526</v>
      </c>
      <c r="C1840" t="s">
        <v>2015</v>
      </c>
      <c r="D1840" t="s">
        <v>2019</v>
      </c>
      <c r="E1840" t="s">
        <v>2028</v>
      </c>
      <c r="F1840" t="s">
        <v>2032</v>
      </c>
      <c r="G1840" t="s">
        <v>2037</v>
      </c>
      <c r="H1840" t="s">
        <v>2038</v>
      </c>
      <c r="I1840">
        <v>3</v>
      </c>
      <c r="J1840">
        <v>9</v>
      </c>
      <c r="K1840">
        <v>6</v>
      </c>
      <c r="L1840" t="s">
        <v>2041</v>
      </c>
      <c r="M1840">
        <v>110</v>
      </c>
      <c r="N1840">
        <v>13872</v>
      </c>
      <c r="O1840">
        <v>22932</v>
      </c>
      <c r="P1840" s="13">
        <f t="shared" si="196"/>
        <v>0</v>
      </c>
      <c r="Q1840" t="str">
        <f t="shared" si="197"/>
        <v>No</v>
      </c>
      <c r="R1840" t="str" cm="1">
        <f t="array" ref="R1840">_xlfn.IFS(K1840=0,"On Time",K1840&lt;=2,"Minor",K1840&lt;=5,"Major",K1840&gt;5,"Severe")</f>
        <v>Severe</v>
      </c>
      <c r="S1840">
        <f t="shared" si="198"/>
        <v>3822</v>
      </c>
      <c r="T1840">
        <f t="shared" si="199"/>
        <v>2312</v>
      </c>
      <c r="U1840">
        <f t="shared" si="200"/>
        <v>2024</v>
      </c>
      <c r="V1840">
        <f t="shared" si="201"/>
        <v>8</v>
      </c>
      <c r="W1840" s="11">
        <f t="shared" si="202"/>
        <v>1</v>
      </c>
    </row>
    <row r="1841" spans="1:23">
      <c r="A1841" t="s">
        <v>1854</v>
      </c>
      <c r="B1841" s="4">
        <v>45559</v>
      </c>
      <c r="C1841" t="s">
        <v>2017</v>
      </c>
      <c r="D1841" t="s">
        <v>2023</v>
      </c>
      <c r="E1841" t="s">
        <v>2028</v>
      </c>
      <c r="F1841" t="s">
        <v>2030</v>
      </c>
      <c r="G1841" t="s">
        <v>2036</v>
      </c>
      <c r="H1841" t="s">
        <v>2040</v>
      </c>
      <c r="I1841">
        <v>2</v>
      </c>
      <c r="J1841">
        <v>7</v>
      </c>
      <c r="K1841">
        <v>5</v>
      </c>
      <c r="L1841" t="s">
        <v>2041</v>
      </c>
      <c r="M1841">
        <v>493</v>
      </c>
      <c r="N1841">
        <v>8220</v>
      </c>
      <c r="O1841">
        <v>17565</v>
      </c>
      <c r="P1841" s="13">
        <f t="shared" si="196"/>
        <v>0</v>
      </c>
      <c r="Q1841" t="str">
        <f t="shared" si="197"/>
        <v>No</v>
      </c>
      <c r="R1841" t="str" cm="1">
        <f t="array" ref="R1841">_xlfn.IFS(K1841=0,"On Time",K1841&lt;=2,"Minor",K1841&lt;=5,"Major",K1841&gt;5,"Severe")</f>
        <v>Major</v>
      </c>
      <c r="S1841">
        <f t="shared" si="198"/>
        <v>3513</v>
      </c>
      <c r="T1841">
        <f t="shared" si="199"/>
        <v>1644</v>
      </c>
      <c r="U1841">
        <f t="shared" si="200"/>
        <v>2024</v>
      </c>
      <c r="V1841">
        <f t="shared" si="201"/>
        <v>9</v>
      </c>
      <c r="W1841" s="11">
        <f t="shared" si="202"/>
        <v>1</v>
      </c>
    </row>
    <row r="1842" spans="1:23">
      <c r="A1842" t="s">
        <v>1855</v>
      </c>
      <c r="B1842" s="4">
        <v>45425</v>
      </c>
      <c r="C1842" t="s">
        <v>2016</v>
      </c>
      <c r="D1842" t="s">
        <v>2021</v>
      </c>
      <c r="E1842" t="s">
        <v>2027</v>
      </c>
      <c r="F1842" t="s">
        <v>2031</v>
      </c>
      <c r="G1842" t="s">
        <v>2037</v>
      </c>
      <c r="H1842" t="s">
        <v>2038</v>
      </c>
      <c r="I1842">
        <v>2</v>
      </c>
      <c r="J1842">
        <v>4</v>
      </c>
      <c r="K1842">
        <v>2</v>
      </c>
      <c r="L1842" t="s">
        <v>2041</v>
      </c>
      <c r="M1842">
        <v>479</v>
      </c>
      <c r="N1842">
        <v>4700</v>
      </c>
      <c r="O1842">
        <v>7320</v>
      </c>
      <c r="P1842" s="13">
        <f t="shared" si="196"/>
        <v>0</v>
      </c>
      <c r="Q1842" t="str">
        <f t="shared" si="197"/>
        <v>No</v>
      </c>
      <c r="R1842" t="str" cm="1">
        <f t="array" ref="R1842">_xlfn.IFS(K1842=0,"On Time",K1842&lt;=2,"Minor",K1842&lt;=5,"Major",K1842&gt;5,"Severe")</f>
        <v>Minor</v>
      </c>
      <c r="S1842">
        <f t="shared" si="198"/>
        <v>3660</v>
      </c>
      <c r="T1842">
        <f t="shared" si="199"/>
        <v>2350</v>
      </c>
      <c r="U1842">
        <f t="shared" si="200"/>
        <v>2024</v>
      </c>
      <c r="V1842">
        <f t="shared" si="201"/>
        <v>5</v>
      </c>
      <c r="W1842" s="11">
        <f t="shared" si="202"/>
        <v>1</v>
      </c>
    </row>
    <row r="1843" spans="1:23">
      <c r="A1843" t="s">
        <v>1856</v>
      </c>
      <c r="B1843" s="4">
        <v>45324</v>
      </c>
      <c r="C1843" t="s">
        <v>2018</v>
      </c>
      <c r="D1843" t="s">
        <v>2024</v>
      </c>
      <c r="E1843" t="s">
        <v>2027</v>
      </c>
      <c r="F1843" t="s">
        <v>2031</v>
      </c>
      <c r="G1843" t="s">
        <v>2034</v>
      </c>
      <c r="H1843" t="s">
        <v>2038</v>
      </c>
      <c r="I1843">
        <v>2</v>
      </c>
      <c r="J1843">
        <v>4</v>
      </c>
      <c r="K1843">
        <v>2</v>
      </c>
      <c r="L1843" t="s">
        <v>2041</v>
      </c>
      <c r="M1843">
        <v>141</v>
      </c>
      <c r="N1843">
        <v>2180</v>
      </c>
      <c r="O1843">
        <v>3610</v>
      </c>
      <c r="P1843" s="13">
        <f t="shared" si="196"/>
        <v>0</v>
      </c>
      <c r="Q1843" t="str">
        <f t="shared" si="197"/>
        <v>No</v>
      </c>
      <c r="R1843" t="str" cm="1">
        <f t="array" ref="R1843">_xlfn.IFS(K1843=0,"On Time",K1843&lt;=2,"Minor",K1843&lt;=5,"Major",K1843&gt;5,"Severe")</f>
        <v>Minor</v>
      </c>
      <c r="S1843">
        <f t="shared" si="198"/>
        <v>1805</v>
      </c>
      <c r="T1843">
        <f t="shared" si="199"/>
        <v>1090</v>
      </c>
      <c r="U1843">
        <f t="shared" si="200"/>
        <v>2024</v>
      </c>
      <c r="V1843">
        <f t="shared" si="201"/>
        <v>2</v>
      </c>
      <c r="W1843" s="11">
        <f t="shared" si="202"/>
        <v>1</v>
      </c>
    </row>
    <row r="1844" spans="1:23">
      <c r="A1844" t="s">
        <v>1857</v>
      </c>
      <c r="B1844" s="4">
        <v>45634</v>
      </c>
      <c r="C1844" t="s">
        <v>2015</v>
      </c>
      <c r="D1844" t="s">
        <v>2019</v>
      </c>
      <c r="E1844" t="s">
        <v>2028</v>
      </c>
      <c r="F1844" t="s">
        <v>2031</v>
      </c>
      <c r="G1844" t="s">
        <v>2034</v>
      </c>
      <c r="H1844" t="s">
        <v>2038</v>
      </c>
      <c r="I1844">
        <v>1</v>
      </c>
      <c r="J1844">
        <v>5</v>
      </c>
      <c r="K1844">
        <v>4</v>
      </c>
      <c r="L1844" t="s">
        <v>2041</v>
      </c>
      <c r="M1844">
        <v>56</v>
      </c>
      <c r="N1844">
        <v>9072</v>
      </c>
      <c r="O1844">
        <v>18064</v>
      </c>
      <c r="P1844" s="13">
        <f t="shared" si="196"/>
        <v>0</v>
      </c>
      <c r="Q1844" t="str">
        <f t="shared" si="197"/>
        <v>No</v>
      </c>
      <c r="R1844" t="str" cm="1">
        <f t="array" ref="R1844">_xlfn.IFS(K1844=0,"On Time",K1844&lt;=2,"Minor",K1844&lt;=5,"Major",K1844&gt;5,"Severe")</f>
        <v>Major</v>
      </c>
      <c r="S1844">
        <f t="shared" si="198"/>
        <v>4516</v>
      </c>
      <c r="T1844">
        <f t="shared" si="199"/>
        <v>2268</v>
      </c>
      <c r="U1844">
        <f t="shared" si="200"/>
        <v>2024</v>
      </c>
      <c r="V1844">
        <f t="shared" si="201"/>
        <v>12</v>
      </c>
      <c r="W1844" s="11">
        <f t="shared" si="202"/>
        <v>1</v>
      </c>
    </row>
    <row r="1845" spans="1:23">
      <c r="A1845" t="s">
        <v>1858</v>
      </c>
      <c r="B1845" s="4">
        <v>45555</v>
      </c>
      <c r="C1845" t="s">
        <v>2015</v>
      </c>
      <c r="D1845" t="s">
        <v>2020</v>
      </c>
      <c r="E1845" t="s">
        <v>2029</v>
      </c>
      <c r="F1845" t="s">
        <v>2031</v>
      </c>
      <c r="G1845" t="s">
        <v>2035</v>
      </c>
      <c r="H1845" t="s">
        <v>2038</v>
      </c>
      <c r="I1845">
        <v>2</v>
      </c>
      <c r="J1845">
        <v>6</v>
      </c>
      <c r="K1845">
        <v>4</v>
      </c>
      <c r="L1845" t="s">
        <v>2041</v>
      </c>
      <c r="M1845">
        <v>333</v>
      </c>
      <c r="N1845">
        <v>8720</v>
      </c>
      <c r="O1845">
        <v>11832</v>
      </c>
      <c r="P1845" s="13">
        <f t="shared" si="196"/>
        <v>0</v>
      </c>
      <c r="Q1845" t="str">
        <f t="shared" si="197"/>
        <v>No</v>
      </c>
      <c r="R1845" t="str" cm="1">
        <f t="array" ref="R1845">_xlfn.IFS(K1845=0,"On Time",K1845&lt;=2,"Minor",K1845&lt;=5,"Major",K1845&gt;5,"Severe")</f>
        <v>Major</v>
      </c>
      <c r="S1845">
        <f t="shared" si="198"/>
        <v>2958</v>
      </c>
      <c r="T1845">
        <f t="shared" si="199"/>
        <v>2180</v>
      </c>
      <c r="U1845">
        <f t="shared" si="200"/>
        <v>2024</v>
      </c>
      <c r="V1845">
        <f t="shared" si="201"/>
        <v>9</v>
      </c>
      <c r="W1845" s="11">
        <f t="shared" si="202"/>
        <v>1</v>
      </c>
    </row>
    <row r="1846" spans="1:23">
      <c r="A1846" t="s">
        <v>1859</v>
      </c>
      <c r="B1846" s="4">
        <v>45522</v>
      </c>
      <c r="C1846" t="s">
        <v>2016</v>
      </c>
      <c r="D1846" t="s">
        <v>2021</v>
      </c>
      <c r="E1846" t="s">
        <v>2029</v>
      </c>
      <c r="F1846" t="s">
        <v>2031</v>
      </c>
      <c r="G1846" t="s">
        <v>2035</v>
      </c>
      <c r="H1846" t="s">
        <v>2040</v>
      </c>
      <c r="I1846">
        <v>2</v>
      </c>
      <c r="J1846">
        <v>5</v>
      </c>
      <c r="K1846">
        <v>3</v>
      </c>
      <c r="L1846" t="s">
        <v>2041</v>
      </c>
      <c r="M1846">
        <v>129</v>
      </c>
      <c r="N1846">
        <v>4194</v>
      </c>
      <c r="O1846">
        <v>5004</v>
      </c>
      <c r="P1846" s="13">
        <f t="shared" si="196"/>
        <v>0</v>
      </c>
      <c r="Q1846" t="str">
        <f t="shared" si="197"/>
        <v>No</v>
      </c>
      <c r="R1846" t="str" cm="1">
        <f t="array" ref="R1846">_xlfn.IFS(K1846=0,"On Time",K1846&lt;=2,"Minor",K1846&lt;=5,"Major",K1846&gt;5,"Severe")</f>
        <v>Major</v>
      </c>
      <c r="S1846">
        <f t="shared" si="198"/>
        <v>1668</v>
      </c>
      <c r="T1846">
        <f t="shared" si="199"/>
        <v>1398</v>
      </c>
      <c r="U1846">
        <f t="shared" si="200"/>
        <v>2024</v>
      </c>
      <c r="V1846">
        <f t="shared" si="201"/>
        <v>8</v>
      </c>
      <c r="W1846" s="11">
        <f t="shared" si="202"/>
        <v>1</v>
      </c>
    </row>
    <row r="1847" spans="1:23">
      <c r="A1847" t="s">
        <v>1860</v>
      </c>
      <c r="B1847" s="4">
        <v>45433</v>
      </c>
      <c r="C1847" t="s">
        <v>2015</v>
      </c>
      <c r="D1847" t="s">
        <v>2019</v>
      </c>
      <c r="E1847" t="s">
        <v>2029</v>
      </c>
      <c r="F1847" t="s">
        <v>2031</v>
      </c>
      <c r="G1847" t="s">
        <v>2035</v>
      </c>
      <c r="H1847" t="s">
        <v>2038</v>
      </c>
      <c r="I1847">
        <v>1</v>
      </c>
      <c r="J1847">
        <v>2</v>
      </c>
      <c r="K1847">
        <v>1</v>
      </c>
      <c r="L1847" t="s">
        <v>2041</v>
      </c>
      <c r="M1847">
        <v>499</v>
      </c>
      <c r="N1847">
        <v>1698</v>
      </c>
      <c r="O1847">
        <v>1643</v>
      </c>
      <c r="P1847" s="13">
        <f t="shared" si="196"/>
        <v>0</v>
      </c>
      <c r="Q1847" t="str">
        <f t="shared" si="197"/>
        <v>No</v>
      </c>
      <c r="R1847" t="str" cm="1">
        <f t="array" ref="R1847">_xlfn.IFS(K1847=0,"On Time",K1847&lt;=2,"Minor",K1847&lt;=5,"Major",K1847&gt;5,"Severe")</f>
        <v>Minor</v>
      </c>
      <c r="S1847">
        <f t="shared" si="198"/>
        <v>1643</v>
      </c>
      <c r="T1847">
        <f t="shared" si="199"/>
        <v>1698</v>
      </c>
      <c r="U1847">
        <f t="shared" si="200"/>
        <v>2024</v>
      </c>
      <c r="V1847">
        <f t="shared" si="201"/>
        <v>5</v>
      </c>
      <c r="W1847" s="11">
        <f t="shared" si="202"/>
        <v>1</v>
      </c>
    </row>
    <row r="1848" spans="1:23">
      <c r="A1848" t="s">
        <v>1861</v>
      </c>
      <c r="B1848" s="4">
        <v>45300</v>
      </c>
      <c r="C1848" t="s">
        <v>2018</v>
      </c>
      <c r="D1848" t="s">
        <v>2026</v>
      </c>
      <c r="E1848" t="s">
        <v>2028</v>
      </c>
      <c r="F1848" t="s">
        <v>2031</v>
      </c>
      <c r="G1848" t="s">
        <v>2037</v>
      </c>
      <c r="H1848" t="s">
        <v>2040</v>
      </c>
      <c r="I1848">
        <v>1</v>
      </c>
      <c r="J1848">
        <v>6</v>
      </c>
      <c r="K1848">
        <v>5</v>
      </c>
      <c r="L1848" t="s">
        <v>2041</v>
      </c>
      <c r="M1848">
        <v>330</v>
      </c>
      <c r="N1848">
        <v>5305</v>
      </c>
      <c r="O1848">
        <v>17020</v>
      </c>
      <c r="P1848" s="13">
        <f t="shared" si="196"/>
        <v>0</v>
      </c>
      <c r="Q1848" t="str">
        <f t="shared" si="197"/>
        <v>No</v>
      </c>
      <c r="R1848" t="str" cm="1">
        <f t="array" ref="R1848">_xlfn.IFS(K1848=0,"On Time",K1848&lt;=2,"Minor",K1848&lt;=5,"Major",K1848&gt;5,"Severe")</f>
        <v>Major</v>
      </c>
      <c r="S1848">
        <f t="shared" si="198"/>
        <v>3404</v>
      </c>
      <c r="T1848">
        <f t="shared" si="199"/>
        <v>1061</v>
      </c>
      <c r="U1848">
        <f t="shared" si="200"/>
        <v>2024</v>
      </c>
      <c r="V1848">
        <f t="shared" si="201"/>
        <v>1</v>
      </c>
      <c r="W1848" s="11">
        <f t="shared" si="202"/>
        <v>1</v>
      </c>
    </row>
    <row r="1849" spans="1:23">
      <c r="A1849" t="s">
        <v>1862</v>
      </c>
      <c r="B1849" s="4">
        <v>45644</v>
      </c>
      <c r="C1849" t="s">
        <v>2018</v>
      </c>
      <c r="D1849" t="s">
        <v>2024</v>
      </c>
      <c r="E1849" t="s">
        <v>2027</v>
      </c>
      <c r="F1849" t="s">
        <v>2030</v>
      </c>
      <c r="G1849" t="s">
        <v>2034</v>
      </c>
      <c r="H1849" t="s">
        <v>2038</v>
      </c>
      <c r="I1849">
        <v>1</v>
      </c>
      <c r="J1849">
        <v>1</v>
      </c>
      <c r="K1849">
        <v>0</v>
      </c>
      <c r="L1849" t="s">
        <v>2042</v>
      </c>
      <c r="M1849">
        <v>174</v>
      </c>
      <c r="N1849">
        <v>0</v>
      </c>
      <c r="O1849">
        <v>0</v>
      </c>
      <c r="P1849" s="13">
        <f t="shared" si="196"/>
        <v>1</v>
      </c>
      <c r="Q1849" t="str">
        <f t="shared" si="197"/>
        <v>No</v>
      </c>
      <c r="R1849" t="str" cm="1">
        <f t="array" ref="R1849">_xlfn.IFS(K1849=0,"On Time",K1849&lt;=2,"Minor",K1849&lt;=5,"Major",K1849&gt;5,"Severe")</f>
        <v>On Time</v>
      </c>
      <c r="S1849">
        <f t="shared" si="198"/>
        <v>0</v>
      </c>
      <c r="T1849">
        <f t="shared" si="199"/>
        <v>0</v>
      </c>
      <c r="U1849">
        <f t="shared" si="200"/>
        <v>2024</v>
      </c>
      <c r="V1849">
        <f t="shared" si="201"/>
        <v>12</v>
      </c>
      <c r="W1849" s="11">
        <f t="shared" si="202"/>
        <v>0</v>
      </c>
    </row>
    <row r="1850" spans="1:23">
      <c r="A1850" t="s">
        <v>1863</v>
      </c>
      <c r="B1850" s="4">
        <v>45475</v>
      </c>
      <c r="C1850" t="s">
        <v>2018</v>
      </c>
      <c r="D1850" t="s">
        <v>2024</v>
      </c>
      <c r="E1850" t="s">
        <v>2028</v>
      </c>
      <c r="F1850" t="s">
        <v>2031</v>
      </c>
      <c r="G1850" t="s">
        <v>2035</v>
      </c>
      <c r="H1850" t="s">
        <v>2040</v>
      </c>
      <c r="I1850">
        <v>2</v>
      </c>
      <c r="J1850">
        <v>7</v>
      </c>
      <c r="K1850">
        <v>5</v>
      </c>
      <c r="L1850" t="s">
        <v>2041</v>
      </c>
      <c r="M1850">
        <v>431</v>
      </c>
      <c r="N1850">
        <v>9345</v>
      </c>
      <c r="O1850">
        <v>17420</v>
      </c>
      <c r="P1850" s="13">
        <f t="shared" si="196"/>
        <v>0</v>
      </c>
      <c r="Q1850" t="str">
        <f t="shared" si="197"/>
        <v>No</v>
      </c>
      <c r="R1850" t="str" cm="1">
        <f t="array" ref="R1850">_xlfn.IFS(K1850=0,"On Time",K1850&lt;=2,"Minor",K1850&lt;=5,"Major",K1850&gt;5,"Severe")</f>
        <v>Major</v>
      </c>
      <c r="S1850">
        <f t="shared" si="198"/>
        <v>3484</v>
      </c>
      <c r="T1850">
        <f t="shared" si="199"/>
        <v>1869</v>
      </c>
      <c r="U1850">
        <f t="shared" si="200"/>
        <v>2024</v>
      </c>
      <c r="V1850">
        <f t="shared" si="201"/>
        <v>7</v>
      </c>
      <c r="W1850" s="11">
        <f t="shared" si="202"/>
        <v>1</v>
      </c>
    </row>
    <row r="1851" spans="1:23">
      <c r="A1851" t="s">
        <v>1864</v>
      </c>
      <c r="B1851" s="4">
        <v>45632</v>
      </c>
      <c r="C1851" t="s">
        <v>2015</v>
      </c>
      <c r="D1851" t="s">
        <v>2019</v>
      </c>
      <c r="E1851" t="s">
        <v>2027</v>
      </c>
      <c r="F1851" t="s">
        <v>2030</v>
      </c>
      <c r="G1851" t="s">
        <v>2035</v>
      </c>
      <c r="H1851" t="s">
        <v>2039</v>
      </c>
      <c r="I1851">
        <v>2</v>
      </c>
      <c r="J1851">
        <v>3</v>
      </c>
      <c r="K1851">
        <v>1</v>
      </c>
      <c r="L1851" t="s">
        <v>2041</v>
      </c>
      <c r="M1851">
        <v>198</v>
      </c>
      <c r="N1851">
        <v>2188</v>
      </c>
      <c r="O1851">
        <v>3362</v>
      </c>
      <c r="P1851" s="13">
        <f t="shared" si="196"/>
        <v>0</v>
      </c>
      <c r="Q1851" t="str">
        <f t="shared" si="197"/>
        <v>No</v>
      </c>
      <c r="R1851" t="str" cm="1">
        <f t="array" ref="R1851">_xlfn.IFS(K1851=0,"On Time",K1851&lt;=2,"Minor",K1851&lt;=5,"Major",K1851&gt;5,"Severe")</f>
        <v>Minor</v>
      </c>
      <c r="S1851">
        <f t="shared" si="198"/>
        <v>3362</v>
      </c>
      <c r="T1851">
        <f t="shared" si="199"/>
        <v>2188</v>
      </c>
      <c r="U1851">
        <f t="shared" si="200"/>
        <v>2024</v>
      </c>
      <c r="V1851">
        <f t="shared" si="201"/>
        <v>12</v>
      </c>
      <c r="W1851" s="11">
        <f t="shared" si="202"/>
        <v>1</v>
      </c>
    </row>
    <row r="1852" spans="1:23">
      <c r="A1852" t="s">
        <v>1865</v>
      </c>
      <c r="B1852" s="4">
        <v>45536</v>
      </c>
      <c r="C1852" t="s">
        <v>2016</v>
      </c>
      <c r="D1852" t="s">
        <v>2021</v>
      </c>
      <c r="E1852" t="s">
        <v>2027</v>
      </c>
      <c r="F1852" t="s">
        <v>2031</v>
      </c>
      <c r="G1852" t="s">
        <v>2037</v>
      </c>
      <c r="H1852" t="s">
        <v>2039</v>
      </c>
      <c r="I1852">
        <v>3</v>
      </c>
      <c r="J1852">
        <v>8</v>
      </c>
      <c r="K1852">
        <v>5</v>
      </c>
      <c r="L1852" t="s">
        <v>2041</v>
      </c>
      <c r="M1852">
        <v>77</v>
      </c>
      <c r="N1852">
        <v>12465</v>
      </c>
      <c r="O1852">
        <v>20630</v>
      </c>
      <c r="P1852" s="13">
        <f t="shared" si="196"/>
        <v>0</v>
      </c>
      <c r="Q1852" t="str">
        <f t="shared" si="197"/>
        <v>No</v>
      </c>
      <c r="R1852" t="str" cm="1">
        <f t="array" ref="R1852">_xlfn.IFS(K1852=0,"On Time",K1852&lt;=2,"Minor",K1852&lt;=5,"Major",K1852&gt;5,"Severe")</f>
        <v>Major</v>
      </c>
      <c r="S1852">
        <f t="shared" si="198"/>
        <v>4126</v>
      </c>
      <c r="T1852">
        <f t="shared" si="199"/>
        <v>2493</v>
      </c>
      <c r="U1852">
        <f t="shared" si="200"/>
        <v>2024</v>
      </c>
      <c r="V1852">
        <f t="shared" si="201"/>
        <v>9</v>
      </c>
      <c r="W1852" s="11">
        <f t="shared" si="202"/>
        <v>1</v>
      </c>
    </row>
    <row r="1853" spans="1:23">
      <c r="A1853" t="s">
        <v>1866</v>
      </c>
      <c r="B1853" s="4">
        <v>45563</v>
      </c>
      <c r="C1853" t="s">
        <v>2018</v>
      </c>
      <c r="D1853" t="s">
        <v>2024</v>
      </c>
      <c r="E1853" t="s">
        <v>2029</v>
      </c>
      <c r="F1853" t="s">
        <v>2030</v>
      </c>
      <c r="G1853" t="s">
        <v>2036</v>
      </c>
      <c r="H1853" t="s">
        <v>2038</v>
      </c>
      <c r="I1853">
        <v>2</v>
      </c>
      <c r="J1853">
        <v>6</v>
      </c>
      <c r="K1853">
        <v>4</v>
      </c>
      <c r="L1853" t="s">
        <v>2041</v>
      </c>
      <c r="M1853">
        <v>71</v>
      </c>
      <c r="N1853">
        <v>4852</v>
      </c>
      <c r="O1853">
        <v>11948</v>
      </c>
      <c r="P1853" s="13">
        <f t="shared" si="196"/>
        <v>0</v>
      </c>
      <c r="Q1853" t="str">
        <f t="shared" si="197"/>
        <v>No</v>
      </c>
      <c r="R1853" t="str" cm="1">
        <f t="array" ref="R1853">_xlfn.IFS(K1853=0,"On Time",K1853&lt;=2,"Minor",K1853&lt;=5,"Major",K1853&gt;5,"Severe")</f>
        <v>Major</v>
      </c>
      <c r="S1853">
        <f t="shared" si="198"/>
        <v>2987</v>
      </c>
      <c r="T1853">
        <f t="shared" si="199"/>
        <v>1213</v>
      </c>
      <c r="U1853">
        <f t="shared" si="200"/>
        <v>2024</v>
      </c>
      <c r="V1853">
        <f t="shared" si="201"/>
        <v>9</v>
      </c>
      <c r="W1853" s="11">
        <f t="shared" si="202"/>
        <v>1</v>
      </c>
    </row>
    <row r="1854" spans="1:23">
      <c r="A1854" t="s">
        <v>1867</v>
      </c>
      <c r="B1854" s="4">
        <v>45374</v>
      </c>
      <c r="C1854" t="s">
        <v>2017</v>
      </c>
      <c r="D1854" t="s">
        <v>2022</v>
      </c>
      <c r="E1854" t="s">
        <v>2029</v>
      </c>
      <c r="F1854" t="s">
        <v>2031</v>
      </c>
      <c r="G1854" t="s">
        <v>2036</v>
      </c>
      <c r="H1854" t="s">
        <v>2039</v>
      </c>
      <c r="I1854">
        <v>3</v>
      </c>
      <c r="J1854">
        <v>6</v>
      </c>
      <c r="K1854">
        <v>3</v>
      </c>
      <c r="L1854" t="s">
        <v>2041</v>
      </c>
      <c r="M1854">
        <v>366</v>
      </c>
      <c r="N1854">
        <v>6789</v>
      </c>
      <c r="O1854">
        <v>5349</v>
      </c>
      <c r="P1854" s="13">
        <f t="shared" si="196"/>
        <v>0</v>
      </c>
      <c r="Q1854" t="str">
        <f t="shared" si="197"/>
        <v>No</v>
      </c>
      <c r="R1854" t="str" cm="1">
        <f t="array" ref="R1854">_xlfn.IFS(K1854=0,"On Time",K1854&lt;=2,"Minor",K1854&lt;=5,"Major",K1854&gt;5,"Severe")</f>
        <v>Major</v>
      </c>
      <c r="S1854">
        <f t="shared" si="198"/>
        <v>1783</v>
      </c>
      <c r="T1854">
        <f t="shared" si="199"/>
        <v>2263</v>
      </c>
      <c r="U1854">
        <f t="shared" si="200"/>
        <v>2024</v>
      </c>
      <c r="V1854">
        <f t="shared" si="201"/>
        <v>3</v>
      </c>
      <c r="W1854" s="11">
        <f t="shared" si="202"/>
        <v>1</v>
      </c>
    </row>
    <row r="1855" spans="1:23">
      <c r="A1855" t="s">
        <v>1868</v>
      </c>
      <c r="B1855" s="4">
        <v>45349</v>
      </c>
      <c r="C1855" t="s">
        <v>2016</v>
      </c>
      <c r="D1855" t="s">
        <v>2025</v>
      </c>
      <c r="E1855" t="s">
        <v>2029</v>
      </c>
      <c r="F1855" t="s">
        <v>2032</v>
      </c>
      <c r="G1855" t="s">
        <v>2035</v>
      </c>
      <c r="H1855" t="s">
        <v>2038</v>
      </c>
      <c r="I1855">
        <v>1</v>
      </c>
      <c r="J1855">
        <v>3</v>
      </c>
      <c r="K1855">
        <v>2</v>
      </c>
      <c r="L1855" t="s">
        <v>2041</v>
      </c>
      <c r="M1855">
        <v>321</v>
      </c>
      <c r="N1855">
        <v>4814</v>
      </c>
      <c r="O1855">
        <v>7674</v>
      </c>
      <c r="P1855" s="13">
        <f t="shared" si="196"/>
        <v>0</v>
      </c>
      <c r="Q1855" t="str">
        <f t="shared" si="197"/>
        <v>No</v>
      </c>
      <c r="R1855" t="str" cm="1">
        <f t="array" ref="R1855">_xlfn.IFS(K1855=0,"On Time",K1855&lt;=2,"Minor",K1855&lt;=5,"Major",K1855&gt;5,"Severe")</f>
        <v>Minor</v>
      </c>
      <c r="S1855">
        <f t="shared" si="198"/>
        <v>3837</v>
      </c>
      <c r="T1855">
        <f t="shared" si="199"/>
        <v>2407</v>
      </c>
      <c r="U1855">
        <f t="shared" si="200"/>
        <v>2024</v>
      </c>
      <c r="V1855">
        <f t="shared" si="201"/>
        <v>2</v>
      </c>
      <c r="W1855" s="11">
        <f t="shared" si="202"/>
        <v>1</v>
      </c>
    </row>
    <row r="1856" spans="1:23">
      <c r="A1856" t="s">
        <v>1869</v>
      </c>
      <c r="B1856" s="4">
        <v>45432</v>
      </c>
      <c r="C1856" t="s">
        <v>2017</v>
      </c>
      <c r="D1856" t="s">
        <v>2022</v>
      </c>
      <c r="E1856" t="s">
        <v>2028</v>
      </c>
      <c r="F1856" t="s">
        <v>2031</v>
      </c>
      <c r="G1856" t="s">
        <v>2037</v>
      </c>
      <c r="H1856" t="s">
        <v>2039</v>
      </c>
      <c r="I1856">
        <v>1</v>
      </c>
      <c r="J1856">
        <v>3</v>
      </c>
      <c r="K1856">
        <v>2</v>
      </c>
      <c r="L1856" t="s">
        <v>2041</v>
      </c>
      <c r="M1856">
        <v>124</v>
      </c>
      <c r="N1856">
        <v>3928</v>
      </c>
      <c r="O1856">
        <v>4872</v>
      </c>
      <c r="P1856" s="13">
        <f t="shared" si="196"/>
        <v>0</v>
      </c>
      <c r="Q1856" t="str">
        <f t="shared" si="197"/>
        <v>No</v>
      </c>
      <c r="R1856" t="str" cm="1">
        <f t="array" ref="R1856">_xlfn.IFS(K1856=0,"On Time",K1856&lt;=2,"Minor",K1856&lt;=5,"Major",K1856&gt;5,"Severe")</f>
        <v>Minor</v>
      </c>
      <c r="S1856">
        <f t="shared" si="198"/>
        <v>2436</v>
      </c>
      <c r="T1856">
        <f t="shared" si="199"/>
        <v>1964</v>
      </c>
      <c r="U1856">
        <f t="shared" si="200"/>
        <v>2024</v>
      </c>
      <c r="V1856">
        <f t="shared" si="201"/>
        <v>5</v>
      </c>
      <c r="W1856" s="11">
        <f t="shared" si="202"/>
        <v>1</v>
      </c>
    </row>
    <row r="1857" spans="1:23">
      <c r="A1857" t="s">
        <v>1870</v>
      </c>
      <c r="B1857" s="4">
        <v>45599</v>
      </c>
      <c r="C1857" t="s">
        <v>2017</v>
      </c>
      <c r="D1857" t="s">
        <v>2023</v>
      </c>
      <c r="E1857" t="s">
        <v>2028</v>
      </c>
      <c r="F1857" t="s">
        <v>2032</v>
      </c>
      <c r="G1857" t="s">
        <v>2033</v>
      </c>
      <c r="H1857" t="s">
        <v>2039</v>
      </c>
      <c r="I1857">
        <v>1</v>
      </c>
      <c r="J1857">
        <v>2</v>
      </c>
      <c r="K1857">
        <v>1</v>
      </c>
      <c r="L1857" t="s">
        <v>2041</v>
      </c>
      <c r="M1857">
        <v>408</v>
      </c>
      <c r="N1857">
        <v>2418</v>
      </c>
      <c r="O1857">
        <v>4100</v>
      </c>
      <c r="P1857" s="13">
        <f t="shared" si="196"/>
        <v>0</v>
      </c>
      <c r="Q1857" t="str">
        <f t="shared" si="197"/>
        <v>No</v>
      </c>
      <c r="R1857" t="str" cm="1">
        <f t="array" ref="R1857">_xlfn.IFS(K1857=0,"On Time",K1857&lt;=2,"Minor",K1857&lt;=5,"Major",K1857&gt;5,"Severe")</f>
        <v>Minor</v>
      </c>
      <c r="S1857">
        <f t="shared" si="198"/>
        <v>4100</v>
      </c>
      <c r="T1857">
        <f t="shared" si="199"/>
        <v>2418</v>
      </c>
      <c r="U1857">
        <f t="shared" si="200"/>
        <v>2024</v>
      </c>
      <c r="V1857">
        <f t="shared" si="201"/>
        <v>11</v>
      </c>
      <c r="W1857" s="11">
        <f t="shared" si="202"/>
        <v>1</v>
      </c>
    </row>
    <row r="1858" spans="1:23">
      <c r="A1858" t="s">
        <v>1871</v>
      </c>
      <c r="B1858" s="4">
        <v>45575</v>
      </c>
      <c r="C1858" t="s">
        <v>2017</v>
      </c>
      <c r="D1858" t="s">
        <v>2022</v>
      </c>
      <c r="E1858" t="s">
        <v>2027</v>
      </c>
      <c r="F1858" t="s">
        <v>2030</v>
      </c>
      <c r="G1858" t="s">
        <v>2033</v>
      </c>
      <c r="H1858" t="s">
        <v>2038</v>
      </c>
      <c r="I1858">
        <v>1</v>
      </c>
      <c r="J1858">
        <v>3</v>
      </c>
      <c r="K1858">
        <v>2</v>
      </c>
      <c r="L1858" t="s">
        <v>2041</v>
      </c>
      <c r="M1858">
        <v>219</v>
      </c>
      <c r="N1858">
        <v>3042</v>
      </c>
      <c r="O1858">
        <v>6046</v>
      </c>
      <c r="P1858" s="13">
        <f t="shared" si="196"/>
        <v>0</v>
      </c>
      <c r="Q1858" t="str">
        <f t="shared" si="197"/>
        <v>No</v>
      </c>
      <c r="R1858" t="str" cm="1">
        <f t="array" ref="R1858">_xlfn.IFS(K1858=0,"On Time",K1858&lt;=2,"Minor",K1858&lt;=5,"Major",K1858&gt;5,"Severe")</f>
        <v>Minor</v>
      </c>
      <c r="S1858">
        <f t="shared" si="198"/>
        <v>3023</v>
      </c>
      <c r="T1858">
        <f t="shared" si="199"/>
        <v>1521</v>
      </c>
      <c r="U1858">
        <f t="shared" si="200"/>
        <v>2024</v>
      </c>
      <c r="V1858">
        <f t="shared" si="201"/>
        <v>10</v>
      </c>
      <c r="W1858" s="11">
        <f t="shared" si="202"/>
        <v>1</v>
      </c>
    </row>
    <row r="1859" spans="1:23">
      <c r="A1859" t="s">
        <v>1872</v>
      </c>
      <c r="B1859" s="4">
        <v>45343</v>
      </c>
      <c r="C1859" t="s">
        <v>2017</v>
      </c>
      <c r="D1859" t="s">
        <v>2022</v>
      </c>
      <c r="E1859" t="s">
        <v>2029</v>
      </c>
      <c r="F1859" t="s">
        <v>2031</v>
      </c>
      <c r="G1859" t="s">
        <v>2033</v>
      </c>
      <c r="H1859" t="s">
        <v>2040</v>
      </c>
      <c r="I1859">
        <v>1</v>
      </c>
      <c r="J1859">
        <v>4</v>
      </c>
      <c r="K1859">
        <v>3</v>
      </c>
      <c r="L1859" t="s">
        <v>2041</v>
      </c>
      <c r="M1859">
        <v>469</v>
      </c>
      <c r="N1859">
        <v>3411</v>
      </c>
      <c r="O1859">
        <v>6777</v>
      </c>
      <c r="P1859" s="13">
        <f t="shared" ref="P1859:P1922" si="203">IF(L1859="Yes",0,1)</f>
        <v>0</v>
      </c>
      <c r="Q1859" t="str">
        <f t="shared" ref="Q1859:Q1922" si="204">IF(K1859&gt;J1859,"Yes","No")</f>
        <v>No</v>
      </c>
      <c r="R1859" t="str" cm="1">
        <f t="array" ref="R1859">_xlfn.IFS(K1859=0,"On Time",K1859&lt;=2,"Minor",K1859&lt;=5,"Major",K1859&gt;5,"Severe")</f>
        <v>Major</v>
      </c>
      <c r="S1859">
        <f t="shared" ref="S1859:S1922" si="205">IFERROR(O1859/K1859,0)</f>
        <v>2259</v>
      </c>
      <c r="T1859">
        <f t="shared" ref="T1859:T1922" si="206">IFERROR(N1859/K1859,0)</f>
        <v>1137</v>
      </c>
      <c r="U1859">
        <f t="shared" ref="U1859:U1922" si="207">YEAR(B1859)</f>
        <v>2024</v>
      </c>
      <c r="V1859">
        <f t="shared" ref="V1859:V1922" si="208">MONTH(B1859)</f>
        <v>2</v>
      </c>
      <c r="W1859" s="11">
        <f t="shared" ref="W1859:W1922" si="209">IF(L1859="Yes",1,0)</f>
        <v>1</v>
      </c>
    </row>
    <row r="1860" spans="1:23">
      <c r="A1860" t="s">
        <v>1873</v>
      </c>
      <c r="B1860" s="4">
        <v>45504</v>
      </c>
      <c r="C1860" t="s">
        <v>2016</v>
      </c>
      <c r="D1860" t="s">
        <v>2025</v>
      </c>
      <c r="E1860" t="s">
        <v>2028</v>
      </c>
      <c r="F1860" t="s">
        <v>2031</v>
      </c>
      <c r="G1860" t="s">
        <v>2034</v>
      </c>
      <c r="H1860" t="s">
        <v>2038</v>
      </c>
      <c r="I1860">
        <v>5</v>
      </c>
      <c r="J1860">
        <v>9</v>
      </c>
      <c r="K1860">
        <v>4</v>
      </c>
      <c r="L1860" t="s">
        <v>2041</v>
      </c>
      <c r="M1860">
        <v>321</v>
      </c>
      <c r="N1860">
        <v>3848</v>
      </c>
      <c r="O1860">
        <v>7772</v>
      </c>
      <c r="P1860" s="13">
        <f t="shared" si="203"/>
        <v>0</v>
      </c>
      <c r="Q1860" t="str">
        <f t="shared" si="204"/>
        <v>No</v>
      </c>
      <c r="R1860" t="str" cm="1">
        <f t="array" ref="R1860">_xlfn.IFS(K1860=0,"On Time",K1860&lt;=2,"Minor",K1860&lt;=5,"Major",K1860&gt;5,"Severe")</f>
        <v>Major</v>
      </c>
      <c r="S1860">
        <f t="shared" si="205"/>
        <v>1943</v>
      </c>
      <c r="T1860">
        <f t="shared" si="206"/>
        <v>962</v>
      </c>
      <c r="U1860">
        <f t="shared" si="207"/>
        <v>2024</v>
      </c>
      <c r="V1860">
        <f t="shared" si="208"/>
        <v>7</v>
      </c>
      <c r="W1860" s="11">
        <f t="shared" si="209"/>
        <v>1</v>
      </c>
    </row>
    <row r="1861" spans="1:23">
      <c r="A1861" t="s">
        <v>1874</v>
      </c>
      <c r="B1861" s="4">
        <v>45415</v>
      </c>
      <c r="C1861" t="s">
        <v>2018</v>
      </c>
      <c r="D1861" t="s">
        <v>2026</v>
      </c>
      <c r="E1861" t="s">
        <v>2029</v>
      </c>
      <c r="F1861" t="s">
        <v>2030</v>
      </c>
      <c r="G1861" t="s">
        <v>2037</v>
      </c>
      <c r="H1861" t="s">
        <v>2038</v>
      </c>
      <c r="I1861">
        <v>2</v>
      </c>
      <c r="J1861">
        <v>6</v>
      </c>
      <c r="K1861">
        <v>4</v>
      </c>
      <c r="L1861" t="s">
        <v>2041</v>
      </c>
      <c r="M1861">
        <v>490</v>
      </c>
      <c r="N1861">
        <v>9388</v>
      </c>
      <c r="O1861">
        <v>15536</v>
      </c>
      <c r="P1861" s="13">
        <f t="shared" si="203"/>
        <v>0</v>
      </c>
      <c r="Q1861" t="str">
        <f t="shared" si="204"/>
        <v>No</v>
      </c>
      <c r="R1861" t="str" cm="1">
        <f t="array" ref="R1861">_xlfn.IFS(K1861=0,"On Time",K1861&lt;=2,"Minor",K1861&lt;=5,"Major",K1861&gt;5,"Severe")</f>
        <v>Major</v>
      </c>
      <c r="S1861">
        <f t="shared" si="205"/>
        <v>3884</v>
      </c>
      <c r="T1861">
        <f t="shared" si="206"/>
        <v>2347</v>
      </c>
      <c r="U1861">
        <f t="shared" si="207"/>
        <v>2024</v>
      </c>
      <c r="V1861">
        <f t="shared" si="208"/>
        <v>5</v>
      </c>
      <c r="W1861" s="11">
        <f t="shared" si="209"/>
        <v>1</v>
      </c>
    </row>
    <row r="1862" spans="1:23">
      <c r="A1862" t="s">
        <v>1875</v>
      </c>
      <c r="B1862" s="4">
        <v>45536</v>
      </c>
      <c r="C1862" t="s">
        <v>2016</v>
      </c>
      <c r="D1862" t="s">
        <v>2021</v>
      </c>
      <c r="E1862" t="s">
        <v>2029</v>
      </c>
      <c r="F1862" t="s">
        <v>2030</v>
      </c>
      <c r="G1862" t="s">
        <v>2035</v>
      </c>
      <c r="H1862" t="s">
        <v>2038</v>
      </c>
      <c r="I1862">
        <v>2</v>
      </c>
      <c r="J1862">
        <v>6</v>
      </c>
      <c r="K1862">
        <v>4</v>
      </c>
      <c r="L1862" t="s">
        <v>2041</v>
      </c>
      <c r="M1862">
        <v>254</v>
      </c>
      <c r="N1862">
        <v>3988</v>
      </c>
      <c r="O1862">
        <v>7832</v>
      </c>
      <c r="P1862" s="13">
        <f t="shared" si="203"/>
        <v>0</v>
      </c>
      <c r="Q1862" t="str">
        <f t="shared" si="204"/>
        <v>No</v>
      </c>
      <c r="R1862" t="str" cm="1">
        <f t="array" ref="R1862">_xlfn.IFS(K1862=0,"On Time",K1862&lt;=2,"Minor",K1862&lt;=5,"Major",K1862&gt;5,"Severe")</f>
        <v>Major</v>
      </c>
      <c r="S1862">
        <f t="shared" si="205"/>
        <v>1958</v>
      </c>
      <c r="T1862">
        <f t="shared" si="206"/>
        <v>997</v>
      </c>
      <c r="U1862">
        <f t="shared" si="207"/>
        <v>2024</v>
      </c>
      <c r="V1862">
        <f t="shared" si="208"/>
        <v>9</v>
      </c>
      <c r="W1862" s="11">
        <f t="shared" si="209"/>
        <v>1</v>
      </c>
    </row>
    <row r="1863" spans="1:23">
      <c r="A1863" t="s">
        <v>1876</v>
      </c>
      <c r="B1863" s="4">
        <v>45482</v>
      </c>
      <c r="C1863" t="s">
        <v>2018</v>
      </c>
      <c r="D1863" t="s">
        <v>2024</v>
      </c>
      <c r="E1863" t="s">
        <v>2027</v>
      </c>
      <c r="F1863" t="s">
        <v>2032</v>
      </c>
      <c r="G1863" t="s">
        <v>2033</v>
      </c>
      <c r="H1863" t="s">
        <v>2039</v>
      </c>
      <c r="I1863">
        <v>2</v>
      </c>
      <c r="J1863">
        <v>5</v>
      </c>
      <c r="K1863">
        <v>3</v>
      </c>
      <c r="L1863" t="s">
        <v>2041</v>
      </c>
      <c r="M1863">
        <v>274</v>
      </c>
      <c r="N1863">
        <v>4431</v>
      </c>
      <c r="O1863">
        <v>9774</v>
      </c>
      <c r="P1863" s="13">
        <f t="shared" si="203"/>
        <v>0</v>
      </c>
      <c r="Q1863" t="str">
        <f t="shared" si="204"/>
        <v>No</v>
      </c>
      <c r="R1863" t="str" cm="1">
        <f t="array" ref="R1863">_xlfn.IFS(K1863=0,"On Time",K1863&lt;=2,"Minor",K1863&lt;=5,"Major",K1863&gt;5,"Severe")</f>
        <v>Major</v>
      </c>
      <c r="S1863">
        <f t="shared" si="205"/>
        <v>3258</v>
      </c>
      <c r="T1863">
        <f t="shared" si="206"/>
        <v>1477</v>
      </c>
      <c r="U1863">
        <f t="shared" si="207"/>
        <v>2024</v>
      </c>
      <c r="V1863">
        <f t="shared" si="208"/>
        <v>7</v>
      </c>
      <c r="W1863" s="11">
        <f t="shared" si="209"/>
        <v>1</v>
      </c>
    </row>
    <row r="1864" spans="1:23">
      <c r="A1864" t="s">
        <v>1877</v>
      </c>
      <c r="B1864" s="4">
        <v>45317</v>
      </c>
      <c r="C1864" t="s">
        <v>2015</v>
      </c>
      <c r="D1864" t="s">
        <v>2019</v>
      </c>
      <c r="E1864" t="s">
        <v>2029</v>
      </c>
      <c r="F1864" t="s">
        <v>2031</v>
      </c>
      <c r="G1864" t="s">
        <v>2036</v>
      </c>
      <c r="H1864" t="s">
        <v>2039</v>
      </c>
      <c r="I1864">
        <v>2</v>
      </c>
      <c r="J1864">
        <v>2</v>
      </c>
      <c r="K1864">
        <v>0</v>
      </c>
      <c r="L1864" t="s">
        <v>2042</v>
      </c>
      <c r="M1864">
        <v>156</v>
      </c>
      <c r="N1864">
        <v>0</v>
      </c>
      <c r="O1864">
        <v>0</v>
      </c>
      <c r="P1864" s="13">
        <f t="shared" si="203"/>
        <v>1</v>
      </c>
      <c r="Q1864" t="str">
        <f t="shared" si="204"/>
        <v>No</v>
      </c>
      <c r="R1864" t="str" cm="1">
        <f t="array" ref="R1864">_xlfn.IFS(K1864=0,"On Time",K1864&lt;=2,"Minor",K1864&lt;=5,"Major",K1864&gt;5,"Severe")</f>
        <v>On Time</v>
      </c>
      <c r="S1864">
        <f t="shared" si="205"/>
        <v>0</v>
      </c>
      <c r="T1864">
        <f t="shared" si="206"/>
        <v>0</v>
      </c>
      <c r="U1864">
        <f t="shared" si="207"/>
        <v>2024</v>
      </c>
      <c r="V1864">
        <f t="shared" si="208"/>
        <v>1</v>
      </c>
      <c r="W1864" s="11">
        <f t="shared" si="209"/>
        <v>0</v>
      </c>
    </row>
    <row r="1865" spans="1:23">
      <c r="A1865" t="s">
        <v>1878</v>
      </c>
      <c r="B1865" s="4">
        <v>45602</v>
      </c>
      <c r="C1865" t="s">
        <v>2017</v>
      </c>
      <c r="D1865" t="s">
        <v>2023</v>
      </c>
      <c r="E1865" t="s">
        <v>2027</v>
      </c>
      <c r="F1865" t="s">
        <v>2030</v>
      </c>
      <c r="G1865" t="s">
        <v>2033</v>
      </c>
      <c r="H1865" t="s">
        <v>2039</v>
      </c>
      <c r="I1865">
        <v>3</v>
      </c>
      <c r="J1865">
        <v>5</v>
      </c>
      <c r="K1865">
        <v>2</v>
      </c>
      <c r="L1865" t="s">
        <v>2041</v>
      </c>
      <c r="M1865">
        <v>150</v>
      </c>
      <c r="N1865">
        <v>4636</v>
      </c>
      <c r="O1865">
        <v>9972</v>
      </c>
      <c r="P1865" s="13">
        <f t="shared" si="203"/>
        <v>0</v>
      </c>
      <c r="Q1865" t="str">
        <f t="shared" si="204"/>
        <v>No</v>
      </c>
      <c r="R1865" t="str" cm="1">
        <f t="array" ref="R1865">_xlfn.IFS(K1865=0,"On Time",K1865&lt;=2,"Minor",K1865&lt;=5,"Major",K1865&gt;5,"Severe")</f>
        <v>Minor</v>
      </c>
      <c r="S1865">
        <f t="shared" si="205"/>
        <v>4986</v>
      </c>
      <c r="T1865">
        <f t="shared" si="206"/>
        <v>2318</v>
      </c>
      <c r="U1865">
        <f t="shared" si="207"/>
        <v>2024</v>
      </c>
      <c r="V1865">
        <f t="shared" si="208"/>
        <v>11</v>
      </c>
      <c r="W1865" s="11">
        <f t="shared" si="209"/>
        <v>1</v>
      </c>
    </row>
    <row r="1866" spans="1:23">
      <c r="A1866" t="s">
        <v>1879</v>
      </c>
      <c r="B1866" s="4">
        <v>45419</v>
      </c>
      <c r="C1866" t="s">
        <v>2016</v>
      </c>
      <c r="D1866" t="s">
        <v>2025</v>
      </c>
      <c r="E1866" t="s">
        <v>2029</v>
      </c>
      <c r="F1866" t="s">
        <v>2032</v>
      </c>
      <c r="G1866" t="s">
        <v>2036</v>
      </c>
      <c r="H1866" t="s">
        <v>2039</v>
      </c>
      <c r="I1866">
        <v>3</v>
      </c>
      <c r="J1866">
        <v>6</v>
      </c>
      <c r="K1866">
        <v>3</v>
      </c>
      <c r="L1866" t="s">
        <v>2041</v>
      </c>
      <c r="M1866">
        <v>287</v>
      </c>
      <c r="N1866">
        <v>6753</v>
      </c>
      <c r="O1866">
        <v>14739</v>
      </c>
      <c r="P1866" s="13">
        <f t="shared" si="203"/>
        <v>0</v>
      </c>
      <c r="Q1866" t="str">
        <f t="shared" si="204"/>
        <v>No</v>
      </c>
      <c r="R1866" t="str" cm="1">
        <f t="array" ref="R1866">_xlfn.IFS(K1866=0,"On Time",K1866&lt;=2,"Minor",K1866&lt;=5,"Major",K1866&gt;5,"Severe")</f>
        <v>Major</v>
      </c>
      <c r="S1866">
        <f t="shared" si="205"/>
        <v>4913</v>
      </c>
      <c r="T1866">
        <f t="shared" si="206"/>
        <v>2251</v>
      </c>
      <c r="U1866">
        <f t="shared" si="207"/>
        <v>2024</v>
      </c>
      <c r="V1866">
        <f t="shared" si="208"/>
        <v>5</v>
      </c>
      <c r="W1866" s="11">
        <f t="shared" si="209"/>
        <v>1</v>
      </c>
    </row>
    <row r="1867" spans="1:23">
      <c r="A1867" t="s">
        <v>1880</v>
      </c>
      <c r="B1867" s="4">
        <v>45563</v>
      </c>
      <c r="C1867" t="s">
        <v>2018</v>
      </c>
      <c r="D1867" t="s">
        <v>2024</v>
      </c>
      <c r="E1867" t="s">
        <v>2027</v>
      </c>
      <c r="F1867" t="s">
        <v>2030</v>
      </c>
      <c r="G1867" t="s">
        <v>2036</v>
      </c>
      <c r="H1867" t="s">
        <v>2038</v>
      </c>
      <c r="I1867">
        <v>2</v>
      </c>
      <c r="J1867">
        <v>2</v>
      </c>
      <c r="K1867">
        <v>0</v>
      </c>
      <c r="L1867" t="s">
        <v>2042</v>
      </c>
      <c r="M1867">
        <v>355</v>
      </c>
      <c r="N1867">
        <v>0</v>
      </c>
      <c r="O1867">
        <v>0</v>
      </c>
      <c r="P1867" s="13">
        <f t="shared" si="203"/>
        <v>1</v>
      </c>
      <c r="Q1867" t="str">
        <f t="shared" si="204"/>
        <v>No</v>
      </c>
      <c r="R1867" t="str" cm="1">
        <f t="array" ref="R1867">_xlfn.IFS(K1867=0,"On Time",K1867&lt;=2,"Minor",K1867&lt;=5,"Major",K1867&gt;5,"Severe")</f>
        <v>On Time</v>
      </c>
      <c r="S1867">
        <f t="shared" si="205"/>
        <v>0</v>
      </c>
      <c r="T1867">
        <f t="shared" si="206"/>
        <v>0</v>
      </c>
      <c r="U1867">
        <f t="shared" si="207"/>
        <v>2024</v>
      </c>
      <c r="V1867">
        <f t="shared" si="208"/>
        <v>9</v>
      </c>
      <c r="W1867" s="11">
        <f t="shared" si="209"/>
        <v>0</v>
      </c>
    </row>
    <row r="1868" spans="1:23">
      <c r="A1868" t="s">
        <v>1881</v>
      </c>
      <c r="B1868" s="4">
        <v>45639</v>
      </c>
      <c r="C1868" t="s">
        <v>2016</v>
      </c>
      <c r="D1868" t="s">
        <v>2025</v>
      </c>
      <c r="E1868" t="s">
        <v>2027</v>
      </c>
      <c r="F1868" t="s">
        <v>2032</v>
      </c>
      <c r="G1868" t="s">
        <v>2035</v>
      </c>
      <c r="H1868" t="s">
        <v>2039</v>
      </c>
      <c r="I1868">
        <v>1</v>
      </c>
      <c r="J1868">
        <v>6</v>
      </c>
      <c r="K1868">
        <v>5</v>
      </c>
      <c r="L1868" t="s">
        <v>2041</v>
      </c>
      <c r="M1868">
        <v>293</v>
      </c>
      <c r="N1868">
        <v>6675</v>
      </c>
      <c r="O1868">
        <v>13205</v>
      </c>
      <c r="P1868" s="13">
        <f t="shared" si="203"/>
        <v>0</v>
      </c>
      <c r="Q1868" t="str">
        <f t="shared" si="204"/>
        <v>No</v>
      </c>
      <c r="R1868" t="str" cm="1">
        <f t="array" ref="R1868">_xlfn.IFS(K1868=0,"On Time",K1868&lt;=2,"Minor",K1868&lt;=5,"Major",K1868&gt;5,"Severe")</f>
        <v>Major</v>
      </c>
      <c r="S1868">
        <f t="shared" si="205"/>
        <v>2641</v>
      </c>
      <c r="T1868">
        <f t="shared" si="206"/>
        <v>1335</v>
      </c>
      <c r="U1868">
        <f t="shared" si="207"/>
        <v>2024</v>
      </c>
      <c r="V1868">
        <f t="shared" si="208"/>
        <v>12</v>
      </c>
      <c r="W1868" s="11">
        <f t="shared" si="209"/>
        <v>1</v>
      </c>
    </row>
    <row r="1869" spans="1:23">
      <c r="A1869" t="s">
        <v>1882</v>
      </c>
      <c r="B1869" s="4">
        <v>45612</v>
      </c>
      <c r="C1869" t="s">
        <v>2015</v>
      </c>
      <c r="D1869" t="s">
        <v>2020</v>
      </c>
      <c r="E1869" t="s">
        <v>2027</v>
      </c>
      <c r="F1869" t="s">
        <v>2032</v>
      </c>
      <c r="G1869" t="s">
        <v>2033</v>
      </c>
      <c r="H1869" t="s">
        <v>2040</v>
      </c>
      <c r="I1869">
        <v>1</v>
      </c>
      <c r="J1869">
        <v>6</v>
      </c>
      <c r="K1869">
        <v>5</v>
      </c>
      <c r="L1869" t="s">
        <v>2041</v>
      </c>
      <c r="M1869">
        <v>336</v>
      </c>
      <c r="N1869">
        <v>10045</v>
      </c>
      <c r="O1869">
        <v>22630</v>
      </c>
      <c r="P1869" s="13">
        <f t="shared" si="203"/>
        <v>0</v>
      </c>
      <c r="Q1869" t="str">
        <f t="shared" si="204"/>
        <v>No</v>
      </c>
      <c r="R1869" t="str" cm="1">
        <f t="array" ref="R1869">_xlfn.IFS(K1869=0,"On Time",K1869&lt;=2,"Minor",K1869&lt;=5,"Major",K1869&gt;5,"Severe")</f>
        <v>Major</v>
      </c>
      <c r="S1869">
        <f t="shared" si="205"/>
        <v>4526</v>
      </c>
      <c r="T1869">
        <f t="shared" si="206"/>
        <v>2009</v>
      </c>
      <c r="U1869">
        <f t="shared" si="207"/>
        <v>2024</v>
      </c>
      <c r="V1869">
        <f t="shared" si="208"/>
        <v>11</v>
      </c>
      <c r="W1869" s="11">
        <f t="shared" si="209"/>
        <v>1</v>
      </c>
    </row>
    <row r="1870" spans="1:23">
      <c r="A1870" t="s">
        <v>1883</v>
      </c>
      <c r="B1870" s="4">
        <v>45530</v>
      </c>
      <c r="C1870" t="s">
        <v>2017</v>
      </c>
      <c r="D1870" t="s">
        <v>2023</v>
      </c>
      <c r="E1870" t="s">
        <v>2027</v>
      </c>
      <c r="F1870" t="s">
        <v>2032</v>
      </c>
      <c r="G1870" t="s">
        <v>2036</v>
      </c>
      <c r="H1870" t="s">
        <v>2038</v>
      </c>
      <c r="I1870">
        <v>5</v>
      </c>
      <c r="J1870">
        <v>8</v>
      </c>
      <c r="K1870">
        <v>3</v>
      </c>
      <c r="L1870" t="s">
        <v>2041</v>
      </c>
      <c r="M1870">
        <v>402</v>
      </c>
      <c r="N1870">
        <v>6468</v>
      </c>
      <c r="O1870">
        <v>5319</v>
      </c>
      <c r="P1870" s="13">
        <f t="shared" si="203"/>
        <v>0</v>
      </c>
      <c r="Q1870" t="str">
        <f t="shared" si="204"/>
        <v>No</v>
      </c>
      <c r="R1870" t="str" cm="1">
        <f t="array" ref="R1870">_xlfn.IFS(K1870=0,"On Time",K1870&lt;=2,"Minor",K1870&lt;=5,"Major",K1870&gt;5,"Severe")</f>
        <v>Major</v>
      </c>
      <c r="S1870">
        <f t="shared" si="205"/>
        <v>1773</v>
      </c>
      <c r="T1870">
        <f t="shared" si="206"/>
        <v>2156</v>
      </c>
      <c r="U1870">
        <f t="shared" si="207"/>
        <v>2024</v>
      </c>
      <c r="V1870">
        <f t="shared" si="208"/>
        <v>8</v>
      </c>
      <c r="W1870" s="11">
        <f t="shared" si="209"/>
        <v>1</v>
      </c>
    </row>
    <row r="1871" spans="1:23">
      <c r="A1871" t="s">
        <v>1884</v>
      </c>
      <c r="B1871" s="4">
        <v>45338</v>
      </c>
      <c r="C1871" t="s">
        <v>2015</v>
      </c>
      <c r="D1871" t="s">
        <v>2020</v>
      </c>
      <c r="E1871" t="s">
        <v>2028</v>
      </c>
      <c r="F1871" t="s">
        <v>2031</v>
      </c>
      <c r="G1871" t="s">
        <v>2033</v>
      </c>
      <c r="H1871" t="s">
        <v>2038</v>
      </c>
      <c r="I1871">
        <v>2</v>
      </c>
      <c r="J1871">
        <v>7</v>
      </c>
      <c r="K1871">
        <v>5</v>
      </c>
      <c r="L1871" t="s">
        <v>2041</v>
      </c>
      <c r="M1871">
        <v>370</v>
      </c>
      <c r="N1871">
        <v>11410</v>
      </c>
      <c r="O1871">
        <v>12420</v>
      </c>
      <c r="P1871" s="13">
        <f t="shared" si="203"/>
        <v>0</v>
      </c>
      <c r="Q1871" t="str">
        <f t="shared" si="204"/>
        <v>No</v>
      </c>
      <c r="R1871" t="str" cm="1">
        <f t="array" ref="R1871">_xlfn.IFS(K1871=0,"On Time",K1871&lt;=2,"Minor",K1871&lt;=5,"Major",K1871&gt;5,"Severe")</f>
        <v>Major</v>
      </c>
      <c r="S1871">
        <f t="shared" si="205"/>
        <v>2484</v>
      </c>
      <c r="T1871">
        <f t="shared" si="206"/>
        <v>2282</v>
      </c>
      <c r="U1871">
        <f t="shared" si="207"/>
        <v>2024</v>
      </c>
      <c r="V1871">
        <f t="shared" si="208"/>
        <v>2</v>
      </c>
      <c r="W1871" s="11">
        <f t="shared" si="209"/>
        <v>1</v>
      </c>
    </row>
    <row r="1872" spans="1:23">
      <c r="A1872" t="s">
        <v>1885</v>
      </c>
      <c r="B1872" s="4">
        <v>45302</v>
      </c>
      <c r="C1872" t="s">
        <v>2017</v>
      </c>
      <c r="D1872" t="s">
        <v>2023</v>
      </c>
      <c r="E1872" t="s">
        <v>2029</v>
      </c>
      <c r="F1872" t="s">
        <v>2031</v>
      </c>
      <c r="G1872" t="s">
        <v>2034</v>
      </c>
      <c r="H1872" t="s">
        <v>2038</v>
      </c>
      <c r="I1872">
        <v>2</v>
      </c>
      <c r="J1872">
        <v>2</v>
      </c>
      <c r="K1872">
        <v>0</v>
      </c>
      <c r="L1872" t="s">
        <v>2042</v>
      </c>
      <c r="M1872">
        <v>293</v>
      </c>
      <c r="N1872">
        <v>0</v>
      </c>
      <c r="O1872">
        <v>0</v>
      </c>
      <c r="P1872" s="13">
        <f t="shared" si="203"/>
        <v>1</v>
      </c>
      <c r="Q1872" t="str">
        <f t="shared" si="204"/>
        <v>No</v>
      </c>
      <c r="R1872" t="str" cm="1">
        <f t="array" ref="R1872">_xlfn.IFS(K1872=0,"On Time",K1872&lt;=2,"Minor",K1872&lt;=5,"Major",K1872&gt;5,"Severe")</f>
        <v>On Time</v>
      </c>
      <c r="S1872">
        <f t="shared" si="205"/>
        <v>0</v>
      </c>
      <c r="T1872">
        <f t="shared" si="206"/>
        <v>0</v>
      </c>
      <c r="U1872">
        <f t="shared" si="207"/>
        <v>2024</v>
      </c>
      <c r="V1872">
        <f t="shared" si="208"/>
        <v>1</v>
      </c>
      <c r="W1872" s="11">
        <f t="shared" si="209"/>
        <v>0</v>
      </c>
    </row>
    <row r="1873" spans="1:23">
      <c r="A1873" t="s">
        <v>1886</v>
      </c>
      <c r="B1873" s="4">
        <v>45643</v>
      </c>
      <c r="C1873" t="s">
        <v>2017</v>
      </c>
      <c r="D1873" t="s">
        <v>2023</v>
      </c>
      <c r="E1873" t="s">
        <v>2027</v>
      </c>
      <c r="F1873" t="s">
        <v>2030</v>
      </c>
      <c r="G1873" t="s">
        <v>2036</v>
      </c>
      <c r="H1873" t="s">
        <v>2040</v>
      </c>
      <c r="I1873">
        <v>2</v>
      </c>
      <c r="J1873">
        <v>9</v>
      </c>
      <c r="K1873">
        <v>7</v>
      </c>
      <c r="L1873" t="s">
        <v>2041</v>
      </c>
      <c r="M1873">
        <v>113</v>
      </c>
      <c r="N1873">
        <v>15666</v>
      </c>
      <c r="O1873">
        <v>16681</v>
      </c>
      <c r="P1873" s="13">
        <f t="shared" si="203"/>
        <v>0</v>
      </c>
      <c r="Q1873" t="str">
        <f t="shared" si="204"/>
        <v>No</v>
      </c>
      <c r="R1873" t="str" cm="1">
        <f t="array" ref="R1873">_xlfn.IFS(K1873=0,"On Time",K1873&lt;=2,"Minor",K1873&lt;=5,"Major",K1873&gt;5,"Severe")</f>
        <v>Severe</v>
      </c>
      <c r="S1873">
        <f t="shared" si="205"/>
        <v>2383</v>
      </c>
      <c r="T1873">
        <f t="shared" si="206"/>
        <v>2238</v>
      </c>
      <c r="U1873">
        <f t="shared" si="207"/>
        <v>2024</v>
      </c>
      <c r="V1873">
        <f t="shared" si="208"/>
        <v>12</v>
      </c>
      <c r="W1873" s="11">
        <f t="shared" si="209"/>
        <v>1</v>
      </c>
    </row>
    <row r="1874" spans="1:23">
      <c r="A1874" t="s">
        <v>1887</v>
      </c>
      <c r="B1874" s="4">
        <v>45486</v>
      </c>
      <c r="C1874" t="s">
        <v>2016</v>
      </c>
      <c r="D1874" t="s">
        <v>2021</v>
      </c>
      <c r="E1874" t="s">
        <v>2029</v>
      </c>
      <c r="F1874" t="s">
        <v>2031</v>
      </c>
      <c r="G1874" t="s">
        <v>2037</v>
      </c>
      <c r="H1874" t="s">
        <v>2038</v>
      </c>
      <c r="I1874">
        <v>1</v>
      </c>
      <c r="J1874">
        <v>6</v>
      </c>
      <c r="K1874">
        <v>5</v>
      </c>
      <c r="L1874" t="s">
        <v>2041</v>
      </c>
      <c r="M1874">
        <v>464</v>
      </c>
      <c r="N1874">
        <v>4065</v>
      </c>
      <c r="O1874">
        <v>12590</v>
      </c>
      <c r="P1874" s="13">
        <f t="shared" si="203"/>
        <v>0</v>
      </c>
      <c r="Q1874" t="str">
        <f t="shared" si="204"/>
        <v>No</v>
      </c>
      <c r="R1874" t="str" cm="1">
        <f t="array" ref="R1874">_xlfn.IFS(K1874=0,"On Time",K1874&lt;=2,"Minor",K1874&lt;=5,"Major",K1874&gt;5,"Severe")</f>
        <v>Major</v>
      </c>
      <c r="S1874">
        <f t="shared" si="205"/>
        <v>2518</v>
      </c>
      <c r="T1874">
        <f t="shared" si="206"/>
        <v>813</v>
      </c>
      <c r="U1874">
        <f t="shared" si="207"/>
        <v>2024</v>
      </c>
      <c r="V1874">
        <f t="shared" si="208"/>
        <v>7</v>
      </c>
      <c r="W1874" s="11">
        <f t="shared" si="209"/>
        <v>1</v>
      </c>
    </row>
    <row r="1875" spans="1:23">
      <c r="A1875" t="s">
        <v>1888</v>
      </c>
      <c r="B1875" s="4">
        <v>45295</v>
      </c>
      <c r="C1875" t="s">
        <v>2016</v>
      </c>
      <c r="D1875" t="s">
        <v>2021</v>
      </c>
      <c r="E1875" t="s">
        <v>2028</v>
      </c>
      <c r="F1875" t="s">
        <v>2032</v>
      </c>
      <c r="G1875" t="s">
        <v>2035</v>
      </c>
      <c r="H1875" t="s">
        <v>2040</v>
      </c>
      <c r="I1875">
        <v>1</v>
      </c>
      <c r="J1875">
        <v>9</v>
      </c>
      <c r="K1875">
        <v>8</v>
      </c>
      <c r="L1875" t="s">
        <v>2041</v>
      </c>
      <c r="M1875">
        <v>259</v>
      </c>
      <c r="N1875">
        <v>9488</v>
      </c>
      <c r="O1875">
        <v>35392</v>
      </c>
      <c r="P1875" s="13">
        <f t="shared" si="203"/>
        <v>0</v>
      </c>
      <c r="Q1875" t="str">
        <f t="shared" si="204"/>
        <v>No</v>
      </c>
      <c r="R1875" t="str" cm="1">
        <f t="array" ref="R1875">_xlfn.IFS(K1875=0,"On Time",K1875&lt;=2,"Minor",K1875&lt;=5,"Major",K1875&gt;5,"Severe")</f>
        <v>Severe</v>
      </c>
      <c r="S1875">
        <f t="shared" si="205"/>
        <v>4424</v>
      </c>
      <c r="T1875">
        <f t="shared" si="206"/>
        <v>1186</v>
      </c>
      <c r="U1875">
        <f t="shared" si="207"/>
        <v>2024</v>
      </c>
      <c r="V1875">
        <f t="shared" si="208"/>
        <v>1</v>
      </c>
      <c r="W1875" s="11">
        <f t="shared" si="209"/>
        <v>1</v>
      </c>
    </row>
    <row r="1876" spans="1:23">
      <c r="A1876" t="s">
        <v>1889</v>
      </c>
      <c r="B1876" s="4">
        <v>45382</v>
      </c>
      <c r="C1876" t="s">
        <v>2015</v>
      </c>
      <c r="D1876" t="s">
        <v>2020</v>
      </c>
      <c r="E1876" t="s">
        <v>2027</v>
      </c>
      <c r="F1876" t="s">
        <v>2030</v>
      </c>
      <c r="G1876" t="s">
        <v>2036</v>
      </c>
      <c r="H1876" t="s">
        <v>2038</v>
      </c>
      <c r="I1876">
        <v>1</v>
      </c>
      <c r="J1876">
        <v>3</v>
      </c>
      <c r="K1876">
        <v>2</v>
      </c>
      <c r="L1876" t="s">
        <v>2041</v>
      </c>
      <c r="M1876">
        <v>210</v>
      </c>
      <c r="N1876">
        <v>2480</v>
      </c>
      <c r="O1876">
        <v>9584</v>
      </c>
      <c r="P1876" s="13">
        <f t="shared" si="203"/>
        <v>0</v>
      </c>
      <c r="Q1876" t="str">
        <f t="shared" si="204"/>
        <v>No</v>
      </c>
      <c r="R1876" t="str" cm="1">
        <f t="array" ref="R1876">_xlfn.IFS(K1876=0,"On Time",K1876&lt;=2,"Minor",K1876&lt;=5,"Major",K1876&gt;5,"Severe")</f>
        <v>Minor</v>
      </c>
      <c r="S1876">
        <f t="shared" si="205"/>
        <v>4792</v>
      </c>
      <c r="T1876">
        <f t="shared" si="206"/>
        <v>1240</v>
      </c>
      <c r="U1876">
        <f t="shared" si="207"/>
        <v>2024</v>
      </c>
      <c r="V1876">
        <f t="shared" si="208"/>
        <v>3</v>
      </c>
      <c r="W1876" s="11">
        <f t="shared" si="209"/>
        <v>1</v>
      </c>
    </row>
    <row r="1877" spans="1:23">
      <c r="A1877" t="s">
        <v>1890</v>
      </c>
      <c r="B1877" s="4">
        <v>45602</v>
      </c>
      <c r="C1877" t="s">
        <v>2016</v>
      </c>
      <c r="D1877" t="s">
        <v>2025</v>
      </c>
      <c r="E1877" t="s">
        <v>2027</v>
      </c>
      <c r="F1877" t="s">
        <v>2032</v>
      </c>
      <c r="G1877" t="s">
        <v>2036</v>
      </c>
      <c r="H1877" t="s">
        <v>2040</v>
      </c>
      <c r="I1877">
        <v>5</v>
      </c>
      <c r="J1877">
        <v>13</v>
      </c>
      <c r="K1877">
        <v>8</v>
      </c>
      <c r="L1877" t="s">
        <v>2041</v>
      </c>
      <c r="M1877">
        <v>177</v>
      </c>
      <c r="N1877">
        <v>17200</v>
      </c>
      <c r="O1877">
        <v>13432</v>
      </c>
      <c r="P1877" s="13">
        <f t="shared" si="203"/>
        <v>0</v>
      </c>
      <c r="Q1877" t="str">
        <f t="shared" si="204"/>
        <v>No</v>
      </c>
      <c r="R1877" t="str" cm="1">
        <f t="array" ref="R1877">_xlfn.IFS(K1877=0,"On Time",K1877&lt;=2,"Minor",K1877&lt;=5,"Major",K1877&gt;5,"Severe")</f>
        <v>Severe</v>
      </c>
      <c r="S1877">
        <f t="shared" si="205"/>
        <v>1679</v>
      </c>
      <c r="T1877">
        <f t="shared" si="206"/>
        <v>2150</v>
      </c>
      <c r="U1877">
        <f t="shared" si="207"/>
        <v>2024</v>
      </c>
      <c r="V1877">
        <f t="shared" si="208"/>
        <v>11</v>
      </c>
      <c r="W1877" s="11">
        <f t="shared" si="209"/>
        <v>1</v>
      </c>
    </row>
    <row r="1878" spans="1:23">
      <c r="A1878" t="s">
        <v>1891</v>
      </c>
      <c r="B1878" s="4">
        <v>45357</v>
      </c>
      <c r="C1878" t="s">
        <v>2018</v>
      </c>
      <c r="D1878" t="s">
        <v>2024</v>
      </c>
      <c r="E1878" t="s">
        <v>2029</v>
      </c>
      <c r="F1878" t="s">
        <v>2030</v>
      </c>
      <c r="G1878" t="s">
        <v>2033</v>
      </c>
      <c r="H1878" t="s">
        <v>2039</v>
      </c>
      <c r="I1878">
        <v>3</v>
      </c>
      <c r="J1878">
        <v>8</v>
      </c>
      <c r="K1878">
        <v>5</v>
      </c>
      <c r="L1878" t="s">
        <v>2041</v>
      </c>
      <c r="M1878">
        <v>446</v>
      </c>
      <c r="N1878">
        <v>9430</v>
      </c>
      <c r="O1878">
        <v>22900</v>
      </c>
      <c r="P1878" s="13">
        <f t="shared" si="203"/>
        <v>0</v>
      </c>
      <c r="Q1878" t="str">
        <f t="shared" si="204"/>
        <v>No</v>
      </c>
      <c r="R1878" t="str" cm="1">
        <f t="array" ref="R1878">_xlfn.IFS(K1878=0,"On Time",K1878&lt;=2,"Minor",K1878&lt;=5,"Major",K1878&gt;5,"Severe")</f>
        <v>Major</v>
      </c>
      <c r="S1878">
        <f t="shared" si="205"/>
        <v>4580</v>
      </c>
      <c r="T1878">
        <f t="shared" si="206"/>
        <v>1886</v>
      </c>
      <c r="U1878">
        <f t="shared" si="207"/>
        <v>2024</v>
      </c>
      <c r="V1878">
        <f t="shared" si="208"/>
        <v>3</v>
      </c>
      <c r="W1878" s="11">
        <f t="shared" si="209"/>
        <v>1</v>
      </c>
    </row>
    <row r="1879" spans="1:23">
      <c r="A1879" t="s">
        <v>1892</v>
      </c>
      <c r="B1879" s="4">
        <v>45491</v>
      </c>
      <c r="C1879" t="s">
        <v>2018</v>
      </c>
      <c r="D1879" t="s">
        <v>2024</v>
      </c>
      <c r="E1879" t="s">
        <v>2029</v>
      </c>
      <c r="F1879" t="s">
        <v>2031</v>
      </c>
      <c r="G1879" t="s">
        <v>2036</v>
      </c>
      <c r="H1879" t="s">
        <v>2038</v>
      </c>
      <c r="I1879">
        <v>2</v>
      </c>
      <c r="J1879">
        <v>7</v>
      </c>
      <c r="K1879">
        <v>5</v>
      </c>
      <c r="L1879" t="s">
        <v>2041</v>
      </c>
      <c r="M1879">
        <v>344</v>
      </c>
      <c r="N1879">
        <v>11755</v>
      </c>
      <c r="O1879">
        <v>19345</v>
      </c>
      <c r="P1879" s="13">
        <f t="shared" si="203"/>
        <v>0</v>
      </c>
      <c r="Q1879" t="str">
        <f t="shared" si="204"/>
        <v>No</v>
      </c>
      <c r="R1879" t="str" cm="1">
        <f t="array" ref="R1879">_xlfn.IFS(K1879=0,"On Time",K1879&lt;=2,"Minor",K1879&lt;=5,"Major",K1879&gt;5,"Severe")</f>
        <v>Major</v>
      </c>
      <c r="S1879">
        <f t="shared" si="205"/>
        <v>3869</v>
      </c>
      <c r="T1879">
        <f t="shared" si="206"/>
        <v>2351</v>
      </c>
      <c r="U1879">
        <f t="shared" si="207"/>
        <v>2024</v>
      </c>
      <c r="V1879">
        <f t="shared" si="208"/>
        <v>7</v>
      </c>
      <c r="W1879" s="11">
        <f t="shared" si="209"/>
        <v>1</v>
      </c>
    </row>
    <row r="1880" spans="1:23">
      <c r="A1880" t="s">
        <v>1893</v>
      </c>
      <c r="B1880" s="4">
        <v>45534</v>
      </c>
      <c r="C1880" t="s">
        <v>2016</v>
      </c>
      <c r="D1880" t="s">
        <v>2021</v>
      </c>
      <c r="E1880" t="s">
        <v>2027</v>
      </c>
      <c r="F1880" t="s">
        <v>2030</v>
      </c>
      <c r="G1880" t="s">
        <v>2033</v>
      </c>
      <c r="H1880" t="s">
        <v>2039</v>
      </c>
      <c r="I1880">
        <v>3</v>
      </c>
      <c r="J1880">
        <v>7</v>
      </c>
      <c r="K1880">
        <v>4</v>
      </c>
      <c r="L1880" t="s">
        <v>2041</v>
      </c>
      <c r="M1880">
        <v>463</v>
      </c>
      <c r="N1880">
        <v>4492</v>
      </c>
      <c r="O1880">
        <v>12000</v>
      </c>
      <c r="P1880" s="13">
        <f t="shared" si="203"/>
        <v>0</v>
      </c>
      <c r="Q1880" t="str">
        <f t="shared" si="204"/>
        <v>No</v>
      </c>
      <c r="R1880" t="str" cm="1">
        <f t="array" ref="R1880">_xlfn.IFS(K1880=0,"On Time",K1880&lt;=2,"Minor",K1880&lt;=5,"Major",K1880&gt;5,"Severe")</f>
        <v>Major</v>
      </c>
      <c r="S1880">
        <f t="shared" si="205"/>
        <v>3000</v>
      </c>
      <c r="T1880">
        <f t="shared" si="206"/>
        <v>1123</v>
      </c>
      <c r="U1880">
        <f t="shared" si="207"/>
        <v>2024</v>
      </c>
      <c r="V1880">
        <f t="shared" si="208"/>
        <v>8</v>
      </c>
      <c r="W1880" s="11">
        <f t="shared" si="209"/>
        <v>1</v>
      </c>
    </row>
    <row r="1881" spans="1:23">
      <c r="A1881" t="s">
        <v>1894</v>
      </c>
      <c r="B1881" s="4">
        <v>45633</v>
      </c>
      <c r="C1881" t="s">
        <v>2016</v>
      </c>
      <c r="D1881" t="s">
        <v>2021</v>
      </c>
      <c r="E1881" t="s">
        <v>2028</v>
      </c>
      <c r="F1881" t="s">
        <v>2031</v>
      </c>
      <c r="G1881" t="s">
        <v>2035</v>
      </c>
      <c r="H1881" t="s">
        <v>2038</v>
      </c>
      <c r="I1881">
        <v>3</v>
      </c>
      <c r="J1881">
        <v>4</v>
      </c>
      <c r="K1881">
        <v>1</v>
      </c>
      <c r="L1881" t="s">
        <v>2041</v>
      </c>
      <c r="M1881">
        <v>457</v>
      </c>
      <c r="N1881">
        <v>1398</v>
      </c>
      <c r="O1881">
        <v>2127</v>
      </c>
      <c r="P1881" s="13">
        <f t="shared" si="203"/>
        <v>0</v>
      </c>
      <c r="Q1881" t="str">
        <f t="shared" si="204"/>
        <v>No</v>
      </c>
      <c r="R1881" t="str" cm="1">
        <f t="array" ref="R1881">_xlfn.IFS(K1881=0,"On Time",K1881&lt;=2,"Minor",K1881&lt;=5,"Major",K1881&gt;5,"Severe")</f>
        <v>Minor</v>
      </c>
      <c r="S1881">
        <f t="shared" si="205"/>
        <v>2127</v>
      </c>
      <c r="T1881">
        <f t="shared" si="206"/>
        <v>1398</v>
      </c>
      <c r="U1881">
        <f t="shared" si="207"/>
        <v>2024</v>
      </c>
      <c r="V1881">
        <f t="shared" si="208"/>
        <v>12</v>
      </c>
      <c r="W1881" s="11">
        <f t="shared" si="209"/>
        <v>1</v>
      </c>
    </row>
    <row r="1882" spans="1:23">
      <c r="A1882" t="s">
        <v>1895</v>
      </c>
      <c r="B1882" s="4">
        <v>45509</v>
      </c>
      <c r="C1882" t="s">
        <v>2015</v>
      </c>
      <c r="D1882" t="s">
        <v>2020</v>
      </c>
      <c r="E1882" t="s">
        <v>2028</v>
      </c>
      <c r="F1882" t="s">
        <v>2032</v>
      </c>
      <c r="G1882" t="s">
        <v>2035</v>
      </c>
      <c r="H1882" t="s">
        <v>2039</v>
      </c>
      <c r="I1882">
        <v>1</v>
      </c>
      <c r="J1882">
        <v>4</v>
      </c>
      <c r="K1882">
        <v>3</v>
      </c>
      <c r="L1882" t="s">
        <v>2041</v>
      </c>
      <c r="M1882">
        <v>494</v>
      </c>
      <c r="N1882">
        <v>4599</v>
      </c>
      <c r="O1882">
        <v>10602</v>
      </c>
      <c r="P1882" s="13">
        <f t="shared" si="203"/>
        <v>0</v>
      </c>
      <c r="Q1882" t="str">
        <f t="shared" si="204"/>
        <v>No</v>
      </c>
      <c r="R1882" t="str" cm="1">
        <f t="array" ref="R1882">_xlfn.IFS(K1882=0,"On Time",K1882&lt;=2,"Minor",K1882&lt;=5,"Major",K1882&gt;5,"Severe")</f>
        <v>Major</v>
      </c>
      <c r="S1882">
        <f t="shared" si="205"/>
        <v>3534</v>
      </c>
      <c r="T1882">
        <f t="shared" si="206"/>
        <v>1533</v>
      </c>
      <c r="U1882">
        <f t="shared" si="207"/>
        <v>2024</v>
      </c>
      <c r="V1882">
        <f t="shared" si="208"/>
        <v>8</v>
      </c>
      <c r="W1882" s="11">
        <f t="shared" si="209"/>
        <v>1</v>
      </c>
    </row>
    <row r="1883" spans="1:23">
      <c r="A1883" t="s">
        <v>1896</v>
      </c>
      <c r="B1883" s="4">
        <v>45548</v>
      </c>
      <c r="C1883" t="s">
        <v>2016</v>
      </c>
      <c r="D1883" t="s">
        <v>2025</v>
      </c>
      <c r="E1883" t="s">
        <v>2027</v>
      </c>
      <c r="F1883" t="s">
        <v>2032</v>
      </c>
      <c r="G1883" t="s">
        <v>2037</v>
      </c>
      <c r="H1883" t="s">
        <v>2040</v>
      </c>
      <c r="I1883">
        <v>1</v>
      </c>
      <c r="J1883">
        <v>8</v>
      </c>
      <c r="K1883">
        <v>7</v>
      </c>
      <c r="L1883" t="s">
        <v>2041</v>
      </c>
      <c r="M1883">
        <v>263</v>
      </c>
      <c r="N1883">
        <v>7840</v>
      </c>
      <c r="O1883">
        <v>19411</v>
      </c>
      <c r="P1883" s="13">
        <f t="shared" si="203"/>
        <v>0</v>
      </c>
      <c r="Q1883" t="str">
        <f t="shared" si="204"/>
        <v>No</v>
      </c>
      <c r="R1883" t="str" cm="1">
        <f t="array" ref="R1883">_xlfn.IFS(K1883=0,"On Time",K1883&lt;=2,"Minor",K1883&lt;=5,"Major",K1883&gt;5,"Severe")</f>
        <v>Severe</v>
      </c>
      <c r="S1883">
        <f t="shared" si="205"/>
        <v>2773</v>
      </c>
      <c r="T1883">
        <f t="shared" si="206"/>
        <v>1120</v>
      </c>
      <c r="U1883">
        <f t="shared" si="207"/>
        <v>2024</v>
      </c>
      <c r="V1883">
        <f t="shared" si="208"/>
        <v>9</v>
      </c>
      <c r="W1883" s="11">
        <f t="shared" si="209"/>
        <v>1</v>
      </c>
    </row>
    <row r="1884" spans="1:23">
      <c r="A1884" t="s">
        <v>1897</v>
      </c>
      <c r="B1884" s="4">
        <v>45542</v>
      </c>
      <c r="C1884" t="s">
        <v>2016</v>
      </c>
      <c r="D1884" t="s">
        <v>2025</v>
      </c>
      <c r="E1884" t="s">
        <v>2028</v>
      </c>
      <c r="F1884" t="s">
        <v>2031</v>
      </c>
      <c r="G1884" t="s">
        <v>2033</v>
      </c>
      <c r="H1884" t="s">
        <v>2038</v>
      </c>
      <c r="I1884">
        <v>2</v>
      </c>
      <c r="J1884">
        <v>2</v>
      </c>
      <c r="K1884">
        <v>0</v>
      </c>
      <c r="L1884" t="s">
        <v>2042</v>
      </c>
      <c r="M1884">
        <v>64</v>
      </c>
      <c r="N1884">
        <v>0</v>
      </c>
      <c r="O1884">
        <v>0</v>
      </c>
      <c r="P1884" s="13">
        <f t="shared" si="203"/>
        <v>1</v>
      </c>
      <c r="Q1884" t="str">
        <f t="shared" si="204"/>
        <v>No</v>
      </c>
      <c r="R1884" t="str" cm="1">
        <f t="array" ref="R1884">_xlfn.IFS(K1884=0,"On Time",K1884&lt;=2,"Minor",K1884&lt;=5,"Major",K1884&gt;5,"Severe")</f>
        <v>On Time</v>
      </c>
      <c r="S1884">
        <f t="shared" si="205"/>
        <v>0</v>
      </c>
      <c r="T1884">
        <f t="shared" si="206"/>
        <v>0</v>
      </c>
      <c r="U1884">
        <f t="shared" si="207"/>
        <v>2024</v>
      </c>
      <c r="V1884">
        <f t="shared" si="208"/>
        <v>9</v>
      </c>
      <c r="W1884" s="11">
        <f t="shared" si="209"/>
        <v>0</v>
      </c>
    </row>
    <row r="1885" spans="1:23">
      <c r="A1885" t="s">
        <v>1898</v>
      </c>
      <c r="B1885" s="4">
        <v>45363</v>
      </c>
      <c r="C1885" t="s">
        <v>2018</v>
      </c>
      <c r="D1885" t="s">
        <v>2026</v>
      </c>
      <c r="E1885" t="s">
        <v>2029</v>
      </c>
      <c r="F1885" t="s">
        <v>2032</v>
      </c>
      <c r="G1885" t="s">
        <v>2037</v>
      </c>
      <c r="H1885" t="s">
        <v>2039</v>
      </c>
      <c r="I1885">
        <v>3</v>
      </c>
      <c r="J1885">
        <v>5</v>
      </c>
      <c r="K1885">
        <v>2</v>
      </c>
      <c r="L1885" t="s">
        <v>2041</v>
      </c>
      <c r="M1885">
        <v>328</v>
      </c>
      <c r="N1885">
        <v>4056</v>
      </c>
      <c r="O1885">
        <v>3500</v>
      </c>
      <c r="P1885" s="13">
        <f t="shared" si="203"/>
        <v>0</v>
      </c>
      <c r="Q1885" t="str">
        <f t="shared" si="204"/>
        <v>No</v>
      </c>
      <c r="R1885" t="str" cm="1">
        <f t="array" ref="R1885">_xlfn.IFS(K1885=0,"On Time",K1885&lt;=2,"Minor",K1885&lt;=5,"Major",K1885&gt;5,"Severe")</f>
        <v>Minor</v>
      </c>
      <c r="S1885">
        <f t="shared" si="205"/>
        <v>1750</v>
      </c>
      <c r="T1885">
        <f t="shared" si="206"/>
        <v>2028</v>
      </c>
      <c r="U1885">
        <f t="shared" si="207"/>
        <v>2024</v>
      </c>
      <c r="V1885">
        <f t="shared" si="208"/>
        <v>3</v>
      </c>
      <c r="W1885" s="11">
        <f t="shared" si="209"/>
        <v>1</v>
      </c>
    </row>
    <row r="1886" spans="1:23">
      <c r="A1886" t="s">
        <v>1899</v>
      </c>
      <c r="B1886" s="4">
        <v>45435</v>
      </c>
      <c r="C1886" t="s">
        <v>2017</v>
      </c>
      <c r="D1886" t="s">
        <v>2023</v>
      </c>
      <c r="E1886" t="s">
        <v>2028</v>
      </c>
      <c r="F1886" t="s">
        <v>2031</v>
      </c>
      <c r="G1886" t="s">
        <v>2033</v>
      </c>
      <c r="H1886" t="s">
        <v>2040</v>
      </c>
      <c r="I1886">
        <v>2</v>
      </c>
      <c r="J1886">
        <v>10</v>
      </c>
      <c r="K1886">
        <v>8</v>
      </c>
      <c r="L1886" t="s">
        <v>2041</v>
      </c>
      <c r="M1886">
        <v>414</v>
      </c>
      <c r="N1886">
        <v>18280</v>
      </c>
      <c r="O1886">
        <v>19112</v>
      </c>
      <c r="P1886" s="13">
        <f t="shared" si="203"/>
        <v>0</v>
      </c>
      <c r="Q1886" t="str">
        <f t="shared" si="204"/>
        <v>No</v>
      </c>
      <c r="R1886" t="str" cm="1">
        <f t="array" ref="R1886">_xlfn.IFS(K1886=0,"On Time",K1886&lt;=2,"Minor",K1886&lt;=5,"Major",K1886&gt;5,"Severe")</f>
        <v>Severe</v>
      </c>
      <c r="S1886">
        <f t="shared" si="205"/>
        <v>2389</v>
      </c>
      <c r="T1886">
        <f t="shared" si="206"/>
        <v>2285</v>
      </c>
      <c r="U1886">
        <f t="shared" si="207"/>
        <v>2024</v>
      </c>
      <c r="V1886">
        <f t="shared" si="208"/>
        <v>5</v>
      </c>
      <c r="W1886" s="11">
        <f t="shared" si="209"/>
        <v>1</v>
      </c>
    </row>
    <row r="1887" spans="1:23">
      <c r="A1887" t="s">
        <v>1900</v>
      </c>
      <c r="B1887" s="4">
        <v>45437</v>
      </c>
      <c r="C1887" t="s">
        <v>2018</v>
      </c>
      <c r="D1887" t="s">
        <v>2026</v>
      </c>
      <c r="E1887" t="s">
        <v>2028</v>
      </c>
      <c r="F1887" t="s">
        <v>2030</v>
      </c>
      <c r="G1887" t="s">
        <v>2035</v>
      </c>
      <c r="H1887" t="s">
        <v>2038</v>
      </c>
      <c r="I1887">
        <v>3</v>
      </c>
      <c r="J1887">
        <v>6</v>
      </c>
      <c r="K1887">
        <v>3</v>
      </c>
      <c r="L1887" t="s">
        <v>2041</v>
      </c>
      <c r="M1887">
        <v>470</v>
      </c>
      <c r="N1887">
        <v>2403</v>
      </c>
      <c r="O1887">
        <v>14637</v>
      </c>
      <c r="P1887" s="13">
        <f t="shared" si="203"/>
        <v>0</v>
      </c>
      <c r="Q1887" t="str">
        <f t="shared" si="204"/>
        <v>No</v>
      </c>
      <c r="R1887" t="str" cm="1">
        <f t="array" ref="R1887">_xlfn.IFS(K1887=0,"On Time",K1887&lt;=2,"Minor",K1887&lt;=5,"Major",K1887&gt;5,"Severe")</f>
        <v>Major</v>
      </c>
      <c r="S1887">
        <f t="shared" si="205"/>
        <v>4879</v>
      </c>
      <c r="T1887">
        <f t="shared" si="206"/>
        <v>801</v>
      </c>
      <c r="U1887">
        <f t="shared" si="207"/>
        <v>2024</v>
      </c>
      <c r="V1887">
        <f t="shared" si="208"/>
        <v>5</v>
      </c>
      <c r="W1887" s="11">
        <f t="shared" si="209"/>
        <v>1</v>
      </c>
    </row>
    <row r="1888" spans="1:23">
      <c r="A1888" t="s">
        <v>1901</v>
      </c>
      <c r="B1888" s="4">
        <v>45499</v>
      </c>
      <c r="C1888" t="s">
        <v>2018</v>
      </c>
      <c r="D1888" t="s">
        <v>2026</v>
      </c>
      <c r="E1888" t="s">
        <v>2029</v>
      </c>
      <c r="F1888" t="s">
        <v>2030</v>
      </c>
      <c r="G1888" t="s">
        <v>2036</v>
      </c>
      <c r="H1888" t="s">
        <v>2038</v>
      </c>
      <c r="I1888">
        <v>1</v>
      </c>
      <c r="J1888">
        <v>5</v>
      </c>
      <c r="K1888">
        <v>4</v>
      </c>
      <c r="L1888" t="s">
        <v>2041</v>
      </c>
      <c r="M1888">
        <v>245</v>
      </c>
      <c r="N1888">
        <v>7980</v>
      </c>
      <c r="O1888">
        <v>14092</v>
      </c>
      <c r="P1888" s="13">
        <f t="shared" si="203"/>
        <v>0</v>
      </c>
      <c r="Q1888" t="str">
        <f t="shared" si="204"/>
        <v>No</v>
      </c>
      <c r="R1888" t="str" cm="1">
        <f t="array" ref="R1888">_xlfn.IFS(K1888=0,"On Time",K1888&lt;=2,"Minor",K1888&lt;=5,"Major",K1888&gt;5,"Severe")</f>
        <v>Major</v>
      </c>
      <c r="S1888">
        <f t="shared" si="205"/>
        <v>3523</v>
      </c>
      <c r="T1888">
        <f t="shared" si="206"/>
        <v>1995</v>
      </c>
      <c r="U1888">
        <f t="shared" si="207"/>
        <v>2024</v>
      </c>
      <c r="V1888">
        <f t="shared" si="208"/>
        <v>7</v>
      </c>
      <c r="W1888" s="11">
        <f t="shared" si="209"/>
        <v>1</v>
      </c>
    </row>
    <row r="1889" spans="1:23">
      <c r="A1889" t="s">
        <v>1902</v>
      </c>
      <c r="B1889" s="4">
        <v>45604</v>
      </c>
      <c r="C1889" t="s">
        <v>2016</v>
      </c>
      <c r="D1889" t="s">
        <v>2025</v>
      </c>
      <c r="E1889" t="s">
        <v>2027</v>
      </c>
      <c r="F1889" t="s">
        <v>2030</v>
      </c>
      <c r="G1889" t="s">
        <v>2033</v>
      </c>
      <c r="H1889" t="s">
        <v>2039</v>
      </c>
      <c r="I1889">
        <v>2</v>
      </c>
      <c r="J1889">
        <v>2</v>
      </c>
      <c r="K1889">
        <v>0</v>
      </c>
      <c r="L1889" t="s">
        <v>2042</v>
      </c>
      <c r="M1889">
        <v>315</v>
      </c>
      <c r="N1889">
        <v>0</v>
      </c>
      <c r="O1889">
        <v>0</v>
      </c>
      <c r="P1889" s="13">
        <f t="shared" si="203"/>
        <v>1</v>
      </c>
      <c r="Q1889" t="str">
        <f t="shared" si="204"/>
        <v>No</v>
      </c>
      <c r="R1889" t="str" cm="1">
        <f t="array" ref="R1889">_xlfn.IFS(K1889=0,"On Time",K1889&lt;=2,"Minor",K1889&lt;=5,"Major",K1889&gt;5,"Severe")</f>
        <v>On Time</v>
      </c>
      <c r="S1889">
        <f t="shared" si="205"/>
        <v>0</v>
      </c>
      <c r="T1889">
        <f t="shared" si="206"/>
        <v>0</v>
      </c>
      <c r="U1889">
        <f t="shared" si="207"/>
        <v>2024</v>
      </c>
      <c r="V1889">
        <f t="shared" si="208"/>
        <v>11</v>
      </c>
      <c r="W1889" s="11">
        <f t="shared" si="209"/>
        <v>0</v>
      </c>
    </row>
    <row r="1890" spans="1:23">
      <c r="A1890" t="s">
        <v>1903</v>
      </c>
      <c r="B1890" s="4">
        <v>45398</v>
      </c>
      <c r="C1890" t="s">
        <v>2018</v>
      </c>
      <c r="D1890" t="s">
        <v>2024</v>
      </c>
      <c r="E1890" t="s">
        <v>2029</v>
      </c>
      <c r="F1890" t="s">
        <v>2032</v>
      </c>
      <c r="G1890" t="s">
        <v>2036</v>
      </c>
      <c r="H1890" t="s">
        <v>2040</v>
      </c>
      <c r="I1890">
        <v>5</v>
      </c>
      <c r="J1890">
        <v>14</v>
      </c>
      <c r="K1890">
        <v>9</v>
      </c>
      <c r="L1890" t="s">
        <v>2041</v>
      </c>
      <c r="M1890">
        <v>155</v>
      </c>
      <c r="N1890">
        <v>7587</v>
      </c>
      <c r="O1890">
        <v>29358</v>
      </c>
      <c r="P1890" s="13">
        <f t="shared" si="203"/>
        <v>0</v>
      </c>
      <c r="Q1890" t="str">
        <f t="shared" si="204"/>
        <v>No</v>
      </c>
      <c r="R1890" t="str" cm="1">
        <f t="array" ref="R1890">_xlfn.IFS(K1890=0,"On Time",K1890&lt;=2,"Minor",K1890&lt;=5,"Major",K1890&gt;5,"Severe")</f>
        <v>Severe</v>
      </c>
      <c r="S1890">
        <f t="shared" si="205"/>
        <v>3262</v>
      </c>
      <c r="T1890">
        <f t="shared" si="206"/>
        <v>843</v>
      </c>
      <c r="U1890">
        <f t="shared" si="207"/>
        <v>2024</v>
      </c>
      <c r="V1890">
        <f t="shared" si="208"/>
        <v>4</v>
      </c>
      <c r="W1890" s="11">
        <f t="shared" si="209"/>
        <v>1</v>
      </c>
    </row>
    <row r="1891" spans="1:23">
      <c r="A1891" t="s">
        <v>1904</v>
      </c>
      <c r="B1891" s="4">
        <v>45424</v>
      </c>
      <c r="C1891" t="s">
        <v>2016</v>
      </c>
      <c r="D1891" t="s">
        <v>2021</v>
      </c>
      <c r="E1891" t="s">
        <v>2029</v>
      </c>
      <c r="F1891" t="s">
        <v>2031</v>
      </c>
      <c r="G1891" t="s">
        <v>2037</v>
      </c>
      <c r="H1891" t="s">
        <v>2038</v>
      </c>
      <c r="I1891">
        <v>3</v>
      </c>
      <c r="J1891">
        <v>3</v>
      </c>
      <c r="K1891">
        <v>0</v>
      </c>
      <c r="L1891" t="s">
        <v>2042</v>
      </c>
      <c r="M1891">
        <v>267</v>
      </c>
      <c r="N1891">
        <v>0</v>
      </c>
      <c r="O1891">
        <v>0</v>
      </c>
      <c r="P1891" s="13">
        <f t="shared" si="203"/>
        <v>1</v>
      </c>
      <c r="Q1891" t="str">
        <f t="shared" si="204"/>
        <v>No</v>
      </c>
      <c r="R1891" t="str" cm="1">
        <f t="array" ref="R1891">_xlfn.IFS(K1891=0,"On Time",K1891&lt;=2,"Minor",K1891&lt;=5,"Major",K1891&gt;5,"Severe")</f>
        <v>On Time</v>
      </c>
      <c r="S1891">
        <f t="shared" si="205"/>
        <v>0</v>
      </c>
      <c r="T1891">
        <f t="shared" si="206"/>
        <v>0</v>
      </c>
      <c r="U1891">
        <f t="shared" si="207"/>
        <v>2024</v>
      </c>
      <c r="V1891">
        <f t="shared" si="208"/>
        <v>5</v>
      </c>
      <c r="W1891" s="11">
        <f t="shared" si="209"/>
        <v>0</v>
      </c>
    </row>
    <row r="1892" spans="1:23">
      <c r="A1892" t="s">
        <v>1905</v>
      </c>
      <c r="B1892" s="4">
        <v>45531</v>
      </c>
      <c r="C1892" t="s">
        <v>2017</v>
      </c>
      <c r="D1892" t="s">
        <v>2022</v>
      </c>
      <c r="E1892" t="s">
        <v>2029</v>
      </c>
      <c r="F1892" t="s">
        <v>2032</v>
      </c>
      <c r="G1892" t="s">
        <v>2037</v>
      </c>
      <c r="H1892" t="s">
        <v>2040</v>
      </c>
      <c r="I1892">
        <v>2</v>
      </c>
      <c r="J1892">
        <v>12</v>
      </c>
      <c r="K1892">
        <v>10</v>
      </c>
      <c r="L1892" t="s">
        <v>2041</v>
      </c>
      <c r="M1892">
        <v>435</v>
      </c>
      <c r="N1892">
        <v>20050</v>
      </c>
      <c r="O1892">
        <v>42600</v>
      </c>
      <c r="P1892" s="13">
        <f t="shared" si="203"/>
        <v>0</v>
      </c>
      <c r="Q1892" t="str">
        <f t="shared" si="204"/>
        <v>No</v>
      </c>
      <c r="R1892" t="str" cm="1">
        <f t="array" ref="R1892">_xlfn.IFS(K1892=0,"On Time",K1892&lt;=2,"Minor",K1892&lt;=5,"Major",K1892&gt;5,"Severe")</f>
        <v>Severe</v>
      </c>
      <c r="S1892">
        <f t="shared" si="205"/>
        <v>4260</v>
      </c>
      <c r="T1892">
        <f t="shared" si="206"/>
        <v>2005</v>
      </c>
      <c r="U1892">
        <f t="shared" si="207"/>
        <v>2024</v>
      </c>
      <c r="V1892">
        <f t="shared" si="208"/>
        <v>8</v>
      </c>
      <c r="W1892" s="11">
        <f t="shared" si="209"/>
        <v>1</v>
      </c>
    </row>
    <row r="1893" spans="1:23">
      <c r="A1893" t="s">
        <v>1906</v>
      </c>
      <c r="B1893" s="4">
        <v>45543</v>
      </c>
      <c r="C1893" t="s">
        <v>2016</v>
      </c>
      <c r="D1893" t="s">
        <v>2025</v>
      </c>
      <c r="E1893" t="s">
        <v>2029</v>
      </c>
      <c r="F1893" t="s">
        <v>2031</v>
      </c>
      <c r="G1893" t="s">
        <v>2037</v>
      </c>
      <c r="H1893" t="s">
        <v>2038</v>
      </c>
      <c r="I1893">
        <v>1</v>
      </c>
      <c r="J1893">
        <v>5</v>
      </c>
      <c r="K1893">
        <v>4</v>
      </c>
      <c r="L1893" t="s">
        <v>2041</v>
      </c>
      <c r="M1893">
        <v>177</v>
      </c>
      <c r="N1893">
        <v>9736</v>
      </c>
      <c r="O1893">
        <v>14676</v>
      </c>
      <c r="P1893" s="13">
        <f t="shared" si="203"/>
        <v>0</v>
      </c>
      <c r="Q1893" t="str">
        <f t="shared" si="204"/>
        <v>No</v>
      </c>
      <c r="R1893" t="str" cm="1">
        <f t="array" ref="R1893">_xlfn.IFS(K1893=0,"On Time",K1893&lt;=2,"Minor",K1893&lt;=5,"Major",K1893&gt;5,"Severe")</f>
        <v>Major</v>
      </c>
      <c r="S1893">
        <f t="shared" si="205"/>
        <v>3669</v>
      </c>
      <c r="T1893">
        <f t="shared" si="206"/>
        <v>2434</v>
      </c>
      <c r="U1893">
        <f t="shared" si="207"/>
        <v>2024</v>
      </c>
      <c r="V1893">
        <f t="shared" si="208"/>
        <v>9</v>
      </c>
      <c r="W1893" s="11">
        <f t="shared" si="209"/>
        <v>1</v>
      </c>
    </row>
    <row r="1894" spans="1:23">
      <c r="A1894" t="s">
        <v>1907</v>
      </c>
      <c r="B1894" s="4">
        <v>45571</v>
      </c>
      <c r="C1894" t="s">
        <v>2018</v>
      </c>
      <c r="D1894" t="s">
        <v>2024</v>
      </c>
      <c r="E1894" t="s">
        <v>2027</v>
      </c>
      <c r="F1894" t="s">
        <v>2031</v>
      </c>
      <c r="G1894" t="s">
        <v>2033</v>
      </c>
      <c r="H1894" t="s">
        <v>2039</v>
      </c>
      <c r="I1894">
        <v>2</v>
      </c>
      <c r="J1894">
        <v>3</v>
      </c>
      <c r="K1894">
        <v>1</v>
      </c>
      <c r="L1894" t="s">
        <v>2041</v>
      </c>
      <c r="M1894">
        <v>151</v>
      </c>
      <c r="N1894">
        <v>2465</v>
      </c>
      <c r="O1894">
        <v>3639</v>
      </c>
      <c r="P1894" s="13">
        <f t="shared" si="203"/>
        <v>0</v>
      </c>
      <c r="Q1894" t="str">
        <f t="shared" si="204"/>
        <v>No</v>
      </c>
      <c r="R1894" t="str" cm="1">
        <f t="array" ref="R1894">_xlfn.IFS(K1894=0,"On Time",K1894&lt;=2,"Minor",K1894&lt;=5,"Major",K1894&gt;5,"Severe")</f>
        <v>Minor</v>
      </c>
      <c r="S1894">
        <f t="shared" si="205"/>
        <v>3639</v>
      </c>
      <c r="T1894">
        <f t="shared" si="206"/>
        <v>2465</v>
      </c>
      <c r="U1894">
        <f t="shared" si="207"/>
        <v>2024</v>
      </c>
      <c r="V1894">
        <f t="shared" si="208"/>
        <v>10</v>
      </c>
      <c r="W1894" s="11">
        <f t="shared" si="209"/>
        <v>1</v>
      </c>
    </row>
    <row r="1895" spans="1:23">
      <c r="A1895" t="s">
        <v>1908</v>
      </c>
      <c r="B1895" s="4">
        <v>45384</v>
      </c>
      <c r="C1895" t="s">
        <v>2016</v>
      </c>
      <c r="D1895" t="s">
        <v>2021</v>
      </c>
      <c r="E1895" t="s">
        <v>2029</v>
      </c>
      <c r="F1895" t="s">
        <v>2030</v>
      </c>
      <c r="G1895" t="s">
        <v>2036</v>
      </c>
      <c r="H1895" t="s">
        <v>2040</v>
      </c>
      <c r="I1895">
        <v>3</v>
      </c>
      <c r="J1895">
        <v>9</v>
      </c>
      <c r="K1895">
        <v>6</v>
      </c>
      <c r="L1895" t="s">
        <v>2041</v>
      </c>
      <c r="M1895">
        <v>215</v>
      </c>
      <c r="N1895">
        <v>5808</v>
      </c>
      <c r="O1895">
        <v>20712</v>
      </c>
      <c r="P1895" s="13">
        <f t="shared" si="203"/>
        <v>0</v>
      </c>
      <c r="Q1895" t="str">
        <f t="shared" si="204"/>
        <v>No</v>
      </c>
      <c r="R1895" t="str" cm="1">
        <f t="array" ref="R1895">_xlfn.IFS(K1895=0,"On Time",K1895&lt;=2,"Minor",K1895&lt;=5,"Major",K1895&gt;5,"Severe")</f>
        <v>Severe</v>
      </c>
      <c r="S1895">
        <f t="shared" si="205"/>
        <v>3452</v>
      </c>
      <c r="T1895">
        <f t="shared" si="206"/>
        <v>968</v>
      </c>
      <c r="U1895">
        <f t="shared" si="207"/>
        <v>2024</v>
      </c>
      <c r="V1895">
        <f t="shared" si="208"/>
        <v>4</v>
      </c>
      <c r="W1895" s="11">
        <f t="shared" si="209"/>
        <v>1</v>
      </c>
    </row>
    <row r="1896" spans="1:23">
      <c r="A1896" t="s">
        <v>1909</v>
      </c>
      <c r="B1896" s="4">
        <v>45595</v>
      </c>
      <c r="C1896" t="s">
        <v>2017</v>
      </c>
      <c r="D1896" t="s">
        <v>2022</v>
      </c>
      <c r="E1896" t="s">
        <v>2029</v>
      </c>
      <c r="F1896" t="s">
        <v>2030</v>
      </c>
      <c r="G1896" t="s">
        <v>2033</v>
      </c>
      <c r="H1896" t="s">
        <v>2039</v>
      </c>
      <c r="I1896">
        <v>5</v>
      </c>
      <c r="J1896">
        <v>7</v>
      </c>
      <c r="K1896">
        <v>2</v>
      </c>
      <c r="L1896" t="s">
        <v>2041</v>
      </c>
      <c r="M1896">
        <v>347</v>
      </c>
      <c r="N1896">
        <v>3356</v>
      </c>
      <c r="O1896">
        <v>9056</v>
      </c>
      <c r="P1896" s="13">
        <f t="shared" si="203"/>
        <v>0</v>
      </c>
      <c r="Q1896" t="str">
        <f t="shared" si="204"/>
        <v>No</v>
      </c>
      <c r="R1896" t="str" cm="1">
        <f t="array" ref="R1896">_xlfn.IFS(K1896=0,"On Time",K1896&lt;=2,"Minor",K1896&lt;=5,"Major",K1896&gt;5,"Severe")</f>
        <v>Minor</v>
      </c>
      <c r="S1896">
        <f t="shared" si="205"/>
        <v>4528</v>
      </c>
      <c r="T1896">
        <f t="shared" si="206"/>
        <v>1678</v>
      </c>
      <c r="U1896">
        <f t="shared" si="207"/>
        <v>2024</v>
      </c>
      <c r="V1896">
        <f t="shared" si="208"/>
        <v>10</v>
      </c>
      <c r="W1896" s="11">
        <f t="shared" si="209"/>
        <v>1</v>
      </c>
    </row>
    <row r="1897" spans="1:23">
      <c r="A1897" t="s">
        <v>1910</v>
      </c>
      <c r="B1897" s="4">
        <v>45650</v>
      </c>
      <c r="C1897" t="s">
        <v>2016</v>
      </c>
      <c r="D1897" t="s">
        <v>2021</v>
      </c>
      <c r="E1897" t="s">
        <v>2027</v>
      </c>
      <c r="F1897" t="s">
        <v>2030</v>
      </c>
      <c r="G1897" t="s">
        <v>2036</v>
      </c>
      <c r="H1897" t="s">
        <v>2038</v>
      </c>
      <c r="I1897">
        <v>2</v>
      </c>
      <c r="J1897">
        <v>2</v>
      </c>
      <c r="K1897">
        <v>0</v>
      </c>
      <c r="L1897" t="s">
        <v>2042</v>
      </c>
      <c r="M1897">
        <v>224</v>
      </c>
      <c r="N1897">
        <v>0</v>
      </c>
      <c r="O1897">
        <v>0</v>
      </c>
      <c r="P1897" s="13">
        <f t="shared" si="203"/>
        <v>1</v>
      </c>
      <c r="Q1897" t="str">
        <f t="shared" si="204"/>
        <v>No</v>
      </c>
      <c r="R1897" t="str" cm="1">
        <f t="array" ref="R1897">_xlfn.IFS(K1897=0,"On Time",K1897&lt;=2,"Minor",K1897&lt;=5,"Major",K1897&gt;5,"Severe")</f>
        <v>On Time</v>
      </c>
      <c r="S1897">
        <f t="shared" si="205"/>
        <v>0</v>
      </c>
      <c r="T1897">
        <f t="shared" si="206"/>
        <v>0</v>
      </c>
      <c r="U1897">
        <f t="shared" si="207"/>
        <v>2024</v>
      </c>
      <c r="V1897">
        <f t="shared" si="208"/>
        <v>12</v>
      </c>
      <c r="W1897" s="11">
        <f t="shared" si="209"/>
        <v>0</v>
      </c>
    </row>
    <row r="1898" spans="1:23">
      <c r="A1898" t="s">
        <v>1911</v>
      </c>
      <c r="B1898" s="4">
        <v>45320</v>
      </c>
      <c r="C1898" t="s">
        <v>2018</v>
      </c>
      <c r="D1898" t="s">
        <v>2026</v>
      </c>
      <c r="E1898" t="s">
        <v>2029</v>
      </c>
      <c r="F1898" t="s">
        <v>2030</v>
      </c>
      <c r="G1898" t="s">
        <v>2035</v>
      </c>
      <c r="H1898" t="s">
        <v>2038</v>
      </c>
      <c r="I1898">
        <v>2</v>
      </c>
      <c r="J1898">
        <v>3</v>
      </c>
      <c r="K1898">
        <v>1</v>
      </c>
      <c r="L1898" t="s">
        <v>2041</v>
      </c>
      <c r="M1898">
        <v>286</v>
      </c>
      <c r="N1898">
        <v>2354</v>
      </c>
      <c r="O1898">
        <v>2381</v>
      </c>
      <c r="P1898" s="13">
        <f t="shared" si="203"/>
        <v>0</v>
      </c>
      <c r="Q1898" t="str">
        <f t="shared" si="204"/>
        <v>No</v>
      </c>
      <c r="R1898" t="str" cm="1">
        <f t="array" ref="R1898">_xlfn.IFS(K1898=0,"On Time",K1898&lt;=2,"Minor",K1898&lt;=5,"Major",K1898&gt;5,"Severe")</f>
        <v>Minor</v>
      </c>
      <c r="S1898">
        <f t="shared" si="205"/>
        <v>2381</v>
      </c>
      <c r="T1898">
        <f t="shared" si="206"/>
        <v>2354</v>
      </c>
      <c r="U1898">
        <f t="shared" si="207"/>
        <v>2024</v>
      </c>
      <c r="V1898">
        <f t="shared" si="208"/>
        <v>1</v>
      </c>
      <c r="W1898" s="11">
        <f t="shared" si="209"/>
        <v>1</v>
      </c>
    </row>
    <row r="1899" spans="1:23">
      <c r="A1899" t="s">
        <v>1912</v>
      </c>
      <c r="B1899" s="4">
        <v>45461</v>
      </c>
      <c r="C1899" t="s">
        <v>2018</v>
      </c>
      <c r="D1899" t="s">
        <v>2024</v>
      </c>
      <c r="E1899" t="s">
        <v>2029</v>
      </c>
      <c r="F1899" t="s">
        <v>2031</v>
      </c>
      <c r="G1899" t="s">
        <v>2037</v>
      </c>
      <c r="H1899" t="s">
        <v>2040</v>
      </c>
      <c r="I1899">
        <v>1</v>
      </c>
      <c r="J1899">
        <v>7</v>
      </c>
      <c r="K1899">
        <v>6</v>
      </c>
      <c r="L1899" t="s">
        <v>2041</v>
      </c>
      <c r="M1899">
        <v>368</v>
      </c>
      <c r="N1899">
        <v>5514</v>
      </c>
      <c r="O1899">
        <v>27948</v>
      </c>
      <c r="P1899" s="13">
        <f t="shared" si="203"/>
        <v>0</v>
      </c>
      <c r="Q1899" t="str">
        <f t="shared" si="204"/>
        <v>No</v>
      </c>
      <c r="R1899" t="str" cm="1">
        <f t="array" ref="R1899">_xlfn.IFS(K1899=0,"On Time",K1899&lt;=2,"Minor",K1899&lt;=5,"Major",K1899&gt;5,"Severe")</f>
        <v>Severe</v>
      </c>
      <c r="S1899">
        <f t="shared" si="205"/>
        <v>4658</v>
      </c>
      <c r="T1899">
        <f t="shared" si="206"/>
        <v>919</v>
      </c>
      <c r="U1899">
        <f t="shared" si="207"/>
        <v>2024</v>
      </c>
      <c r="V1899">
        <f t="shared" si="208"/>
        <v>6</v>
      </c>
      <c r="W1899" s="11">
        <f t="shared" si="209"/>
        <v>1</v>
      </c>
    </row>
    <row r="1900" spans="1:23">
      <c r="A1900" t="s">
        <v>1913</v>
      </c>
      <c r="B1900" s="4">
        <v>45305</v>
      </c>
      <c r="C1900" t="s">
        <v>2015</v>
      </c>
      <c r="D1900" t="s">
        <v>2020</v>
      </c>
      <c r="E1900" t="s">
        <v>2029</v>
      </c>
      <c r="F1900" t="s">
        <v>2032</v>
      </c>
      <c r="G1900" t="s">
        <v>2037</v>
      </c>
      <c r="H1900" t="s">
        <v>2040</v>
      </c>
      <c r="I1900">
        <v>2</v>
      </c>
      <c r="J1900">
        <v>10</v>
      </c>
      <c r="K1900">
        <v>8</v>
      </c>
      <c r="L1900" t="s">
        <v>2041</v>
      </c>
      <c r="M1900">
        <v>499</v>
      </c>
      <c r="N1900">
        <v>9984</v>
      </c>
      <c r="O1900">
        <v>12440</v>
      </c>
      <c r="P1900" s="13">
        <f t="shared" si="203"/>
        <v>0</v>
      </c>
      <c r="Q1900" t="str">
        <f t="shared" si="204"/>
        <v>No</v>
      </c>
      <c r="R1900" t="str" cm="1">
        <f t="array" ref="R1900">_xlfn.IFS(K1900=0,"On Time",K1900&lt;=2,"Minor",K1900&lt;=5,"Major",K1900&gt;5,"Severe")</f>
        <v>Severe</v>
      </c>
      <c r="S1900">
        <f t="shared" si="205"/>
        <v>1555</v>
      </c>
      <c r="T1900">
        <f t="shared" si="206"/>
        <v>1248</v>
      </c>
      <c r="U1900">
        <f t="shared" si="207"/>
        <v>2024</v>
      </c>
      <c r="V1900">
        <f t="shared" si="208"/>
        <v>1</v>
      </c>
      <c r="W1900" s="11">
        <f t="shared" si="209"/>
        <v>1</v>
      </c>
    </row>
    <row r="1901" spans="1:23">
      <c r="A1901" t="s">
        <v>1914</v>
      </c>
      <c r="B1901" s="4">
        <v>45399</v>
      </c>
      <c r="C1901" t="s">
        <v>2015</v>
      </c>
      <c r="D1901" t="s">
        <v>2020</v>
      </c>
      <c r="E1901" t="s">
        <v>2029</v>
      </c>
      <c r="F1901" t="s">
        <v>2031</v>
      </c>
      <c r="G1901" t="s">
        <v>2037</v>
      </c>
      <c r="H1901" t="s">
        <v>2038</v>
      </c>
      <c r="I1901">
        <v>1</v>
      </c>
      <c r="J1901">
        <v>5</v>
      </c>
      <c r="K1901">
        <v>4</v>
      </c>
      <c r="L1901" t="s">
        <v>2041</v>
      </c>
      <c r="M1901">
        <v>139</v>
      </c>
      <c r="N1901">
        <v>9376</v>
      </c>
      <c r="O1901">
        <v>9888</v>
      </c>
      <c r="P1901" s="13">
        <f t="shared" si="203"/>
        <v>0</v>
      </c>
      <c r="Q1901" t="str">
        <f t="shared" si="204"/>
        <v>No</v>
      </c>
      <c r="R1901" t="str" cm="1">
        <f t="array" ref="R1901">_xlfn.IFS(K1901=0,"On Time",K1901&lt;=2,"Minor",K1901&lt;=5,"Major",K1901&gt;5,"Severe")</f>
        <v>Major</v>
      </c>
      <c r="S1901">
        <f t="shared" si="205"/>
        <v>2472</v>
      </c>
      <c r="T1901">
        <f t="shared" si="206"/>
        <v>2344</v>
      </c>
      <c r="U1901">
        <f t="shared" si="207"/>
        <v>2024</v>
      </c>
      <c r="V1901">
        <f t="shared" si="208"/>
        <v>4</v>
      </c>
      <c r="W1901" s="11">
        <f t="shared" si="209"/>
        <v>1</v>
      </c>
    </row>
    <row r="1902" spans="1:23">
      <c r="A1902" t="s">
        <v>1915</v>
      </c>
      <c r="B1902" s="4">
        <v>45428</v>
      </c>
      <c r="C1902" t="s">
        <v>2018</v>
      </c>
      <c r="D1902" t="s">
        <v>2026</v>
      </c>
      <c r="E1902" t="s">
        <v>2029</v>
      </c>
      <c r="F1902" t="s">
        <v>2031</v>
      </c>
      <c r="G1902" t="s">
        <v>2037</v>
      </c>
      <c r="H1902" t="s">
        <v>2038</v>
      </c>
      <c r="I1902">
        <v>2</v>
      </c>
      <c r="J1902">
        <v>5</v>
      </c>
      <c r="K1902">
        <v>3</v>
      </c>
      <c r="L1902" t="s">
        <v>2041</v>
      </c>
      <c r="M1902">
        <v>488</v>
      </c>
      <c r="N1902">
        <v>5322</v>
      </c>
      <c r="O1902">
        <v>6279</v>
      </c>
      <c r="P1902" s="13">
        <f t="shared" si="203"/>
        <v>0</v>
      </c>
      <c r="Q1902" t="str">
        <f t="shared" si="204"/>
        <v>No</v>
      </c>
      <c r="R1902" t="str" cm="1">
        <f t="array" ref="R1902">_xlfn.IFS(K1902=0,"On Time",K1902&lt;=2,"Minor",K1902&lt;=5,"Major",K1902&gt;5,"Severe")</f>
        <v>Major</v>
      </c>
      <c r="S1902">
        <f t="shared" si="205"/>
        <v>2093</v>
      </c>
      <c r="T1902">
        <f t="shared" si="206"/>
        <v>1774</v>
      </c>
      <c r="U1902">
        <f t="shared" si="207"/>
        <v>2024</v>
      </c>
      <c r="V1902">
        <f t="shared" si="208"/>
        <v>5</v>
      </c>
      <c r="W1902" s="11">
        <f t="shared" si="209"/>
        <v>1</v>
      </c>
    </row>
    <row r="1903" spans="1:23">
      <c r="A1903" t="s">
        <v>1916</v>
      </c>
      <c r="B1903" s="4">
        <v>45632</v>
      </c>
      <c r="C1903" t="s">
        <v>2015</v>
      </c>
      <c r="D1903" t="s">
        <v>2019</v>
      </c>
      <c r="E1903" t="s">
        <v>2027</v>
      </c>
      <c r="F1903" t="s">
        <v>2031</v>
      </c>
      <c r="G1903" t="s">
        <v>2035</v>
      </c>
      <c r="H1903" t="s">
        <v>2039</v>
      </c>
      <c r="I1903">
        <v>2</v>
      </c>
      <c r="J1903">
        <v>5</v>
      </c>
      <c r="K1903">
        <v>3</v>
      </c>
      <c r="L1903" t="s">
        <v>2041</v>
      </c>
      <c r="M1903">
        <v>407</v>
      </c>
      <c r="N1903">
        <v>5913</v>
      </c>
      <c r="O1903">
        <v>8295</v>
      </c>
      <c r="P1903" s="13">
        <f t="shared" si="203"/>
        <v>0</v>
      </c>
      <c r="Q1903" t="str">
        <f t="shared" si="204"/>
        <v>No</v>
      </c>
      <c r="R1903" t="str" cm="1">
        <f t="array" ref="R1903">_xlfn.IFS(K1903=0,"On Time",K1903&lt;=2,"Minor",K1903&lt;=5,"Major",K1903&gt;5,"Severe")</f>
        <v>Major</v>
      </c>
      <c r="S1903">
        <f t="shared" si="205"/>
        <v>2765</v>
      </c>
      <c r="T1903">
        <f t="shared" si="206"/>
        <v>1971</v>
      </c>
      <c r="U1903">
        <f t="shared" si="207"/>
        <v>2024</v>
      </c>
      <c r="V1903">
        <f t="shared" si="208"/>
        <v>12</v>
      </c>
      <c r="W1903" s="11">
        <f t="shared" si="209"/>
        <v>1</v>
      </c>
    </row>
    <row r="1904" spans="1:23">
      <c r="A1904" t="s">
        <v>1917</v>
      </c>
      <c r="B1904" s="4">
        <v>45318</v>
      </c>
      <c r="C1904" t="s">
        <v>2017</v>
      </c>
      <c r="D1904" t="s">
        <v>2022</v>
      </c>
      <c r="E1904" t="s">
        <v>2027</v>
      </c>
      <c r="F1904" t="s">
        <v>2031</v>
      </c>
      <c r="G1904" t="s">
        <v>2037</v>
      </c>
      <c r="H1904" t="s">
        <v>2040</v>
      </c>
      <c r="I1904">
        <v>2</v>
      </c>
      <c r="J1904">
        <v>8</v>
      </c>
      <c r="K1904">
        <v>6</v>
      </c>
      <c r="L1904" t="s">
        <v>2041</v>
      </c>
      <c r="M1904">
        <v>181</v>
      </c>
      <c r="N1904">
        <v>8802</v>
      </c>
      <c r="O1904">
        <v>19086</v>
      </c>
      <c r="P1904" s="13">
        <f t="shared" si="203"/>
        <v>0</v>
      </c>
      <c r="Q1904" t="str">
        <f t="shared" si="204"/>
        <v>No</v>
      </c>
      <c r="R1904" t="str" cm="1">
        <f t="array" ref="R1904">_xlfn.IFS(K1904=0,"On Time",K1904&lt;=2,"Minor",K1904&lt;=5,"Major",K1904&gt;5,"Severe")</f>
        <v>Severe</v>
      </c>
      <c r="S1904">
        <f t="shared" si="205"/>
        <v>3181</v>
      </c>
      <c r="T1904">
        <f t="shared" si="206"/>
        <v>1467</v>
      </c>
      <c r="U1904">
        <f t="shared" si="207"/>
        <v>2024</v>
      </c>
      <c r="V1904">
        <f t="shared" si="208"/>
        <v>1</v>
      </c>
      <c r="W1904" s="11">
        <f t="shared" si="209"/>
        <v>1</v>
      </c>
    </row>
    <row r="1905" spans="1:23">
      <c r="A1905" t="s">
        <v>1918</v>
      </c>
      <c r="B1905" s="4">
        <v>45589</v>
      </c>
      <c r="C1905" t="s">
        <v>2018</v>
      </c>
      <c r="D1905" t="s">
        <v>2024</v>
      </c>
      <c r="E1905" t="s">
        <v>2028</v>
      </c>
      <c r="F1905" t="s">
        <v>2032</v>
      </c>
      <c r="G1905" t="s">
        <v>2036</v>
      </c>
      <c r="H1905" t="s">
        <v>2039</v>
      </c>
      <c r="I1905">
        <v>3</v>
      </c>
      <c r="J1905">
        <v>9</v>
      </c>
      <c r="K1905">
        <v>6</v>
      </c>
      <c r="L1905" t="s">
        <v>2041</v>
      </c>
      <c r="M1905">
        <v>236</v>
      </c>
      <c r="N1905">
        <v>9786</v>
      </c>
      <c r="O1905">
        <v>9918</v>
      </c>
      <c r="P1905" s="13">
        <f t="shared" si="203"/>
        <v>0</v>
      </c>
      <c r="Q1905" t="str">
        <f t="shared" si="204"/>
        <v>No</v>
      </c>
      <c r="R1905" t="str" cm="1">
        <f t="array" ref="R1905">_xlfn.IFS(K1905=0,"On Time",K1905&lt;=2,"Minor",K1905&lt;=5,"Major",K1905&gt;5,"Severe")</f>
        <v>Severe</v>
      </c>
      <c r="S1905">
        <f t="shared" si="205"/>
        <v>1653</v>
      </c>
      <c r="T1905">
        <f t="shared" si="206"/>
        <v>1631</v>
      </c>
      <c r="U1905">
        <f t="shared" si="207"/>
        <v>2024</v>
      </c>
      <c r="V1905">
        <f t="shared" si="208"/>
        <v>10</v>
      </c>
      <c r="W1905" s="11">
        <f t="shared" si="209"/>
        <v>1</v>
      </c>
    </row>
    <row r="1906" spans="1:23">
      <c r="A1906" t="s">
        <v>1919</v>
      </c>
      <c r="B1906" s="4">
        <v>45643</v>
      </c>
      <c r="C1906" t="s">
        <v>2015</v>
      </c>
      <c r="D1906" t="s">
        <v>2019</v>
      </c>
      <c r="E1906" t="s">
        <v>2027</v>
      </c>
      <c r="F1906" t="s">
        <v>2031</v>
      </c>
      <c r="G1906" t="s">
        <v>2035</v>
      </c>
      <c r="H1906" t="s">
        <v>2039</v>
      </c>
      <c r="I1906">
        <v>3</v>
      </c>
      <c r="J1906">
        <v>6</v>
      </c>
      <c r="K1906">
        <v>3</v>
      </c>
      <c r="L1906" t="s">
        <v>2041</v>
      </c>
      <c r="M1906">
        <v>301</v>
      </c>
      <c r="N1906">
        <v>4551</v>
      </c>
      <c r="O1906">
        <v>9087</v>
      </c>
      <c r="P1906" s="13">
        <f t="shared" si="203"/>
        <v>0</v>
      </c>
      <c r="Q1906" t="str">
        <f t="shared" si="204"/>
        <v>No</v>
      </c>
      <c r="R1906" t="str" cm="1">
        <f t="array" ref="R1906">_xlfn.IFS(K1906=0,"On Time",K1906&lt;=2,"Minor",K1906&lt;=5,"Major",K1906&gt;5,"Severe")</f>
        <v>Major</v>
      </c>
      <c r="S1906">
        <f t="shared" si="205"/>
        <v>3029</v>
      </c>
      <c r="T1906">
        <f t="shared" si="206"/>
        <v>1517</v>
      </c>
      <c r="U1906">
        <f t="shared" si="207"/>
        <v>2024</v>
      </c>
      <c r="V1906">
        <f t="shared" si="208"/>
        <v>12</v>
      </c>
      <c r="W1906" s="11">
        <f t="shared" si="209"/>
        <v>1</v>
      </c>
    </row>
    <row r="1907" spans="1:23">
      <c r="A1907" t="s">
        <v>1920</v>
      </c>
      <c r="B1907" s="4">
        <v>45533</v>
      </c>
      <c r="C1907" t="s">
        <v>2018</v>
      </c>
      <c r="D1907" t="s">
        <v>2026</v>
      </c>
      <c r="E1907" t="s">
        <v>2027</v>
      </c>
      <c r="F1907" t="s">
        <v>2031</v>
      </c>
      <c r="G1907" t="s">
        <v>2035</v>
      </c>
      <c r="H1907" t="s">
        <v>2038</v>
      </c>
      <c r="I1907">
        <v>3</v>
      </c>
      <c r="J1907">
        <v>4</v>
      </c>
      <c r="K1907">
        <v>1</v>
      </c>
      <c r="L1907" t="s">
        <v>2041</v>
      </c>
      <c r="M1907">
        <v>439</v>
      </c>
      <c r="N1907">
        <v>909</v>
      </c>
      <c r="O1907">
        <v>2844</v>
      </c>
      <c r="P1907" s="13">
        <f t="shared" si="203"/>
        <v>0</v>
      </c>
      <c r="Q1907" t="str">
        <f t="shared" si="204"/>
        <v>No</v>
      </c>
      <c r="R1907" t="str" cm="1">
        <f t="array" ref="R1907">_xlfn.IFS(K1907=0,"On Time",K1907&lt;=2,"Minor",K1907&lt;=5,"Major",K1907&gt;5,"Severe")</f>
        <v>Minor</v>
      </c>
      <c r="S1907">
        <f t="shared" si="205"/>
        <v>2844</v>
      </c>
      <c r="T1907">
        <f t="shared" si="206"/>
        <v>909</v>
      </c>
      <c r="U1907">
        <f t="shared" si="207"/>
        <v>2024</v>
      </c>
      <c r="V1907">
        <f t="shared" si="208"/>
        <v>8</v>
      </c>
      <c r="W1907" s="11">
        <f t="shared" si="209"/>
        <v>1</v>
      </c>
    </row>
    <row r="1908" spans="1:23">
      <c r="A1908" t="s">
        <v>1921</v>
      </c>
      <c r="B1908" s="4">
        <v>45543</v>
      </c>
      <c r="C1908" t="s">
        <v>2018</v>
      </c>
      <c r="D1908" t="s">
        <v>2024</v>
      </c>
      <c r="E1908" t="s">
        <v>2028</v>
      </c>
      <c r="F1908" t="s">
        <v>2031</v>
      </c>
      <c r="G1908" t="s">
        <v>2033</v>
      </c>
      <c r="H1908" t="s">
        <v>2039</v>
      </c>
      <c r="I1908">
        <v>5</v>
      </c>
      <c r="J1908">
        <v>6</v>
      </c>
      <c r="K1908">
        <v>1</v>
      </c>
      <c r="L1908" t="s">
        <v>2041</v>
      </c>
      <c r="M1908">
        <v>265</v>
      </c>
      <c r="N1908">
        <v>964</v>
      </c>
      <c r="O1908">
        <v>4728</v>
      </c>
      <c r="P1908" s="13">
        <f t="shared" si="203"/>
        <v>0</v>
      </c>
      <c r="Q1908" t="str">
        <f t="shared" si="204"/>
        <v>No</v>
      </c>
      <c r="R1908" t="str" cm="1">
        <f t="array" ref="R1908">_xlfn.IFS(K1908=0,"On Time",K1908&lt;=2,"Minor",K1908&lt;=5,"Major",K1908&gt;5,"Severe")</f>
        <v>Minor</v>
      </c>
      <c r="S1908">
        <f t="shared" si="205"/>
        <v>4728</v>
      </c>
      <c r="T1908">
        <f t="shared" si="206"/>
        <v>964</v>
      </c>
      <c r="U1908">
        <f t="shared" si="207"/>
        <v>2024</v>
      </c>
      <c r="V1908">
        <f t="shared" si="208"/>
        <v>9</v>
      </c>
      <c r="W1908" s="11">
        <f t="shared" si="209"/>
        <v>1</v>
      </c>
    </row>
    <row r="1909" spans="1:23">
      <c r="A1909" t="s">
        <v>1922</v>
      </c>
      <c r="B1909" s="4">
        <v>45350</v>
      </c>
      <c r="C1909" t="s">
        <v>2015</v>
      </c>
      <c r="D1909" t="s">
        <v>2019</v>
      </c>
      <c r="E1909" t="s">
        <v>2029</v>
      </c>
      <c r="F1909" t="s">
        <v>2031</v>
      </c>
      <c r="G1909" t="s">
        <v>2036</v>
      </c>
      <c r="H1909" t="s">
        <v>2038</v>
      </c>
      <c r="I1909">
        <v>2</v>
      </c>
      <c r="J1909">
        <v>2</v>
      </c>
      <c r="K1909">
        <v>0</v>
      </c>
      <c r="L1909" t="s">
        <v>2042</v>
      </c>
      <c r="M1909">
        <v>440</v>
      </c>
      <c r="N1909">
        <v>0</v>
      </c>
      <c r="O1909">
        <v>0</v>
      </c>
      <c r="P1909" s="13">
        <f t="shared" si="203"/>
        <v>1</v>
      </c>
      <c r="Q1909" t="str">
        <f t="shared" si="204"/>
        <v>No</v>
      </c>
      <c r="R1909" t="str" cm="1">
        <f t="array" ref="R1909">_xlfn.IFS(K1909=0,"On Time",K1909&lt;=2,"Minor",K1909&lt;=5,"Major",K1909&gt;5,"Severe")</f>
        <v>On Time</v>
      </c>
      <c r="S1909">
        <f t="shared" si="205"/>
        <v>0</v>
      </c>
      <c r="T1909">
        <f t="shared" si="206"/>
        <v>0</v>
      </c>
      <c r="U1909">
        <f t="shared" si="207"/>
        <v>2024</v>
      </c>
      <c r="V1909">
        <f t="shared" si="208"/>
        <v>2</v>
      </c>
      <c r="W1909" s="11">
        <f t="shared" si="209"/>
        <v>0</v>
      </c>
    </row>
    <row r="1910" spans="1:23">
      <c r="A1910" t="s">
        <v>1923</v>
      </c>
      <c r="B1910" s="4">
        <v>45369</v>
      </c>
      <c r="C1910" t="s">
        <v>2017</v>
      </c>
      <c r="D1910" t="s">
        <v>2022</v>
      </c>
      <c r="E1910" t="s">
        <v>2029</v>
      </c>
      <c r="F1910" t="s">
        <v>2032</v>
      </c>
      <c r="G1910" t="s">
        <v>2037</v>
      </c>
      <c r="H1910" t="s">
        <v>2038</v>
      </c>
      <c r="I1910">
        <v>5</v>
      </c>
      <c r="J1910">
        <v>11</v>
      </c>
      <c r="K1910">
        <v>6</v>
      </c>
      <c r="L1910" t="s">
        <v>2041</v>
      </c>
      <c r="M1910">
        <v>404</v>
      </c>
      <c r="N1910">
        <v>12486</v>
      </c>
      <c r="O1910">
        <v>13746</v>
      </c>
      <c r="P1910" s="13">
        <f t="shared" si="203"/>
        <v>0</v>
      </c>
      <c r="Q1910" t="str">
        <f t="shared" si="204"/>
        <v>No</v>
      </c>
      <c r="R1910" t="str" cm="1">
        <f t="array" ref="R1910">_xlfn.IFS(K1910=0,"On Time",K1910&lt;=2,"Minor",K1910&lt;=5,"Major",K1910&gt;5,"Severe")</f>
        <v>Severe</v>
      </c>
      <c r="S1910">
        <f t="shared" si="205"/>
        <v>2291</v>
      </c>
      <c r="T1910">
        <f t="shared" si="206"/>
        <v>2081</v>
      </c>
      <c r="U1910">
        <f t="shared" si="207"/>
        <v>2024</v>
      </c>
      <c r="V1910">
        <f t="shared" si="208"/>
        <v>3</v>
      </c>
      <c r="W1910" s="11">
        <f t="shared" si="209"/>
        <v>1</v>
      </c>
    </row>
    <row r="1911" spans="1:23">
      <c r="A1911" t="s">
        <v>1924</v>
      </c>
      <c r="B1911" s="4">
        <v>45637</v>
      </c>
      <c r="C1911" t="s">
        <v>2016</v>
      </c>
      <c r="D1911" t="s">
        <v>2025</v>
      </c>
      <c r="E1911" t="s">
        <v>2027</v>
      </c>
      <c r="F1911" t="s">
        <v>2031</v>
      </c>
      <c r="G1911" t="s">
        <v>2037</v>
      </c>
      <c r="H1911" t="s">
        <v>2038</v>
      </c>
      <c r="I1911">
        <v>2</v>
      </c>
      <c r="J1911">
        <v>5</v>
      </c>
      <c r="K1911">
        <v>3</v>
      </c>
      <c r="L1911" t="s">
        <v>2041</v>
      </c>
      <c r="M1911">
        <v>327</v>
      </c>
      <c r="N1911">
        <v>5823</v>
      </c>
      <c r="O1911">
        <v>9606</v>
      </c>
      <c r="P1911" s="13">
        <f t="shared" si="203"/>
        <v>0</v>
      </c>
      <c r="Q1911" t="str">
        <f t="shared" si="204"/>
        <v>No</v>
      </c>
      <c r="R1911" t="str" cm="1">
        <f t="array" ref="R1911">_xlfn.IFS(K1911=0,"On Time",K1911&lt;=2,"Minor",K1911&lt;=5,"Major",K1911&gt;5,"Severe")</f>
        <v>Major</v>
      </c>
      <c r="S1911">
        <f t="shared" si="205"/>
        <v>3202</v>
      </c>
      <c r="T1911">
        <f t="shared" si="206"/>
        <v>1941</v>
      </c>
      <c r="U1911">
        <f t="shared" si="207"/>
        <v>2024</v>
      </c>
      <c r="V1911">
        <f t="shared" si="208"/>
        <v>12</v>
      </c>
      <c r="W1911" s="11">
        <f t="shared" si="209"/>
        <v>1</v>
      </c>
    </row>
    <row r="1912" spans="1:23">
      <c r="A1912" t="s">
        <v>1925</v>
      </c>
      <c r="B1912" s="4">
        <v>45546</v>
      </c>
      <c r="C1912" t="s">
        <v>2016</v>
      </c>
      <c r="D1912" t="s">
        <v>2025</v>
      </c>
      <c r="E1912" t="s">
        <v>2029</v>
      </c>
      <c r="F1912" t="s">
        <v>2031</v>
      </c>
      <c r="G1912" t="s">
        <v>2037</v>
      </c>
      <c r="H1912" t="s">
        <v>2039</v>
      </c>
      <c r="I1912">
        <v>1</v>
      </c>
      <c r="J1912">
        <v>5</v>
      </c>
      <c r="K1912">
        <v>4</v>
      </c>
      <c r="L1912" t="s">
        <v>2041</v>
      </c>
      <c r="M1912">
        <v>185</v>
      </c>
      <c r="N1912">
        <v>9792</v>
      </c>
      <c r="O1912">
        <v>17740</v>
      </c>
      <c r="P1912" s="13">
        <f t="shared" si="203"/>
        <v>0</v>
      </c>
      <c r="Q1912" t="str">
        <f t="shared" si="204"/>
        <v>No</v>
      </c>
      <c r="R1912" t="str" cm="1">
        <f t="array" ref="R1912">_xlfn.IFS(K1912=0,"On Time",K1912&lt;=2,"Minor",K1912&lt;=5,"Major",K1912&gt;5,"Severe")</f>
        <v>Major</v>
      </c>
      <c r="S1912">
        <f t="shared" si="205"/>
        <v>4435</v>
      </c>
      <c r="T1912">
        <f t="shared" si="206"/>
        <v>2448</v>
      </c>
      <c r="U1912">
        <f t="shared" si="207"/>
        <v>2024</v>
      </c>
      <c r="V1912">
        <f t="shared" si="208"/>
        <v>9</v>
      </c>
      <c r="W1912" s="11">
        <f t="shared" si="209"/>
        <v>1</v>
      </c>
    </row>
    <row r="1913" spans="1:23">
      <c r="A1913" t="s">
        <v>1926</v>
      </c>
      <c r="B1913" s="4">
        <v>45388</v>
      </c>
      <c r="C1913" t="s">
        <v>2015</v>
      </c>
      <c r="D1913" t="s">
        <v>2019</v>
      </c>
      <c r="E1913" t="s">
        <v>2027</v>
      </c>
      <c r="F1913" t="s">
        <v>2031</v>
      </c>
      <c r="G1913" t="s">
        <v>2035</v>
      </c>
      <c r="H1913" t="s">
        <v>2039</v>
      </c>
      <c r="I1913">
        <v>3</v>
      </c>
      <c r="J1913">
        <v>5</v>
      </c>
      <c r="K1913">
        <v>2</v>
      </c>
      <c r="L1913" t="s">
        <v>2041</v>
      </c>
      <c r="M1913">
        <v>332</v>
      </c>
      <c r="N1913">
        <v>3994</v>
      </c>
      <c r="O1913">
        <v>8404</v>
      </c>
      <c r="P1913" s="13">
        <f t="shared" si="203"/>
        <v>0</v>
      </c>
      <c r="Q1913" t="str">
        <f t="shared" si="204"/>
        <v>No</v>
      </c>
      <c r="R1913" t="str" cm="1">
        <f t="array" ref="R1913">_xlfn.IFS(K1913=0,"On Time",K1913&lt;=2,"Minor",K1913&lt;=5,"Major",K1913&gt;5,"Severe")</f>
        <v>Minor</v>
      </c>
      <c r="S1913">
        <f t="shared" si="205"/>
        <v>4202</v>
      </c>
      <c r="T1913">
        <f t="shared" si="206"/>
        <v>1997</v>
      </c>
      <c r="U1913">
        <f t="shared" si="207"/>
        <v>2024</v>
      </c>
      <c r="V1913">
        <f t="shared" si="208"/>
        <v>4</v>
      </c>
      <c r="W1913" s="11">
        <f t="shared" si="209"/>
        <v>1</v>
      </c>
    </row>
    <row r="1914" spans="1:23">
      <c r="A1914" t="s">
        <v>1927</v>
      </c>
      <c r="B1914" s="4">
        <v>45605</v>
      </c>
      <c r="C1914" t="s">
        <v>2018</v>
      </c>
      <c r="D1914" t="s">
        <v>2024</v>
      </c>
      <c r="E1914" t="s">
        <v>2027</v>
      </c>
      <c r="F1914" t="s">
        <v>2031</v>
      </c>
      <c r="G1914" t="s">
        <v>2035</v>
      </c>
      <c r="H1914" t="s">
        <v>2040</v>
      </c>
      <c r="I1914">
        <v>2</v>
      </c>
      <c r="J1914">
        <v>9</v>
      </c>
      <c r="K1914">
        <v>7</v>
      </c>
      <c r="L1914" t="s">
        <v>2041</v>
      </c>
      <c r="M1914">
        <v>192</v>
      </c>
      <c r="N1914">
        <v>6629</v>
      </c>
      <c r="O1914">
        <v>25858</v>
      </c>
      <c r="P1914" s="13">
        <f t="shared" si="203"/>
        <v>0</v>
      </c>
      <c r="Q1914" t="str">
        <f t="shared" si="204"/>
        <v>No</v>
      </c>
      <c r="R1914" t="str" cm="1">
        <f t="array" ref="R1914">_xlfn.IFS(K1914=0,"On Time",K1914&lt;=2,"Minor",K1914&lt;=5,"Major",K1914&gt;5,"Severe")</f>
        <v>Severe</v>
      </c>
      <c r="S1914">
        <f t="shared" si="205"/>
        <v>3694</v>
      </c>
      <c r="T1914">
        <f t="shared" si="206"/>
        <v>947</v>
      </c>
      <c r="U1914">
        <f t="shared" si="207"/>
        <v>2024</v>
      </c>
      <c r="V1914">
        <f t="shared" si="208"/>
        <v>11</v>
      </c>
      <c r="W1914" s="11">
        <f t="shared" si="209"/>
        <v>1</v>
      </c>
    </row>
    <row r="1915" spans="1:23">
      <c r="A1915" t="s">
        <v>1928</v>
      </c>
      <c r="B1915" s="4">
        <v>45376</v>
      </c>
      <c r="C1915" t="s">
        <v>2016</v>
      </c>
      <c r="D1915" t="s">
        <v>2021</v>
      </c>
      <c r="E1915" t="s">
        <v>2029</v>
      </c>
      <c r="F1915" t="s">
        <v>2030</v>
      </c>
      <c r="G1915" t="s">
        <v>2033</v>
      </c>
      <c r="H1915" t="s">
        <v>2038</v>
      </c>
      <c r="I1915">
        <v>1</v>
      </c>
      <c r="J1915">
        <v>2</v>
      </c>
      <c r="K1915">
        <v>1</v>
      </c>
      <c r="L1915" t="s">
        <v>2041</v>
      </c>
      <c r="M1915">
        <v>74</v>
      </c>
      <c r="N1915">
        <v>1819</v>
      </c>
      <c r="O1915">
        <v>2340</v>
      </c>
      <c r="P1915" s="13">
        <f t="shared" si="203"/>
        <v>0</v>
      </c>
      <c r="Q1915" t="str">
        <f t="shared" si="204"/>
        <v>No</v>
      </c>
      <c r="R1915" t="str" cm="1">
        <f t="array" ref="R1915">_xlfn.IFS(K1915=0,"On Time",K1915&lt;=2,"Minor",K1915&lt;=5,"Major",K1915&gt;5,"Severe")</f>
        <v>Minor</v>
      </c>
      <c r="S1915">
        <f t="shared" si="205"/>
        <v>2340</v>
      </c>
      <c r="T1915">
        <f t="shared" si="206"/>
        <v>1819</v>
      </c>
      <c r="U1915">
        <f t="shared" si="207"/>
        <v>2024</v>
      </c>
      <c r="V1915">
        <f t="shared" si="208"/>
        <v>3</v>
      </c>
      <c r="W1915" s="11">
        <f t="shared" si="209"/>
        <v>1</v>
      </c>
    </row>
    <row r="1916" spans="1:23">
      <c r="A1916" t="s">
        <v>1929</v>
      </c>
      <c r="B1916" s="4">
        <v>45406</v>
      </c>
      <c r="C1916" t="s">
        <v>2017</v>
      </c>
      <c r="D1916" t="s">
        <v>2022</v>
      </c>
      <c r="E1916" t="s">
        <v>2029</v>
      </c>
      <c r="F1916" t="s">
        <v>2030</v>
      </c>
      <c r="G1916" t="s">
        <v>2033</v>
      </c>
      <c r="H1916" t="s">
        <v>2040</v>
      </c>
      <c r="I1916">
        <v>1</v>
      </c>
      <c r="J1916">
        <v>6</v>
      </c>
      <c r="K1916">
        <v>5</v>
      </c>
      <c r="L1916" t="s">
        <v>2041</v>
      </c>
      <c r="M1916">
        <v>277</v>
      </c>
      <c r="N1916">
        <v>9750</v>
      </c>
      <c r="O1916">
        <v>15860</v>
      </c>
      <c r="P1916" s="13">
        <f t="shared" si="203"/>
        <v>0</v>
      </c>
      <c r="Q1916" t="str">
        <f t="shared" si="204"/>
        <v>No</v>
      </c>
      <c r="R1916" t="str" cm="1">
        <f t="array" ref="R1916">_xlfn.IFS(K1916=0,"On Time",K1916&lt;=2,"Minor",K1916&lt;=5,"Major",K1916&gt;5,"Severe")</f>
        <v>Major</v>
      </c>
      <c r="S1916">
        <f t="shared" si="205"/>
        <v>3172</v>
      </c>
      <c r="T1916">
        <f t="shared" si="206"/>
        <v>1950</v>
      </c>
      <c r="U1916">
        <f t="shared" si="207"/>
        <v>2024</v>
      </c>
      <c r="V1916">
        <f t="shared" si="208"/>
        <v>4</v>
      </c>
      <c r="W1916" s="11">
        <f t="shared" si="209"/>
        <v>1</v>
      </c>
    </row>
    <row r="1917" spans="1:23">
      <c r="A1917" t="s">
        <v>1930</v>
      </c>
      <c r="B1917" s="4">
        <v>45586</v>
      </c>
      <c r="C1917" t="s">
        <v>2018</v>
      </c>
      <c r="D1917" t="s">
        <v>2026</v>
      </c>
      <c r="E1917" t="s">
        <v>2029</v>
      </c>
      <c r="F1917" t="s">
        <v>2030</v>
      </c>
      <c r="G1917" t="s">
        <v>2034</v>
      </c>
      <c r="H1917" t="s">
        <v>2038</v>
      </c>
      <c r="I1917">
        <v>2</v>
      </c>
      <c r="J1917">
        <v>6</v>
      </c>
      <c r="K1917">
        <v>4</v>
      </c>
      <c r="L1917" t="s">
        <v>2041</v>
      </c>
      <c r="M1917">
        <v>167</v>
      </c>
      <c r="N1917">
        <v>3368</v>
      </c>
      <c r="O1917">
        <v>9104</v>
      </c>
      <c r="P1917" s="13">
        <f t="shared" si="203"/>
        <v>0</v>
      </c>
      <c r="Q1917" t="str">
        <f t="shared" si="204"/>
        <v>No</v>
      </c>
      <c r="R1917" t="str" cm="1">
        <f t="array" ref="R1917">_xlfn.IFS(K1917=0,"On Time",K1917&lt;=2,"Minor",K1917&lt;=5,"Major",K1917&gt;5,"Severe")</f>
        <v>Major</v>
      </c>
      <c r="S1917">
        <f t="shared" si="205"/>
        <v>2276</v>
      </c>
      <c r="T1917">
        <f t="shared" si="206"/>
        <v>842</v>
      </c>
      <c r="U1917">
        <f t="shared" si="207"/>
        <v>2024</v>
      </c>
      <c r="V1917">
        <f t="shared" si="208"/>
        <v>10</v>
      </c>
      <c r="W1917" s="11">
        <f t="shared" si="209"/>
        <v>1</v>
      </c>
    </row>
    <row r="1918" spans="1:23">
      <c r="A1918" t="s">
        <v>1931</v>
      </c>
      <c r="B1918" s="4">
        <v>45655</v>
      </c>
      <c r="C1918" t="s">
        <v>2017</v>
      </c>
      <c r="D1918" t="s">
        <v>2022</v>
      </c>
      <c r="E1918" t="s">
        <v>2029</v>
      </c>
      <c r="F1918" t="s">
        <v>2030</v>
      </c>
      <c r="G1918" t="s">
        <v>2036</v>
      </c>
      <c r="H1918" t="s">
        <v>2038</v>
      </c>
      <c r="I1918">
        <v>1</v>
      </c>
      <c r="J1918">
        <v>5</v>
      </c>
      <c r="K1918">
        <v>4</v>
      </c>
      <c r="L1918" t="s">
        <v>2041</v>
      </c>
      <c r="M1918">
        <v>487</v>
      </c>
      <c r="N1918">
        <v>3940</v>
      </c>
      <c r="O1918">
        <v>17208</v>
      </c>
      <c r="P1918" s="13">
        <f t="shared" si="203"/>
        <v>0</v>
      </c>
      <c r="Q1918" t="str">
        <f t="shared" si="204"/>
        <v>No</v>
      </c>
      <c r="R1918" t="str" cm="1">
        <f t="array" ref="R1918">_xlfn.IFS(K1918=0,"On Time",K1918&lt;=2,"Minor",K1918&lt;=5,"Major",K1918&gt;5,"Severe")</f>
        <v>Major</v>
      </c>
      <c r="S1918">
        <f t="shared" si="205"/>
        <v>4302</v>
      </c>
      <c r="T1918">
        <f t="shared" si="206"/>
        <v>985</v>
      </c>
      <c r="U1918">
        <f t="shared" si="207"/>
        <v>2024</v>
      </c>
      <c r="V1918">
        <f t="shared" si="208"/>
        <v>12</v>
      </c>
      <c r="W1918" s="11">
        <f t="shared" si="209"/>
        <v>1</v>
      </c>
    </row>
    <row r="1919" spans="1:23">
      <c r="A1919" t="s">
        <v>1932</v>
      </c>
      <c r="B1919" s="4">
        <v>45634</v>
      </c>
      <c r="C1919" t="s">
        <v>2017</v>
      </c>
      <c r="D1919" t="s">
        <v>2022</v>
      </c>
      <c r="E1919" t="s">
        <v>2029</v>
      </c>
      <c r="F1919" t="s">
        <v>2031</v>
      </c>
      <c r="G1919" t="s">
        <v>2035</v>
      </c>
      <c r="H1919" t="s">
        <v>2038</v>
      </c>
      <c r="I1919">
        <v>2</v>
      </c>
      <c r="J1919">
        <v>2</v>
      </c>
      <c r="K1919">
        <v>0</v>
      </c>
      <c r="L1919" t="s">
        <v>2042</v>
      </c>
      <c r="M1919">
        <v>425</v>
      </c>
      <c r="N1919">
        <v>0</v>
      </c>
      <c r="O1919">
        <v>0</v>
      </c>
      <c r="P1919" s="13">
        <f t="shared" si="203"/>
        <v>1</v>
      </c>
      <c r="Q1919" t="str">
        <f t="shared" si="204"/>
        <v>No</v>
      </c>
      <c r="R1919" t="str" cm="1">
        <f t="array" ref="R1919">_xlfn.IFS(K1919=0,"On Time",K1919&lt;=2,"Minor",K1919&lt;=5,"Major",K1919&gt;5,"Severe")</f>
        <v>On Time</v>
      </c>
      <c r="S1919">
        <f t="shared" si="205"/>
        <v>0</v>
      </c>
      <c r="T1919">
        <f t="shared" si="206"/>
        <v>0</v>
      </c>
      <c r="U1919">
        <f t="shared" si="207"/>
        <v>2024</v>
      </c>
      <c r="V1919">
        <f t="shared" si="208"/>
        <v>12</v>
      </c>
      <c r="W1919" s="11">
        <f t="shared" si="209"/>
        <v>0</v>
      </c>
    </row>
    <row r="1920" spans="1:23">
      <c r="A1920" t="s">
        <v>1933</v>
      </c>
      <c r="B1920" s="4">
        <v>45552</v>
      </c>
      <c r="C1920" t="s">
        <v>2018</v>
      </c>
      <c r="D1920" t="s">
        <v>2024</v>
      </c>
      <c r="E1920" t="s">
        <v>2027</v>
      </c>
      <c r="F1920" t="s">
        <v>2032</v>
      </c>
      <c r="G1920" t="s">
        <v>2034</v>
      </c>
      <c r="H1920" t="s">
        <v>2038</v>
      </c>
      <c r="I1920">
        <v>2</v>
      </c>
      <c r="J1920">
        <v>5</v>
      </c>
      <c r="K1920">
        <v>3</v>
      </c>
      <c r="L1920" t="s">
        <v>2041</v>
      </c>
      <c r="M1920">
        <v>130</v>
      </c>
      <c r="N1920">
        <v>4167</v>
      </c>
      <c r="O1920">
        <v>13590</v>
      </c>
      <c r="P1920" s="13">
        <f t="shared" si="203"/>
        <v>0</v>
      </c>
      <c r="Q1920" t="str">
        <f t="shared" si="204"/>
        <v>No</v>
      </c>
      <c r="R1920" t="str" cm="1">
        <f t="array" ref="R1920">_xlfn.IFS(K1920=0,"On Time",K1920&lt;=2,"Minor",K1920&lt;=5,"Major",K1920&gt;5,"Severe")</f>
        <v>Major</v>
      </c>
      <c r="S1920">
        <f t="shared" si="205"/>
        <v>4530</v>
      </c>
      <c r="T1920">
        <f t="shared" si="206"/>
        <v>1389</v>
      </c>
      <c r="U1920">
        <f t="shared" si="207"/>
        <v>2024</v>
      </c>
      <c r="V1920">
        <f t="shared" si="208"/>
        <v>9</v>
      </c>
      <c r="W1920" s="11">
        <f t="shared" si="209"/>
        <v>1</v>
      </c>
    </row>
    <row r="1921" spans="1:23">
      <c r="A1921" t="s">
        <v>1934</v>
      </c>
      <c r="B1921" s="4">
        <v>45398</v>
      </c>
      <c r="C1921" t="s">
        <v>2016</v>
      </c>
      <c r="D1921" t="s">
        <v>2025</v>
      </c>
      <c r="E1921" t="s">
        <v>2027</v>
      </c>
      <c r="F1921" t="s">
        <v>2031</v>
      </c>
      <c r="G1921" t="s">
        <v>2037</v>
      </c>
      <c r="H1921" t="s">
        <v>2039</v>
      </c>
      <c r="I1921">
        <v>3</v>
      </c>
      <c r="J1921">
        <v>8</v>
      </c>
      <c r="K1921">
        <v>5</v>
      </c>
      <c r="L1921" t="s">
        <v>2041</v>
      </c>
      <c r="M1921">
        <v>292</v>
      </c>
      <c r="N1921">
        <v>10055</v>
      </c>
      <c r="O1921">
        <v>13900</v>
      </c>
      <c r="P1921" s="13">
        <f t="shared" si="203"/>
        <v>0</v>
      </c>
      <c r="Q1921" t="str">
        <f t="shared" si="204"/>
        <v>No</v>
      </c>
      <c r="R1921" t="str" cm="1">
        <f t="array" ref="R1921">_xlfn.IFS(K1921=0,"On Time",K1921&lt;=2,"Minor",K1921&lt;=5,"Major",K1921&gt;5,"Severe")</f>
        <v>Major</v>
      </c>
      <c r="S1921">
        <f t="shared" si="205"/>
        <v>2780</v>
      </c>
      <c r="T1921">
        <f t="shared" si="206"/>
        <v>2011</v>
      </c>
      <c r="U1921">
        <f t="shared" si="207"/>
        <v>2024</v>
      </c>
      <c r="V1921">
        <f t="shared" si="208"/>
        <v>4</v>
      </c>
      <c r="W1921" s="11">
        <f t="shared" si="209"/>
        <v>1</v>
      </c>
    </row>
    <row r="1922" spans="1:23">
      <c r="A1922" t="s">
        <v>1935</v>
      </c>
      <c r="B1922" s="4">
        <v>45380</v>
      </c>
      <c r="C1922" t="s">
        <v>2016</v>
      </c>
      <c r="D1922" t="s">
        <v>2021</v>
      </c>
      <c r="E1922" t="s">
        <v>2028</v>
      </c>
      <c r="F1922" t="s">
        <v>2030</v>
      </c>
      <c r="G1922" t="s">
        <v>2036</v>
      </c>
      <c r="H1922" t="s">
        <v>2038</v>
      </c>
      <c r="I1922">
        <v>2</v>
      </c>
      <c r="J1922">
        <v>6</v>
      </c>
      <c r="K1922">
        <v>4</v>
      </c>
      <c r="L1922" t="s">
        <v>2041</v>
      </c>
      <c r="M1922">
        <v>192</v>
      </c>
      <c r="N1922">
        <v>8900</v>
      </c>
      <c r="O1922">
        <v>8652</v>
      </c>
      <c r="P1922" s="13">
        <f t="shared" si="203"/>
        <v>0</v>
      </c>
      <c r="Q1922" t="str">
        <f t="shared" si="204"/>
        <v>No</v>
      </c>
      <c r="R1922" t="str" cm="1">
        <f t="array" ref="R1922">_xlfn.IFS(K1922=0,"On Time",K1922&lt;=2,"Minor",K1922&lt;=5,"Major",K1922&gt;5,"Severe")</f>
        <v>Major</v>
      </c>
      <c r="S1922">
        <f t="shared" si="205"/>
        <v>2163</v>
      </c>
      <c r="T1922">
        <f t="shared" si="206"/>
        <v>2225</v>
      </c>
      <c r="U1922">
        <f t="shared" si="207"/>
        <v>2024</v>
      </c>
      <c r="V1922">
        <f t="shared" si="208"/>
        <v>3</v>
      </c>
      <c r="W1922" s="11">
        <f t="shared" si="209"/>
        <v>1</v>
      </c>
    </row>
    <row r="1923" spans="1:23">
      <c r="A1923" t="s">
        <v>1936</v>
      </c>
      <c r="B1923" s="4">
        <v>45365</v>
      </c>
      <c r="C1923" t="s">
        <v>2015</v>
      </c>
      <c r="D1923" t="s">
        <v>2020</v>
      </c>
      <c r="E1923" t="s">
        <v>2029</v>
      </c>
      <c r="F1923" t="s">
        <v>2031</v>
      </c>
      <c r="G1923" t="s">
        <v>2033</v>
      </c>
      <c r="H1923" t="s">
        <v>2040</v>
      </c>
      <c r="I1923">
        <v>2</v>
      </c>
      <c r="J1923">
        <v>7</v>
      </c>
      <c r="K1923">
        <v>5</v>
      </c>
      <c r="L1923" t="s">
        <v>2041</v>
      </c>
      <c r="M1923">
        <v>350</v>
      </c>
      <c r="N1923">
        <v>4010</v>
      </c>
      <c r="O1923">
        <v>19680</v>
      </c>
      <c r="P1923" s="13">
        <f t="shared" ref="P1923:P1986" si="210">IF(L1923="Yes",0,1)</f>
        <v>0</v>
      </c>
      <c r="Q1923" t="str">
        <f t="shared" ref="Q1923:Q1986" si="211">IF(K1923&gt;J1923,"Yes","No")</f>
        <v>No</v>
      </c>
      <c r="R1923" t="str" cm="1">
        <f t="array" ref="R1923">_xlfn.IFS(K1923=0,"On Time",K1923&lt;=2,"Minor",K1923&lt;=5,"Major",K1923&gt;5,"Severe")</f>
        <v>Major</v>
      </c>
      <c r="S1923">
        <f t="shared" ref="S1923:S1986" si="212">IFERROR(O1923/K1923,0)</f>
        <v>3936</v>
      </c>
      <c r="T1923">
        <f t="shared" ref="T1923:T1986" si="213">IFERROR(N1923/K1923,0)</f>
        <v>802</v>
      </c>
      <c r="U1923">
        <f t="shared" ref="U1923:U1986" si="214">YEAR(B1923)</f>
        <v>2024</v>
      </c>
      <c r="V1923">
        <f t="shared" ref="V1923:V1986" si="215">MONTH(B1923)</f>
        <v>3</v>
      </c>
      <c r="W1923" s="11">
        <f t="shared" ref="W1923:W1986" si="216">IF(L1923="Yes",1,0)</f>
        <v>1</v>
      </c>
    </row>
    <row r="1924" spans="1:23">
      <c r="A1924" t="s">
        <v>1937</v>
      </c>
      <c r="B1924" s="4">
        <v>45462</v>
      </c>
      <c r="C1924" t="s">
        <v>2017</v>
      </c>
      <c r="D1924" t="s">
        <v>2022</v>
      </c>
      <c r="E1924" t="s">
        <v>2028</v>
      </c>
      <c r="F1924" t="s">
        <v>2032</v>
      </c>
      <c r="G1924" t="s">
        <v>2036</v>
      </c>
      <c r="H1924" t="s">
        <v>2040</v>
      </c>
      <c r="I1924">
        <v>2</v>
      </c>
      <c r="J1924">
        <v>9</v>
      </c>
      <c r="K1924">
        <v>7</v>
      </c>
      <c r="L1924" t="s">
        <v>2041</v>
      </c>
      <c r="M1924">
        <v>423</v>
      </c>
      <c r="N1924">
        <v>6769</v>
      </c>
      <c r="O1924">
        <v>23835</v>
      </c>
      <c r="P1924" s="13">
        <f t="shared" si="210"/>
        <v>0</v>
      </c>
      <c r="Q1924" t="str">
        <f t="shared" si="211"/>
        <v>No</v>
      </c>
      <c r="R1924" t="str" cm="1">
        <f t="array" ref="R1924">_xlfn.IFS(K1924=0,"On Time",K1924&lt;=2,"Minor",K1924&lt;=5,"Major",K1924&gt;5,"Severe")</f>
        <v>Severe</v>
      </c>
      <c r="S1924">
        <f t="shared" si="212"/>
        <v>3405</v>
      </c>
      <c r="T1924">
        <f t="shared" si="213"/>
        <v>967</v>
      </c>
      <c r="U1924">
        <f t="shared" si="214"/>
        <v>2024</v>
      </c>
      <c r="V1924">
        <f t="shared" si="215"/>
        <v>6</v>
      </c>
      <c r="W1924" s="11">
        <f t="shared" si="216"/>
        <v>1</v>
      </c>
    </row>
    <row r="1925" spans="1:23">
      <c r="A1925" t="s">
        <v>1938</v>
      </c>
      <c r="B1925" s="4">
        <v>45314</v>
      </c>
      <c r="C1925" t="s">
        <v>2017</v>
      </c>
      <c r="D1925" t="s">
        <v>2023</v>
      </c>
      <c r="E1925" t="s">
        <v>2029</v>
      </c>
      <c r="F1925" t="s">
        <v>2030</v>
      </c>
      <c r="G1925" t="s">
        <v>2033</v>
      </c>
      <c r="H1925" t="s">
        <v>2038</v>
      </c>
      <c r="I1925">
        <v>2</v>
      </c>
      <c r="J1925">
        <v>2</v>
      </c>
      <c r="K1925">
        <v>0</v>
      </c>
      <c r="L1925" t="s">
        <v>2042</v>
      </c>
      <c r="M1925">
        <v>240</v>
      </c>
      <c r="N1925">
        <v>0</v>
      </c>
      <c r="O1925">
        <v>0</v>
      </c>
      <c r="P1925" s="13">
        <f t="shared" si="210"/>
        <v>1</v>
      </c>
      <c r="Q1925" t="str">
        <f t="shared" si="211"/>
        <v>No</v>
      </c>
      <c r="R1925" t="str" cm="1">
        <f t="array" ref="R1925">_xlfn.IFS(K1925=0,"On Time",K1925&lt;=2,"Minor",K1925&lt;=5,"Major",K1925&gt;5,"Severe")</f>
        <v>On Time</v>
      </c>
      <c r="S1925">
        <f t="shared" si="212"/>
        <v>0</v>
      </c>
      <c r="T1925">
        <f t="shared" si="213"/>
        <v>0</v>
      </c>
      <c r="U1925">
        <f t="shared" si="214"/>
        <v>2024</v>
      </c>
      <c r="V1925">
        <f t="shared" si="215"/>
        <v>1</v>
      </c>
      <c r="W1925" s="11">
        <f t="shared" si="216"/>
        <v>0</v>
      </c>
    </row>
    <row r="1926" spans="1:23">
      <c r="A1926" t="s">
        <v>1939</v>
      </c>
      <c r="B1926" s="4">
        <v>45610</v>
      </c>
      <c r="C1926" t="s">
        <v>2018</v>
      </c>
      <c r="D1926" t="s">
        <v>2026</v>
      </c>
      <c r="E1926" t="s">
        <v>2027</v>
      </c>
      <c r="F1926" t="s">
        <v>2031</v>
      </c>
      <c r="G1926" t="s">
        <v>2036</v>
      </c>
      <c r="H1926" t="s">
        <v>2039</v>
      </c>
      <c r="I1926">
        <v>5</v>
      </c>
      <c r="J1926">
        <v>6</v>
      </c>
      <c r="K1926">
        <v>1</v>
      </c>
      <c r="L1926" t="s">
        <v>2041</v>
      </c>
      <c r="M1926">
        <v>201</v>
      </c>
      <c r="N1926">
        <v>1975</v>
      </c>
      <c r="O1926">
        <v>4342</v>
      </c>
      <c r="P1926" s="13">
        <f t="shared" si="210"/>
        <v>0</v>
      </c>
      <c r="Q1926" t="str">
        <f t="shared" si="211"/>
        <v>No</v>
      </c>
      <c r="R1926" t="str" cm="1">
        <f t="array" ref="R1926">_xlfn.IFS(K1926=0,"On Time",K1926&lt;=2,"Minor",K1926&lt;=5,"Major",K1926&gt;5,"Severe")</f>
        <v>Minor</v>
      </c>
      <c r="S1926">
        <f t="shared" si="212"/>
        <v>4342</v>
      </c>
      <c r="T1926">
        <f t="shared" si="213"/>
        <v>1975</v>
      </c>
      <c r="U1926">
        <f t="shared" si="214"/>
        <v>2024</v>
      </c>
      <c r="V1926">
        <f t="shared" si="215"/>
        <v>11</v>
      </c>
      <c r="W1926" s="11">
        <f t="shared" si="216"/>
        <v>1</v>
      </c>
    </row>
    <row r="1927" spans="1:23">
      <c r="A1927" t="s">
        <v>1940</v>
      </c>
      <c r="B1927" s="4">
        <v>45401</v>
      </c>
      <c r="C1927" t="s">
        <v>2018</v>
      </c>
      <c r="D1927" t="s">
        <v>2026</v>
      </c>
      <c r="E1927" t="s">
        <v>2029</v>
      </c>
      <c r="F1927" t="s">
        <v>2032</v>
      </c>
      <c r="G1927" t="s">
        <v>2035</v>
      </c>
      <c r="H1927" t="s">
        <v>2039</v>
      </c>
      <c r="I1927">
        <v>1</v>
      </c>
      <c r="J1927">
        <v>8</v>
      </c>
      <c r="K1927">
        <v>7</v>
      </c>
      <c r="L1927" t="s">
        <v>2041</v>
      </c>
      <c r="M1927">
        <v>62</v>
      </c>
      <c r="N1927">
        <v>14252</v>
      </c>
      <c r="O1927">
        <v>12418</v>
      </c>
      <c r="P1927" s="13">
        <f t="shared" si="210"/>
        <v>0</v>
      </c>
      <c r="Q1927" t="str">
        <f t="shared" si="211"/>
        <v>No</v>
      </c>
      <c r="R1927" t="str" cm="1">
        <f t="array" ref="R1927">_xlfn.IFS(K1927=0,"On Time",K1927&lt;=2,"Minor",K1927&lt;=5,"Major",K1927&gt;5,"Severe")</f>
        <v>Severe</v>
      </c>
      <c r="S1927">
        <f t="shared" si="212"/>
        <v>1774</v>
      </c>
      <c r="T1927">
        <f t="shared" si="213"/>
        <v>2036</v>
      </c>
      <c r="U1927">
        <f t="shared" si="214"/>
        <v>2024</v>
      </c>
      <c r="V1927">
        <f t="shared" si="215"/>
        <v>4</v>
      </c>
      <c r="W1927" s="11">
        <f t="shared" si="216"/>
        <v>1</v>
      </c>
    </row>
    <row r="1928" spans="1:23">
      <c r="A1928" t="s">
        <v>1941</v>
      </c>
      <c r="B1928" s="4">
        <v>45304</v>
      </c>
      <c r="C1928" t="s">
        <v>2016</v>
      </c>
      <c r="D1928" t="s">
        <v>2021</v>
      </c>
      <c r="E1928" t="s">
        <v>2027</v>
      </c>
      <c r="F1928" t="s">
        <v>2031</v>
      </c>
      <c r="G1928" t="s">
        <v>2036</v>
      </c>
      <c r="H1928" t="s">
        <v>2038</v>
      </c>
      <c r="I1928">
        <v>5</v>
      </c>
      <c r="J1928">
        <v>6</v>
      </c>
      <c r="K1928">
        <v>1</v>
      </c>
      <c r="L1928" t="s">
        <v>2041</v>
      </c>
      <c r="M1928">
        <v>321</v>
      </c>
      <c r="N1928">
        <v>1200</v>
      </c>
      <c r="O1928">
        <v>2752</v>
      </c>
      <c r="P1928" s="13">
        <f t="shared" si="210"/>
        <v>0</v>
      </c>
      <c r="Q1928" t="str">
        <f t="shared" si="211"/>
        <v>No</v>
      </c>
      <c r="R1928" t="str" cm="1">
        <f t="array" ref="R1928">_xlfn.IFS(K1928=0,"On Time",K1928&lt;=2,"Minor",K1928&lt;=5,"Major",K1928&gt;5,"Severe")</f>
        <v>Minor</v>
      </c>
      <c r="S1928">
        <f t="shared" si="212"/>
        <v>2752</v>
      </c>
      <c r="T1928">
        <f t="shared" si="213"/>
        <v>1200</v>
      </c>
      <c r="U1928">
        <f t="shared" si="214"/>
        <v>2024</v>
      </c>
      <c r="V1928">
        <f t="shared" si="215"/>
        <v>1</v>
      </c>
      <c r="W1928" s="11">
        <f t="shared" si="216"/>
        <v>1</v>
      </c>
    </row>
    <row r="1929" spans="1:23">
      <c r="A1929" t="s">
        <v>1942</v>
      </c>
      <c r="B1929" s="4">
        <v>45577</v>
      </c>
      <c r="C1929" t="s">
        <v>2017</v>
      </c>
      <c r="D1929" t="s">
        <v>2023</v>
      </c>
      <c r="E1929" t="s">
        <v>2027</v>
      </c>
      <c r="F1929" t="s">
        <v>2031</v>
      </c>
      <c r="G1929" t="s">
        <v>2037</v>
      </c>
      <c r="H1929" t="s">
        <v>2039</v>
      </c>
      <c r="I1929">
        <v>2</v>
      </c>
      <c r="J1929">
        <v>7</v>
      </c>
      <c r="K1929">
        <v>5</v>
      </c>
      <c r="L1929" t="s">
        <v>2041</v>
      </c>
      <c r="M1929">
        <v>488</v>
      </c>
      <c r="N1929">
        <v>10455</v>
      </c>
      <c r="O1929">
        <v>18885</v>
      </c>
      <c r="P1929" s="13">
        <f t="shared" si="210"/>
        <v>0</v>
      </c>
      <c r="Q1929" t="str">
        <f t="shared" si="211"/>
        <v>No</v>
      </c>
      <c r="R1929" t="str" cm="1">
        <f t="array" ref="R1929">_xlfn.IFS(K1929=0,"On Time",K1929&lt;=2,"Minor",K1929&lt;=5,"Major",K1929&gt;5,"Severe")</f>
        <v>Major</v>
      </c>
      <c r="S1929">
        <f t="shared" si="212"/>
        <v>3777</v>
      </c>
      <c r="T1929">
        <f t="shared" si="213"/>
        <v>2091</v>
      </c>
      <c r="U1929">
        <f t="shared" si="214"/>
        <v>2024</v>
      </c>
      <c r="V1929">
        <f t="shared" si="215"/>
        <v>10</v>
      </c>
      <c r="W1929" s="11">
        <f t="shared" si="216"/>
        <v>1</v>
      </c>
    </row>
    <row r="1930" spans="1:23">
      <c r="A1930" t="s">
        <v>1943</v>
      </c>
      <c r="B1930" s="4">
        <v>45582</v>
      </c>
      <c r="C1930" t="s">
        <v>2016</v>
      </c>
      <c r="D1930" t="s">
        <v>2025</v>
      </c>
      <c r="E1930" t="s">
        <v>2027</v>
      </c>
      <c r="F1930" t="s">
        <v>2031</v>
      </c>
      <c r="G1930" t="s">
        <v>2033</v>
      </c>
      <c r="H1930" t="s">
        <v>2040</v>
      </c>
      <c r="I1930">
        <v>3</v>
      </c>
      <c r="J1930">
        <v>10</v>
      </c>
      <c r="K1930">
        <v>7</v>
      </c>
      <c r="L1930" t="s">
        <v>2041</v>
      </c>
      <c r="M1930">
        <v>149</v>
      </c>
      <c r="N1930">
        <v>7105</v>
      </c>
      <c r="O1930">
        <v>16359</v>
      </c>
      <c r="P1930" s="13">
        <f t="shared" si="210"/>
        <v>0</v>
      </c>
      <c r="Q1930" t="str">
        <f t="shared" si="211"/>
        <v>No</v>
      </c>
      <c r="R1930" t="str" cm="1">
        <f t="array" ref="R1930">_xlfn.IFS(K1930=0,"On Time",K1930&lt;=2,"Minor",K1930&lt;=5,"Major",K1930&gt;5,"Severe")</f>
        <v>Severe</v>
      </c>
      <c r="S1930">
        <f t="shared" si="212"/>
        <v>2337</v>
      </c>
      <c r="T1930">
        <f t="shared" si="213"/>
        <v>1015</v>
      </c>
      <c r="U1930">
        <f t="shared" si="214"/>
        <v>2024</v>
      </c>
      <c r="V1930">
        <f t="shared" si="215"/>
        <v>10</v>
      </c>
      <c r="W1930" s="11">
        <f t="shared" si="216"/>
        <v>1</v>
      </c>
    </row>
    <row r="1931" spans="1:23">
      <c r="A1931" t="s">
        <v>1944</v>
      </c>
      <c r="B1931" s="4">
        <v>45629</v>
      </c>
      <c r="C1931" t="s">
        <v>2016</v>
      </c>
      <c r="D1931" t="s">
        <v>2021</v>
      </c>
      <c r="E1931" t="s">
        <v>2028</v>
      </c>
      <c r="F1931" t="s">
        <v>2030</v>
      </c>
      <c r="G1931" t="s">
        <v>2037</v>
      </c>
      <c r="H1931" t="s">
        <v>2038</v>
      </c>
      <c r="I1931">
        <v>2</v>
      </c>
      <c r="J1931">
        <v>7</v>
      </c>
      <c r="K1931">
        <v>5</v>
      </c>
      <c r="L1931" t="s">
        <v>2041</v>
      </c>
      <c r="M1931">
        <v>361</v>
      </c>
      <c r="N1931">
        <v>4770</v>
      </c>
      <c r="O1931">
        <v>16925</v>
      </c>
      <c r="P1931" s="13">
        <f t="shared" si="210"/>
        <v>0</v>
      </c>
      <c r="Q1931" t="str">
        <f t="shared" si="211"/>
        <v>No</v>
      </c>
      <c r="R1931" t="str" cm="1">
        <f t="array" ref="R1931">_xlfn.IFS(K1931=0,"On Time",K1931&lt;=2,"Minor",K1931&lt;=5,"Major",K1931&gt;5,"Severe")</f>
        <v>Major</v>
      </c>
      <c r="S1931">
        <f t="shared" si="212"/>
        <v>3385</v>
      </c>
      <c r="T1931">
        <f t="shared" si="213"/>
        <v>954</v>
      </c>
      <c r="U1931">
        <f t="shared" si="214"/>
        <v>2024</v>
      </c>
      <c r="V1931">
        <f t="shared" si="215"/>
        <v>12</v>
      </c>
      <c r="W1931" s="11">
        <f t="shared" si="216"/>
        <v>1</v>
      </c>
    </row>
    <row r="1932" spans="1:23">
      <c r="A1932" t="s">
        <v>1945</v>
      </c>
      <c r="B1932" s="4">
        <v>45587</v>
      </c>
      <c r="C1932" t="s">
        <v>2017</v>
      </c>
      <c r="D1932" t="s">
        <v>2022</v>
      </c>
      <c r="E1932" t="s">
        <v>2027</v>
      </c>
      <c r="F1932" t="s">
        <v>2031</v>
      </c>
      <c r="G1932" t="s">
        <v>2033</v>
      </c>
      <c r="H1932" t="s">
        <v>2038</v>
      </c>
      <c r="I1932">
        <v>1</v>
      </c>
      <c r="J1932">
        <v>1</v>
      </c>
      <c r="K1932">
        <v>0</v>
      </c>
      <c r="L1932" t="s">
        <v>2042</v>
      </c>
      <c r="M1932">
        <v>346</v>
      </c>
      <c r="N1932">
        <v>0</v>
      </c>
      <c r="O1932">
        <v>0</v>
      </c>
      <c r="P1932" s="13">
        <f t="shared" si="210"/>
        <v>1</v>
      </c>
      <c r="Q1932" t="str">
        <f t="shared" si="211"/>
        <v>No</v>
      </c>
      <c r="R1932" t="str" cm="1">
        <f t="array" ref="R1932">_xlfn.IFS(K1932=0,"On Time",K1932&lt;=2,"Minor",K1932&lt;=5,"Major",K1932&gt;5,"Severe")</f>
        <v>On Time</v>
      </c>
      <c r="S1932">
        <f t="shared" si="212"/>
        <v>0</v>
      </c>
      <c r="T1932">
        <f t="shared" si="213"/>
        <v>0</v>
      </c>
      <c r="U1932">
        <f t="shared" si="214"/>
        <v>2024</v>
      </c>
      <c r="V1932">
        <f t="shared" si="215"/>
        <v>10</v>
      </c>
      <c r="W1932" s="11">
        <f t="shared" si="216"/>
        <v>0</v>
      </c>
    </row>
    <row r="1933" spans="1:23">
      <c r="A1933" t="s">
        <v>1946</v>
      </c>
      <c r="B1933" s="4">
        <v>45543</v>
      </c>
      <c r="C1933" t="s">
        <v>2018</v>
      </c>
      <c r="D1933" t="s">
        <v>2024</v>
      </c>
      <c r="E1933" t="s">
        <v>2028</v>
      </c>
      <c r="F1933" t="s">
        <v>2031</v>
      </c>
      <c r="G1933" t="s">
        <v>2033</v>
      </c>
      <c r="H1933" t="s">
        <v>2039</v>
      </c>
      <c r="I1933">
        <v>2</v>
      </c>
      <c r="J1933">
        <v>7</v>
      </c>
      <c r="K1933">
        <v>5</v>
      </c>
      <c r="L1933" t="s">
        <v>2041</v>
      </c>
      <c r="M1933">
        <v>268</v>
      </c>
      <c r="N1933">
        <v>8770</v>
      </c>
      <c r="O1933">
        <v>12055</v>
      </c>
      <c r="P1933" s="13">
        <f t="shared" si="210"/>
        <v>0</v>
      </c>
      <c r="Q1933" t="str">
        <f t="shared" si="211"/>
        <v>No</v>
      </c>
      <c r="R1933" t="str" cm="1">
        <f t="array" ref="R1933">_xlfn.IFS(K1933=0,"On Time",K1933&lt;=2,"Minor",K1933&lt;=5,"Major",K1933&gt;5,"Severe")</f>
        <v>Major</v>
      </c>
      <c r="S1933">
        <f t="shared" si="212"/>
        <v>2411</v>
      </c>
      <c r="T1933">
        <f t="shared" si="213"/>
        <v>1754</v>
      </c>
      <c r="U1933">
        <f t="shared" si="214"/>
        <v>2024</v>
      </c>
      <c r="V1933">
        <f t="shared" si="215"/>
        <v>9</v>
      </c>
      <c r="W1933" s="11">
        <f t="shared" si="216"/>
        <v>1</v>
      </c>
    </row>
    <row r="1934" spans="1:23">
      <c r="A1934" t="s">
        <v>1947</v>
      </c>
      <c r="B1934" s="4">
        <v>45293</v>
      </c>
      <c r="C1934" t="s">
        <v>2015</v>
      </c>
      <c r="D1934" t="s">
        <v>2019</v>
      </c>
      <c r="E1934" t="s">
        <v>2028</v>
      </c>
      <c r="F1934" t="s">
        <v>2030</v>
      </c>
      <c r="G1934" t="s">
        <v>2035</v>
      </c>
      <c r="H1934" t="s">
        <v>2038</v>
      </c>
      <c r="I1934">
        <v>3</v>
      </c>
      <c r="J1934">
        <v>4</v>
      </c>
      <c r="K1934">
        <v>1</v>
      </c>
      <c r="L1934" t="s">
        <v>2041</v>
      </c>
      <c r="M1934">
        <v>336</v>
      </c>
      <c r="N1934">
        <v>1452</v>
      </c>
      <c r="O1934">
        <v>3814</v>
      </c>
      <c r="P1934" s="13">
        <f t="shared" si="210"/>
        <v>0</v>
      </c>
      <c r="Q1934" t="str">
        <f t="shared" si="211"/>
        <v>No</v>
      </c>
      <c r="R1934" t="str" cm="1">
        <f t="array" ref="R1934">_xlfn.IFS(K1934=0,"On Time",K1934&lt;=2,"Minor",K1934&lt;=5,"Major",K1934&gt;5,"Severe")</f>
        <v>Minor</v>
      </c>
      <c r="S1934">
        <f t="shared" si="212"/>
        <v>3814</v>
      </c>
      <c r="T1934">
        <f t="shared" si="213"/>
        <v>1452</v>
      </c>
      <c r="U1934">
        <f t="shared" si="214"/>
        <v>2024</v>
      </c>
      <c r="V1934">
        <f t="shared" si="215"/>
        <v>1</v>
      </c>
      <c r="W1934" s="11">
        <f t="shared" si="216"/>
        <v>1</v>
      </c>
    </row>
    <row r="1935" spans="1:23">
      <c r="A1935" t="s">
        <v>1948</v>
      </c>
      <c r="B1935" s="4">
        <v>45391</v>
      </c>
      <c r="C1935" t="s">
        <v>2016</v>
      </c>
      <c r="D1935" t="s">
        <v>2025</v>
      </c>
      <c r="E1935" t="s">
        <v>2027</v>
      </c>
      <c r="F1935" t="s">
        <v>2032</v>
      </c>
      <c r="G1935" t="s">
        <v>2033</v>
      </c>
      <c r="H1935" t="s">
        <v>2039</v>
      </c>
      <c r="I1935">
        <v>2</v>
      </c>
      <c r="J1935">
        <v>9</v>
      </c>
      <c r="K1935">
        <v>7</v>
      </c>
      <c r="L1935" t="s">
        <v>2041</v>
      </c>
      <c r="M1935">
        <v>141</v>
      </c>
      <c r="N1935">
        <v>12397</v>
      </c>
      <c r="O1935">
        <v>23107</v>
      </c>
      <c r="P1935" s="13">
        <f t="shared" si="210"/>
        <v>0</v>
      </c>
      <c r="Q1935" t="str">
        <f t="shared" si="211"/>
        <v>No</v>
      </c>
      <c r="R1935" t="str" cm="1">
        <f t="array" ref="R1935">_xlfn.IFS(K1935=0,"On Time",K1935&lt;=2,"Minor",K1935&lt;=5,"Major",K1935&gt;5,"Severe")</f>
        <v>Severe</v>
      </c>
      <c r="S1935">
        <f t="shared" si="212"/>
        <v>3301</v>
      </c>
      <c r="T1935">
        <f t="shared" si="213"/>
        <v>1771</v>
      </c>
      <c r="U1935">
        <f t="shared" si="214"/>
        <v>2024</v>
      </c>
      <c r="V1935">
        <f t="shared" si="215"/>
        <v>4</v>
      </c>
      <c r="W1935" s="11">
        <f t="shared" si="216"/>
        <v>1</v>
      </c>
    </row>
    <row r="1936" spans="1:23">
      <c r="A1936" t="s">
        <v>1949</v>
      </c>
      <c r="B1936" s="4">
        <v>45604</v>
      </c>
      <c r="C1936" t="s">
        <v>2015</v>
      </c>
      <c r="D1936" t="s">
        <v>2019</v>
      </c>
      <c r="E1936" t="s">
        <v>2027</v>
      </c>
      <c r="F1936" t="s">
        <v>2030</v>
      </c>
      <c r="G1936" t="s">
        <v>2037</v>
      </c>
      <c r="H1936" t="s">
        <v>2038</v>
      </c>
      <c r="I1936">
        <v>2</v>
      </c>
      <c r="J1936">
        <v>2</v>
      </c>
      <c r="K1936">
        <v>0</v>
      </c>
      <c r="L1936" t="s">
        <v>2042</v>
      </c>
      <c r="M1936">
        <v>213</v>
      </c>
      <c r="N1936">
        <v>0</v>
      </c>
      <c r="O1936">
        <v>0</v>
      </c>
      <c r="P1936" s="13">
        <f t="shared" si="210"/>
        <v>1</v>
      </c>
      <c r="Q1936" t="str">
        <f t="shared" si="211"/>
        <v>No</v>
      </c>
      <c r="R1936" t="str" cm="1">
        <f t="array" ref="R1936">_xlfn.IFS(K1936=0,"On Time",K1936&lt;=2,"Minor",K1936&lt;=5,"Major",K1936&gt;5,"Severe")</f>
        <v>On Time</v>
      </c>
      <c r="S1936">
        <f t="shared" si="212"/>
        <v>0</v>
      </c>
      <c r="T1936">
        <f t="shared" si="213"/>
        <v>0</v>
      </c>
      <c r="U1936">
        <f t="shared" si="214"/>
        <v>2024</v>
      </c>
      <c r="V1936">
        <f t="shared" si="215"/>
        <v>11</v>
      </c>
      <c r="W1936" s="11">
        <f t="shared" si="216"/>
        <v>0</v>
      </c>
    </row>
    <row r="1937" spans="1:23">
      <c r="A1937" t="s">
        <v>1950</v>
      </c>
      <c r="B1937" s="4">
        <v>45295</v>
      </c>
      <c r="C1937" t="s">
        <v>2015</v>
      </c>
      <c r="D1937" t="s">
        <v>2020</v>
      </c>
      <c r="E1937" t="s">
        <v>2029</v>
      </c>
      <c r="F1937" t="s">
        <v>2030</v>
      </c>
      <c r="G1937" t="s">
        <v>2037</v>
      </c>
      <c r="H1937" t="s">
        <v>2038</v>
      </c>
      <c r="I1937">
        <v>5</v>
      </c>
      <c r="J1937">
        <v>10</v>
      </c>
      <c r="K1937">
        <v>5</v>
      </c>
      <c r="L1937" t="s">
        <v>2041</v>
      </c>
      <c r="M1937">
        <v>402</v>
      </c>
      <c r="N1937">
        <v>7940</v>
      </c>
      <c r="O1937">
        <v>22375</v>
      </c>
      <c r="P1937" s="13">
        <f t="shared" si="210"/>
        <v>0</v>
      </c>
      <c r="Q1937" t="str">
        <f t="shared" si="211"/>
        <v>No</v>
      </c>
      <c r="R1937" t="str" cm="1">
        <f t="array" ref="R1937">_xlfn.IFS(K1937=0,"On Time",K1937&lt;=2,"Minor",K1937&lt;=5,"Major",K1937&gt;5,"Severe")</f>
        <v>Major</v>
      </c>
      <c r="S1937">
        <f t="shared" si="212"/>
        <v>4475</v>
      </c>
      <c r="T1937">
        <f t="shared" si="213"/>
        <v>1588</v>
      </c>
      <c r="U1937">
        <f t="shared" si="214"/>
        <v>2024</v>
      </c>
      <c r="V1937">
        <f t="shared" si="215"/>
        <v>1</v>
      </c>
      <c r="W1937" s="11">
        <f t="shared" si="216"/>
        <v>1</v>
      </c>
    </row>
    <row r="1938" spans="1:23">
      <c r="A1938" t="s">
        <v>1951</v>
      </c>
      <c r="B1938" s="4">
        <v>45607</v>
      </c>
      <c r="C1938" t="s">
        <v>2015</v>
      </c>
      <c r="D1938" t="s">
        <v>2019</v>
      </c>
      <c r="E1938" t="s">
        <v>2028</v>
      </c>
      <c r="F1938" t="s">
        <v>2030</v>
      </c>
      <c r="G1938" t="s">
        <v>2035</v>
      </c>
      <c r="H1938" t="s">
        <v>2038</v>
      </c>
      <c r="I1938">
        <v>1</v>
      </c>
      <c r="J1938">
        <v>3</v>
      </c>
      <c r="K1938">
        <v>2</v>
      </c>
      <c r="L1938" t="s">
        <v>2041</v>
      </c>
      <c r="M1938">
        <v>136</v>
      </c>
      <c r="N1938">
        <v>2900</v>
      </c>
      <c r="O1938">
        <v>6850</v>
      </c>
      <c r="P1938" s="13">
        <f t="shared" si="210"/>
        <v>0</v>
      </c>
      <c r="Q1938" t="str">
        <f t="shared" si="211"/>
        <v>No</v>
      </c>
      <c r="R1938" t="str" cm="1">
        <f t="array" ref="R1938">_xlfn.IFS(K1938=0,"On Time",K1938&lt;=2,"Minor",K1938&lt;=5,"Major",K1938&gt;5,"Severe")</f>
        <v>Minor</v>
      </c>
      <c r="S1938">
        <f t="shared" si="212"/>
        <v>3425</v>
      </c>
      <c r="T1938">
        <f t="shared" si="213"/>
        <v>1450</v>
      </c>
      <c r="U1938">
        <f t="shared" si="214"/>
        <v>2024</v>
      </c>
      <c r="V1938">
        <f t="shared" si="215"/>
        <v>11</v>
      </c>
      <c r="W1938" s="11">
        <f t="shared" si="216"/>
        <v>1</v>
      </c>
    </row>
    <row r="1939" spans="1:23">
      <c r="A1939" t="s">
        <v>1952</v>
      </c>
      <c r="B1939" s="4">
        <v>45342</v>
      </c>
      <c r="C1939" t="s">
        <v>2018</v>
      </c>
      <c r="D1939" t="s">
        <v>2026</v>
      </c>
      <c r="E1939" t="s">
        <v>2029</v>
      </c>
      <c r="F1939" t="s">
        <v>2031</v>
      </c>
      <c r="G1939" t="s">
        <v>2037</v>
      </c>
      <c r="H1939" t="s">
        <v>2038</v>
      </c>
      <c r="I1939">
        <v>2</v>
      </c>
      <c r="J1939">
        <v>4</v>
      </c>
      <c r="K1939">
        <v>2</v>
      </c>
      <c r="L1939" t="s">
        <v>2041</v>
      </c>
      <c r="M1939">
        <v>275</v>
      </c>
      <c r="N1939">
        <v>3058</v>
      </c>
      <c r="O1939">
        <v>7236</v>
      </c>
      <c r="P1939" s="13">
        <f t="shared" si="210"/>
        <v>0</v>
      </c>
      <c r="Q1939" t="str">
        <f t="shared" si="211"/>
        <v>No</v>
      </c>
      <c r="R1939" t="str" cm="1">
        <f t="array" ref="R1939">_xlfn.IFS(K1939=0,"On Time",K1939&lt;=2,"Minor",K1939&lt;=5,"Major",K1939&gt;5,"Severe")</f>
        <v>Minor</v>
      </c>
      <c r="S1939">
        <f t="shared" si="212"/>
        <v>3618</v>
      </c>
      <c r="T1939">
        <f t="shared" si="213"/>
        <v>1529</v>
      </c>
      <c r="U1939">
        <f t="shared" si="214"/>
        <v>2024</v>
      </c>
      <c r="V1939">
        <f t="shared" si="215"/>
        <v>2</v>
      </c>
      <c r="W1939" s="11">
        <f t="shared" si="216"/>
        <v>1</v>
      </c>
    </row>
    <row r="1940" spans="1:23">
      <c r="A1940" t="s">
        <v>1953</v>
      </c>
      <c r="B1940" s="4">
        <v>45423</v>
      </c>
      <c r="C1940" t="s">
        <v>2016</v>
      </c>
      <c r="D1940" t="s">
        <v>2025</v>
      </c>
      <c r="E1940" t="s">
        <v>2029</v>
      </c>
      <c r="F1940" t="s">
        <v>2030</v>
      </c>
      <c r="G1940" t="s">
        <v>2036</v>
      </c>
      <c r="H1940" t="s">
        <v>2039</v>
      </c>
      <c r="I1940">
        <v>1</v>
      </c>
      <c r="J1940">
        <v>4</v>
      </c>
      <c r="K1940">
        <v>3</v>
      </c>
      <c r="L1940" t="s">
        <v>2041</v>
      </c>
      <c r="M1940">
        <v>475</v>
      </c>
      <c r="N1940">
        <v>6462</v>
      </c>
      <c r="O1940">
        <v>9099</v>
      </c>
      <c r="P1940" s="13">
        <f t="shared" si="210"/>
        <v>0</v>
      </c>
      <c r="Q1940" t="str">
        <f t="shared" si="211"/>
        <v>No</v>
      </c>
      <c r="R1940" t="str" cm="1">
        <f t="array" ref="R1940">_xlfn.IFS(K1940=0,"On Time",K1940&lt;=2,"Minor",K1940&lt;=5,"Major",K1940&gt;5,"Severe")</f>
        <v>Major</v>
      </c>
      <c r="S1940">
        <f t="shared" si="212"/>
        <v>3033</v>
      </c>
      <c r="T1940">
        <f t="shared" si="213"/>
        <v>2154</v>
      </c>
      <c r="U1940">
        <f t="shared" si="214"/>
        <v>2024</v>
      </c>
      <c r="V1940">
        <f t="shared" si="215"/>
        <v>5</v>
      </c>
      <c r="W1940" s="11">
        <f t="shared" si="216"/>
        <v>1</v>
      </c>
    </row>
    <row r="1941" spans="1:23">
      <c r="A1941" t="s">
        <v>1954</v>
      </c>
      <c r="B1941" s="4">
        <v>45605</v>
      </c>
      <c r="C1941" t="s">
        <v>2018</v>
      </c>
      <c r="D1941" t="s">
        <v>2026</v>
      </c>
      <c r="E1941" t="s">
        <v>2027</v>
      </c>
      <c r="F1941" t="s">
        <v>2031</v>
      </c>
      <c r="G1941" t="s">
        <v>2033</v>
      </c>
      <c r="H1941" t="s">
        <v>2039</v>
      </c>
      <c r="I1941">
        <v>2</v>
      </c>
      <c r="J1941">
        <v>3</v>
      </c>
      <c r="K1941">
        <v>1</v>
      </c>
      <c r="L1941" t="s">
        <v>2041</v>
      </c>
      <c r="M1941">
        <v>108</v>
      </c>
      <c r="N1941">
        <v>1578</v>
      </c>
      <c r="O1941">
        <v>4529</v>
      </c>
      <c r="P1941" s="13">
        <f t="shared" si="210"/>
        <v>0</v>
      </c>
      <c r="Q1941" t="str">
        <f t="shared" si="211"/>
        <v>No</v>
      </c>
      <c r="R1941" t="str" cm="1">
        <f t="array" ref="R1941">_xlfn.IFS(K1941=0,"On Time",K1941&lt;=2,"Minor",K1941&lt;=5,"Major",K1941&gt;5,"Severe")</f>
        <v>Minor</v>
      </c>
      <c r="S1941">
        <f t="shared" si="212"/>
        <v>4529</v>
      </c>
      <c r="T1941">
        <f t="shared" si="213"/>
        <v>1578</v>
      </c>
      <c r="U1941">
        <f t="shared" si="214"/>
        <v>2024</v>
      </c>
      <c r="V1941">
        <f t="shared" si="215"/>
        <v>11</v>
      </c>
      <c r="W1941" s="11">
        <f t="shared" si="216"/>
        <v>1</v>
      </c>
    </row>
    <row r="1942" spans="1:23">
      <c r="A1942" t="s">
        <v>1955</v>
      </c>
      <c r="B1942" s="4">
        <v>45540</v>
      </c>
      <c r="C1942" t="s">
        <v>2017</v>
      </c>
      <c r="D1942" t="s">
        <v>2023</v>
      </c>
      <c r="E1942" t="s">
        <v>2027</v>
      </c>
      <c r="F1942" t="s">
        <v>2031</v>
      </c>
      <c r="G1942" t="s">
        <v>2033</v>
      </c>
      <c r="H1942" t="s">
        <v>2038</v>
      </c>
      <c r="I1942">
        <v>3</v>
      </c>
      <c r="J1942">
        <v>7</v>
      </c>
      <c r="K1942">
        <v>4</v>
      </c>
      <c r="L1942" t="s">
        <v>2041</v>
      </c>
      <c r="M1942">
        <v>465</v>
      </c>
      <c r="N1942">
        <v>9136</v>
      </c>
      <c r="O1942">
        <v>17640</v>
      </c>
      <c r="P1942" s="13">
        <f t="shared" si="210"/>
        <v>0</v>
      </c>
      <c r="Q1942" t="str">
        <f t="shared" si="211"/>
        <v>No</v>
      </c>
      <c r="R1942" t="str" cm="1">
        <f t="array" ref="R1942">_xlfn.IFS(K1942=0,"On Time",K1942&lt;=2,"Minor",K1942&lt;=5,"Major",K1942&gt;5,"Severe")</f>
        <v>Major</v>
      </c>
      <c r="S1942">
        <f t="shared" si="212"/>
        <v>4410</v>
      </c>
      <c r="T1942">
        <f t="shared" si="213"/>
        <v>2284</v>
      </c>
      <c r="U1942">
        <f t="shared" si="214"/>
        <v>2024</v>
      </c>
      <c r="V1942">
        <f t="shared" si="215"/>
        <v>9</v>
      </c>
      <c r="W1942" s="11">
        <f t="shared" si="216"/>
        <v>1</v>
      </c>
    </row>
    <row r="1943" spans="1:23">
      <c r="A1943" t="s">
        <v>1956</v>
      </c>
      <c r="B1943" s="4">
        <v>45405</v>
      </c>
      <c r="C1943" t="s">
        <v>2015</v>
      </c>
      <c r="D1943" t="s">
        <v>2019</v>
      </c>
      <c r="E1943" t="s">
        <v>2028</v>
      </c>
      <c r="F1943" t="s">
        <v>2032</v>
      </c>
      <c r="G1943" t="s">
        <v>2036</v>
      </c>
      <c r="H1943" t="s">
        <v>2038</v>
      </c>
      <c r="I1943">
        <v>1</v>
      </c>
      <c r="J1943">
        <v>7</v>
      </c>
      <c r="K1943">
        <v>6</v>
      </c>
      <c r="L1943" t="s">
        <v>2041</v>
      </c>
      <c r="M1943">
        <v>159</v>
      </c>
      <c r="N1943">
        <v>13206</v>
      </c>
      <c r="O1943">
        <v>13260</v>
      </c>
      <c r="P1943" s="13">
        <f t="shared" si="210"/>
        <v>0</v>
      </c>
      <c r="Q1943" t="str">
        <f t="shared" si="211"/>
        <v>No</v>
      </c>
      <c r="R1943" t="str" cm="1">
        <f t="array" ref="R1943">_xlfn.IFS(K1943=0,"On Time",K1943&lt;=2,"Minor",K1943&lt;=5,"Major",K1943&gt;5,"Severe")</f>
        <v>Severe</v>
      </c>
      <c r="S1943">
        <f t="shared" si="212"/>
        <v>2210</v>
      </c>
      <c r="T1943">
        <f t="shared" si="213"/>
        <v>2201</v>
      </c>
      <c r="U1943">
        <f t="shared" si="214"/>
        <v>2024</v>
      </c>
      <c r="V1943">
        <f t="shared" si="215"/>
        <v>4</v>
      </c>
      <c r="W1943" s="11">
        <f t="shared" si="216"/>
        <v>1</v>
      </c>
    </row>
    <row r="1944" spans="1:23">
      <c r="A1944" t="s">
        <v>1957</v>
      </c>
      <c r="B1944" s="4">
        <v>45468</v>
      </c>
      <c r="C1944" t="s">
        <v>2017</v>
      </c>
      <c r="D1944" t="s">
        <v>2023</v>
      </c>
      <c r="E1944" t="s">
        <v>2029</v>
      </c>
      <c r="F1944" t="s">
        <v>2031</v>
      </c>
      <c r="G1944" t="s">
        <v>2033</v>
      </c>
      <c r="H1944" t="s">
        <v>2038</v>
      </c>
      <c r="I1944">
        <v>2</v>
      </c>
      <c r="J1944">
        <v>7</v>
      </c>
      <c r="K1944">
        <v>5</v>
      </c>
      <c r="L1944" t="s">
        <v>2041</v>
      </c>
      <c r="M1944">
        <v>298</v>
      </c>
      <c r="N1944">
        <v>5370</v>
      </c>
      <c r="O1944">
        <v>16655</v>
      </c>
      <c r="P1944" s="13">
        <f t="shared" si="210"/>
        <v>0</v>
      </c>
      <c r="Q1944" t="str">
        <f t="shared" si="211"/>
        <v>No</v>
      </c>
      <c r="R1944" t="str" cm="1">
        <f t="array" ref="R1944">_xlfn.IFS(K1944=0,"On Time",K1944&lt;=2,"Minor",K1944&lt;=5,"Major",K1944&gt;5,"Severe")</f>
        <v>Major</v>
      </c>
      <c r="S1944">
        <f t="shared" si="212"/>
        <v>3331</v>
      </c>
      <c r="T1944">
        <f t="shared" si="213"/>
        <v>1074</v>
      </c>
      <c r="U1944">
        <f t="shared" si="214"/>
        <v>2024</v>
      </c>
      <c r="V1944">
        <f t="shared" si="215"/>
        <v>6</v>
      </c>
      <c r="W1944" s="11">
        <f t="shared" si="216"/>
        <v>1</v>
      </c>
    </row>
    <row r="1945" spans="1:23">
      <c r="A1945" t="s">
        <v>1958</v>
      </c>
      <c r="B1945" s="4">
        <v>45586</v>
      </c>
      <c r="C1945" t="s">
        <v>2015</v>
      </c>
      <c r="D1945" t="s">
        <v>2020</v>
      </c>
      <c r="E1945" t="s">
        <v>2029</v>
      </c>
      <c r="F1945" t="s">
        <v>2031</v>
      </c>
      <c r="G1945" t="s">
        <v>2034</v>
      </c>
      <c r="H1945" t="s">
        <v>2040</v>
      </c>
      <c r="I1945">
        <v>2</v>
      </c>
      <c r="J1945">
        <v>5</v>
      </c>
      <c r="K1945">
        <v>3</v>
      </c>
      <c r="L1945" t="s">
        <v>2041</v>
      </c>
      <c r="M1945">
        <v>186</v>
      </c>
      <c r="N1945">
        <v>6066</v>
      </c>
      <c r="O1945">
        <v>9309</v>
      </c>
      <c r="P1945" s="13">
        <f t="shared" si="210"/>
        <v>0</v>
      </c>
      <c r="Q1945" t="str">
        <f t="shared" si="211"/>
        <v>No</v>
      </c>
      <c r="R1945" t="str" cm="1">
        <f t="array" ref="R1945">_xlfn.IFS(K1945=0,"On Time",K1945&lt;=2,"Minor",K1945&lt;=5,"Major",K1945&gt;5,"Severe")</f>
        <v>Major</v>
      </c>
      <c r="S1945">
        <f t="shared" si="212"/>
        <v>3103</v>
      </c>
      <c r="T1945">
        <f t="shared" si="213"/>
        <v>2022</v>
      </c>
      <c r="U1945">
        <f t="shared" si="214"/>
        <v>2024</v>
      </c>
      <c r="V1945">
        <f t="shared" si="215"/>
        <v>10</v>
      </c>
      <c r="W1945" s="11">
        <f t="shared" si="216"/>
        <v>1</v>
      </c>
    </row>
    <row r="1946" spans="1:23">
      <c r="A1946" t="s">
        <v>1959</v>
      </c>
      <c r="B1946" s="4">
        <v>45507</v>
      </c>
      <c r="C1946" t="s">
        <v>2017</v>
      </c>
      <c r="D1946" t="s">
        <v>2022</v>
      </c>
      <c r="E1946" t="s">
        <v>2027</v>
      </c>
      <c r="F1946" t="s">
        <v>2032</v>
      </c>
      <c r="G1946" t="s">
        <v>2036</v>
      </c>
      <c r="H1946" t="s">
        <v>2040</v>
      </c>
      <c r="I1946">
        <v>1</v>
      </c>
      <c r="J1946">
        <v>6</v>
      </c>
      <c r="K1946">
        <v>5</v>
      </c>
      <c r="L1946" t="s">
        <v>2041</v>
      </c>
      <c r="M1946">
        <v>98</v>
      </c>
      <c r="N1946">
        <v>8465</v>
      </c>
      <c r="O1946">
        <v>24420</v>
      </c>
      <c r="P1946" s="13">
        <f t="shared" si="210"/>
        <v>0</v>
      </c>
      <c r="Q1946" t="str">
        <f t="shared" si="211"/>
        <v>No</v>
      </c>
      <c r="R1946" t="str" cm="1">
        <f t="array" ref="R1946">_xlfn.IFS(K1946=0,"On Time",K1946&lt;=2,"Minor",K1946&lt;=5,"Major",K1946&gt;5,"Severe")</f>
        <v>Major</v>
      </c>
      <c r="S1946">
        <f t="shared" si="212"/>
        <v>4884</v>
      </c>
      <c r="T1946">
        <f t="shared" si="213"/>
        <v>1693</v>
      </c>
      <c r="U1946">
        <f t="shared" si="214"/>
        <v>2024</v>
      </c>
      <c r="V1946">
        <f t="shared" si="215"/>
        <v>8</v>
      </c>
      <c r="W1946" s="11">
        <f t="shared" si="216"/>
        <v>1</v>
      </c>
    </row>
    <row r="1947" spans="1:23">
      <c r="A1947" t="s">
        <v>1960</v>
      </c>
      <c r="B1947" s="4">
        <v>45455</v>
      </c>
      <c r="C1947" t="s">
        <v>2017</v>
      </c>
      <c r="D1947" t="s">
        <v>2023</v>
      </c>
      <c r="E1947" t="s">
        <v>2029</v>
      </c>
      <c r="F1947" t="s">
        <v>2030</v>
      </c>
      <c r="G1947" t="s">
        <v>2035</v>
      </c>
      <c r="H1947" t="s">
        <v>2038</v>
      </c>
      <c r="I1947">
        <v>2</v>
      </c>
      <c r="J1947">
        <v>5</v>
      </c>
      <c r="K1947">
        <v>3</v>
      </c>
      <c r="L1947" t="s">
        <v>2041</v>
      </c>
      <c r="M1947">
        <v>187</v>
      </c>
      <c r="N1947">
        <v>4017</v>
      </c>
      <c r="O1947">
        <v>14286</v>
      </c>
      <c r="P1947" s="13">
        <f t="shared" si="210"/>
        <v>0</v>
      </c>
      <c r="Q1947" t="str">
        <f t="shared" si="211"/>
        <v>No</v>
      </c>
      <c r="R1947" t="str" cm="1">
        <f t="array" ref="R1947">_xlfn.IFS(K1947=0,"On Time",K1947&lt;=2,"Minor",K1947&lt;=5,"Major",K1947&gt;5,"Severe")</f>
        <v>Major</v>
      </c>
      <c r="S1947">
        <f t="shared" si="212"/>
        <v>4762</v>
      </c>
      <c r="T1947">
        <f t="shared" si="213"/>
        <v>1339</v>
      </c>
      <c r="U1947">
        <f t="shared" si="214"/>
        <v>2024</v>
      </c>
      <c r="V1947">
        <f t="shared" si="215"/>
        <v>6</v>
      </c>
      <c r="W1947" s="11">
        <f t="shared" si="216"/>
        <v>1</v>
      </c>
    </row>
    <row r="1948" spans="1:23">
      <c r="A1948" t="s">
        <v>1961</v>
      </c>
      <c r="B1948" s="4">
        <v>45585</v>
      </c>
      <c r="C1948" t="s">
        <v>2017</v>
      </c>
      <c r="D1948" t="s">
        <v>2022</v>
      </c>
      <c r="E1948" t="s">
        <v>2028</v>
      </c>
      <c r="F1948" t="s">
        <v>2031</v>
      </c>
      <c r="G1948" t="s">
        <v>2035</v>
      </c>
      <c r="H1948" t="s">
        <v>2038</v>
      </c>
      <c r="I1948">
        <v>1</v>
      </c>
      <c r="J1948">
        <v>3</v>
      </c>
      <c r="K1948">
        <v>2</v>
      </c>
      <c r="L1948" t="s">
        <v>2041</v>
      </c>
      <c r="M1948">
        <v>119</v>
      </c>
      <c r="N1948">
        <v>4522</v>
      </c>
      <c r="O1948">
        <v>9386</v>
      </c>
      <c r="P1948" s="13">
        <f t="shared" si="210"/>
        <v>0</v>
      </c>
      <c r="Q1948" t="str">
        <f t="shared" si="211"/>
        <v>No</v>
      </c>
      <c r="R1948" t="str" cm="1">
        <f t="array" ref="R1948">_xlfn.IFS(K1948=0,"On Time",K1948&lt;=2,"Minor",K1948&lt;=5,"Major",K1948&gt;5,"Severe")</f>
        <v>Minor</v>
      </c>
      <c r="S1948">
        <f t="shared" si="212"/>
        <v>4693</v>
      </c>
      <c r="T1948">
        <f t="shared" si="213"/>
        <v>2261</v>
      </c>
      <c r="U1948">
        <f t="shared" si="214"/>
        <v>2024</v>
      </c>
      <c r="V1948">
        <f t="shared" si="215"/>
        <v>10</v>
      </c>
      <c r="W1948" s="11">
        <f t="shared" si="216"/>
        <v>1</v>
      </c>
    </row>
    <row r="1949" spans="1:23">
      <c r="A1949" t="s">
        <v>1962</v>
      </c>
      <c r="B1949" s="4">
        <v>45401</v>
      </c>
      <c r="C1949" t="s">
        <v>2015</v>
      </c>
      <c r="D1949" t="s">
        <v>2020</v>
      </c>
      <c r="E1949" t="s">
        <v>2029</v>
      </c>
      <c r="F1949" t="s">
        <v>2030</v>
      </c>
      <c r="G1949" t="s">
        <v>2033</v>
      </c>
      <c r="H1949" t="s">
        <v>2040</v>
      </c>
      <c r="I1949">
        <v>1</v>
      </c>
      <c r="J1949">
        <v>3</v>
      </c>
      <c r="K1949">
        <v>2</v>
      </c>
      <c r="L1949" t="s">
        <v>2041</v>
      </c>
      <c r="M1949">
        <v>435</v>
      </c>
      <c r="N1949">
        <v>4418</v>
      </c>
      <c r="O1949">
        <v>5360</v>
      </c>
      <c r="P1949" s="13">
        <f t="shared" si="210"/>
        <v>0</v>
      </c>
      <c r="Q1949" t="str">
        <f t="shared" si="211"/>
        <v>No</v>
      </c>
      <c r="R1949" t="str" cm="1">
        <f t="array" ref="R1949">_xlfn.IFS(K1949=0,"On Time",K1949&lt;=2,"Minor",K1949&lt;=5,"Major",K1949&gt;5,"Severe")</f>
        <v>Minor</v>
      </c>
      <c r="S1949">
        <f t="shared" si="212"/>
        <v>2680</v>
      </c>
      <c r="T1949">
        <f t="shared" si="213"/>
        <v>2209</v>
      </c>
      <c r="U1949">
        <f t="shared" si="214"/>
        <v>2024</v>
      </c>
      <c r="V1949">
        <f t="shared" si="215"/>
        <v>4</v>
      </c>
      <c r="W1949" s="11">
        <f t="shared" si="216"/>
        <v>1</v>
      </c>
    </row>
    <row r="1950" spans="1:23">
      <c r="A1950" t="s">
        <v>1963</v>
      </c>
      <c r="B1950" s="4">
        <v>45374</v>
      </c>
      <c r="C1950" t="s">
        <v>2018</v>
      </c>
      <c r="D1950" t="s">
        <v>2026</v>
      </c>
      <c r="E1950" t="s">
        <v>2027</v>
      </c>
      <c r="F1950" t="s">
        <v>2031</v>
      </c>
      <c r="G1950" t="s">
        <v>2036</v>
      </c>
      <c r="H1950" t="s">
        <v>2040</v>
      </c>
      <c r="I1950">
        <v>3</v>
      </c>
      <c r="J1950">
        <v>9</v>
      </c>
      <c r="K1950">
        <v>6</v>
      </c>
      <c r="L1950" t="s">
        <v>2041</v>
      </c>
      <c r="M1950">
        <v>401</v>
      </c>
      <c r="N1950">
        <v>13776</v>
      </c>
      <c r="O1950">
        <v>15726</v>
      </c>
      <c r="P1950" s="13">
        <f t="shared" si="210"/>
        <v>0</v>
      </c>
      <c r="Q1950" t="str">
        <f t="shared" si="211"/>
        <v>No</v>
      </c>
      <c r="R1950" t="str" cm="1">
        <f t="array" ref="R1950">_xlfn.IFS(K1950=0,"On Time",K1950&lt;=2,"Minor",K1950&lt;=5,"Major",K1950&gt;5,"Severe")</f>
        <v>Severe</v>
      </c>
      <c r="S1950">
        <f t="shared" si="212"/>
        <v>2621</v>
      </c>
      <c r="T1950">
        <f t="shared" si="213"/>
        <v>2296</v>
      </c>
      <c r="U1950">
        <f t="shared" si="214"/>
        <v>2024</v>
      </c>
      <c r="V1950">
        <f t="shared" si="215"/>
        <v>3</v>
      </c>
      <c r="W1950" s="11">
        <f t="shared" si="216"/>
        <v>1</v>
      </c>
    </row>
    <row r="1951" spans="1:23">
      <c r="A1951" t="s">
        <v>1964</v>
      </c>
      <c r="B1951" s="4">
        <v>45654</v>
      </c>
      <c r="C1951" t="s">
        <v>2018</v>
      </c>
      <c r="D1951" t="s">
        <v>2024</v>
      </c>
      <c r="E1951" t="s">
        <v>2027</v>
      </c>
      <c r="F1951" t="s">
        <v>2032</v>
      </c>
      <c r="G1951" t="s">
        <v>2034</v>
      </c>
      <c r="H1951" t="s">
        <v>2038</v>
      </c>
      <c r="I1951">
        <v>2</v>
      </c>
      <c r="J1951">
        <v>9</v>
      </c>
      <c r="K1951">
        <v>7</v>
      </c>
      <c r="L1951" t="s">
        <v>2041</v>
      </c>
      <c r="M1951">
        <v>432</v>
      </c>
      <c r="N1951">
        <v>10612</v>
      </c>
      <c r="O1951">
        <v>25221</v>
      </c>
      <c r="P1951" s="13">
        <f t="shared" si="210"/>
        <v>0</v>
      </c>
      <c r="Q1951" t="str">
        <f t="shared" si="211"/>
        <v>No</v>
      </c>
      <c r="R1951" t="str" cm="1">
        <f t="array" ref="R1951">_xlfn.IFS(K1951=0,"On Time",K1951&lt;=2,"Minor",K1951&lt;=5,"Major",K1951&gt;5,"Severe")</f>
        <v>Severe</v>
      </c>
      <c r="S1951">
        <f t="shared" si="212"/>
        <v>3603</v>
      </c>
      <c r="T1951">
        <f t="shared" si="213"/>
        <v>1516</v>
      </c>
      <c r="U1951">
        <f t="shared" si="214"/>
        <v>2024</v>
      </c>
      <c r="V1951">
        <f t="shared" si="215"/>
        <v>12</v>
      </c>
      <c r="W1951" s="11">
        <f t="shared" si="216"/>
        <v>1</v>
      </c>
    </row>
    <row r="1952" spans="1:23">
      <c r="A1952" t="s">
        <v>1965</v>
      </c>
      <c r="B1952" s="4">
        <v>45631</v>
      </c>
      <c r="C1952" t="s">
        <v>2017</v>
      </c>
      <c r="D1952" t="s">
        <v>2022</v>
      </c>
      <c r="E1952" t="s">
        <v>2027</v>
      </c>
      <c r="F1952" t="s">
        <v>2031</v>
      </c>
      <c r="G1952" t="s">
        <v>2034</v>
      </c>
      <c r="H1952" t="s">
        <v>2038</v>
      </c>
      <c r="I1952">
        <v>2</v>
      </c>
      <c r="J1952">
        <v>5</v>
      </c>
      <c r="K1952">
        <v>3</v>
      </c>
      <c r="L1952" t="s">
        <v>2041</v>
      </c>
      <c r="M1952">
        <v>232</v>
      </c>
      <c r="N1952">
        <v>6090</v>
      </c>
      <c r="O1952">
        <v>14487</v>
      </c>
      <c r="P1952" s="13">
        <f t="shared" si="210"/>
        <v>0</v>
      </c>
      <c r="Q1952" t="str">
        <f t="shared" si="211"/>
        <v>No</v>
      </c>
      <c r="R1952" t="str" cm="1">
        <f t="array" ref="R1952">_xlfn.IFS(K1952=0,"On Time",K1952&lt;=2,"Minor",K1952&lt;=5,"Major",K1952&gt;5,"Severe")</f>
        <v>Major</v>
      </c>
      <c r="S1952">
        <f t="shared" si="212"/>
        <v>4829</v>
      </c>
      <c r="T1952">
        <f t="shared" si="213"/>
        <v>2030</v>
      </c>
      <c r="U1952">
        <f t="shared" si="214"/>
        <v>2024</v>
      </c>
      <c r="V1952">
        <f t="shared" si="215"/>
        <v>12</v>
      </c>
      <c r="W1952" s="11">
        <f t="shared" si="216"/>
        <v>1</v>
      </c>
    </row>
    <row r="1953" spans="1:23">
      <c r="A1953" t="s">
        <v>1966</v>
      </c>
      <c r="B1953" s="4">
        <v>45360</v>
      </c>
      <c r="C1953" t="s">
        <v>2017</v>
      </c>
      <c r="D1953" t="s">
        <v>2022</v>
      </c>
      <c r="E1953" t="s">
        <v>2027</v>
      </c>
      <c r="F1953" t="s">
        <v>2031</v>
      </c>
      <c r="G1953" t="s">
        <v>2033</v>
      </c>
      <c r="H1953" t="s">
        <v>2038</v>
      </c>
      <c r="I1953">
        <v>2</v>
      </c>
      <c r="J1953">
        <v>7</v>
      </c>
      <c r="K1953">
        <v>5</v>
      </c>
      <c r="L1953" t="s">
        <v>2041</v>
      </c>
      <c r="M1953">
        <v>325</v>
      </c>
      <c r="N1953">
        <v>5050</v>
      </c>
      <c r="O1953">
        <v>15315</v>
      </c>
      <c r="P1953" s="13">
        <f t="shared" si="210"/>
        <v>0</v>
      </c>
      <c r="Q1953" t="str">
        <f t="shared" si="211"/>
        <v>No</v>
      </c>
      <c r="R1953" t="str" cm="1">
        <f t="array" ref="R1953">_xlfn.IFS(K1953=0,"On Time",K1953&lt;=2,"Minor",K1953&lt;=5,"Major",K1953&gt;5,"Severe")</f>
        <v>Major</v>
      </c>
      <c r="S1953">
        <f t="shared" si="212"/>
        <v>3063</v>
      </c>
      <c r="T1953">
        <f t="shared" si="213"/>
        <v>1010</v>
      </c>
      <c r="U1953">
        <f t="shared" si="214"/>
        <v>2024</v>
      </c>
      <c r="V1953">
        <f t="shared" si="215"/>
        <v>3</v>
      </c>
      <c r="W1953" s="11">
        <f t="shared" si="216"/>
        <v>1</v>
      </c>
    </row>
    <row r="1954" spans="1:23">
      <c r="A1954" t="s">
        <v>1967</v>
      </c>
      <c r="B1954" s="4">
        <v>45437</v>
      </c>
      <c r="C1954" t="s">
        <v>2015</v>
      </c>
      <c r="D1954" t="s">
        <v>2020</v>
      </c>
      <c r="E1954" t="s">
        <v>2029</v>
      </c>
      <c r="F1954" t="s">
        <v>2030</v>
      </c>
      <c r="G1954" t="s">
        <v>2036</v>
      </c>
      <c r="H1954" t="s">
        <v>2039</v>
      </c>
      <c r="I1954">
        <v>1</v>
      </c>
      <c r="J1954">
        <v>6</v>
      </c>
      <c r="K1954">
        <v>5</v>
      </c>
      <c r="L1954" t="s">
        <v>2041</v>
      </c>
      <c r="M1954">
        <v>427</v>
      </c>
      <c r="N1954">
        <v>7855</v>
      </c>
      <c r="O1954">
        <v>18940</v>
      </c>
      <c r="P1954" s="13">
        <f t="shared" si="210"/>
        <v>0</v>
      </c>
      <c r="Q1954" t="str">
        <f t="shared" si="211"/>
        <v>No</v>
      </c>
      <c r="R1954" t="str" cm="1">
        <f t="array" ref="R1954">_xlfn.IFS(K1954=0,"On Time",K1954&lt;=2,"Minor",K1954&lt;=5,"Major",K1954&gt;5,"Severe")</f>
        <v>Major</v>
      </c>
      <c r="S1954">
        <f t="shared" si="212"/>
        <v>3788</v>
      </c>
      <c r="T1954">
        <f t="shared" si="213"/>
        <v>1571</v>
      </c>
      <c r="U1954">
        <f t="shared" si="214"/>
        <v>2024</v>
      </c>
      <c r="V1954">
        <f t="shared" si="215"/>
        <v>5</v>
      </c>
      <c r="W1954" s="11">
        <f t="shared" si="216"/>
        <v>1</v>
      </c>
    </row>
    <row r="1955" spans="1:23">
      <c r="A1955" t="s">
        <v>1968</v>
      </c>
      <c r="B1955" s="4">
        <v>45345</v>
      </c>
      <c r="C1955" t="s">
        <v>2016</v>
      </c>
      <c r="D1955" t="s">
        <v>2021</v>
      </c>
      <c r="E1955" t="s">
        <v>2028</v>
      </c>
      <c r="F1955" t="s">
        <v>2031</v>
      </c>
      <c r="G1955" t="s">
        <v>2036</v>
      </c>
      <c r="H1955" t="s">
        <v>2038</v>
      </c>
      <c r="I1955">
        <v>2</v>
      </c>
      <c r="J1955">
        <v>5</v>
      </c>
      <c r="K1955">
        <v>3</v>
      </c>
      <c r="L1955" t="s">
        <v>2041</v>
      </c>
      <c r="M1955">
        <v>193</v>
      </c>
      <c r="N1955">
        <v>7191</v>
      </c>
      <c r="O1955">
        <v>6651</v>
      </c>
      <c r="P1955" s="13">
        <f t="shared" si="210"/>
        <v>0</v>
      </c>
      <c r="Q1955" t="str">
        <f t="shared" si="211"/>
        <v>No</v>
      </c>
      <c r="R1955" t="str" cm="1">
        <f t="array" ref="R1955">_xlfn.IFS(K1955=0,"On Time",K1955&lt;=2,"Minor",K1955&lt;=5,"Major",K1955&gt;5,"Severe")</f>
        <v>Major</v>
      </c>
      <c r="S1955">
        <f t="shared" si="212"/>
        <v>2217</v>
      </c>
      <c r="T1955">
        <f t="shared" si="213"/>
        <v>2397</v>
      </c>
      <c r="U1955">
        <f t="shared" si="214"/>
        <v>2024</v>
      </c>
      <c r="V1955">
        <f t="shared" si="215"/>
        <v>2</v>
      </c>
      <c r="W1955" s="11">
        <f t="shared" si="216"/>
        <v>1</v>
      </c>
    </row>
    <row r="1956" spans="1:23">
      <c r="A1956" t="s">
        <v>1969</v>
      </c>
      <c r="B1956" s="4">
        <v>45563</v>
      </c>
      <c r="C1956" t="s">
        <v>2017</v>
      </c>
      <c r="D1956" t="s">
        <v>2023</v>
      </c>
      <c r="E1956" t="s">
        <v>2029</v>
      </c>
      <c r="F1956" t="s">
        <v>2032</v>
      </c>
      <c r="G1956" t="s">
        <v>2033</v>
      </c>
      <c r="H1956" t="s">
        <v>2040</v>
      </c>
      <c r="I1956">
        <v>3</v>
      </c>
      <c r="J1956">
        <v>10</v>
      </c>
      <c r="K1956">
        <v>7</v>
      </c>
      <c r="L1956" t="s">
        <v>2041</v>
      </c>
      <c r="M1956">
        <v>313</v>
      </c>
      <c r="N1956">
        <v>11130</v>
      </c>
      <c r="O1956">
        <v>13986</v>
      </c>
      <c r="P1956" s="13">
        <f t="shared" si="210"/>
        <v>0</v>
      </c>
      <c r="Q1956" t="str">
        <f t="shared" si="211"/>
        <v>No</v>
      </c>
      <c r="R1956" t="str" cm="1">
        <f t="array" ref="R1956">_xlfn.IFS(K1956=0,"On Time",K1956&lt;=2,"Minor",K1956&lt;=5,"Major",K1956&gt;5,"Severe")</f>
        <v>Severe</v>
      </c>
      <c r="S1956">
        <f t="shared" si="212"/>
        <v>1998</v>
      </c>
      <c r="T1956">
        <f t="shared" si="213"/>
        <v>1590</v>
      </c>
      <c r="U1956">
        <f t="shared" si="214"/>
        <v>2024</v>
      </c>
      <c r="V1956">
        <f t="shared" si="215"/>
        <v>9</v>
      </c>
      <c r="W1956" s="11">
        <f t="shared" si="216"/>
        <v>1</v>
      </c>
    </row>
    <row r="1957" spans="1:23">
      <c r="A1957" t="s">
        <v>1970</v>
      </c>
      <c r="B1957" s="4">
        <v>45624</v>
      </c>
      <c r="C1957" t="s">
        <v>2015</v>
      </c>
      <c r="D1957" t="s">
        <v>2020</v>
      </c>
      <c r="E1957" t="s">
        <v>2029</v>
      </c>
      <c r="F1957" t="s">
        <v>2030</v>
      </c>
      <c r="G1957" t="s">
        <v>2034</v>
      </c>
      <c r="H1957" t="s">
        <v>2039</v>
      </c>
      <c r="I1957">
        <v>1</v>
      </c>
      <c r="J1957">
        <v>6</v>
      </c>
      <c r="K1957">
        <v>5</v>
      </c>
      <c r="L1957" t="s">
        <v>2041</v>
      </c>
      <c r="M1957">
        <v>106</v>
      </c>
      <c r="N1957">
        <v>10900</v>
      </c>
      <c r="O1957">
        <v>17210</v>
      </c>
      <c r="P1957" s="13">
        <f t="shared" si="210"/>
        <v>0</v>
      </c>
      <c r="Q1957" t="str">
        <f t="shared" si="211"/>
        <v>No</v>
      </c>
      <c r="R1957" t="str" cm="1">
        <f t="array" ref="R1957">_xlfn.IFS(K1957=0,"On Time",K1957&lt;=2,"Minor",K1957&lt;=5,"Major",K1957&gt;5,"Severe")</f>
        <v>Major</v>
      </c>
      <c r="S1957">
        <f t="shared" si="212"/>
        <v>3442</v>
      </c>
      <c r="T1957">
        <f t="shared" si="213"/>
        <v>2180</v>
      </c>
      <c r="U1957">
        <f t="shared" si="214"/>
        <v>2024</v>
      </c>
      <c r="V1957">
        <f t="shared" si="215"/>
        <v>11</v>
      </c>
      <c r="W1957" s="11">
        <f t="shared" si="216"/>
        <v>1</v>
      </c>
    </row>
    <row r="1958" spans="1:23">
      <c r="A1958" t="s">
        <v>1971</v>
      </c>
      <c r="B1958" s="4">
        <v>45534</v>
      </c>
      <c r="C1958" t="s">
        <v>2016</v>
      </c>
      <c r="D1958" t="s">
        <v>2025</v>
      </c>
      <c r="E1958" t="s">
        <v>2028</v>
      </c>
      <c r="F1958" t="s">
        <v>2032</v>
      </c>
      <c r="G1958" t="s">
        <v>2034</v>
      </c>
      <c r="H1958" t="s">
        <v>2039</v>
      </c>
      <c r="I1958">
        <v>3</v>
      </c>
      <c r="J1958">
        <v>7</v>
      </c>
      <c r="K1958">
        <v>4</v>
      </c>
      <c r="L1958" t="s">
        <v>2041</v>
      </c>
      <c r="M1958">
        <v>133</v>
      </c>
      <c r="N1958">
        <v>8580</v>
      </c>
      <c r="O1958">
        <v>10840</v>
      </c>
      <c r="P1958" s="13">
        <f t="shared" si="210"/>
        <v>0</v>
      </c>
      <c r="Q1958" t="str">
        <f t="shared" si="211"/>
        <v>No</v>
      </c>
      <c r="R1958" t="str" cm="1">
        <f t="array" ref="R1958">_xlfn.IFS(K1958=0,"On Time",K1958&lt;=2,"Minor",K1958&lt;=5,"Major",K1958&gt;5,"Severe")</f>
        <v>Major</v>
      </c>
      <c r="S1958">
        <f t="shared" si="212"/>
        <v>2710</v>
      </c>
      <c r="T1958">
        <f t="shared" si="213"/>
        <v>2145</v>
      </c>
      <c r="U1958">
        <f t="shared" si="214"/>
        <v>2024</v>
      </c>
      <c r="V1958">
        <f t="shared" si="215"/>
        <v>8</v>
      </c>
      <c r="W1958" s="11">
        <f t="shared" si="216"/>
        <v>1</v>
      </c>
    </row>
    <row r="1959" spans="1:23">
      <c r="A1959" t="s">
        <v>1972</v>
      </c>
      <c r="B1959" s="4">
        <v>45409</v>
      </c>
      <c r="C1959" t="s">
        <v>2015</v>
      </c>
      <c r="D1959" t="s">
        <v>2019</v>
      </c>
      <c r="E1959" t="s">
        <v>2029</v>
      </c>
      <c r="F1959" t="s">
        <v>2030</v>
      </c>
      <c r="G1959" t="s">
        <v>2037</v>
      </c>
      <c r="H1959" t="s">
        <v>2039</v>
      </c>
      <c r="I1959">
        <v>1</v>
      </c>
      <c r="J1959">
        <v>5</v>
      </c>
      <c r="K1959">
        <v>4</v>
      </c>
      <c r="L1959" t="s">
        <v>2041</v>
      </c>
      <c r="M1959">
        <v>378</v>
      </c>
      <c r="N1959">
        <v>5364</v>
      </c>
      <c r="O1959">
        <v>8304</v>
      </c>
      <c r="P1959" s="13">
        <f t="shared" si="210"/>
        <v>0</v>
      </c>
      <c r="Q1959" t="str">
        <f t="shared" si="211"/>
        <v>No</v>
      </c>
      <c r="R1959" t="str" cm="1">
        <f t="array" ref="R1959">_xlfn.IFS(K1959=0,"On Time",K1959&lt;=2,"Minor",K1959&lt;=5,"Major",K1959&gt;5,"Severe")</f>
        <v>Major</v>
      </c>
      <c r="S1959">
        <f t="shared" si="212"/>
        <v>2076</v>
      </c>
      <c r="T1959">
        <f t="shared" si="213"/>
        <v>1341</v>
      </c>
      <c r="U1959">
        <f t="shared" si="214"/>
        <v>2024</v>
      </c>
      <c r="V1959">
        <f t="shared" si="215"/>
        <v>4</v>
      </c>
      <c r="W1959" s="11">
        <f t="shared" si="216"/>
        <v>1</v>
      </c>
    </row>
    <row r="1960" spans="1:23">
      <c r="A1960" t="s">
        <v>1973</v>
      </c>
      <c r="B1960" s="4">
        <v>45545</v>
      </c>
      <c r="C1960" t="s">
        <v>2017</v>
      </c>
      <c r="D1960" t="s">
        <v>2023</v>
      </c>
      <c r="E1960" t="s">
        <v>2028</v>
      </c>
      <c r="F1960" t="s">
        <v>2032</v>
      </c>
      <c r="G1960" t="s">
        <v>2033</v>
      </c>
      <c r="H1960" t="s">
        <v>2038</v>
      </c>
      <c r="I1960">
        <v>1</v>
      </c>
      <c r="J1960">
        <v>5</v>
      </c>
      <c r="K1960">
        <v>4</v>
      </c>
      <c r="L1960" t="s">
        <v>2041</v>
      </c>
      <c r="M1960">
        <v>367</v>
      </c>
      <c r="N1960">
        <v>9528</v>
      </c>
      <c r="O1960">
        <v>13012</v>
      </c>
      <c r="P1960" s="13">
        <f t="shared" si="210"/>
        <v>0</v>
      </c>
      <c r="Q1960" t="str">
        <f t="shared" si="211"/>
        <v>No</v>
      </c>
      <c r="R1960" t="str" cm="1">
        <f t="array" ref="R1960">_xlfn.IFS(K1960=0,"On Time",K1960&lt;=2,"Minor",K1960&lt;=5,"Major",K1960&gt;5,"Severe")</f>
        <v>Major</v>
      </c>
      <c r="S1960">
        <f t="shared" si="212"/>
        <v>3253</v>
      </c>
      <c r="T1960">
        <f t="shared" si="213"/>
        <v>2382</v>
      </c>
      <c r="U1960">
        <f t="shared" si="214"/>
        <v>2024</v>
      </c>
      <c r="V1960">
        <f t="shared" si="215"/>
        <v>9</v>
      </c>
      <c r="W1960" s="11">
        <f t="shared" si="216"/>
        <v>1</v>
      </c>
    </row>
    <row r="1961" spans="1:23">
      <c r="A1961" t="s">
        <v>1974</v>
      </c>
      <c r="B1961" s="4">
        <v>45547</v>
      </c>
      <c r="C1961" t="s">
        <v>2018</v>
      </c>
      <c r="D1961" t="s">
        <v>2024</v>
      </c>
      <c r="E1961" t="s">
        <v>2027</v>
      </c>
      <c r="F1961" t="s">
        <v>2030</v>
      </c>
      <c r="G1961" t="s">
        <v>2034</v>
      </c>
      <c r="H1961" t="s">
        <v>2040</v>
      </c>
      <c r="I1961">
        <v>1</v>
      </c>
      <c r="J1961">
        <v>3</v>
      </c>
      <c r="K1961">
        <v>2</v>
      </c>
      <c r="L1961" t="s">
        <v>2041</v>
      </c>
      <c r="M1961">
        <v>448</v>
      </c>
      <c r="N1961">
        <v>2578</v>
      </c>
      <c r="O1961">
        <v>8208</v>
      </c>
      <c r="P1961" s="13">
        <f t="shared" si="210"/>
        <v>0</v>
      </c>
      <c r="Q1961" t="str">
        <f t="shared" si="211"/>
        <v>No</v>
      </c>
      <c r="R1961" t="str" cm="1">
        <f t="array" ref="R1961">_xlfn.IFS(K1961=0,"On Time",K1961&lt;=2,"Minor",K1961&lt;=5,"Major",K1961&gt;5,"Severe")</f>
        <v>Minor</v>
      </c>
      <c r="S1961">
        <f t="shared" si="212"/>
        <v>4104</v>
      </c>
      <c r="T1961">
        <f t="shared" si="213"/>
        <v>1289</v>
      </c>
      <c r="U1961">
        <f t="shared" si="214"/>
        <v>2024</v>
      </c>
      <c r="V1961">
        <f t="shared" si="215"/>
        <v>9</v>
      </c>
      <c r="W1961" s="11">
        <f t="shared" si="216"/>
        <v>1</v>
      </c>
    </row>
    <row r="1962" spans="1:23">
      <c r="A1962" t="s">
        <v>1975</v>
      </c>
      <c r="B1962" s="4">
        <v>45613</v>
      </c>
      <c r="C1962" t="s">
        <v>2018</v>
      </c>
      <c r="D1962" t="s">
        <v>2024</v>
      </c>
      <c r="E1962" t="s">
        <v>2029</v>
      </c>
      <c r="F1962" t="s">
        <v>2031</v>
      </c>
      <c r="G1962" t="s">
        <v>2033</v>
      </c>
      <c r="H1962" t="s">
        <v>2040</v>
      </c>
      <c r="I1962">
        <v>1</v>
      </c>
      <c r="J1962">
        <v>5</v>
      </c>
      <c r="K1962">
        <v>4</v>
      </c>
      <c r="L1962" t="s">
        <v>2041</v>
      </c>
      <c r="M1962">
        <v>81</v>
      </c>
      <c r="N1962">
        <v>3988</v>
      </c>
      <c r="O1962">
        <v>15752</v>
      </c>
      <c r="P1962" s="13">
        <f t="shared" si="210"/>
        <v>0</v>
      </c>
      <c r="Q1962" t="str">
        <f t="shared" si="211"/>
        <v>No</v>
      </c>
      <c r="R1962" t="str" cm="1">
        <f t="array" ref="R1962">_xlfn.IFS(K1962=0,"On Time",K1962&lt;=2,"Minor",K1962&lt;=5,"Major",K1962&gt;5,"Severe")</f>
        <v>Major</v>
      </c>
      <c r="S1962">
        <f t="shared" si="212"/>
        <v>3938</v>
      </c>
      <c r="T1962">
        <f t="shared" si="213"/>
        <v>997</v>
      </c>
      <c r="U1962">
        <f t="shared" si="214"/>
        <v>2024</v>
      </c>
      <c r="V1962">
        <f t="shared" si="215"/>
        <v>11</v>
      </c>
      <c r="W1962" s="11">
        <f t="shared" si="216"/>
        <v>1</v>
      </c>
    </row>
    <row r="1963" spans="1:23">
      <c r="A1963" t="s">
        <v>1976</v>
      </c>
      <c r="B1963" s="4">
        <v>45380</v>
      </c>
      <c r="C1963" t="s">
        <v>2018</v>
      </c>
      <c r="D1963" t="s">
        <v>2026</v>
      </c>
      <c r="E1963" t="s">
        <v>2028</v>
      </c>
      <c r="F1963" t="s">
        <v>2030</v>
      </c>
      <c r="G1963" t="s">
        <v>2037</v>
      </c>
      <c r="H1963" t="s">
        <v>2038</v>
      </c>
      <c r="I1963">
        <v>3</v>
      </c>
      <c r="J1963">
        <v>7</v>
      </c>
      <c r="K1963">
        <v>4</v>
      </c>
      <c r="L1963" t="s">
        <v>2041</v>
      </c>
      <c r="M1963">
        <v>144</v>
      </c>
      <c r="N1963">
        <v>7340</v>
      </c>
      <c r="O1963">
        <v>18560</v>
      </c>
      <c r="P1963" s="13">
        <f t="shared" si="210"/>
        <v>0</v>
      </c>
      <c r="Q1963" t="str">
        <f t="shared" si="211"/>
        <v>No</v>
      </c>
      <c r="R1963" t="str" cm="1">
        <f t="array" ref="R1963">_xlfn.IFS(K1963=0,"On Time",K1963&lt;=2,"Minor",K1963&lt;=5,"Major",K1963&gt;5,"Severe")</f>
        <v>Major</v>
      </c>
      <c r="S1963">
        <f t="shared" si="212"/>
        <v>4640</v>
      </c>
      <c r="T1963">
        <f t="shared" si="213"/>
        <v>1835</v>
      </c>
      <c r="U1963">
        <f t="shared" si="214"/>
        <v>2024</v>
      </c>
      <c r="V1963">
        <f t="shared" si="215"/>
        <v>3</v>
      </c>
      <c r="W1963" s="11">
        <f t="shared" si="216"/>
        <v>1</v>
      </c>
    </row>
    <row r="1964" spans="1:23">
      <c r="A1964" t="s">
        <v>1977</v>
      </c>
      <c r="B1964" s="4">
        <v>45638</v>
      </c>
      <c r="C1964" t="s">
        <v>2016</v>
      </c>
      <c r="D1964" t="s">
        <v>2021</v>
      </c>
      <c r="E1964" t="s">
        <v>2027</v>
      </c>
      <c r="F1964" t="s">
        <v>2032</v>
      </c>
      <c r="G1964" t="s">
        <v>2035</v>
      </c>
      <c r="H1964" t="s">
        <v>2038</v>
      </c>
      <c r="I1964">
        <v>3</v>
      </c>
      <c r="J1964">
        <v>7</v>
      </c>
      <c r="K1964">
        <v>4</v>
      </c>
      <c r="L1964" t="s">
        <v>2041</v>
      </c>
      <c r="M1964">
        <v>376</v>
      </c>
      <c r="N1964">
        <v>4768</v>
      </c>
      <c r="O1964">
        <v>7952</v>
      </c>
      <c r="P1964" s="13">
        <f t="shared" si="210"/>
        <v>0</v>
      </c>
      <c r="Q1964" t="str">
        <f t="shared" si="211"/>
        <v>No</v>
      </c>
      <c r="R1964" t="str" cm="1">
        <f t="array" ref="R1964">_xlfn.IFS(K1964=0,"On Time",K1964&lt;=2,"Minor",K1964&lt;=5,"Major",K1964&gt;5,"Severe")</f>
        <v>Major</v>
      </c>
      <c r="S1964">
        <f t="shared" si="212"/>
        <v>1988</v>
      </c>
      <c r="T1964">
        <f t="shared" si="213"/>
        <v>1192</v>
      </c>
      <c r="U1964">
        <f t="shared" si="214"/>
        <v>2024</v>
      </c>
      <c r="V1964">
        <f t="shared" si="215"/>
        <v>12</v>
      </c>
      <c r="W1964" s="11">
        <f t="shared" si="216"/>
        <v>1</v>
      </c>
    </row>
    <row r="1965" spans="1:23">
      <c r="A1965" t="s">
        <v>1978</v>
      </c>
      <c r="B1965" s="4">
        <v>45548</v>
      </c>
      <c r="C1965" t="s">
        <v>2017</v>
      </c>
      <c r="D1965" t="s">
        <v>2022</v>
      </c>
      <c r="E1965" t="s">
        <v>2027</v>
      </c>
      <c r="F1965" t="s">
        <v>2032</v>
      </c>
      <c r="G1965" t="s">
        <v>2037</v>
      </c>
      <c r="H1965" t="s">
        <v>2039</v>
      </c>
      <c r="I1965">
        <v>2</v>
      </c>
      <c r="J1965">
        <v>4</v>
      </c>
      <c r="K1965">
        <v>2</v>
      </c>
      <c r="L1965" t="s">
        <v>2041</v>
      </c>
      <c r="M1965">
        <v>267</v>
      </c>
      <c r="N1965">
        <v>3836</v>
      </c>
      <c r="O1965">
        <v>9642</v>
      </c>
      <c r="P1965" s="13">
        <f t="shared" si="210"/>
        <v>0</v>
      </c>
      <c r="Q1965" t="str">
        <f t="shared" si="211"/>
        <v>No</v>
      </c>
      <c r="R1965" t="str" cm="1">
        <f t="array" ref="R1965">_xlfn.IFS(K1965=0,"On Time",K1965&lt;=2,"Minor",K1965&lt;=5,"Major",K1965&gt;5,"Severe")</f>
        <v>Minor</v>
      </c>
      <c r="S1965">
        <f t="shared" si="212"/>
        <v>4821</v>
      </c>
      <c r="T1965">
        <f t="shared" si="213"/>
        <v>1918</v>
      </c>
      <c r="U1965">
        <f t="shared" si="214"/>
        <v>2024</v>
      </c>
      <c r="V1965">
        <f t="shared" si="215"/>
        <v>9</v>
      </c>
      <c r="W1965" s="11">
        <f t="shared" si="216"/>
        <v>1</v>
      </c>
    </row>
    <row r="1966" spans="1:23">
      <c r="A1966" t="s">
        <v>1979</v>
      </c>
      <c r="B1966" s="4">
        <v>45482</v>
      </c>
      <c r="C1966" t="s">
        <v>2016</v>
      </c>
      <c r="D1966" t="s">
        <v>2021</v>
      </c>
      <c r="E1966" t="s">
        <v>2028</v>
      </c>
      <c r="F1966" t="s">
        <v>2032</v>
      </c>
      <c r="G1966" t="s">
        <v>2035</v>
      </c>
      <c r="H1966" t="s">
        <v>2040</v>
      </c>
      <c r="I1966">
        <v>2</v>
      </c>
      <c r="J1966">
        <v>6</v>
      </c>
      <c r="K1966">
        <v>4</v>
      </c>
      <c r="L1966" t="s">
        <v>2041</v>
      </c>
      <c r="M1966">
        <v>187</v>
      </c>
      <c r="N1966">
        <v>4296</v>
      </c>
      <c r="O1966">
        <v>7252</v>
      </c>
      <c r="P1966" s="13">
        <f t="shared" si="210"/>
        <v>0</v>
      </c>
      <c r="Q1966" t="str">
        <f t="shared" si="211"/>
        <v>No</v>
      </c>
      <c r="R1966" t="str" cm="1">
        <f t="array" ref="R1966">_xlfn.IFS(K1966=0,"On Time",K1966&lt;=2,"Minor",K1966&lt;=5,"Major",K1966&gt;5,"Severe")</f>
        <v>Major</v>
      </c>
      <c r="S1966">
        <f t="shared" si="212"/>
        <v>1813</v>
      </c>
      <c r="T1966">
        <f t="shared" si="213"/>
        <v>1074</v>
      </c>
      <c r="U1966">
        <f t="shared" si="214"/>
        <v>2024</v>
      </c>
      <c r="V1966">
        <f t="shared" si="215"/>
        <v>7</v>
      </c>
      <c r="W1966" s="11">
        <f t="shared" si="216"/>
        <v>1</v>
      </c>
    </row>
    <row r="1967" spans="1:23">
      <c r="A1967" t="s">
        <v>1980</v>
      </c>
      <c r="B1967" s="4">
        <v>45330</v>
      </c>
      <c r="C1967" t="s">
        <v>2015</v>
      </c>
      <c r="D1967" t="s">
        <v>2020</v>
      </c>
      <c r="E1967" t="s">
        <v>2027</v>
      </c>
      <c r="F1967" t="s">
        <v>2030</v>
      </c>
      <c r="G1967" t="s">
        <v>2037</v>
      </c>
      <c r="H1967" t="s">
        <v>2040</v>
      </c>
      <c r="I1967">
        <v>2</v>
      </c>
      <c r="J1967">
        <v>6</v>
      </c>
      <c r="K1967">
        <v>4</v>
      </c>
      <c r="L1967" t="s">
        <v>2041</v>
      </c>
      <c r="M1967">
        <v>233</v>
      </c>
      <c r="N1967">
        <v>5172</v>
      </c>
      <c r="O1967">
        <v>7828</v>
      </c>
      <c r="P1967" s="13">
        <f t="shared" si="210"/>
        <v>0</v>
      </c>
      <c r="Q1967" t="str">
        <f t="shared" si="211"/>
        <v>No</v>
      </c>
      <c r="R1967" t="str" cm="1">
        <f t="array" ref="R1967">_xlfn.IFS(K1967=0,"On Time",K1967&lt;=2,"Minor",K1967&lt;=5,"Major",K1967&gt;5,"Severe")</f>
        <v>Major</v>
      </c>
      <c r="S1967">
        <f t="shared" si="212"/>
        <v>1957</v>
      </c>
      <c r="T1967">
        <f t="shared" si="213"/>
        <v>1293</v>
      </c>
      <c r="U1967">
        <f t="shared" si="214"/>
        <v>2024</v>
      </c>
      <c r="V1967">
        <f t="shared" si="215"/>
        <v>2</v>
      </c>
      <c r="W1967" s="11">
        <f t="shared" si="216"/>
        <v>1</v>
      </c>
    </row>
    <row r="1968" spans="1:23">
      <c r="A1968" t="s">
        <v>1981</v>
      </c>
      <c r="B1968" s="4">
        <v>45498</v>
      </c>
      <c r="C1968" t="s">
        <v>2017</v>
      </c>
      <c r="D1968" t="s">
        <v>2022</v>
      </c>
      <c r="E1968" t="s">
        <v>2027</v>
      </c>
      <c r="F1968" t="s">
        <v>2030</v>
      </c>
      <c r="G1968" t="s">
        <v>2036</v>
      </c>
      <c r="H1968" t="s">
        <v>2040</v>
      </c>
      <c r="I1968">
        <v>1</v>
      </c>
      <c r="J1968">
        <v>5</v>
      </c>
      <c r="K1968">
        <v>4</v>
      </c>
      <c r="L1968" t="s">
        <v>2041</v>
      </c>
      <c r="M1968">
        <v>118</v>
      </c>
      <c r="N1968">
        <v>8360</v>
      </c>
      <c r="O1968">
        <v>13484</v>
      </c>
      <c r="P1968" s="13">
        <f t="shared" si="210"/>
        <v>0</v>
      </c>
      <c r="Q1968" t="str">
        <f t="shared" si="211"/>
        <v>No</v>
      </c>
      <c r="R1968" t="str" cm="1">
        <f t="array" ref="R1968">_xlfn.IFS(K1968=0,"On Time",K1968&lt;=2,"Minor",K1968&lt;=5,"Major",K1968&gt;5,"Severe")</f>
        <v>Major</v>
      </c>
      <c r="S1968">
        <f t="shared" si="212"/>
        <v>3371</v>
      </c>
      <c r="T1968">
        <f t="shared" si="213"/>
        <v>2090</v>
      </c>
      <c r="U1968">
        <f t="shared" si="214"/>
        <v>2024</v>
      </c>
      <c r="V1968">
        <f t="shared" si="215"/>
        <v>7</v>
      </c>
      <c r="W1968" s="11">
        <f t="shared" si="216"/>
        <v>1</v>
      </c>
    </row>
    <row r="1969" spans="1:23">
      <c r="A1969" t="s">
        <v>1982</v>
      </c>
      <c r="B1969" s="4">
        <v>45382</v>
      </c>
      <c r="C1969" t="s">
        <v>2018</v>
      </c>
      <c r="D1969" t="s">
        <v>2026</v>
      </c>
      <c r="E1969" t="s">
        <v>2028</v>
      </c>
      <c r="F1969" t="s">
        <v>2031</v>
      </c>
      <c r="G1969" t="s">
        <v>2037</v>
      </c>
      <c r="H1969" t="s">
        <v>2038</v>
      </c>
      <c r="I1969">
        <v>1</v>
      </c>
      <c r="J1969">
        <v>3</v>
      </c>
      <c r="K1969">
        <v>2</v>
      </c>
      <c r="L1969" t="s">
        <v>2041</v>
      </c>
      <c r="M1969">
        <v>140</v>
      </c>
      <c r="N1969">
        <v>4214</v>
      </c>
      <c r="O1969">
        <v>3102</v>
      </c>
      <c r="P1969" s="13">
        <f t="shared" si="210"/>
        <v>0</v>
      </c>
      <c r="Q1969" t="str">
        <f t="shared" si="211"/>
        <v>No</v>
      </c>
      <c r="R1969" t="str" cm="1">
        <f t="array" ref="R1969">_xlfn.IFS(K1969=0,"On Time",K1969&lt;=2,"Minor",K1969&lt;=5,"Major",K1969&gt;5,"Severe")</f>
        <v>Minor</v>
      </c>
      <c r="S1969">
        <f t="shared" si="212"/>
        <v>1551</v>
      </c>
      <c r="T1969">
        <f t="shared" si="213"/>
        <v>2107</v>
      </c>
      <c r="U1969">
        <f t="shared" si="214"/>
        <v>2024</v>
      </c>
      <c r="V1969">
        <f t="shared" si="215"/>
        <v>3</v>
      </c>
      <c r="W1969" s="11">
        <f t="shared" si="216"/>
        <v>1</v>
      </c>
    </row>
    <row r="1970" spans="1:23">
      <c r="A1970" t="s">
        <v>1983</v>
      </c>
      <c r="B1970" s="4">
        <v>45624</v>
      </c>
      <c r="C1970" t="s">
        <v>2016</v>
      </c>
      <c r="D1970" t="s">
        <v>2025</v>
      </c>
      <c r="E1970" t="s">
        <v>2028</v>
      </c>
      <c r="F1970" t="s">
        <v>2031</v>
      </c>
      <c r="G1970" t="s">
        <v>2037</v>
      </c>
      <c r="H1970" t="s">
        <v>2039</v>
      </c>
      <c r="I1970">
        <v>2</v>
      </c>
      <c r="J1970">
        <v>3</v>
      </c>
      <c r="K1970">
        <v>1</v>
      </c>
      <c r="L1970" t="s">
        <v>2041</v>
      </c>
      <c r="M1970">
        <v>398</v>
      </c>
      <c r="N1970">
        <v>2460</v>
      </c>
      <c r="O1970">
        <v>3173</v>
      </c>
      <c r="P1970" s="13">
        <f t="shared" si="210"/>
        <v>0</v>
      </c>
      <c r="Q1970" t="str">
        <f t="shared" si="211"/>
        <v>No</v>
      </c>
      <c r="R1970" t="str" cm="1">
        <f t="array" ref="R1970">_xlfn.IFS(K1970=0,"On Time",K1970&lt;=2,"Minor",K1970&lt;=5,"Major",K1970&gt;5,"Severe")</f>
        <v>Minor</v>
      </c>
      <c r="S1970">
        <f t="shared" si="212"/>
        <v>3173</v>
      </c>
      <c r="T1970">
        <f t="shared" si="213"/>
        <v>2460</v>
      </c>
      <c r="U1970">
        <f t="shared" si="214"/>
        <v>2024</v>
      </c>
      <c r="V1970">
        <f t="shared" si="215"/>
        <v>11</v>
      </c>
      <c r="W1970" s="11">
        <f t="shared" si="216"/>
        <v>1</v>
      </c>
    </row>
    <row r="1971" spans="1:23">
      <c r="A1971" t="s">
        <v>1984</v>
      </c>
      <c r="B1971" s="4">
        <v>45500</v>
      </c>
      <c r="C1971" t="s">
        <v>2017</v>
      </c>
      <c r="D1971" t="s">
        <v>2022</v>
      </c>
      <c r="E1971" t="s">
        <v>2027</v>
      </c>
      <c r="F1971" t="s">
        <v>2032</v>
      </c>
      <c r="G1971" t="s">
        <v>2035</v>
      </c>
      <c r="H1971" t="s">
        <v>2040</v>
      </c>
      <c r="I1971">
        <v>2</v>
      </c>
      <c r="J1971">
        <v>9</v>
      </c>
      <c r="K1971">
        <v>7</v>
      </c>
      <c r="L1971" t="s">
        <v>2041</v>
      </c>
      <c r="M1971">
        <v>303</v>
      </c>
      <c r="N1971">
        <v>15799</v>
      </c>
      <c r="O1971">
        <v>20790</v>
      </c>
      <c r="P1971" s="13">
        <f t="shared" si="210"/>
        <v>0</v>
      </c>
      <c r="Q1971" t="str">
        <f t="shared" si="211"/>
        <v>No</v>
      </c>
      <c r="R1971" t="str" cm="1">
        <f t="array" ref="R1971">_xlfn.IFS(K1971=0,"On Time",K1971&lt;=2,"Minor",K1971&lt;=5,"Major",K1971&gt;5,"Severe")</f>
        <v>Severe</v>
      </c>
      <c r="S1971">
        <f t="shared" si="212"/>
        <v>2970</v>
      </c>
      <c r="T1971">
        <f t="shared" si="213"/>
        <v>2257</v>
      </c>
      <c r="U1971">
        <f t="shared" si="214"/>
        <v>2024</v>
      </c>
      <c r="V1971">
        <f t="shared" si="215"/>
        <v>7</v>
      </c>
      <c r="W1971" s="11">
        <f t="shared" si="216"/>
        <v>1</v>
      </c>
    </row>
    <row r="1972" spans="1:23">
      <c r="A1972" t="s">
        <v>1985</v>
      </c>
      <c r="B1972" s="4">
        <v>45610</v>
      </c>
      <c r="C1972" t="s">
        <v>2017</v>
      </c>
      <c r="D1972" t="s">
        <v>2022</v>
      </c>
      <c r="E1972" t="s">
        <v>2027</v>
      </c>
      <c r="F1972" t="s">
        <v>2031</v>
      </c>
      <c r="G1972" t="s">
        <v>2033</v>
      </c>
      <c r="H1972" t="s">
        <v>2040</v>
      </c>
      <c r="I1972">
        <v>2</v>
      </c>
      <c r="J1972">
        <v>9</v>
      </c>
      <c r="K1972">
        <v>7</v>
      </c>
      <c r="L1972" t="s">
        <v>2041</v>
      </c>
      <c r="M1972">
        <v>215</v>
      </c>
      <c r="N1972">
        <v>11410</v>
      </c>
      <c r="O1972">
        <v>13482</v>
      </c>
      <c r="P1972" s="13">
        <f t="shared" si="210"/>
        <v>0</v>
      </c>
      <c r="Q1972" t="str">
        <f t="shared" si="211"/>
        <v>No</v>
      </c>
      <c r="R1972" t="str" cm="1">
        <f t="array" ref="R1972">_xlfn.IFS(K1972=0,"On Time",K1972&lt;=2,"Minor",K1972&lt;=5,"Major",K1972&gt;5,"Severe")</f>
        <v>Severe</v>
      </c>
      <c r="S1972">
        <f t="shared" si="212"/>
        <v>1926</v>
      </c>
      <c r="T1972">
        <f t="shared" si="213"/>
        <v>1630</v>
      </c>
      <c r="U1972">
        <f t="shared" si="214"/>
        <v>2024</v>
      </c>
      <c r="V1972">
        <f t="shared" si="215"/>
        <v>11</v>
      </c>
      <c r="W1972" s="11">
        <f t="shared" si="216"/>
        <v>1</v>
      </c>
    </row>
    <row r="1973" spans="1:23">
      <c r="A1973" t="s">
        <v>1986</v>
      </c>
      <c r="B1973" s="4">
        <v>45297</v>
      </c>
      <c r="C1973" t="s">
        <v>2015</v>
      </c>
      <c r="D1973" t="s">
        <v>2020</v>
      </c>
      <c r="E1973" t="s">
        <v>2027</v>
      </c>
      <c r="F1973" t="s">
        <v>2031</v>
      </c>
      <c r="G1973" t="s">
        <v>2036</v>
      </c>
      <c r="H1973" t="s">
        <v>2038</v>
      </c>
      <c r="I1973">
        <v>2</v>
      </c>
      <c r="J1973">
        <v>2</v>
      </c>
      <c r="K1973">
        <v>0</v>
      </c>
      <c r="L1973" t="s">
        <v>2042</v>
      </c>
      <c r="M1973">
        <v>388</v>
      </c>
      <c r="N1973">
        <v>0</v>
      </c>
      <c r="O1973">
        <v>0</v>
      </c>
      <c r="P1973" s="13">
        <f t="shared" si="210"/>
        <v>1</v>
      </c>
      <c r="Q1973" t="str">
        <f t="shared" si="211"/>
        <v>No</v>
      </c>
      <c r="R1973" t="str" cm="1">
        <f t="array" ref="R1973">_xlfn.IFS(K1973=0,"On Time",K1973&lt;=2,"Minor",K1973&lt;=5,"Major",K1973&gt;5,"Severe")</f>
        <v>On Time</v>
      </c>
      <c r="S1973">
        <f t="shared" si="212"/>
        <v>0</v>
      </c>
      <c r="T1973">
        <f t="shared" si="213"/>
        <v>0</v>
      </c>
      <c r="U1973">
        <f t="shared" si="214"/>
        <v>2024</v>
      </c>
      <c r="V1973">
        <f t="shared" si="215"/>
        <v>1</v>
      </c>
      <c r="W1973" s="11">
        <f t="shared" si="216"/>
        <v>0</v>
      </c>
    </row>
    <row r="1974" spans="1:23">
      <c r="A1974" t="s">
        <v>1987</v>
      </c>
      <c r="B1974" s="4">
        <v>45366</v>
      </c>
      <c r="C1974" t="s">
        <v>2017</v>
      </c>
      <c r="D1974" t="s">
        <v>2022</v>
      </c>
      <c r="E1974" t="s">
        <v>2028</v>
      </c>
      <c r="F1974" t="s">
        <v>2030</v>
      </c>
      <c r="G1974" t="s">
        <v>2033</v>
      </c>
      <c r="H1974" t="s">
        <v>2038</v>
      </c>
      <c r="I1974">
        <v>1</v>
      </c>
      <c r="J1974">
        <v>6</v>
      </c>
      <c r="K1974">
        <v>5</v>
      </c>
      <c r="L1974" t="s">
        <v>2041</v>
      </c>
      <c r="M1974">
        <v>322</v>
      </c>
      <c r="N1974">
        <v>5375</v>
      </c>
      <c r="O1974">
        <v>12710</v>
      </c>
      <c r="P1974" s="13">
        <f t="shared" si="210"/>
        <v>0</v>
      </c>
      <c r="Q1974" t="str">
        <f t="shared" si="211"/>
        <v>No</v>
      </c>
      <c r="R1974" t="str" cm="1">
        <f t="array" ref="R1974">_xlfn.IFS(K1974=0,"On Time",K1974&lt;=2,"Minor",K1974&lt;=5,"Major",K1974&gt;5,"Severe")</f>
        <v>Major</v>
      </c>
      <c r="S1974">
        <f t="shared" si="212"/>
        <v>2542</v>
      </c>
      <c r="T1974">
        <f t="shared" si="213"/>
        <v>1075</v>
      </c>
      <c r="U1974">
        <f t="shared" si="214"/>
        <v>2024</v>
      </c>
      <c r="V1974">
        <f t="shared" si="215"/>
        <v>3</v>
      </c>
      <c r="W1974" s="11">
        <f t="shared" si="216"/>
        <v>1</v>
      </c>
    </row>
    <row r="1975" spans="1:23">
      <c r="A1975" t="s">
        <v>1988</v>
      </c>
      <c r="B1975" s="4">
        <v>45305</v>
      </c>
      <c r="C1975" t="s">
        <v>2015</v>
      </c>
      <c r="D1975" t="s">
        <v>2019</v>
      </c>
      <c r="E1975" t="s">
        <v>2029</v>
      </c>
      <c r="F1975" t="s">
        <v>2030</v>
      </c>
      <c r="G1975" t="s">
        <v>2033</v>
      </c>
      <c r="H1975" t="s">
        <v>2038</v>
      </c>
      <c r="I1975">
        <v>2</v>
      </c>
      <c r="J1975">
        <v>2</v>
      </c>
      <c r="K1975">
        <v>0</v>
      </c>
      <c r="L1975" t="s">
        <v>2042</v>
      </c>
      <c r="M1975">
        <v>325</v>
      </c>
      <c r="N1975">
        <v>0</v>
      </c>
      <c r="O1975">
        <v>0</v>
      </c>
      <c r="P1975" s="13">
        <f t="shared" si="210"/>
        <v>1</v>
      </c>
      <c r="Q1975" t="str">
        <f t="shared" si="211"/>
        <v>No</v>
      </c>
      <c r="R1975" t="str" cm="1">
        <f t="array" ref="R1975">_xlfn.IFS(K1975=0,"On Time",K1975&lt;=2,"Minor",K1975&lt;=5,"Major",K1975&gt;5,"Severe")</f>
        <v>On Time</v>
      </c>
      <c r="S1975">
        <f t="shared" si="212"/>
        <v>0</v>
      </c>
      <c r="T1975">
        <f t="shared" si="213"/>
        <v>0</v>
      </c>
      <c r="U1975">
        <f t="shared" si="214"/>
        <v>2024</v>
      </c>
      <c r="V1975">
        <f t="shared" si="215"/>
        <v>1</v>
      </c>
      <c r="W1975" s="11">
        <f t="shared" si="216"/>
        <v>0</v>
      </c>
    </row>
    <row r="1976" spans="1:23">
      <c r="A1976" t="s">
        <v>1989</v>
      </c>
      <c r="B1976" s="4">
        <v>45448</v>
      </c>
      <c r="C1976" t="s">
        <v>2017</v>
      </c>
      <c r="D1976" t="s">
        <v>2022</v>
      </c>
      <c r="E1976" t="s">
        <v>2028</v>
      </c>
      <c r="F1976" t="s">
        <v>2031</v>
      </c>
      <c r="G1976" t="s">
        <v>2033</v>
      </c>
      <c r="H1976" t="s">
        <v>2038</v>
      </c>
      <c r="I1976">
        <v>1</v>
      </c>
      <c r="J1976">
        <v>3</v>
      </c>
      <c r="K1976">
        <v>2</v>
      </c>
      <c r="L1976" t="s">
        <v>2041</v>
      </c>
      <c r="M1976">
        <v>136</v>
      </c>
      <c r="N1976">
        <v>3368</v>
      </c>
      <c r="O1976">
        <v>6844</v>
      </c>
      <c r="P1976" s="13">
        <f t="shared" si="210"/>
        <v>0</v>
      </c>
      <c r="Q1976" t="str">
        <f t="shared" si="211"/>
        <v>No</v>
      </c>
      <c r="R1976" t="str" cm="1">
        <f t="array" ref="R1976">_xlfn.IFS(K1976=0,"On Time",K1976&lt;=2,"Minor",K1976&lt;=5,"Major",K1976&gt;5,"Severe")</f>
        <v>Minor</v>
      </c>
      <c r="S1976">
        <f t="shared" si="212"/>
        <v>3422</v>
      </c>
      <c r="T1976">
        <f t="shared" si="213"/>
        <v>1684</v>
      </c>
      <c r="U1976">
        <f t="shared" si="214"/>
        <v>2024</v>
      </c>
      <c r="V1976">
        <f t="shared" si="215"/>
        <v>6</v>
      </c>
      <c r="W1976" s="11">
        <f t="shared" si="216"/>
        <v>1</v>
      </c>
    </row>
    <row r="1977" spans="1:23">
      <c r="A1977" t="s">
        <v>1990</v>
      </c>
      <c r="B1977" s="4">
        <v>45571</v>
      </c>
      <c r="C1977" t="s">
        <v>2018</v>
      </c>
      <c r="D1977" t="s">
        <v>2024</v>
      </c>
      <c r="E1977" t="s">
        <v>2027</v>
      </c>
      <c r="F1977" t="s">
        <v>2031</v>
      </c>
      <c r="G1977" t="s">
        <v>2037</v>
      </c>
      <c r="H1977" t="s">
        <v>2038</v>
      </c>
      <c r="I1977">
        <v>2</v>
      </c>
      <c r="J1977">
        <v>7</v>
      </c>
      <c r="K1977">
        <v>5</v>
      </c>
      <c r="L1977" t="s">
        <v>2041</v>
      </c>
      <c r="M1977">
        <v>366</v>
      </c>
      <c r="N1977">
        <v>7260</v>
      </c>
      <c r="O1977">
        <v>22500</v>
      </c>
      <c r="P1977" s="13">
        <f t="shared" si="210"/>
        <v>0</v>
      </c>
      <c r="Q1977" t="str">
        <f t="shared" si="211"/>
        <v>No</v>
      </c>
      <c r="R1977" t="str" cm="1">
        <f t="array" ref="R1977">_xlfn.IFS(K1977=0,"On Time",K1977&lt;=2,"Minor",K1977&lt;=5,"Major",K1977&gt;5,"Severe")</f>
        <v>Major</v>
      </c>
      <c r="S1977">
        <f t="shared" si="212"/>
        <v>4500</v>
      </c>
      <c r="T1977">
        <f t="shared" si="213"/>
        <v>1452</v>
      </c>
      <c r="U1977">
        <f t="shared" si="214"/>
        <v>2024</v>
      </c>
      <c r="V1977">
        <f t="shared" si="215"/>
        <v>10</v>
      </c>
      <c r="W1977" s="11">
        <f t="shared" si="216"/>
        <v>1</v>
      </c>
    </row>
    <row r="1978" spans="1:23">
      <c r="A1978" t="s">
        <v>1991</v>
      </c>
      <c r="B1978" s="4">
        <v>45493</v>
      </c>
      <c r="C1978" t="s">
        <v>2017</v>
      </c>
      <c r="D1978" t="s">
        <v>2022</v>
      </c>
      <c r="E1978" t="s">
        <v>2027</v>
      </c>
      <c r="F1978" t="s">
        <v>2030</v>
      </c>
      <c r="G1978" t="s">
        <v>2036</v>
      </c>
      <c r="H1978" t="s">
        <v>2038</v>
      </c>
      <c r="I1978">
        <v>1</v>
      </c>
      <c r="J1978">
        <v>6</v>
      </c>
      <c r="K1978">
        <v>5</v>
      </c>
      <c r="L1978" t="s">
        <v>2041</v>
      </c>
      <c r="M1978">
        <v>468</v>
      </c>
      <c r="N1978">
        <v>6210</v>
      </c>
      <c r="O1978">
        <v>16360</v>
      </c>
      <c r="P1978" s="13">
        <f t="shared" si="210"/>
        <v>0</v>
      </c>
      <c r="Q1978" t="str">
        <f t="shared" si="211"/>
        <v>No</v>
      </c>
      <c r="R1978" t="str" cm="1">
        <f t="array" ref="R1978">_xlfn.IFS(K1978=0,"On Time",K1978&lt;=2,"Minor",K1978&lt;=5,"Major",K1978&gt;5,"Severe")</f>
        <v>Major</v>
      </c>
      <c r="S1978">
        <f t="shared" si="212"/>
        <v>3272</v>
      </c>
      <c r="T1978">
        <f t="shared" si="213"/>
        <v>1242</v>
      </c>
      <c r="U1978">
        <f t="shared" si="214"/>
        <v>2024</v>
      </c>
      <c r="V1978">
        <f t="shared" si="215"/>
        <v>7</v>
      </c>
      <c r="W1978" s="11">
        <f t="shared" si="216"/>
        <v>1</v>
      </c>
    </row>
    <row r="1979" spans="1:23">
      <c r="A1979" t="s">
        <v>1992</v>
      </c>
      <c r="B1979" s="4">
        <v>45333</v>
      </c>
      <c r="C1979" t="s">
        <v>2016</v>
      </c>
      <c r="D1979" t="s">
        <v>2021</v>
      </c>
      <c r="E1979" t="s">
        <v>2027</v>
      </c>
      <c r="F1979" t="s">
        <v>2031</v>
      </c>
      <c r="G1979" t="s">
        <v>2035</v>
      </c>
      <c r="H1979" t="s">
        <v>2039</v>
      </c>
      <c r="I1979">
        <v>3</v>
      </c>
      <c r="J1979">
        <v>7</v>
      </c>
      <c r="K1979">
        <v>4</v>
      </c>
      <c r="L1979" t="s">
        <v>2041</v>
      </c>
      <c r="M1979">
        <v>60</v>
      </c>
      <c r="N1979">
        <v>5764</v>
      </c>
      <c r="O1979">
        <v>8808</v>
      </c>
      <c r="P1979" s="13">
        <f t="shared" si="210"/>
        <v>0</v>
      </c>
      <c r="Q1979" t="str">
        <f t="shared" si="211"/>
        <v>No</v>
      </c>
      <c r="R1979" t="str" cm="1">
        <f t="array" ref="R1979">_xlfn.IFS(K1979=0,"On Time",K1979&lt;=2,"Minor",K1979&lt;=5,"Major",K1979&gt;5,"Severe")</f>
        <v>Major</v>
      </c>
      <c r="S1979">
        <f t="shared" si="212"/>
        <v>2202</v>
      </c>
      <c r="T1979">
        <f t="shared" si="213"/>
        <v>1441</v>
      </c>
      <c r="U1979">
        <f t="shared" si="214"/>
        <v>2024</v>
      </c>
      <c r="V1979">
        <f t="shared" si="215"/>
        <v>2</v>
      </c>
      <c r="W1979" s="11">
        <f t="shared" si="216"/>
        <v>1</v>
      </c>
    </row>
    <row r="1980" spans="1:23">
      <c r="A1980" t="s">
        <v>1993</v>
      </c>
      <c r="B1980" s="4">
        <v>45313</v>
      </c>
      <c r="C1980" t="s">
        <v>2018</v>
      </c>
      <c r="D1980" t="s">
        <v>2024</v>
      </c>
      <c r="E1980" t="s">
        <v>2029</v>
      </c>
      <c r="F1980" t="s">
        <v>2031</v>
      </c>
      <c r="G1980" t="s">
        <v>2034</v>
      </c>
      <c r="H1980" t="s">
        <v>2039</v>
      </c>
      <c r="I1980">
        <v>3</v>
      </c>
      <c r="J1980">
        <v>6</v>
      </c>
      <c r="K1980">
        <v>3</v>
      </c>
      <c r="L1980" t="s">
        <v>2041</v>
      </c>
      <c r="M1980">
        <v>127</v>
      </c>
      <c r="N1980">
        <v>2871</v>
      </c>
      <c r="O1980">
        <v>10632</v>
      </c>
      <c r="P1980" s="13">
        <f t="shared" si="210"/>
        <v>0</v>
      </c>
      <c r="Q1980" t="str">
        <f t="shared" si="211"/>
        <v>No</v>
      </c>
      <c r="R1980" t="str" cm="1">
        <f t="array" ref="R1980">_xlfn.IFS(K1980=0,"On Time",K1980&lt;=2,"Minor",K1980&lt;=5,"Major",K1980&gt;5,"Severe")</f>
        <v>Major</v>
      </c>
      <c r="S1980">
        <f t="shared" si="212"/>
        <v>3544</v>
      </c>
      <c r="T1980">
        <f t="shared" si="213"/>
        <v>957</v>
      </c>
      <c r="U1980">
        <f t="shared" si="214"/>
        <v>2024</v>
      </c>
      <c r="V1980">
        <f t="shared" si="215"/>
        <v>1</v>
      </c>
      <c r="W1980" s="11">
        <f t="shared" si="216"/>
        <v>1</v>
      </c>
    </row>
    <row r="1981" spans="1:23">
      <c r="A1981" t="s">
        <v>1994</v>
      </c>
      <c r="B1981" s="4">
        <v>45511</v>
      </c>
      <c r="C1981" t="s">
        <v>2017</v>
      </c>
      <c r="D1981" t="s">
        <v>2023</v>
      </c>
      <c r="E1981" t="s">
        <v>2027</v>
      </c>
      <c r="F1981" t="s">
        <v>2030</v>
      </c>
      <c r="G1981" t="s">
        <v>2036</v>
      </c>
      <c r="H1981" t="s">
        <v>2039</v>
      </c>
      <c r="I1981">
        <v>2</v>
      </c>
      <c r="J1981">
        <v>2</v>
      </c>
      <c r="K1981">
        <v>0</v>
      </c>
      <c r="L1981" t="s">
        <v>2042</v>
      </c>
      <c r="M1981">
        <v>99</v>
      </c>
      <c r="N1981">
        <v>0</v>
      </c>
      <c r="O1981">
        <v>0</v>
      </c>
      <c r="P1981" s="13">
        <f t="shared" si="210"/>
        <v>1</v>
      </c>
      <c r="Q1981" t="str">
        <f t="shared" si="211"/>
        <v>No</v>
      </c>
      <c r="R1981" t="str" cm="1">
        <f t="array" ref="R1981">_xlfn.IFS(K1981=0,"On Time",K1981&lt;=2,"Minor",K1981&lt;=5,"Major",K1981&gt;5,"Severe")</f>
        <v>On Time</v>
      </c>
      <c r="S1981">
        <f t="shared" si="212"/>
        <v>0</v>
      </c>
      <c r="T1981">
        <f t="shared" si="213"/>
        <v>0</v>
      </c>
      <c r="U1981">
        <f t="shared" si="214"/>
        <v>2024</v>
      </c>
      <c r="V1981">
        <f t="shared" si="215"/>
        <v>8</v>
      </c>
      <c r="W1981" s="11">
        <f t="shared" si="216"/>
        <v>0</v>
      </c>
    </row>
    <row r="1982" spans="1:23">
      <c r="A1982" t="s">
        <v>1995</v>
      </c>
      <c r="B1982" s="4">
        <v>45653</v>
      </c>
      <c r="C1982" t="s">
        <v>2016</v>
      </c>
      <c r="D1982" t="s">
        <v>2021</v>
      </c>
      <c r="E1982" t="s">
        <v>2029</v>
      </c>
      <c r="F1982" t="s">
        <v>2031</v>
      </c>
      <c r="G1982" t="s">
        <v>2035</v>
      </c>
      <c r="H1982" t="s">
        <v>2039</v>
      </c>
      <c r="I1982">
        <v>1</v>
      </c>
      <c r="J1982">
        <v>5</v>
      </c>
      <c r="K1982">
        <v>4</v>
      </c>
      <c r="L1982" t="s">
        <v>2041</v>
      </c>
      <c r="M1982">
        <v>440</v>
      </c>
      <c r="N1982">
        <v>4144</v>
      </c>
      <c r="O1982">
        <v>8564</v>
      </c>
      <c r="P1982" s="13">
        <f t="shared" si="210"/>
        <v>0</v>
      </c>
      <c r="Q1982" t="str">
        <f t="shared" si="211"/>
        <v>No</v>
      </c>
      <c r="R1982" t="str" cm="1">
        <f t="array" ref="R1982">_xlfn.IFS(K1982=0,"On Time",K1982&lt;=2,"Minor",K1982&lt;=5,"Major",K1982&gt;5,"Severe")</f>
        <v>Major</v>
      </c>
      <c r="S1982">
        <f t="shared" si="212"/>
        <v>2141</v>
      </c>
      <c r="T1982">
        <f t="shared" si="213"/>
        <v>1036</v>
      </c>
      <c r="U1982">
        <f t="shared" si="214"/>
        <v>2024</v>
      </c>
      <c r="V1982">
        <f t="shared" si="215"/>
        <v>12</v>
      </c>
      <c r="W1982" s="11">
        <f t="shared" si="216"/>
        <v>1</v>
      </c>
    </row>
    <row r="1983" spans="1:23">
      <c r="A1983" t="s">
        <v>1996</v>
      </c>
      <c r="B1983" s="4">
        <v>45492</v>
      </c>
      <c r="C1983" t="s">
        <v>2015</v>
      </c>
      <c r="D1983" t="s">
        <v>2020</v>
      </c>
      <c r="E1983" t="s">
        <v>2028</v>
      </c>
      <c r="F1983" t="s">
        <v>2030</v>
      </c>
      <c r="G1983" t="s">
        <v>2037</v>
      </c>
      <c r="H1983" t="s">
        <v>2038</v>
      </c>
      <c r="I1983">
        <v>2</v>
      </c>
      <c r="J1983">
        <v>7</v>
      </c>
      <c r="K1983">
        <v>5</v>
      </c>
      <c r="L1983" t="s">
        <v>2041</v>
      </c>
      <c r="M1983">
        <v>384</v>
      </c>
      <c r="N1983">
        <v>5420</v>
      </c>
      <c r="O1983">
        <v>22880</v>
      </c>
      <c r="P1983" s="13">
        <f t="shared" si="210"/>
        <v>0</v>
      </c>
      <c r="Q1983" t="str">
        <f t="shared" si="211"/>
        <v>No</v>
      </c>
      <c r="R1983" t="str" cm="1">
        <f t="array" ref="R1983">_xlfn.IFS(K1983=0,"On Time",K1983&lt;=2,"Minor",K1983&lt;=5,"Major",K1983&gt;5,"Severe")</f>
        <v>Major</v>
      </c>
      <c r="S1983">
        <f t="shared" si="212"/>
        <v>4576</v>
      </c>
      <c r="T1983">
        <f t="shared" si="213"/>
        <v>1084</v>
      </c>
      <c r="U1983">
        <f t="shared" si="214"/>
        <v>2024</v>
      </c>
      <c r="V1983">
        <f t="shared" si="215"/>
        <v>7</v>
      </c>
      <c r="W1983" s="11">
        <f t="shared" si="216"/>
        <v>1</v>
      </c>
    </row>
    <row r="1984" spans="1:23">
      <c r="A1984" t="s">
        <v>1997</v>
      </c>
      <c r="B1984" s="4">
        <v>45391</v>
      </c>
      <c r="C1984" t="s">
        <v>2017</v>
      </c>
      <c r="D1984" t="s">
        <v>2023</v>
      </c>
      <c r="E1984" t="s">
        <v>2029</v>
      </c>
      <c r="F1984" t="s">
        <v>2030</v>
      </c>
      <c r="G1984" t="s">
        <v>2037</v>
      </c>
      <c r="H1984" t="s">
        <v>2038</v>
      </c>
      <c r="I1984">
        <v>2</v>
      </c>
      <c r="J1984">
        <v>7</v>
      </c>
      <c r="K1984">
        <v>5</v>
      </c>
      <c r="L1984" t="s">
        <v>2041</v>
      </c>
      <c r="M1984">
        <v>267</v>
      </c>
      <c r="N1984">
        <v>7365</v>
      </c>
      <c r="O1984">
        <v>14020</v>
      </c>
      <c r="P1984" s="13">
        <f t="shared" si="210"/>
        <v>0</v>
      </c>
      <c r="Q1984" t="str">
        <f t="shared" si="211"/>
        <v>No</v>
      </c>
      <c r="R1984" t="str" cm="1">
        <f t="array" ref="R1984">_xlfn.IFS(K1984=0,"On Time",K1984&lt;=2,"Minor",K1984&lt;=5,"Major",K1984&gt;5,"Severe")</f>
        <v>Major</v>
      </c>
      <c r="S1984">
        <f t="shared" si="212"/>
        <v>2804</v>
      </c>
      <c r="T1984">
        <f t="shared" si="213"/>
        <v>1473</v>
      </c>
      <c r="U1984">
        <f t="shared" si="214"/>
        <v>2024</v>
      </c>
      <c r="V1984">
        <f t="shared" si="215"/>
        <v>4</v>
      </c>
      <c r="W1984" s="11">
        <f t="shared" si="216"/>
        <v>1</v>
      </c>
    </row>
    <row r="1985" spans="1:23">
      <c r="A1985" t="s">
        <v>1998</v>
      </c>
      <c r="B1985" s="4">
        <v>45300</v>
      </c>
      <c r="C1985" t="s">
        <v>2015</v>
      </c>
      <c r="D1985" t="s">
        <v>2020</v>
      </c>
      <c r="E1985" t="s">
        <v>2029</v>
      </c>
      <c r="F1985" t="s">
        <v>2032</v>
      </c>
      <c r="G1985" t="s">
        <v>2036</v>
      </c>
      <c r="H1985" t="s">
        <v>2039</v>
      </c>
      <c r="I1985">
        <v>2</v>
      </c>
      <c r="J1985">
        <v>8</v>
      </c>
      <c r="K1985">
        <v>6</v>
      </c>
      <c r="L1985" t="s">
        <v>2041</v>
      </c>
      <c r="M1985">
        <v>138</v>
      </c>
      <c r="N1985">
        <v>10038</v>
      </c>
      <c r="O1985">
        <v>20736</v>
      </c>
      <c r="P1985" s="13">
        <f t="shared" si="210"/>
        <v>0</v>
      </c>
      <c r="Q1985" t="str">
        <f t="shared" si="211"/>
        <v>No</v>
      </c>
      <c r="R1985" t="str" cm="1">
        <f t="array" ref="R1985">_xlfn.IFS(K1985=0,"On Time",K1985&lt;=2,"Minor",K1985&lt;=5,"Major",K1985&gt;5,"Severe")</f>
        <v>Severe</v>
      </c>
      <c r="S1985">
        <f t="shared" si="212"/>
        <v>3456</v>
      </c>
      <c r="T1985">
        <f t="shared" si="213"/>
        <v>1673</v>
      </c>
      <c r="U1985">
        <f t="shared" si="214"/>
        <v>2024</v>
      </c>
      <c r="V1985">
        <f t="shared" si="215"/>
        <v>1</v>
      </c>
      <c r="W1985" s="11">
        <f t="shared" si="216"/>
        <v>1</v>
      </c>
    </row>
    <row r="1986" spans="1:23">
      <c r="A1986" t="s">
        <v>1999</v>
      </c>
      <c r="B1986" s="4">
        <v>45403</v>
      </c>
      <c r="C1986" t="s">
        <v>2015</v>
      </c>
      <c r="D1986" t="s">
        <v>2020</v>
      </c>
      <c r="E1986" t="s">
        <v>2028</v>
      </c>
      <c r="F1986" t="s">
        <v>2032</v>
      </c>
      <c r="G1986" t="s">
        <v>2035</v>
      </c>
      <c r="H1986" t="s">
        <v>2038</v>
      </c>
      <c r="I1986">
        <v>1</v>
      </c>
      <c r="J1986">
        <v>3</v>
      </c>
      <c r="K1986">
        <v>2</v>
      </c>
      <c r="L1986" t="s">
        <v>2041</v>
      </c>
      <c r="M1986">
        <v>240</v>
      </c>
      <c r="N1986">
        <v>3042</v>
      </c>
      <c r="O1986">
        <v>8508</v>
      </c>
      <c r="P1986" s="13">
        <f t="shared" si="210"/>
        <v>0</v>
      </c>
      <c r="Q1986" t="str">
        <f t="shared" si="211"/>
        <v>No</v>
      </c>
      <c r="R1986" t="str" cm="1">
        <f t="array" ref="R1986">_xlfn.IFS(K1986=0,"On Time",K1986&lt;=2,"Minor",K1986&lt;=5,"Major",K1986&gt;5,"Severe")</f>
        <v>Minor</v>
      </c>
      <c r="S1986">
        <f t="shared" si="212"/>
        <v>4254</v>
      </c>
      <c r="T1986">
        <f t="shared" si="213"/>
        <v>1521</v>
      </c>
      <c r="U1986">
        <f t="shared" si="214"/>
        <v>2024</v>
      </c>
      <c r="V1986">
        <f t="shared" si="215"/>
        <v>4</v>
      </c>
      <c r="W1986" s="11">
        <f t="shared" si="216"/>
        <v>1</v>
      </c>
    </row>
    <row r="1987" spans="1:23">
      <c r="A1987" t="s">
        <v>2000</v>
      </c>
      <c r="B1987" s="4">
        <v>45442</v>
      </c>
      <c r="C1987" t="s">
        <v>2017</v>
      </c>
      <c r="D1987" t="s">
        <v>2023</v>
      </c>
      <c r="E1987" t="s">
        <v>2029</v>
      </c>
      <c r="F1987" t="s">
        <v>2032</v>
      </c>
      <c r="G1987" t="s">
        <v>2036</v>
      </c>
      <c r="H1987" t="s">
        <v>2038</v>
      </c>
      <c r="I1987">
        <v>1</v>
      </c>
      <c r="J1987">
        <v>5</v>
      </c>
      <c r="K1987">
        <v>4</v>
      </c>
      <c r="L1987" t="s">
        <v>2041</v>
      </c>
      <c r="M1987">
        <v>420</v>
      </c>
      <c r="N1987">
        <v>9060</v>
      </c>
      <c r="O1987">
        <v>14388</v>
      </c>
      <c r="P1987" s="13">
        <f t="shared" ref="P1987:P2001" si="217">IF(L1987="Yes",0,1)</f>
        <v>0</v>
      </c>
      <c r="Q1987" t="str">
        <f t="shared" ref="Q1987:Q2001" si="218">IF(K1987&gt;J1987,"Yes","No")</f>
        <v>No</v>
      </c>
      <c r="R1987" t="str" cm="1">
        <f t="array" ref="R1987">_xlfn.IFS(K1987=0,"On Time",K1987&lt;=2,"Minor",K1987&lt;=5,"Major",K1987&gt;5,"Severe")</f>
        <v>Major</v>
      </c>
      <c r="S1987">
        <f t="shared" ref="S1987:S2001" si="219">IFERROR(O1987/K1987,0)</f>
        <v>3597</v>
      </c>
      <c r="T1987">
        <f t="shared" ref="T1987:T2001" si="220">IFERROR(N1987/K1987,0)</f>
        <v>2265</v>
      </c>
      <c r="U1987">
        <f t="shared" ref="U1987:U2001" si="221">YEAR(B1987)</f>
        <v>2024</v>
      </c>
      <c r="V1987">
        <f t="shared" ref="V1987:V2001" si="222">MONTH(B1987)</f>
        <v>5</v>
      </c>
      <c r="W1987" s="11">
        <f t="shared" ref="W1987:W2001" si="223">IF(L1987="Yes",1,0)</f>
        <v>1</v>
      </c>
    </row>
    <row r="1988" spans="1:23">
      <c r="A1988" t="s">
        <v>2001</v>
      </c>
      <c r="B1988" s="4">
        <v>45529</v>
      </c>
      <c r="C1988" t="s">
        <v>2016</v>
      </c>
      <c r="D1988" t="s">
        <v>2021</v>
      </c>
      <c r="E1988" t="s">
        <v>2027</v>
      </c>
      <c r="F1988" t="s">
        <v>2031</v>
      </c>
      <c r="G1988" t="s">
        <v>2033</v>
      </c>
      <c r="H1988" t="s">
        <v>2038</v>
      </c>
      <c r="I1988">
        <v>1</v>
      </c>
      <c r="J1988">
        <v>2</v>
      </c>
      <c r="K1988">
        <v>1</v>
      </c>
      <c r="L1988" t="s">
        <v>2041</v>
      </c>
      <c r="M1988">
        <v>91</v>
      </c>
      <c r="N1988">
        <v>1128</v>
      </c>
      <c r="O1988">
        <v>2759</v>
      </c>
      <c r="P1988" s="13">
        <f t="shared" si="217"/>
        <v>0</v>
      </c>
      <c r="Q1988" t="str">
        <f t="shared" si="218"/>
        <v>No</v>
      </c>
      <c r="R1988" t="str" cm="1">
        <f t="array" ref="R1988">_xlfn.IFS(K1988=0,"On Time",K1988&lt;=2,"Minor",K1988&lt;=5,"Major",K1988&gt;5,"Severe")</f>
        <v>Minor</v>
      </c>
      <c r="S1988">
        <f t="shared" si="219"/>
        <v>2759</v>
      </c>
      <c r="T1988">
        <f t="shared" si="220"/>
        <v>1128</v>
      </c>
      <c r="U1988">
        <f t="shared" si="221"/>
        <v>2024</v>
      </c>
      <c r="V1988">
        <f t="shared" si="222"/>
        <v>8</v>
      </c>
      <c r="W1988" s="11">
        <f t="shared" si="223"/>
        <v>1</v>
      </c>
    </row>
    <row r="1989" spans="1:23">
      <c r="A1989" t="s">
        <v>2002</v>
      </c>
      <c r="B1989" s="4">
        <v>45512</v>
      </c>
      <c r="C1989" t="s">
        <v>2016</v>
      </c>
      <c r="D1989" t="s">
        <v>2025</v>
      </c>
      <c r="E1989" t="s">
        <v>2029</v>
      </c>
      <c r="F1989" t="s">
        <v>2031</v>
      </c>
      <c r="G1989" t="s">
        <v>2033</v>
      </c>
      <c r="H1989" t="s">
        <v>2040</v>
      </c>
      <c r="I1989">
        <v>3</v>
      </c>
      <c r="J1989">
        <v>7</v>
      </c>
      <c r="K1989">
        <v>4</v>
      </c>
      <c r="L1989" t="s">
        <v>2041</v>
      </c>
      <c r="M1989">
        <v>221</v>
      </c>
      <c r="N1989">
        <v>8700</v>
      </c>
      <c r="O1989">
        <v>17972</v>
      </c>
      <c r="P1989" s="13">
        <f t="shared" si="217"/>
        <v>0</v>
      </c>
      <c r="Q1989" t="str">
        <f t="shared" si="218"/>
        <v>No</v>
      </c>
      <c r="R1989" t="str" cm="1">
        <f t="array" ref="R1989">_xlfn.IFS(K1989=0,"On Time",K1989&lt;=2,"Minor",K1989&lt;=5,"Major",K1989&gt;5,"Severe")</f>
        <v>Major</v>
      </c>
      <c r="S1989">
        <f t="shared" si="219"/>
        <v>4493</v>
      </c>
      <c r="T1989">
        <f t="shared" si="220"/>
        <v>2175</v>
      </c>
      <c r="U1989">
        <f t="shared" si="221"/>
        <v>2024</v>
      </c>
      <c r="V1989">
        <f t="shared" si="222"/>
        <v>8</v>
      </c>
      <c r="W1989" s="11">
        <f t="shared" si="223"/>
        <v>1</v>
      </c>
    </row>
    <row r="1990" spans="1:23">
      <c r="A1990" t="s">
        <v>2003</v>
      </c>
      <c r="B1990" s="4">
        <v>45557</v>
      </c>
      <c r="C1990" t="s">
        <v>2017</v>
      </c>
      <c r="D1990" t="s">
        <v>2023</v>
      </c>
      <c r="E1990" t="s">
        <v>2028</v>
      </c>
      <c r="F1990" t="s">
        <v>2030</v>
      </c>
      <c r="G1990" t="s">
        <v>2037</v>
      </c>
      <c r="H1990" t="s">
        <v>2039</v>
      </c>
      <c r="I1990">
        <v>1</v>
      </c>
      <c r="J1990">
        <v>1</v>
      </c>
      <c r="K1990">
        <v>0</v>
      </c>
      <c r="L1990" t="s">
        <v>2042</v>
      </c>
      <c r="M1990">
        <v>146</v>
      </c>
      <c r="N1990">
        <v>0</v>
      </c>
      <c r="O1990">
        <v>0</v>
      </c>
      <c r="P1990" s="13">
        <f t="shared" si="217"/>
        <v>1</v>
      </c>
      <c r="Q1990" t="str">
        <f t="shared" si="218"/>
        <v>No</v>
      </c>
      <c r="R1990" t="str" cm="1">
        <f t="array" ref="R1990">_xlfn.IFS(K1990=0,"On Time",K1990&lt;=2,"Minor",K1990&lt;=5,"Major",K1990&gt;5,"Severe")</f>
        <v>On Time</v>
      </c>
      <c r="S1990">
        <f t="shared" si="219"/>
        <v>0</v>
      </c>
      <c r="T1990">
        <f t="shared" si="220"/>
        <v>0</v>
      </c>
      <c r="U1990">
        <f t="shared" si="221"/>
        <v>2024</v>
      </c>
      <c r="V1990">
        <f t="shared" si="222"/>
        <v>9</v>
      </c>
      <c r="W1990" s="11">
        <f t="shared" si="223"/>
        <v>0</v>
      </c>
    </row>
    <row r="1991" spans="1:23">
      <c r="A1991" t="s">
        <v>2004</v>
      </c>
      <c r="B1991" s="4">
        <v>45415</v>
      </c>
      <c r="C1991" t="s">
        <v>2018</v>
      </c>
      <c r="D1991" t="s">
        <v>2026</v>
      </c>
      <c r="E1991" t="s">
        <v>2029</v>
      </c>
      <c r="F1991" t="s">
        <v>2032</v>
      </c>
      <c r="G1991" t="s">
        <v>2036</v>
      </c>
      <c r="H1991" t="s">
        <v>2038</v>
      </c>
      <c r="I1991">
        <v>2</v>
      </c>
      <c r="J1991">
        <v>7</v>
      </c>
      <c r="K1991">
        <v>5</v>
      </c>
      <c r="L1991" t="s">
        <v>2041</v>
      </c>
      <c r="M1991">
        <v>177</v>
      </c>
      <c r="N1991">
        <v>9100</v>
      </c>
      <c r="O1991">
        <v>9405</v>
      </c>
      <c r="P1991" s="13">
        <f t="shared" si="217"/>
        <v>0</v>
      </c>
      <c r="Q1991" t="str">
        <f t="shared" si="218"/>
        <v>No</v>
      </c>
      <c r="R1991" t="str" cm="1">
        <f t="array" ref="R1991">_xlfn.IFS(K1991=0,"On Time",K1991&lt;=2,"Minor",K1991&lt;=5,"Major",K1991&gt;5,"Severe")</f>
        <v>Major</v>
      </c>
      <c r="S1991">
        <f t="shared" si="219"/>
        <v>1881</v>
      </c>
      <c r="T1991">
        <f t="shared" si="220"/>
        <v>1820</v>
      </c>
      <c r="U1991">
        <f t="shared" si="221"/>
        <v>2024</v>
      </c>
      <c r="V1991">
        <f t="shared" si="222"/>
        <v>5</v>
      </c>
      <c r="W1991" s="11">
        <f t="shared" si="223"/>
        <v>1</v>
      </c>
    </row>
    <row r="1992" spans="1:23">
      <c r="A1992" t="s">
        <v>2005</v>
      </c>
      <c r="B1992" s="4">
        <v>45352</v>
      </c>
      <c r="C1992" t="s">
        <v>2015</v>
      </c>
      <c r="D1992" t="s">
        <v>2020</v>
      </c>
      <c r="E1992" t="s">
        <v>2027</v>
      </c>
      <c r="F1992" t="s">
        <v>2031</v>
      </c>
      <c r="G1992" t="s">
        <v>2037</v>
      </c>
      <c r="H1992" t="s">
        <v>2039</v>
      </c>
      <c r="I1992">
        <v>2</v>
      </c>
      <c r="J1992">
        <v>4</v>
      </c>
      <c r="K1992">
        <v>2</v>
      </c>
      <c r="L1992" t="s">
        <v>2041</v>
      </c>
      <c r="M1992">
        <v>386</v>
      </c>
      <c r="N1992">
        <v>2024</v>
      </c>
      <c r="O1992">
        <v>5856</v>
      </c>
      <c r="P1992" s="13">
        <f t="shared" si="217"/>
        <v>0</v>
      </c>
      <c r="Q1992" t="str">
        <f t="shared" si="218"/>
        <v>No</v>
      </c>
      <c r="R1992" t="str" cm="1">
        <f t="array" ref="R1992">_xlfn.IFS(K1992=0,"On Time",K1992&lt;=2,"Minor",K1992&lt;=5,"Major",K1992&gt;5,"Severe")</f>
        <v>Minor</v>
      </c>
      <c r="S1992">
        <f t="shared" si="219"/>
        <v>2928</v>
      </c>
      <c r="T1992">
        <f t="shared" si="220"/>
        <v>1012</v>
      </c>
      <c r="U1992">
        <f t="shared" si="221"/>
        <v>2024</v>
      </c>
      <c r="V1992">
        <f t="shared" si="222"/>
        <v>3</v>
      </c>
      <c r="W1992" s="11">
        <f t="shared" si="223"/>
        <v>1</v>
      </c>
    </row>
    <row r="1993" spans="1:23">
      <c r="A1993" t="s">
        <v>2006</v>
      </c>
      <c r="B1993" s="4">
        <v>45534</v>
      </c>
      <c r="C1993" t="s">
        <v>2015</v>
      </c>
      <c r="D1993" t="s">
        <v>2019</v>
      </c>
      <c r="E1993" t="s">
        <v>2027</v>
      </c>
      <c r="F1993" t="s">
        <v>2032</v>
      </c>
      <c r="G1993" t="s">
        <v>2035</v>
      </c>
      <c r="H1993" t="s">
        <v>2040</v>
      </c>
      <c r="I1993">
        <v>2</v>
      </c>
      <c r="J1993">
        <v>10</v>
      </c>
      <c r="K1993">
        <v>8</v>
      </c>
      <c r="L1993" t="s">
        <v>2041</v>
      </c>
      <c r="M1993">
        <v>247</v>
      </c>
      <c r="N1993">
        <v>11736</v>
      </c>
      <c r="O1993">
        <v>24304</v>
      </c>
      <c r="P1993" s="13">
        <f t="shared" si="217"/>
        <v>0</v>
      </c>
      <c r="Q1993" t="str">
        <f t="shared" si="218"/>
        <v>No</v>
      </c>
      <c r="R1993" t="str" cm="1">
        <f t="array" ref="R1993">_xlfn.IFS(K1993=0,"On Time",K1993&lt;=2,"Minor",K1993&lt;=5,"Major",K1993&gt;5,"Severe")</f>
        <v>Severe</v>
      </c>
      <c r="S1993">
        <f t="shared" si="219"/>
        <v>3038</v>
      </c>
      <c r="T1993">
        <f t="shared" si="220"/>
        <v>1467</v>
      </c>
      <c r="U1993">
        <f t="shared" si="221"/>
        <v>2024</v>
      </c>
      <c r="V1993">
        <f t="shared" si="222"/>
        <v>8</v>
      </c>
      <c r="W1993" s="11">
        <f t="shared" si="223"/>
        <v>1</v>
      </c>
    </row>
    <row r="1994" spans="1:23">
      <c r="A1994" t="s">
        <v>2007</v>
      </c>
      <c r="B1994" s="4">
        <v>45464</v>
      </c>
      <c r="C1994" t="s">
        <v>2016</v>
      </c>
      <c r="D1994" t="s">
        <v>2021</v>
      </c>
      <c r="E1994" t="s">
        <v>2027</v>
      </c>
      <c r="F1994" t="s">
        <v>2031</v>
      </c>
      <c r="G1994" t="s">
        <v>2033</v>
      </c>
      <c r="H1994" t="s">
        <v>2038</v>
      </c>
      <c r="I1994">
        <v>2</v>
      </c>
      <c r="J1994">
        <v>2</v>
      </c>
      <c r="K1994">
        <v>0</v>
      </c>
      <c r="L1994" t="s">
        <v>2042</v>
      </c>
      <c r="M1994">
        <v>376</v>
      </c>
      <c r="N1994">
        <v>0</v>
      </c>
      <c r="O1994">
        <v>0</v>
      </c>
      <c r="P1994" s="13">
        <f t="shared" si="217"/>
        <v>1</v>
      </c>
      <c r="Q1994" t="str">
        <f t="shared" si="218"/>
        <v>No</v>
      </c>
      <c r="R1994" t="str" cm="1">
        <f t="array" ref="R1994">_xlfn.IFS(K1994=0,"On Time",K1994&lt;=2,"Minor",K1994&lt;=5,"Major",K1994&gt;5,"Severe")</f>
        <v>On Time</v>
      </c>
      <c r="S1994">
        <f t="shared" si="219"/>
        <v>0</v>
      </c>
      <c r="T1994">
        <f t="shared" si="220"/>
        <v>0</v>
      </c>
      <c r="U1994">
        <f t="shared" si="221"/>
        <v>2024</v>
      </c>
      <c r="V1994">
        <f t="shared" si="222"/>
        <v>6</v>
      </c>
      <c r="W1994" s="11">
        <f t="shared" si="223"/>
        <v>0</v>
      </c>
    </row>
    <row r="1995" spans="1:23">
      <c r="A1995" t="s">
        <v>2008</v>
      </c>
      <c r="B1995" s="4">
        <v>45517</v>
      </c>
      <c r="C1995" t="s">
        <v>2017</v>
      </c>
      <c r="D1995" t="s">
        <v>2022</v>
      </c>
      <c r="E1995" t="s">
        <v>2029</v>
      </c>
      <c r="F1995" t="s">
        <v>2030</v>
      </c>
      <c r="G1995" t="s">
        <v>2037</v>
      </c>
      <c r="H1995" t="s">
        <v>2039</v>
      </c>
      <c r="I1995">
        <v>1</v>
      </c>
      <c r="J1995">
        <v>5</v>
      </c>
      <c r="K1995">
        <v>4</v>
      </c>
      <c r="L1995" t="s">
        <v>2041</v>
      </c>
      <c r="M1995">
        <v>296</v>
      </c>
      <c r="N1995">
        <v>7012</v>
      </c>
      <c r="O1995">
        <v>13536</v>
      </c>
      <c r="P1995" s="13">
        <f t="shared" si="217"/>
        <v>0</v>
      </c>
      <c r="Q1995" t="str">
        <f t="shared" si="218"/>
        <v>No</v>
      </c>
      <c r="R1995" t="str" cm="1">
        <f t="array" ref="R1995">_xlfn.IFS(K1995=0,"On Time",K1995&lt;=2,"Minor",K1995&lt;=5,"Major",K1995&gt;5,"Severe")</f>
        <v>Major</v>
      </c>
      <c r="S1995">
        <f t="shared" si="219"/>
        <v>3384</v>
      </c>
      <c r="T1995">
        <f t="shared" si="220"/>
        <v>1753</v>
      </c>
      <c r="U1995">
        <f t="shared" si="221"/>
        <v>2024</v>
      </c>
      <c r="V1995">
        <f t="shared" si="222"/>
        <v>8</v>
      </c>
      <c r="W1995" s="11">
        <f t="shared" si="223"/>
        <v>1</v>
      </c>
    </row>
    <row r="1996" spans="1:23">
      <c r="A1996" t="s">
        <v>2009</v>
      </c>
      <c r="B1996" s="4">
        <v>45486</v>
      </c>
      <c r="C1996" t="s">
        <v>2017</v>
      </c>
      <c r="D1996" t="s">
        <v>2022</v>
      </c>
      <c r="E1996" t="s">
        <v>2028</v>
      </c>
      <c r="F1996" t="s">
        <v>2031</v>
      </c>
      <c r="G1996" t="s">
        <v>2035</v>
      </c>
      <c r="H1996" t="s">
        <v>2039</v>
      </c>
      <c r="I1996">
        <v>1</v>
      </c>
      <c r="J1996">
        <v>5</v>
      </c>
      <c r="K1996">
        <v>4</v>
      </c>
      <c r="L1996" t="s">
        <v>2041</v>
      </c>
      <c r="M1996">
        <v>457</v>
      </c>
      <c r="N1996">
        <v>3268</v>
      </c>
      <c r="O1996">
        <v>10504</v>
      </c>
      <c r="P1996" s="13">
        <f t="shared" si="217"/>
        <v>0</v>
      </c>
      <c r="Q1996" t="str">
        <f t="shared" si="218"/>
        <v>No</v>
      </c>
      <c r="R1996" t="str" cm="1">
        <f t="array" ref="R1996">_xlfn.IFS(K1996=0,"On Time",K1996&lt;=2,"Minor",K1996&lt;=5,"Major",K1996&gt;5,"Severe")</f>
        <v>Major</v>
      </c>
      <c r="S1996">
        <f t="shared" si="219"/>
        <v>2626</v>
      </c>
      <c r="T1996">
        <f t="shared" si="220"/>
        <v>817</v>
      </c>
      <c r="U1996">
        <f t="shared" si="221"/>
        <v>2024</v>
      </c>
      <c r="V1996">
        <f t="shared" si="222"/>
        <v>7</v>
      </c>
      <c r="W1996" s="11">
        <f t="shared" si="223"/>
        <v>1</v>
      </c>
    </row>
    <row r="1997" spans="1:23">
      <c r="A1997" t="s">
        <v>2010</v>
      </c>
      <c r="B1997" s="4">
        <v>45424</v>
      </c>
      <c r="C1997" t="s">
        <v>2017</v>
      </c>
      <c r="D1997" t="s">
        <v>2023</v>
      </c>
      <c r="E1997" t="s">
        <v>2028</v>
      </c>
      <c r="F1997" t="s">
        <v>2032</v>
      </c>
      <c r="G1997" t="s">
        <v>2037</v>
      </c>
      <c r="H1997" t="s">
        <v>2039</v>
      </c>
      <c r="I1997">
        <v>2</v>
      </c>
      <c r="J1997">
        <v>3</v>
      </c>
      <c r="K1997">
        <v>1</v>
      </c>
      <c r="L1997" t="s">
        <v>2041</v>
      </c>
      <c r="M1997">
        <v>341</v>
      </c>
      <c r="N1997">
        <v>1033</v>
      </c>
      <c r="O1997">
        <v>4870</v>
      </c>
      <c r="P1997" s="13">
        <f t="shared" si="217"/>
        <v>0</v>
      </c>
      <c r="Q1997" t="str">
        <f t="shared" si="218"/>
        <v>No</v>
      </c>
      <c r="R1997" t="str" cm="1">
        <f t="array" ref="R1997">_xlfn.IFS(K1997=0,"On Time",K1997&lt;=2,"Minor",K1997&lt;=5,"Major",K1997&gt;5,"Severe")</f>
        <v>Minor</v>
      </c>
      <c r="S1997">
        <f t="shared" si="219"/>
        <v>4870</v>
      </c>
      <c r="T1997">
        <f t="shared" si="220"/>
        <v>1033</v>
      </c>
      <c r="U1997">
        <f t="shared" si="221"/>
        <v>2024</v>
      </c>
      <c r="V1997">
        <f t="shared" si="222"/>
        <v>5</v>
      </c>
      <c r="W1997" s="11">
        <f t="shared" si="223"/>
        <v>1</v>
      </c>
    </row>
    <row r="1998" spans="1:23">
      <c r="A1998" t="s">
        <v>2011</v>
      </c>
      <c r="B1998" s="4">
        <v>45624</v>
      </c>
      <c r="C1998" t="s">
        <v>2017</v>
      </c>
      <c r="D1998" t="s">
        <v>2022</v>
      </c>
      <c r="E1998" t="s">
        <v>2028</v>
      </c>
      <c r="F1998" t="s">
        <v>2030</v>
      </c>
      <c r="G1998" t="s">
        <v>2037</v>
      </c>
      <c r="H1998" t="s">
        <v>2038</v>
      </c>
      <c r="I1998">
        <v>5</v>
      </c>
      <c r="J1998">
        <v>8</v>
      </c>
      <c r="K1998">
        <v>3</v>
      </c>
      <c r="L1998" t="s">
        <v>2041</v>
      </c>
      <c r="M1998">
        <v>77</v>
      </c>
      <c r="N1998">
        <v>4026</v>
      </c>
      <c r="O1998">
        <v>11817</v>
      </c>
      <c r="P1998" s="13">
        <f t="shared" si="217"/>
        <v>0</v>
      </c>
      <c r="Q1998" t="str">
        <f t="shared" si="218"/>
        <v>No</v>
      </c>
      <c r="R1998" t="str" cm="1">
        <f t="array" ref="R1998">_xlfn.IFS(K1998=0,"On Time",K1998&lt;=2,"Minor",K1998&lt;=5,"Major",K1998&gt;5,"Severe")</f>
        <v>Major</v>
      </c>
      <c r="S1998">
        <f t="shared" si="219"/>
        <v>3939</v>
      </c>
      <c r="T1998">
        <f t="shared" si="220"/>
        <v>1342</v>
      </c>
      <c r="U1998">
        <f t="shared" si="221"/>
        <v>2024</v>
      </c>
      <c r="V1998">
        <f t="shared" si="222"/>
        <v>11</v>
      </c>
      <c r="W1998" s="11">
        <f t="shared" si="223"/>
        <v>1</v>
      </c>
    </row>
    <row r="1999" spans="1:23">
      <c r="A1999" t="s">
        <v>2012</v>
      </c>
      <c r="B1999" s="4">
        <v>45427</v>
      </c>
      <c r="C1999" t="s">
        <v>2017</v>
      </c>
      <c r="D1999" t="s">
        <v>2022</v>
      </c>
      <c r="E1999" t="s">
        <v>2028</v>
      </c>
      <c r="F1999" t="s">
        <v>2031</v>
      </c>
      <c r="G1999" t="s">
        <v>2033</v>
      </c>
      <c r="H1999" t="s">
        <v>2039</v>
      </c>
      <c r="I1999">
        <v>2</v>
      </c>
      <c r="J1999">
        <v>5</v>
      </c>
      <c r="K1999">
        <v>3</v>
      </c>
      <c r="L1999" t="s">
        <v>2041</v>
      </c>
      <c r="M1999">
        <v>138</v>
      </c>
      <c r="N1999">
        <v>7182</v>
      </c>
      <c r="O1999">
        <v>6399</v>
      </c>
      <c r="P1999" s="13">
        <f t="shared" si="217"/>
        <v>0</v>
      </c>
      <c r="Q1999" t="str">
        <f t="shared" si="218"/>
        <v>No</v>
      </c>
      <c r="R1999" t="str" cm="1">
        <f t="array" ref="R1999">_xlfn.IFS(K1999=0,"On Time",K1999&lt;=2,"Minor",K1999&lt;=5,"Major",K1999&gt;5,"Severe")</f>
        <v>Major</v>
      </c>
      <c r="S1999">
        <f t="shared" si="219"/>
        <v>2133</v>
      </c>
      <c r="T1999">
        <f t="shared" si="220"/>
        <v>2394</v>
      </c>
      <c r="U1999">
        <f t="shared" si="221"/>
        <v>2024</v>
      </c>
      <c r="V1999">
        <f t="shared" si="222"/>
        <v>5</v>
      </c>
      <c r="W1999" s="11">
        <f t="shared" si="223"/>
        <v>1</v>
      </c>
    </row>
    <row r="2000" spans="1:23">
      <c r="A2000" t="s">
        <v>2013</v>
      </c>
      <c r="B2000" s="4">
        <v>45460</v>
      </c>
      <c r="C2000" t="s">
        <v>2016</v>
      </c>
      <c r="D2000" t="s">
        <v>2021</v>
      </c>
      <c r="E2000" t="s">
        <v>2027</v>
      </c>
      <c r="F2000" t="s">
        <v>2032</v>
      </c>
      <c r="G2000" t="s">
        <v>2037</v>
      </c>
      <c r="H2000" t="s">
        <v>2038</v>
      </c>
      <c r="I2000">
        <v>2</v>
      </c>
      <c r="J2000">
        <v>6</v>
      </c>
      <c r="K2000">
        <v>4</v>
      </c>
      <c r="L2000" t="s">
        <v>2041</v>
      </c>
      <c r="M2000">
        <v>456</v>
      </c>
      <c r="N2000">
        <v>4968</v>
      </c>
      <c r="O2000">
        <v>16044</v>
      </c>
      <c r="P2000" s="13">
        <f t="shared" si="217"/>
        <v>0</v>
      </c>
      <c r="Q2000" t="str">
        <f t="shared" si="218"/>
        <v>No</v>
      </c>
      <c r="R2000" t="str" cm="1">
        <f t="array" ref="R2000">_xlfn.IFS(K2000=0,"On Time",K2000&lt;=2,"Minor",K2000&lt;=5,"Major",K2000&gt;5,"Severe")</f>
        <v>Major</v>
      </c>
      <c r="S2000">
        <f t="shared" si="219"/>
        <v>4011</v>
      </c>
      <c r="T2000">
        <f t="shared" si="220"/>
        <v>1242</v>
      </c>
      <c r="U2000">
        <f t="shared" si="221"/>
        <v>2024</v>
      </c>
      <c r="V2000">
        <f t="shared" si="222"/>
        <v>6</v>
      </c>
      <c r="W2000" s="11">
        <f t="shared" si="223"/>
        <v>1</v>
      </c>
    </row>
    <row r="2001" spans="1:23">
      <c r="A2001" t="s">
        <v>2014</v>
      </c>
      <c r="B2001" s="4">
        <v>45494</v>
      </c>
      <c r="C2001" t="s">
        <v>2017</v>
      </c>
      <c r="D2001" t="s">
        <v>2023</v>
      </c>
      <c r="E2001" t="s">
        <v>2027</v>
      </c>
      <c r="F2001" t="s">
        <v>2032</v>
      </c>
      <c r="G2001" t="s">
        <v>2037</v>
      </c>
      <c r="H2001" t="s">
        <v>2039</v>
      </c>
      <c r="I2001">
        <v>2</v>
      </c>
      <c r="J2001">
        <v>8</v>
      </c>
      <c r="K2001">
        <v>6</v>
      </c>
      <c r="L2001" t="s">
        <v>2041</v>
      </c>
      <c r="M2001">
        <v>185</v>
      </c>
      <c r="N2001">
        <v>10368</v>
      </c>
      <c r="O2001">
        <v>27522</v>
      </c>
      <c r="P2001" s="13">
        <f t="shared" si="217"/>
        <v>0</v>
      </c>
      <c r="Q2001" t="str">
        <f t="shared" si="218"/>
        <v>No</v>
      </c>
      <c r="R2001" t="str" cm="1">
        <f t="array" ref="R2001">_xlfn.IFS(K2001=0,"On Time",K2001&lt;=2,"Minor",K2001&lt;=5,"Major",K2001&gt;5,"Severe")</f>
        <v>Severe</v>
      </c>
      <c r="S2001">
        <f t="shared" si="219"/>
        <v>4587</v>
      </c>
      <c r="T2001">
        <f t="shared" si="220"/>
        <v>1728</v>
      </c>
      <c r="U2001">
        <f t="shared" si="221"/>
        <v>2024</v>
      </c>
      <c r="V2001">
        <f t="shared" si="222"/>
        <v>7</v>
      </c>
      <c r="W2001" s="11">
        <f t="shared" si="223"/>
        <v>1</v>
      </c>
    </row>
  </sheetData>
  <autoFilter ref="L1:L2001" xr:uid="{00000000-0001-0000-00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A08E4F-FB59-4217-80E4-96FA65E78326}">
  <dimension ref="A1:I32"/>
  <sheetViews>
    <sheetView zoomScale="84" workbookViewId="0">
      <selection activeCell="O10" sqref="O10"/>
    </sheetView>
  </sheetViews>
  <sheetFormatPr defaultRowHeight="14.5"/>
  <sheetData>
    <row r="1" spans="1:9" ht="15.5">
      <c r="A1" s="23" t="s">
        <v>2050</v>
      </c>
    </row>
    <row r="2" spans="1:9">
      <c r="A2" t="s">
        <v>2051</v>
      </c>
    </row>
    <row r="3" spans="1:9">
      <c r="A3" t="s">
        <v>2052</v>
      </c>
    </row>
    <row r="4" spans="1:9">
      <c r="A4" t="s">
        <v>2053</v>
      </c>
    </row>
    <row r="6" spans="1:9">
      <c r="A6" s="5" t="s">
        <v>2054</v>
      </c>
    </row>
    <row r="7" spans="1:9">
      <c r="A7" t="s">
        <v>2055</v>
      </c>
    </row>
    <row r="8" spans="1:9">
      <c r="A8" t="s">
        <v>2056</v>
      </c>
    </row>
    <row r="9" spans="1:9">
      <c r="A9" t="s">
        <v>2057</v>
      </c>
    </row>
    <row r="10" spans="1:9">
      <c r="A10" t="s">
        <v>2058</v>
      </c>
    </row>
    <row r="11" spans="1:9">
      <c r="A11" t="s">
        <v>2059</v>
      </c>
    </row>
    <row r="12" spans="1:9">
      <c r="A12" t="s">
        <v>2060</v>
      </c>
    </row>
    <row r="13" spans="1:9">
      <c r="A13" t="s">
        <v>2061</v>
      </c>
    </row>
    <row r="15" spans="1:9">
      <c r="A15" s="5" t="s">
        <v>2062</v>
      </c>
      <c r="D15" s="5" t="s">
        <v>2076</v>
      </c>
      <c r="I15" s="5" t="s">
        <v>2077</v>
      </c>
    </row>
    <row r="16" spans="1:9">
      <c r="A16" s="24" t="s">
        <v>2063</v>
      </c>
      <c r="B16" s="24"/>
      <c r="D16" t="s">
        <v>2078</v>
      </c>
      <c r="I16" t="s">
        <v>2079</v>
      </c>
    </row>
    <row r="17" spans="1:9">
      <c r="A17" s="24" t="s">
        <v>2064</v>
      </c>
      <c r="B17" s="24"/>
      <c r="D17" t="s">
        <v>2080</v>
      </c>
      <c r="I17" t="s">
        <v>2081</v>
      </c>
    </row>
    <row r="18" spans="1:9">
      <c r="A18" s="24" t="s">
        <v>2065</v>
      </c>
      <c r="B18" s="24"/>
      <c r="D18" t="s">
        <v>2082</v>
      </c>
      <c r="I18" t="s">
        <v>2083</v>
      </c>
    </row>
    <row r="19" spans="1:9">
      <c r="A19" s="24" t="s">
        <v>2066</v>
      </c>
      <c r="B19" s="24"/>
      <c r="D19" t="s">
        <v>2084</v>
      </c>
      <c r="I19" t="s">
        <v>2117</v>
      </c>
    </row>
    <row r="20" spans="1:9">
      <c r="A20" s="24" t="s">
        <v>2067</v>
      </c>
      <c r="B20" s="24"/>
      <c r="D20" t="s">
        <v>2085</v>
      </c>
    </row>
    <row r="21" spans="1:9">
      <c r="A21" s="24" t="s">
        <v>2068</v>
      </c>
      <c r="B21" s="24"/>
      <c r="D21" t="s">
        <v>2087</v>
      </c>
      <c r="I21" s="5" t="s">
        <v>2086</v>
      </c>
    </row>
    <row r="22" spans="1:9">
      <c r="A22" s="24" t="s">
        <v>2069</v>
      </c>
      <c r="B22" s="24"/>
      <c r="D22" t="s">
        <v>2089</v>
      </c>
      <c r="I22" t="s">
        <v>2088</v>
      </c>
    </row>
    <row r="23" spans="1:9">
      <c r="A23" s="24" t="s">
        <v>2070</v>
      </c>
      <c r="B23" s="24"/>
      <c r="D23" t="s">
        <v>2091</v>
      </c>
      <c r="I23" t="s">
        <v>2090</v>
      </c>
    </row>
    <row r="24" spans="1:9">
      <c r="I24" t="s">
        <v>2092</v>
      </c>
    </row>
    <row r="25" spans="1:9">
      <c r="A25" s="5" t="s">
        <v>2071</v>
      </c>
    </row>
    <row r="26" spans="1:9">
      <c r="A26" t="s">
        <v>2072</v>
      </c>
    </row>
    <row r="27" spans="1:9">
      <c r="A27" t="s">
        <v>2073</v>
      </c>
    </row>
    <row r="28" spans="1:9">
      <c r="A28" t="s">
        <v>2074</v>
      </c>
    </row>
    <row r="29" spans="1:9">
      <c r="A29" t="s">
        <v>2075</v>
      </c>
      <c r="D29" t="s">
        <v>2093</v>
      </c>
    </row>
    <row r="30" spans="1:9">
      <c r="D30" t="s">
        <v>2094</v>
      </c>
    </row>
    <row r="31" spans="1:9">
      <c r="D31" t="s">
        <v>2095</v>
      </c>
    </row>
    <row r="32" spans="1:9">
      <c r="D32" t="s">
        <v>2096</v>
      </c>
    </row>
  </sheetData>
  <mergeCells count="8">
    <mergeCell ref="A22:B22"/>
    <mergeCell ref="A23:B23"/>
    <mergeCell ref="A16:B16"/>
    <mergeCell ref="A17:B17"/>
    <mergeCell ref="A18:B18"/>
    <mergeCell ref="A19:B19"/>
    <mergeCell ref="A20:B20"/>
    <mergeCell ref="A21:B2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09ED37-5477-4AD5-98DD-ECAB2F5194D4}">
  <dimension ref="A1:H37"/>
  <sheetViews>
    <sheetView topLeftCell="F1" zoomScale="53" zoomScaleNormal="70" workbookViewId="0">
      <selection activeCell="E11" sqref="E11"/>
    </sheetView>
  </sheetViews>
  <sheetFormatPr defaultRowHeight="14.5"/>
  <cols>
    <col min="1" max="1" width="15.90625" bestFit="1" customWidth="1"/>
    <col min="2" max="2" width="20.90625" bestFit="1" customWidth="1"/>
    <col min="3" max="3" width="19.36328125" bestFit="1" customWidth="1"/>
    <col min="4" max="4" width="17.26953125" bestFit="1" customWidth="1"/>
    <col min="5" max="5" width="28.36328125" bestFit="1" customWidth="1"/>
    <col min="6" max="6" width="20.6328125" bestFit="1" customWidth="1"/>
    <col min="7" max="7" width="20.1796875" bestFit="1" customWidth="1"/>
    <col min="8" max="8" width="31.54296875" bestFit="1" customWidth="1"/>
    <col min="9" max="9" width="20.6328125" bestFit="1" customWidth="1"/>
    <col min="10" max="10" width="17.6328125" bestFit="1" customWidth="1"/>
    <col min="11" max="11" width="20.6328125" bestFit="1" customWidth="1"/>
    <col min="12" max="12" width="13.6328125" bestFit="1" customWidth="1"/>
  </cols>
  <sheetData>
    <row r="1" spans="1:8">
      <c r="A1" s="20" t="s">
        <v>2078</v>
      </c>
      <c r="B1" s="20" t="s">
        <v>2101</v>
      </c>
      <c r="C1" s="20" t="s">
        <v>2089</v>
      </c>
      <c r="D1" s="20" t="s">
        <v>2102</v>
      </c>
      <c r="E1" s="20" t="s">
        <v>2085</v>
      </c>
      <c r="F1" s="20" t="s">
        <v>2087</v>
      </c>
    </row>
    <row r="2" spans="1:8">
      <c r="A2" s="8">
        <v>2000</v>
      </c>
      <c r="B2" s="10">
        <v>21842145</v>
      </c>
      <c r="C2" s="10">
        <v>11038155</v>
      </c>
      <c r="D2" s="8">
        <v>2.1859999999999999</v>
      </c>
      <c r="E2" s="8">
        <v>5.5125000000000002</v>
      </c>
      <c r="F2" s="8">
        <v>3.3264999999999998</v>
      </c>
    </row>
    <row r="3" spans="1:8">
      <c r="A3" s="8"/>
      <c r="B3" s="8"/>
      <c r="C3" s="8"/>
      <c r="D3" s="8"/>
      <c r="E3" s="8"/>
      <c r="F3" s="8"/>
    </row>
    <row r="5" spans="1:8">
      <c r="A5" s="6" t="s">
        <v>4</v>
      </c>
      <c r="B5" t="s">
        <v>2098</v>
      </c>
      <c r="D5" s="6" t="s">
        <v>5</v>
      </c>
      <c r="E5" t="s">
        <v>2098</v>
      </c>
      <c r="G5" s="6" t="s">
        <v>6</v>
      </c>
      <c r="H5" t="s">
        <v>2107</v>
      </c>
    </row>
    <row r="6" spans="1:8">
      <c r="A6" s="7" t="s">
        <v>2027</v>
      </c>
      <c r="B6" s="9">
        <v>0.3095</v>
      </c>
      <c r="D6" s="7" t="s">
        <v>2032</v>
      </c>
      <c r="E6" s="9">
        <v>0.1915</v>
      </c>
      <c r="G6" s="7" t="s">
        <v>2037</v>
      </c>
      <c r="H6" s="10">
        <v>2980.6450304259633</v>
      </c>
    </row>
    <row r="7" spans="1:8">
      <c r="A7" s="7" t="s">
        <v>2028</v>
      </c>
      <c r="B7" s="9">
        <v>0.28749999999999998</v>
      </c>
      <c r="D7" s="7" t="s">
        <v>2030</v>
      </c>
      <c r="E7" s="9">
        <v>0.30099999999999999</v>
      </c>
      <c r="G7" s="7" t="s">
        <v>2036</v>
      </c>
      <c r="H7" s="10">
        <v>2815.5689149560117</v>
      </c>
    </row>
    <row r="8" spans="1:8">
      <c r="A8" s="7" t="s">
        <v>2029</v>
      </c>
      <c r="B8" s="9">
        <v>0.40300000000000002</v>
      </c>
      <c r="D8" s="7" t="s">
        <v>2031</v>
      </c>
      <c r="E8" s="9">
        <v>0.50749999999999995</v>
      </c>
      <c r="G8" s="7" t="s">
        <v>2035</v>
      </c>
      <c r="H8" s="10">
        <v>2991.1574803149606</v>
      </c>
    </row>
    <row r="9" spans="1:8">
      <c r="A9" s="7" t="s">
        <v>2097</v>
      </c>
      <c r="B9" s="9">
        <v>1</v>
      </c>
      <c r="D9" s="7" t="s">
        <v>2097</v>
      </c>
      <c r="E9" s="9">
        <v>1</v>
      </c>
      <c r="G9" s="7" t="s">
        <v>2034</v>
      </c>
      <c r="H9" s="10">
        <v>2989.4013377926422</v>
      </c>
    </row>
    <row r="10" spans="1:8">
      <c r="G10" s="7" t="s">
        <v>2033</v>
      </c>
      <c r="H10" s="10">
        <v>2888.6769547325102</v>
      </c>
    </row>
    <row r="11" spans="1:8">
      <c r="A11" s="6" t="s">
        <v>4</v>
      </c>
      <c r="B11" t="s">
        <v>2087</v>
      </c>
      <c r="D11" s="6" t="s">
        <v>5</v>
      </c>
      <c r="E11" t="s">
        <v>2100</v>
      </c>
      <c r="G11" s="7" t="s">
        <v>2097</v>
      </c>
      <c r="H11" s="10">
        <v>2933.4630000000002</v>
      </c>
    </row>
    <row r="12" spans="1:8">
      <c r="A12" s="7" t="s">
        <v>2027</v>
      </c>
      <c r="B12" s="8">
        <v>3.3780290791599352</v>
      </c>
      <c r="D12" s="7" t="s">
        <v>2032</v>
      </c>
      <c r="E12" s="10">
        <v>1261730</v>
      </c>
    </row>
    <row r="13" spans="1:8">
      <c r="A13" s="7" t="s">
        <v>2028</v>
      </c>
      <c r="B13" s="8">
        <v>3.1756521739130434</v>
      </c>
      <c r="D13" s="7" t="s">
        <v>2030</v>
      </c>
      <c r="E13" s="10">
        <v>1721547</v>
      </c>
      <c r="G13" t="s">
        <v>2103</v>
      </c>
      <c r="H13" s="14">
        <f>GETPIVOTDATA("SLA_Complaint",$G$13)/GETPIVOTDATA("Count of Shipment_ID",$A$1)</f>
        <v>0.1055</v>
      </c>
    </row>
    <row r="14" spans="1:8">
      <c r="A14" s="7" t="s">
        <v>2029</v>
      </c>
      <c r="B14" s="8">
        <v>3.3945409429280398</v>
      </c>
      <c r="D14" s="7" t="s">
        <v>2031</v>
      </c>
      <c r="E14" s="10">
        <v>2883649</v>
      </c>
      <c r="G14" s="8">
        <v>211</v>
      </c>
      <c r="H14" s="14"/>
    </row>
    <row r="15" spans="1:8">
      <c r="A15" s="7" t="s">
        <v>2097</v>
      </c>
      <c r="B15" s="8">
        <v>3.3264999999999998</v>
      </c>
      <c r="D15" s="7" t="s">
        <v>2097</v>
      </c>
      <c r="E15" s="10">
        <v>5866926</v>
      </c>
    </row>
    <row r="16" spans="1:8">
      <c r="G16" t="s">
        <v>2105</v>
      </c>
      <c r="H16" s="9">
        <f>1-H13</f>
        <v>0.89449999999999996</v>
      </c>
    </row>
    <row r="17" spans="1:8">
      <c r="A17" s="6" t="s">
        <v>4</v>
      </c>
      <c r="B17" t="s">
        <v>2099</v>
      </c>
      <c r="D17" s="6" t="s">
        <v>5</v>
      </c>
      <c r="E17" t="s">
        <v>2101</v>
      </c>
      <c r="G17" s="8">
        <v>1789</v>
      </c>
    </row>
    <row r="18" spans="1:8">
      <c r="A18" s="7" t="s">
        <v>2027</v>
      </c>
      <c r="B18" s="10">
        <v>171765</v>
      </c>
      <c r="D18" s="7" t="s">
        <v>2032</v>
      </c>
      <c r="E18" s="10">
        <v>5737726</v>
      </c>
    </row>
    <row r="19" spans="1:8">
      <c r="A19" s="7" t="s">
        <v>2028</v>
      </c>
      <c r="B19" s="10">
        <v>153678</v>
      </c>
      <c r="D19" s="7" t="s">
        <v>2030</v>
      </c>
      <c r="E19" s="10">
        <v>6057451</v>
      </c>
    </row>
    <row r="20" spans="1:8">
      <c r="A20" s="7" t="s">
        <v>2029</v>
      </c>
      <c r="B20" s="10">
        <v>223889</v>
      </c>
      <c r="D20" s="7" t="s">
        <v>2031</v>
      </c>
      <c r="E20" s="10">
        <v>10046968</v>
      </c>
    </row>
    <row r="21" spans="1:8">
      <c r="A21" s="7" t="s">
        <v>2097</v>
      </c>
      <c r="B21" s="10">
        <v>549332</v>
      </c>
      <c r="D21" s="7" t="s">
        <v>2097</v>
      </c>
      <c r="E21" s="10">
        <v>21842145</v>
      </c>
    </row>
    <row r="28" spans="1:8" s="11" customFormat="1"/>
    <row r="29" spans="1:8" s="15" customFormat="1"/>
    <row r="30" spans="1:8">
      <c r="G30" s="16"/>
      <c r="H30" s="16"/>
    </row>
    <row r="31" spans="1:8">
      <c r="G31" s="16"/>
      <c r="H31" s="17"/>
    </row>
    <row r="32" spans="1:8" s="11" customFormat="1">
      <c r="G32" s="16"/>
      <c r="H32" s="18"/>
    </row>
    <row r="33" spans="7:8">
      <c r="G33" s="16"/>
      <c r="H33" s="16"/>
    </row>
    <row r="34" spans="7:8">
      <c r="G34" s="16"/>
      <c r="H34" s="16"/>
    </row>
    <row r="35" spans="7:8">
      <c r="G35" s="16"/>
      <c r="H35" s="16"/>
    </row>
    <row r="36" spans="7:8">
      <c r="G36" s="16"/>
      <c r="H36" s="19"/>
    </row>
    <row r="37" spans="7:8">
      <c r="G37" s="16"/>
      <c r="H37" s="19"/>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8BB2B6-CB00-468C-94FA-0D9880C3E135}">
  <dimension ref="A1:Y40"/>
  <sheetViews>
    <sheetView showGridLines="0" topLeftCell="A4" zoomScale="61" zoomScaleNormal="115" workbookViewId="0">
      <selection activeCell="X18" sqref="X18"/>
    </sheetView>
  </sheetViews>
  <sheetFormatPr defaultRowHeight="14.5"/>
  <sheetData>
    <row r="1" spans="1:21" ht="9.5" customHeight="1">
      <c r="A1" s="26" t="s">
        <v>2132</v>
      </c>
      <c r="B1" s="26"/>
      <c r="C1" s="26"/>
      <c r="D1" s="26"/>
      <c r="E1" s="26"/>
      <c r="F1" s="26"/>
      <c r="G1" s="26"/>
      <c r="H1" s="26"/>
      <c r="I1" s="26"/>
      <c r="J1" s="26"/>
      <c r="K1" s="26"/>
      <c r="L1" s="26"/>
      <c r="M1" s="26"/>
      <c r="N1" s="26"/>
      <c r="O1" s="26"/>
      <c r="P1" s="26"/>
      <c r="Q1" s="26"/>
      <c r="R1" s="26"/>
      <c r="S1" s="26"/>
      <c r="T1" s="26"/>
      <c r="U1" s="26"/>
    </row>
    <row r="2" spans="1:21" ht="9" customHeight="1">
      <c r="A2" s="26"/>
      <c r="B2" s="26"/>
      <c r="C2" s="26"/>
      <c r="D2" s="26"/>
      <c r="E2" s="26"/>
      <c r="F2" s="26"/>
      <c r="G2" s="26"/>
      <c r="H2" s="26"/>
      <c r="I2" s="26"/>
      <c r="J2" s="26"/>
      <c r="K2" s="26"/>
      <c r="L2" s="26"/>
      <c r="M2" s="26"/>
      <c r="N2" s="26"/>
      <c r="O2" s="26"/>
      <c r="P2" s="26"/>
      <c r="Q2" s="26"/>
      <c r="R2" s="26"/>
      <c r="S2" s="26"/>
      <c r="T2" s="26"/>
      <c r="U2" s="26"/>
    </row>
    <row r="3" spans="1:21">
      <c r="A3" s="26"/>
      <c r="B3" s="26"/>
      <c r="C3" s="26"/>
      <c r="D3" s="26"/>
      <c r="E3" s="26"/>
      <c r="F3" s="26"/>
      <c r="G3" s="26"/>
      <c r="H3" s="26"/>
      <c r="I3" s="26"/>
      <c r="J3" s="26"/>
      <c r="K3" s="26"/>
      <c r="L3" s="26"/>
      <c r="M3" s="26"/>
      <c r="N3" s="26"/>
      <c r="O3" s="26"/>
      <c r="P3" s="26"/>
      <c r="Q3" s="26"/>
      <c r="R3" s="26"/>
      <c r="S3" s="26"/>
      <c r="T3" s="26"/>
      <c r="U3" s="26"/>
    </row>
    <row r="5" spans="1:21" ht="18.5">
      <c r="A5" s="25" t="s">
        <v>2063</v>
      </c>
      <c r="B5" s="25"/>
      <c r="C5" s="25"/>
      <c r="G5" s="25" t="s">
        <v>2070</v>
      </c>
      <c r="H5" s="25"/>
      <c r="I5" s="25"/>
      <c r="M5" s="25" t="s">
        <v>2069</v>
      </c>
      <c r="N5" s="25"/>
      <c r="O5" s="25"/>
      <c r="S5" s="25" t="s">
        <v>2065</v>
      </c>
      <c r="T5" s="25"/>
      <c r="U5" s="25"/>
    </row>
    <row r="6" spans="1:21">
      <c r="A6" s="30">
        <f>GETPIVOTDATA("Count of Shipment_ID",Pivot_Calculations!$A$1)</f>
        <v>2000</v>
      </c>
      <c r="B6" s="30"/>
      <c r="C6" s="30"/>
      <c r="G6" s="29">
        <f>GETPIVOTDATA("Sum of Revenue_At_Risk",Pivot_Calculations!$A$1)</f>
        <v>21842145</v>
      </c>
      <c r="H6" s="29"/>
      <c r="I6" s="29"/>
      <c r="M6" s="29">
        <f>GETPIVOTDATA("Sum of Cost_Overrun",Pivot_Calculations!$A$1)</f>
        <v>11038155</v>
      </c>
      <c r="N6" s="29"/>
      <c r="O6" s="29"/>
      <c r="S6" s="27">
        <f>1-S11</f>
        <v>0.89449999999999996</v>
      </c>
      <c r="T6" s="27"/>
      <c r="U6" s="27"/>
    </row>
    <row r="7" spans="1:21">
      <c r="A7" s="30"/>
      <c r="B7" s="30"/>
      <c r="C7" s="30"/>
      <c r="G7" s="29"/>
      <c r="H7" s="29"/>
      <c r="I7" s="29"/>
      <c r="M7" s="29"/>
      <c r="N7" s="29"/>
      <c r="O7" s="29"/>
      <c r="S7" s="27"/>
      <c r="T7" s="27"/>
      <c r="U7" s="27"/>
    </row>
    <row r="8" spans="1:21">
      <c r="A8" s="30"/>
      <c r="B8" s="30"/>
      <c r="C8" s="30"/>
      <c r="G8" s="29"/>
      <c r="H8" s="29"/>
      <c r="I8" s="29"/>
      <c r="M8" s="29"/>
      <c r="N8" s="29"/>
      <c r="O8" s="29"/>
      <c r="S8" s="27"/>
      <c r="T8" s="27"/>
      <c r="U8" s="27"/>
    </row>
    <row r="10" spans="1:21" ht="18.5">
      <c r="A10" s="25" t="s">
        <v>2066</v>
      </c>
      <c r="B10" s="25"/>
      <c r="C10" s="25"/>
      <c r="G10" s="25" t="s">
        <v>2067</v>
      </c>
      <c r="H10" s="25"/>
      <c r="I10" s="25"/>
      <c r="M10" s="25" t="s">
        <v>2068</v>
      </c>
      <c r="N10" s="25"/>
      <c r="O10" s="25"/>
      <c r="S10" s="25" t="s">
        <v>2064</v>
      </c>
      <c r="T10" s="25"/>
      <c r="U10" s="25"/>
    </row>
    <row r="11" spans="1:21">
      <c r="A11" s="28">
        <f>GETPIVOTDATA("Average of Planned_TAT_Days",Pivot_Calculations!$A$1)</f>
        <v>2.1859999999999999</v>
      </c>
      <c r="B11" s="28"/>
      <c r="C11" s="28"/>
      <c r="G11" s="28">
        <f>GETPIVOTDATA("Average of Actual_TAT_Days",Pivot_Calculations!$A$1)</f>
        <v>5.5125000000000002</v>
      </c>
      <c r="H11" s="28"/>
      <c r="I11" s="28"/>
      <c r="M11" s="28">
        <f>GETPIVOTDATA("Average of Delay_Days",Pivot_Calculations!$A$1)</f>
        <v>3.3264999999999998</v>
      </c>
      <c r="N11" s="28"/>
      <c r="O11" s="28"/>
      <c r="S11" s="27">
        <f>GETPIVOTDATA("SLA_Complaint",Pivot_Calculations!$G$13)/GETPIVOTDATA("Count of Shipment_ID",Pivot_Calculations!$A$1)</f>
        <v>0.1055</v>
      </c>
      <c r="T11" s="27"/>
      <c r="U11" s="27"/>
    </row>
    <row r="12" spans="1:21">
      <c r="A12" s="28"/>
      <c r="B12" s="28"/>
      <c r="C12" s="28"/>
      <c r="G12" s="28"/>
      <c r="H12" s="28"/>
      <c r="I12" s="28"/>
      <c r="M12" s="28"/>
      <c r="N12" s="28"/>
      <c r="O12" s="28"/>
      <c r="S12" s="27"/>
      <c r="T12" s="27"/>
      <c r="U12" s="27"/>
    </row>
    <row r="13" spans="1:21">
      <c r="A13" s="28"/>
      <c r="B13" s="28"/>
      <c r="C13" s="28"/>
      <c r="G13" s="28"/>
      <c r="H13" s="28"/>
      <c r="I13" s="28"/>
      <c r="M13" s="28"/>
      <c r="N13" s="28"/>
      <c r="O13" s="28"/>
      <c r="S13" s="27"/>
      <c r="T13" s="27"/>
      <c r="U13" s="27"/>
    </row>
    <row r="40" spans="25:25">
      <c r="Y40" s="22"/>
    </row>
  </sheetData>
  <mergeCells count="17">
    <mergeCell ref="S11:U13"/>
    <mergeCell ref="M11:O13"/>
    <mergeCell ref="G11:I13"/>
    <mergeCell ref="A11:C13"/>
    <mergeCell ref="S6:U8"/>
    <mergeCell ref="M6:O8"/>
    <mergeCell ref="G6:I8"/>
    <mergeCell ref="A6:C8"/>
    <mergeCell ref="S10:U10"/>
    <mergeCell ref="M10:O10"/>
    <mergeCell ref="G10:I10"/>
    <mergeCell ref="A10:C10"/>
    <mergeCell ref="A5:C5"/>
    <mergeCell ref="G5:I5"/>
    <mergeCell ref="M5:O5"/>
    <mergeCell ref="S5:U5"/>
    <mergeCell ref="A1:U3"/>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9ACD21-4F64-4A90-8850-0BCFCE41CD0D}">
  <dimension ref="A1:N27"/>
  <sheetViews>
    <sheetView tabSelected="1" zoomScale="96" zoomScaleNormal="70" workbookViewId="0">
      <selection activeCell="Q9" sqref="Q9"/>
    </sheetView>
  </sheetViews>
  <sheetFormatPr defaultRowHeight="14.5"/>
  <cols>
    <col min="2" max="2" width="6.90625" customWidth="1"/>
    <col min="3" max="3" width="6.453125" customWidth="1"/>
  </cols>
  <sheetData>
    <row r="1" spans="1:13" ht="18.5">
      <c r="A1" s="32" t="s">
        <v>2113</v>
      </c>
      <c r="B1" s="32"/>
      <c r="C1" s="32"/>
      <c r="D1" s="32"/>
      <c r="E1" s="32"/>
      <c r="F1" s="32"/>
      <c r="G1" s="32"/>
      <c r="H1" s="32"/>
      <c r="I1" s="32"/>
      <c r="J1" s="32"/>
      <c r="K1" s="32"/>
      <c r="L1" s="32"/>
      <c r="M1" s="32"/>
    </row>
    <row r="2" spans="1:13">
      <c r="A2" s="24" t="s">
        <v>2114</v>
      </c>
      <c r="B2" s="24"/>
      <c r="C2" s="24"/>
      <c r="D2" t="s">
        <v>2109</v>
      </c>
    </row>
    <row r="4" spans="1:13">
      <c r="A4" s="24" t="s">
        <v>2115</v>
      </c>
      <c r="B4" s="24"/>
      <c r="C4" s="24"/>
      <c r="D4" t="s">
        <v>2110</v>
      </c>
    </row>
    <row r="6" spans="1:13">
      <c r="A6" s="24" t="s">
        <v>2116</v>
      </c>
      <c r="B6" s="24"/>
      <c r="C6" s="24"/>
      <c r="D6" t="s">
        <v>2119</v>
      </c>
    </row>
    <row r="7" spans="1:13">
      <c r="D7" t="s">
        <v>2106</v>
      </c>
    </row>
    <row r="8" spans="1:13">
      <c r="D8" s="11" t="s">
        <v>2120</v>
      </c>
    </row>
    <row r="10" spans="1:13" ht="15.5">
      <c r="A10" s="31" t="s">
        <v>2121</v>
      </c>
      <c r="B10" s="31"/>
      <c r="C10" s="31"/>
      <c r="D10" s="31"/>
      <c r="E10" s="31"/>
      <c r="F10" s="31"/>
      <c r="G10" s="31"/>
      <c r="H10" s="31"/>
      <c r="I10" s="31"/>
      <c r="J10" s="31"/>
      <c r="K10" s="31"/>
      <c r="L10" s="31"/>
      <c r="M10" s="31"/>
    </row>
    <row r="11" spans="1:13">
      <c r="A11" s="11" t="s">
        <v>2122</v>
      </c>
    </row>
    <row r="12" spans="1:13">
      <c r="A12" t="s">
        <v>2108</v>
      </c>
    </row>
    <row r="13" spans="1:13">
      <c r="A13" t="s">
        <v>2111</v>
      </c>
      <c r="G13" s="21"/>
    </row>
    <row r="14" spans="1:13">
      <c r="A14" t="s">
        <v>2118</v>
      </c>
    </row>
    <row r="15" spans="1:13">
      <c r="A15" t="s">
        <v>2112</v>
      </c>
    </row>
    <row r="17" spans="1:14" ht="15.5">
      <c r="A17" s="31" t="s">
        <v>2123</v>
      </c>
      <c r="B17" s="31"/>
      <c r="C17" s="31"/>
      <c r="D17" s="31"/>
      <c r="E17" s="31"/>
      <c r="F17" s="31"/>
      <c r="G17" s="31"/>
      <c r="H17" s="31"/>
      <c r="I17" s="31"/>
      <c r="J17" s="31"/>
      <c r="K17" s="31"/>
      <c r="L17" s="31"/>
      <c r="M17" s="31"/>
    </row>
    <row r="18" spans="1:14">
      <c r="A18" s="33" t="s">
        <v>2124</v>
      </c>
      <c r="B18" s="33"/>
      <c r="C18" s="33"/>
      <c r="D18" s="33"/>
      <c r="E18" s="33"/>
      <c r="F18" s="33"/>
      <c r="G18" s="33"/>
      <c r="H18" s="33"/>
      <c r="I18" s="33"/>
      <c r="J18" s="33"/>
      <c r="K18" s="33"/>
      <c r="L18" s="33"/>
      <c r="M18" s="33"/>
      <c r="N18" s="33"/>
    </row>
    <row r="19" spans="1:14">
      <c r="A19" t="s">
        <v>2131</v>
      </c>
    </row>
    <row r="20" spans="1:14" ht="15.5">
      <c r="A20" t="s">
        <v>2126</v>
      </c>
    </row>
    <row r="21" spans="1:14">
      <c r="A21" t="s">
        <v>2125</v>
      </c>
    </row>
    <row r="22" spans="1:14">
      <c r="A22" t="s">
        <v>2127</v>
      </c>
      <c r="F22" s="22"/>
    </row>
    <row r="24" spans="1:14" ht="15.5">
      <c r="A24" s="31" t="s">
        <v>2086</v>
      </c>
      <c r="B24" s="31"/>
      <c r="C24" s="31"/>
      <c r="D24" s="31"/>
      <c r="E24" s="31"/>
      <c r="F24" s="31"/>
      <c r="G24" s="31"/>
      <c r="H24" s="31"/>
      <c r="I24" s="31"/>
      <c r="J24" s="31"/>
      <c r="K24" s="31"/>
      <c r="L24" s="31"/>
      <c r="M24" s="31"/>
    </row>
    <row r="25" spans="1:14">
      <c r="A25" t="s">
        <v>2128</v>
      </c>
    </row>
    <row r="26" spans="1:14">
      <c r="A26" t="s">
        <v>2130</v>
      </c>
    </row>
    <row r="27" spans="1:14">
      <c r="A27" t="s">
        <v>2129</v>
      </c>
    </row>
  </sheetData>
  <mergeCells count="8">
    <mergeCell ref="A24:M24"/>
    <mergeCell ref="A6:C6"/>
    <mergeCell ref="A4:C4"/>
    <mergeCell ref="A2:C2"/>
    <mergeCell ref="A1:M1"/>
    <mergeCell ref="A10:M10"/>
    <mergeCell ref="A18:N18"/>
    <mergeCell ref="A17:M1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Raw_Data</vt:lpstr>
      <vt:lpstr>Project_Blueprint</vt:lpstr>
      <vt:lpstr>Pivot_Calculations</vt:lpstr>
      <vt:lpstr>Dashboard</vt:lpstr>
      <vt:lpstr>Insights_Notes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soumya das</dc:creator>
  <cp:lastModifiedBy>soumya das</cp:lastModifiedBy>
  <dcterms:created xsi:type="dcterms:W3CDTF">2026-02-04T04:40:11Z</dcterms:created>
  <dcterms:modified xsi:type="dcterms:W3CDTF">2026-02-28T14:43:52Z</dcterms:modified>
</cp:coreProperties>
</file>